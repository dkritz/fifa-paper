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6">
      <text>
        <t xml:space="preserve">Heading to sleep. Let's work on this some more if you guys think it's interesting.  Howdy Michael!</t>
      </text>
    </comment>
  </commentList>
</comments>
</file>

<file path=xl/sharedStrings.xml><?xml version="1.0" encoding="utf-8"?>
<sst xmlns="http://schemas.openxmlformats.org/spreadsheetml/2006/main" count="62" uniqueCount="49">
  <si>
    <t>FIFA Points</t>
  </si>
  <si>
    <t>Points</t>
  </si>
  <si>
    <t>UEFA</t>
  </si>
  <si>
    <t>FIFA</t>
  </si>
  <si>
    <t>Club Rank</t>
  </si>
  <si>
    <t>GDP</t>
  </si>
  <si>
    <t>Trade % GDP</t>
  </si>
  <si>
    <t>Inflation</t>
  </si>
  <si>
    <t>Oil % GDP</t>
  </si>
  <si>
    <t>Population</t>
  </si>
  <si>
    <t>Life Expectancy</t>
  </si>
  <si>
    <t>Club</t>
  </si>
  <si>
    <t>Ranking</t>
  </si>
  <si>
    <t>Argentina</t>
  </si>
  <si>
    <t>000 000s</t>
  </si>
  <si>
    <t>Brazil</t>
  </si>
  <si>
    <t>Population^2</t>
  </si>
  <si>
    <t>England</t>
  </si>
  <si>
    <t>Oil Rent % of GDP</t>
  </si>
  <si>
    <t>%</t>
  </si>
  <si>
    <t>Germany</t>
  </si>
  <si>
    <t>Trade % of GDP</t>
  </si>
  <si>
    <t>Mexico</t>
  </si>
  <si>
    <t>GDP per capita</t>
  </si>
  <si>
    <t>000s</t>
  </si>
  <si>
    <t>Poland</t>
  </si>
  <si>
    <t>GDP per capita^2</t>
  </si>
  <si>
    <t>Qatar</t>
  </si>
  <si>
    <t>Russia</t>
  </si>
  <si>
    <t>Life Expectancy at Birth</t>
  </si>
  <si>
    <t>Years</t>
  </si>
  <si>
    <t>South Korea</t>
  </si>
  <si>
    <t>Spain</t>
  </si>
  <si>
    <t>Ukraine</t>
  </si>
  <si>
    <t>USA</t>
  </si>
  <si>
    <t>If USA and Mexico merged populations and shared GDP</t>
  </si>
  <si>
    <t>better than Brazil</t>
  </si>
  <si>
    <t>If Germany had the same oil rents as % of GDP as Russia</t>
  </si>
  <si>
    <t>still better than Argentina</t>
  </si>
  <si>
    <t>If the USA had the same club rank as England</t>
  </si>
  <si>
    <t>best in FIFA</t>
  </si>
  <si>
    <t>If South Korea had the same trade openness as Brazil</t>
  </si>
  <si>
    <t>between Ukraine and Mexico</t>
  </si>
  <si>
    <t>If England had the same population as Germany</t>
  </si>
  <si>
    <t>If Mexico was as populous as Brazil</t>
  </si>
  <si>
    <t>similar to England</t>
  </si>
  <si>
    <t>If Qatar had the same club rank as England</t>
  </si>
  <si>
    <t>If South Korea was as populous as Brazil</t>
  </si>
  <si>
    <t>better than England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</si>
</sst>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0.0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4" xfId="0" applyAlignment="1" applyFont="1" applyNumberFormat="1">
      <alignment readingOrder="0" shrinkToFit="0" wrapText="1"/>
    </xf>
    <xf borderId="0" fillId="0" fontId="2" numFmtId="3" xfId="0" applyAlignment="1" applyFont="1" applyNumberFormat="1">
      <alignment shrinkToFit="0" wrapText="1"/>
    </xf>
    <xf borderId="0" fillId="0" fontId="2" numFmtId="3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75"/>
    <col customWidth="1" min="2" max="2" width="8.63"/>
    <col customWidth="1" min="3" max="3" width="7.0"/>
    <col customWidth="1" min="4" max="4" width="7.25"/>
    <col customWidth="1" min="5" max="5" width="3.25"/>
    <col customWidth="1" min="6" max="6" width="16.88"/>
    <col customWidth="1" min="7" max="7" width="6.5"/>
    <col customWidth="1" min="8" max="8" width="6.63"/>
    <col customWidth="1" min="9" max="9" width="7.75"/>
    <col customWidth="1" min="10" max="10" width="7.5"/>
    <col customWidth="1" min="11" max="11" width="7.63"/>
    <col customWidth="1" min="12" max="12" width="9.38"/>
    <col customWidth="1" min="13" max="13" width="9.75"/>
    <col customWidth="1" min="14" max="14" width="7.88"/>
    <col customWidth="1" min="15" max="20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>
        <v>2010.0</v>
      </c>
      <c r="G1" s="1" t="s">
        <v>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>
      <c r="A2" s="1" t="s">
        <v>11</v>
      </c>
      <c r="B2" s="1" t="s">
        <v>12</v>
      </c>
      <c r="C2" s="2">
        <v>-19.12</v>
      </c>
      <c r="D2" s="2">
        <v>-40.22</v>
      </c>
      <c r="F2" s="1" t="s">
        <v>13</v>
      </c>
      <c r="G2" s="2">
        <v>1338.0</v>
      </c>
      <c r="H2" s="2">
        <v>4.0</v>
      </c>
      <c r="I2" s="3">
        <v>16.01167297</v>
      </c>
      <c r="J2" s="3">
        <v>40.10666656</v>
      </c>
      <c r="K2" s="3">
        <v>10.78011513</v>
      </c>
      <c r="L2" s="3">
        <v>3.958183527</v>
      </c>
      <c r="M2" s="3">
        <v>40.41199875</v>
      </c>
      <c r="N2" s="3">
        <v>75.63214874</v>
      </c>
    </row>
    <row r="3">
      <c r="A3" s="1" t="s">
        <v>9</v>
      </c>
      <c r="B3" s="1" t="s">
        <v>14</v>
      </c>
      <c r="C3" s="2">
        <v>80.47</v>
      </c>
      <c r="D3" s="2">
        <v>4.3</v>
      </c>
      <c r="F3" s="1" t="s">
        <v>15</v>
      </c>
      <c r="G3" s="2">
        <v>1447.0</v>
      </c>
      <c r="H3" s="2">
        <v>1.0</v>
      </c>
      <c r="I3" s="3">
        <v>11.21039104</v>
      </c>
      <c r="J3" s="3">
        <v>23.29968452</v>
      </c>
      <c r="K3" s="3">
        <v>5.038316727</v>
      </c>
      <c r="L3" s="3">
        <v>2.235124588</v>
      </c>
      <c r="M3" s="3">
        <v>194.9459991</v>
      </c>
      <c r="N3" s="3">
        <v>73.09953308</v>
      </c>
    </row>
    <row r="4">
      <c r="A4" s="1" t="s">
        <v>16</v>
      </c>
      <c r="B4" s="1" t="s">
        <v>14</v>
      </c>
      <c r="C4" s="2">
        <v>-0.44</v>
      </c>
      <c r="D4" s="2">
        <v>0.0</v>
      </c>
      <c r="F4" s="1" t="s">
        <v>17</v>
      </c>
      <c r="G4" s="2">
        <v>1195.0</v>
      </c>
      <c r="H4" s="2">
        <v>7.0</v>
      </c>
      <c r="I4" s="3">
        <v>35.68619919</v>
      </c>
      <c r="J4" s="3">
        <v>62.75033569</v>
      </c>
      <c r="K4" s="3">
        <v>3.285714388</v>
      </c>
      <c r="L4" s="3">
        <v>1.175256371</v>
      </c>
      <c r="M4" s="3">
        <v>62.23199844</v>
      </c>
      <c r="N4" s="3">
        <v>80.4024353</v>
      </c>
    </row>
    <row r="5">
      <c r="A5" s="1" t="s">
        <v>18</v>
      </c>
      <c r="B5" s="1" t="s">
        <v>19</v>
      </c>
      <c r="C5" s="2">
        <v>-26.73</v>
      </c>
      <c r="D5" s="2">
        <v>-6.37</v>
      </c>
      <c r="F5" s="1" t="s">
        <v>20</v>
      </c>
      <c r="G5" s="2">
        <v>1485.0</v>
      </c>
      <c r="H5" s="2">
        <v>6.0</v>
      </c>
      <c r="I5" s="3">
        <v>37.40227127</v>
      </c>
      <c r="J5" s="3">
        <v>88.18434906</v>
      </c>
      <c r="K5" s="3">
        <v>1.137426019</v>
      </c>
      <c r="L5" s="3">
        <v>0.034780953</v>
      </c>
      <c r="M5" s="3">
        <v>81.77700043</v>
      </c>
      <c r="N5" s="3">
        <v>79.98780823</v>
      </c>
    </row>
    <row r="6">
      <c r="A6" s="1" t="s">
        <v>21</v>
      </c>
      <c r="B6" s="1" t="s">
        <v>19</v>
      </c>
      <c r="C6" s="2">
        <v>2.94</v>
      </c>
      <c r="D6" s="2">
        <v>1.51</v>
      </c>
      <c r="F6" s="1" t="s">
        <v>22</v>
      </c>
      <c r="G6" s="2">
        <v>795.0</v>
      </c>
      <c r="H6" s="2">
        <v>5.0</v>
      </c>
      <c r="I6" s="3">
        <v>14.56388378</v>
      </c>
      <c r="J6" s="3">
        <v>62.02339935</v>
      </c>
      <c r="K6" s="3">
        <v>4.157478333</v>
      </c>
      <c r="L6" s="3">
        <v>6.010281086</v>
      </c>
      <c r="M6" s="3">
        <v>113.4229965</v>
      </c>
      <c r="N6" s="3">
        <v>76.68377686</v>
      </c>
    </row>
    <row r="7">
      <c r="A7" s="1" t="s">
        <v>23</v>
      </c>
      <c r="B7" s="1" t="s">
        <v>24</v>
      </c>
      <c r="C7" s="2">
        <v>30.26</v>
      </c>
      <c r="D7" s="2">
        <v>17.14</v>
      </c>
      <c r="F7" s="1" t="s">
        <v>25</v>
      </c>
      <c r="G7" s="2">
        <v>449.0</v>
      </c>
      <c r="H7" s="2">
        <v>61.0</v>
      </c>
      <c r="I7" s="3">
        <v>19.88455391</v>
      </c>
      <c r="J7" s="3">
        <v>85.7612381</v>
      </c>
      <c r="K7" s="3">
        <v>2.707452297</v>
      </c>
      <c r="L7" s="3">
        <v>0.070129059</v>
      </c>
      <c r="M7" s="3">
        <v>38.18399811</v>
      </c>
      <c r="N7" s="3">
        <v>76.24633789</v>
      </c>
    </row>
    <row r="8">
      <c r="A8" s="1" t="s">
        <v>26</v>
      </c>
      <c r="B8" s="1" t="s">
        <v>24</v>
      </c>
      <c r="C8" s="2">
        <v>-0.26</v>
      </c>
      <c r="D8" s="2">
        <v>-0.16</v>
      </c>
      <c r="F8" s="1" t="s">
        <v>27</v>
      </c>
      <c r="G8" s="2">
        <v>376.0</v>
      </c>
      <c r="H8" s="2">
        <v>36.0</v>
      </c>
      <c r="I8" s="3">
        <v>80.94389343</v>
      </c>
      <c r="J8" s="3">
        <v>77.96568298</v>
      </c>
      <c r="K8" s="3">
        <v>-4.863277912</v>
      </c>
      <c r="L8" s="3">
        <v>13.42398071</v>
      </c>
      <c r="M8" s="3">
        <v>1.597764969</v>
      </c>
      <c r="N8" s="3">
        <v>77.93919373</v>
      </c>
    </row>
    <row r="9">
      <c r="A9" s="1" t="s">
        <v>7</v>
      </c>
      <c r="B9" s="1" t="s">
        <v>19</v>
      </c>
      <c r="C9" s="2">
        <v>-0.06</v>
      </c>
      <c r="D9" s="2">
        <v>-0.02</v>
      </c>
      <c r="F9" s="1" t="s">
        <v>28</v>
      </c>
      <c r="G9" s="2">
        <v>982.0</v>
      </c>
      <c r="H9" s="2">
        <v>13.0</v>
      </c>
      <c r="I9" s="3">
        <v>19.89135361</v>
      </c>
      <c r="J9" s="3">
        <v>51.74908447</v>
      </c>
      <c r="K9" s="3">
        <v>6.858019352</v>
      </c>
      <c r="L9" s="3">
        <v>14.23361778</v>
      </c>
      <c r="M9" s="3">
        <v>141.75</v>
      </c>
      <c r="N9" s="3">
        <v>68.80487823</v>
      </c>
    </row>
    <row r="10">
      <c r="A10" s="1" t="s">
        <v>29</v>
      </c>
      <c r="B10" s="1" t="s">
        <v>30</v>
      </c>
      <c r="C10" s="2">
        <v>6.63</v>
      </c>
      <c r="D10" s="2">
        <v>-0.32</v>
      </c>
      <c r="F10" s="1" t="s">
        <v>31</v>
      </c>
      <c r="G10" s="2">
        <v>647.0</v>
      </c>
      <c r="H10" s="2">
        <v>81.0</v>
      </c>
      <c r="I10" s="3">
        <v>29.1010704</v>
      </c>
      <c r="J10" s="3">
        <v>101.9938049</v>
      </c>
      <c r="K10" s="3">
        <v>2.925531864</v>
      </c>
      <c r="L10" s="3">
        <v>0.002567505</v>
      </c>
      <c r="M10" s="3">
        <v>48.875</v>
      </c>
      <c r="N10" s="3">
        <v>80.76194763</v>
      </c>
    </row>
    <row r="11">
      <c r="F11" s="1" t="s">
        <v>32</v>
      </c>
      <c r="G11" s="2">
        <v>1887.0</v>
      </c>
      <c r="H11" s="2">
        <v>3.0</v>
      </c>
      <c r="I11" s="3">
        <v>32.23035812</v>
      </c>
      <c r="J11" s="3">
        <v>54.67729187</v>
      </c>
      <c r="K11" s="3">
        <v>1.799740195</v>
      </c>
      <c r="L11" s="3">
        <v>0.004012777</v>
      </c>
      <c r="M11" s="3">
        <v>46.07099915</v>
      </c>
      <c r="N11" s="3">
        <v>81.62683105</v>
      </c>
    </row>
    <row r="12">
      <c r="F12" s="1" t="s">
        <v>33</v>
      </c>
      <c r="G12" s="2">
        <v>702.0</v>
      </c>
      <c r="H12" s="2">
        <v>32.0</v>
      </c>
      <c r="I12" s="3">
        <v>6.720972061</v>
      </c>
      <c r="J12" s="3">
        <v>103.1636963</v>
      </c>
      <c r="K12" s="3">
        <v>9.37858963</v>
      </c>
      <c r="L12" s="3">
        <v>0.941749632</v>
      </c>
      <c r="M12" s="3">
        <v>45.87099838</v>
      </c>
      <c r="N12" s="3">
        <v>70.27561188</v>
      </c>
    </row>
    <row r="13">
      <c r="F13" s="1" t="s">
        <v>34</v>
      </c>
      <c r="G13" s="2">
        <v>867.0</v>
      </c>
      <c r="H13" s="2">
        <v>37.0</v>
      </c>
      <c r="I13" s="3">
        <v>47.15300751</v>
      </c>
      <c r="J13" s="3">
        <v>28.76928711</v>
      </c>
      <c r="K13" s="3">
        <v>1.640043497</v>
      </c>
      <c r="L13" s="3">
        <v>0.683235228</v>
      </c>
      <c r="M13" s="3">
        <v>309.348999</v>
      </c>
      <c r="N13" s="3">
        <v>78.24146271</v>
      </c>
    </row>
    <row r="15">
      <c r="B15" s="2" t="s">
        <v>2</v>
      </c>
      <c r="C15" s="2" t="s">
        <v>3</v>
      </c>
      <c r="G15" s="2" t="s">
        <v>2</v>
      </c>
      <c r="H15" s="2" t="s">
        <v>3</v>
      </c>
    </row>
    <row r="16">
      <c r="A16" s="2" t="s">
        <v>35</v>
      </c>
      <c r="B16" s="4"/>
      <c r="C16" s="4">
        <f>G13+(I13-(M13*I13+M6*I6)/(M6+M13))*D7+(I13-(M13*I13+M6*I6)/(M6+M13))*D8+M6*D3</f>
        <v>1503.177455</v>
      </c>
      <c r="D16" s="5" t="s">
        <v>36</v>
      </c>
      <c r="E16" s="4"/>
      <c r="F16" s="5" t="s">
        <v>37</v>
      </c>
      <c r="G16" s="4">
        <f>G5+(L9-L5)*C5</f>
        <v>1105.465092</v>
      </c>
      <c r="H16" s="4">
        <f>G5+(L9-L5)*D5</f>
        <v>1394.553409</v>
      </c>
      <c r="I16" s="2" t="s">
        <v>38</v>
      </c>
    </row>
    <row r="17">
      <c r="A17" s="2" t="s">
        <v>39</v>
      </c>
      <c r="B17" s="4"/>
      <c r="C17" s="4">
        <f>G13+(H4-H13)*D2</f>
        <v>2073.6</v>
      </c>
      <c r="D17" s="5" t="s">
        <v>40</v>
      </c>
      <c r="E17" s="4"/>
      <c r="F17" s="2" t="s">
        <v>41</v>
      </c>
      <c r="G17" s="4"/>
      <c r="H17" s="4">
        <f>G10+(J10-J9)*D6</f>
        <v>722.8695278</v>
      </c>
      <c r="I17" s="2" t="s">
        <v>42</v>
      </c>
    </row>
    <row r="18">
      <c r="A18" s="2" t="s">
        <v>43</v>
      </c>
      <c r="B18" s="4">
        <f>G4+(M5-M4)*D3</f>
        <v>1279.043509</v>
      </c>
      <c r="C18" s="4">
        <f>G4+(M5-M4)*C3+(M5-M4)^2*C4</f>
        <v>2599.703185</v>
      </c>
      <c r="D18" s="5" t="s">
        <v>40</v>
      </c>
      <c r="E18" s="4"/>
      <c r="F18" s="2" t="s">
        <v>44</v>
      </c>
      <c r="G18" s="4"/>
      <c r="H18" s="4">
        <f>G6+D3*(M3-M6)</f>
        <v>1145.548911</v>
      </c>
      <c r="I18" s="2" t="s">
        <v>45</v>
      </c>
    </row>
    <row r="19">
      <c r="A19" s="2" t="s">
        <v>46</v>
      </c>
      <c r="B19" s="4"/>
      <c r="C19" s="4">
        <f>G8+(H4-H8)*D2</f>
        <v>1542.38</v>
      </c>
      <c r="D19" s="5" t="s">
        <v>36</v>
      </c>
      <c r="E19" s="4"/>
      <c r="F19" s="2" t="s">
        <v>47</v>
      </c>
      <c r="G19" s="4"/>
      <c r="H19" s="4">
        <f>G10+D3*(M3-M10)</f>
        <v>1275.105296</v>
      </c>
      <c r="I19" s="2" t="s">
        <v>48</v>
      </c>
    </row>
    <row r="20">
      <c r="D20" s="4"/>
      <c r="E20" s="4"/>
      <c r="F20" s="4"/>
      <c r="G20" s="4"/>
      <c r="H20" s="4"/>
    </row>
    <row r="21">
      <c r="D21" s="4"/>
      <c r="E21" s="4"/>
      <c r="F21" s="4"/>
      <c r="G21" s="4"/>
      <c r="H21" s="4"/>
    </row>
    <row r="22">
      <c r="D22" s="4"/>
      <c r="E22" s="4"/>
      <c r="F22" s="4"/>
      <c r="G22" s="4"/>
      <c r="H22" s="4"/>
    </row>
    <row r="23">
      <c r="B23" s="4"/>
      <c r="C23" s="4"/>
    </row>
    <row r="24">
      <c r="B24" s="4"/>
      <c r="C24" s="4"/>
    </row>
  </sheetData>
  <drawing r:id="rId2"/>
  <legacyDrawing r:id="rId3"/>
</worksheet>
</file>