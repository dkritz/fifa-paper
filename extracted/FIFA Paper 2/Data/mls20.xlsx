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585" yWindow="4365" windowWidth="16935" windowHeight="3165" tabRatio="682"/>
  </bookViews>
  <sheets>
    <sheet name="Fixture" sheetId="1" r:id="rId1"/>
    <sheet name="Table" sheetId="3" r:id="rId2"/>
    <sheet name="ef-LeagueStats" sheetId="4" r:id="rId3"/>
    <sheet name="ef-TeamStats" sheetId="6" r:id="rId4"/>
    <sheet name="HistoriChart" sheetId="7" r:id="rId5"/>
    <sheet name="ef-FT" sheetId="2" state="hidden" r:id="rId6"/>
    <sheet name="lg" sheetId="5" state="hidden" r:id="rId7"/>
  </sheets>
  <definedNames>
    <definedName name="_xlnm._FilterDatabase" localSheetId="5" hidden="1">'ef-FT'!$A$43:$H$460</definedName>
    <definedName name="_xlnm._FilterDatabase" localSheetId="0" hidden="1">Fixture!$A$4:$G$421</definedName>
    <definedName name="lg">lg!$A$6:$A$9</definedName>
    <definedName name="Teams">'ef-FT'!$E$4:$E$19</definedName>
    <definedName name="TiZo">'ef-FT'!$BS$3:$BS$38</definedName>
    <definedName name="type">lg!$B$14:$B$16</definedName>
  </definedNames>
  <calcPr calcId="125725"/>
</workbook>
</file>

<file path=xl/calcChain.xml><?xml version="1.0" encoding="utf-8"?>
<calcChain xmlns="http://schemas.openxmlformats.org/spreadsheetml/2006/main">
  <c r="XY33" i="2"/>
  <c r="XX33"/>
  <c r="XW33"/>
  <c r="XV33"/>
  <c r="XU33"/>
  <c r="XT33"/>
  <c r="XS33"/>
  <c r="XR33"/>
  <c r="XQ33"/>
  <c r="XP33"/>
  <c r="XO33"/>
  <c r="XN33"/>
  <c r="XM33"/>
  <c r="XL33"/>
  <c r="XK33"/>
  <c r="XJ33"/>
  <c r="XI33"/>
  <c r="WN33"/>
  <c r="XY32"/>
  <c r="XX32"/>
  <c r="XW32"/>
  <c r="XV32"/>
  <c r="XU32"/>
  <c r="XT32"/>
  <c r="XS32"/>
  <c r="XR32"/>
  <c r="XQ32"/>
  <c r="XP32"/>
  <c r="XO32"/>
  <c r="XN32"/>
  <c r="XM32"/>
  <c r="XL32"/>
  <c r="XK32"/>
  <c r="XJ32"/>
  <c r="XI32"/>
  <c r="WN32"/>
  <c r="XY31"/>
  <c r="XX31"/>
  <c r="XW31"/>
  <c r="XV31"/>
  <c r="XU31"/>
  <c r="XT31"/>
  <c r="XS31"/>
  <c r="XR31"/>
  <c r="XQ31"/>
  <c r="XP31"/>
  <c r="XO31"/>
  <c r="XN31"/>
  <c r="XM31"/>
  <c r="XL31"/>
  <c r="XK31"/>
  <c r="XJ31"/>
  <c r="XI31"/>
  <c r="WN31"/>
  <c r="XY30"/>
  <c r="XX30"/>
  <c r="XW30"/>
  <c r="XV30"/>
  <c r="XU30"/>
  <c r="XT30"/>
  <c r="XS30"/>
  <c r="XR30"/>
  <c r="XQ30"/>
  <c r="XP30"/>
  <c r="XO30"/>
  <c r="XN30"/>
  <c r="XM30"/>
  <c r="XL30"/>
  <c r="XK30"/>
  <c r="XJ30"/>
  <c r="XI30"/>
  <c r="WN30"/>
  <c r="XY29"/>
  <c r="XX29"/>
  <c r="XW29"/>
  <c r="XV29"/>
  <c r="XU29"/>
  <c r="XT29"/>
  <c r="XS29"/>
  <c r="XR29"/>
  <c r="XQ29"/>
  <c r="XP29"/>
  <c r="XO29"/>
  <c r="XN29"/>
  <c r="XM29"/>
  <c r="XL29"/>
  <c r="XK29"/>
  <c r="XJ29"/>
  <c r="XI29"/>
  <c r="WN29"/>
  <c r="XY28"/>
  <c r="XX28"/>
  <c r="XW28"/>
  <c r="XV28"/>
  <c r="XU28"/>
  <c r="XT28"/>
  <c r="XS28"/>
  <c r="XR28"/>
  <c r="XQ28"/>
  <c r="XP28"/>
  <c r="XO28"/>
  <c r="XN28"/>
  <c r="XM28"/>
  <c r="XL28"/>
  <c r="XK28"/>
  <c r="XJ28"/>
  <c r="XI28"/>
  <c r="WN28"/>
  <c r="XY27"/>
  <c r="XX27"/>
  <c r="XW27"/>
  <c r="XV27"/>
  <c r="XU27"/>
  <c r="XT27"/>
  <c r="XS27"/>
  <c r="XR27"/>
  <c r="XQ27"/>
  <c r="XP27"/>
  <c r="XO27"/>
  <c r="XN27"/>
  <c r="XM27"/>
  <c r="XL27"/>
  <c r="XK27"/>
  <c r="XJ27"/>
  <c r="XI27"/>
  <c r="WN27"/>
  <c r="XY26"/>
  <c r="XX26"/>
  <c r="XW26"/>
  <c r="XV26"/>
  <c r="XU26"/>
  <c r="XT26"/>
  <c r="XS26"/>
  <c r="XR26"/>
  <c r="XQ26"/>
  <c r="XP26"/>
  <c r="XO26"/>
  <c r="XN26"/>
  <c r="XM26"/>
  <c r="XL26"/>
  <c r="XK26"/>
  <c r="XJ26"/>
  <c r="XI26"/>
  <c r="WN26"/>
  <c r="XY25"/>
  <c r="XX25"/>
  <c r="XW25"/>
  <c r="XV25"/>
  <c r="XU25"/>
  <c r="XT25"/>
  <c r="XS25"/>
  <c r="XR25"/>
  <c r="XQ25"/>
  <c r="XP25"/>
  <c r="XO25"/>
  <c r="XN25"/>
  <c r="XM25"/>
  <c r="XL25"/>
  <c r="XK25"/>
  <c r="XJ25"/>
  <c r="XI25"/>
  <c r="WN25"/>
  <c r="XY24"/>
  <c r="XX24"/>
  <c r="XW24"/>
  <c r="XV24"/>
  <c r="XU24"/>
  <c r="XT24"/>
  <c r="XS24"/>
  <c r="XR24"/>
  <c r="XQ24"/>
  <c r="XP24"/>
  <c r="XO24"/>
  <c r="XN24"/>
  <c r="XM24"/>
  <c r="XL24"/>
  <c r="XK24"/>
  <c r="XJ24"/>
  <c r="XI24"/>
  <c r="WN24"/>
  <c r="XY23"/>
  <c r="XX23"/>
  <c r="XW23"/>
  <c r="XV23"/>
  <c r="XU23"/>
  <c r="XT23"/>
  <c r="XS23"/>
  <c r="XR23"/>
  <c r="XQ23"/>
  <c r="XP23"/>
  <c r="XO23"/>
  <c r="XN23"/>
  <c r="XM23"/>
  <c r="XL23"/>
  <c r="XK23"/>
  <c r="XJ23"/>
  <c r="XI23"/>
  <c r="WN23"/>
  <c r="XY22"/>
  <c r="XX22"/>
  <c r="XW22"/>
  <c r="XV22"/>
  <c r="XU22"/>
  <c r="XT22"/>
  <c r="XS22"/>
  <c r="XR22"/>
  <c r="XQ22"/>
  <c r="XP22"/>
  <c r="XO22"/>
  <c r="XN22"/>
  <c r="XM22"/>
  <c r="XL22"/>
  <c r="XK22"/>
  <c r="XJ22"/>
  <c r="XI22"/>
  <c r="WN22"/>
  <c r="XY21"/>
  <c r="XX21"/>
  <c r="XW21"/>
  <c r="XV21"/>
  <c r="XU21"/>
  <c r="XT21"/>
  <c r="XS21"/>
  <c r="XR21"/>
  <c r="XQ21"/>
  <c r="XP21"/>
  <c r="XO21"/>
  <c r="XN21"/>
  <c r="XM21"/>
  <c r="XL21"/>
  <c r="XK21"/>
  <c r="XJ21"/>
  <c r="XI21"/>
  <c r="WN21"/>
  <c r="XY20"/>
  <c r="XX20"/>
  <c r="XW20"/>
  <c r="XV20"/>
  <c r="XU20"/>
  <c r="XT20"/>
  <c r="XS20"/>
  <c r="XR20"/>
  <c r="XQ20"/>
  <c r="XP20"/>
  <c r="XO20"/>
  <c r="XN20"/>
  <c r="XM20"/>
  <c r="XL20"/>
  <c r="XK20"/>
  <c r="XJ20"/>
  <c r="XI20"/>
  <c r="WN20"/>
  <c r="XY19"/>
  <c r="XX19"/>
  <c r="XW19"/>
  <c r="XV19"/>
  <c r="XU19"/>
  <c r="XT19"/>
  <c r="XS19"/>
  <c r="XR19"/>
  <c r="XQ19"/>
  <c r="XP19"/>
  <c r="XO19"/>
  <c r="XN19"/>
  <c r="XM19"/>
  <c r="XL19"/>
  <c r="XK19"/>
  <c r="XJ19"/>
  <c r="XI19"/>
  <c r="WN19"/>
  <c r="XY18"/>
  <c r="XX18"/>
  <c r="XW18"/>
  <c r="XV18"/>
  <c r="XU18"/>
  <c r="XT18"/>
  <c r="XS18"/>
  <c r="XR18"/>
  <c r="XQ18"/>
  <c r="XP18"/>
  <c r="XO18"/>
  <c r="XN18"/>
  <c r="XM18"/>
  <c r="XL18"/>
  <c r="XK18"/>
  <c r="XJ18"/>
  <c r="XI18"/>
  <c r="WN18"/>
  <c r="XY17"/>
  <c r="XX17"/>
  <c r="XW17"/>
  <c r="XV17"/>
  <c r="XU17"/>
  <c r="XT17"/>
  <c r="XS17"/>
  <c r="XR17"/>
  <c r="XQ17"/>
  <c r="XP17"/>
  <c r="XO17"/>
  <c r="XN17"/>
  <c r="XM17"/>
  <c r="XL17"/>
  <c r="XK17"/>
  <c r="XJ17"/>
  <c r="XI17"/>
  <c r="WN17"/>
  <c r="XY16"/>
  <c r="XX16"/>
  <c r="XW16"/>
  <c r="XV16"/>
  <c r="XU16"/>
  <c r="XT16"/>
  <c r="XS16"/>
  <c r="XR16"/>
  <c r="XQ16"/>
  <c r="XP16"/>
  <c r="XO16"/>
  <c r="XN16"/>
  <c r="XM16"/>
  <c r="XL16"/>
  <c r="XK16"/>
  <c r="XJ16"/>
  <c r="XI16"/>
  <c r="WN16"/>
  <c r="XY15"/>
  <c r="XX15"/>
  <c r="XW15"/>
  <c r="XV15"/>
  <c r="XU15"/>
  <c r="XT15"/>
  <c r="XS15"/>
  <c r="XR15"/>
  <c r="XQ15"/>
  <c r="XP15"/>
  <c r="XO15"/>
  <c r="XN15"/>
  <c r="XM15"/>
  <c r="XL15"/>
  <c r="XK15"/>
  <c r="XJ15"/>
  <c r="XI15"/>
  <c r="WN15"/>
  <c r="XY14"/>
  <c r="XX14"/>
  <c r="XW14"/>
  <c r="XV14"/>
  <c r="XU14"/>
  <c r="XT14"/>
  <c r="XS14"/>
  <c r="XR14"/>
  <c r="XQ14"/>
  <c r="XP14"/>
  <c r="XO14"/>
  <c r="XN14"/>
  <c r="XM14"/>
  <c r="XL14"/>
  <c r="XK14"/>
  <c r="XJ14"/>
  <c r="XI14"/>
  <c r="WN14"/>
  <c r="XY13"/>
  <c r="XX13"/>
  <c r="XW13"/>
  <c r="XV13"/>
  <c r="XU13"/>
  <c r="XT13"/>
  <c r="XS13"/>
  <c r="XR13"/>
  <c r="XQ13"/>
  <c r="XP13"/>
  <c r="XO13"/>
  <c r="XN13"/>
  <c r="XM13"/>
  <c r="XL13"/>
  <c r="XK13"/>
  <c r="XJ13"/>
  <c r="XI13"/>
  <c r="WN13"/>
  <c r="XY12"/>
  <c r="XX12"/>
  <c r="XW12"/>
  <c r="XV12"/>
  <c r="XU12"/>
  <c r="XT12"/>
  <c r="XS12"/>
  <c r="XR12"/>
  <c r="XQ12"/>
  <c r="XP12"/>
  <c r="XO12"/>
  <c r="XN12"/>
  <c r="XM12"/>
  <c r="XL12"/>
  <c r="XK12"/>
  <c r="XJ12"/>
  <c r="XI12"/>
  <c r="WN12"/>
  <c r="WI3"/>
  <c r="WI2"/>
  <c r="BU15"/>
  <c r="BU16"/>
  <c r="BU17"/>
  <c r="BU14"/>
  <c r="BU19"/>
  <c r="BU20"/>
  <c r="BU21"/>
  <c r="BU22"/>
  <c r="BU23"/>
  <c r="BU24"/>
  <c r="BU25"/>
  <c r="BU26"/>
  <c r="BU27"/>
  <c r="BU28"/>
  <c r="BU29"/>
  <c r="BU30"/>
  <c r="BU31"/>
  <c r="BU32"/>
  <c r="BU33"/>
  <c r="BU34"/>
  <c r="BU35"/>
  <c r="BU36"/>
  <c r="BU37"/>
  <c r="BU38"/>
  <c r="BU4"/>
  <c r="BU5"/>
  <c r="BU6"/>
  <c r="BU7"/>
  <c r="BU8"/>
  <c r="BU9"/>
  <c r="BU10"/>
  <c r="BU11"/>
  <c r="BU12"/>
  <c r="BU13"/>
  <c r="BU3"/>
  <c r="M36"/>
  <c r="N36" s="1"/>
  <c r="YB8" l="1"/>
  <c r="YC14" s="1"/>
  <c r="YB7"/>
  <c r="YC13" s="1"/>
  <c r="YB6"/>
  <c r="YC12" s="1"/>
  <c r="YB5"/>
  <c r="YC11" s="1"/>
  <c r="YB4"/>
  <c r="YC10" s="1"/>
  <c r="E2275"/>
  <c r="D2275" s="1"/>
  <c r="O2275" s="1"/>
  <c r="E2264"/>
  <c r="D2264" s="1"/>
  <c r="O2264" s="1"/>
  <c r="E2253"/>
  <c r="D2253" s="1"/>
  <c r="O2253" s="1"/>
  <c r="E244" i="1"/>
  <c r="C244"/>
  <c r="E243"/>
  <c r="C243"/>
  <c r="E242"/>
  <c r="C242"/>
  <c r="E241"/>
  <c r="C241"/>
  <c r="E240"/>
  <c r="C240"/>
  <c r="E239"/>
  <c r="C239"/>
  <c r="E238"/>
  <c r="C238"/>
  <c r="E237"/>
  <c r="C237"/>
  <c r="E236"/>
  <c r="C236"/>
  <c r="E235"/>
  <c r="C235"/>
  <c r="E234"/>
  <c r="C234"/>
  <c r="E233"/>
  <c r="C233"/>
  <c r="E232"/>
  <c r="C232"/>
  <c r="E231"/>
  <c r="C231"/>
  <c r="E230"/>
  <c r="C230"/>
  <c r="E229"/>
  <c r="C229"/>
  <c r="E228"/>
  <c r="C228"/>
  <c r="E227"/>
  <c r="C227"/>
  <c r="E226"/>
  <c r="C226"/>
  <c r="E225"/>
  <c r="C225"/>
  <c r="E224"/>
  <c r="C224"/>
  <c r="E223"/>
  <c r="C223"/>
  <c r="E222"/>
  <c r="C222"/>
  <c r="E221"/>
  <c r="C221"/>
  <c r="E220"/>
  <c r="C220"/>
  <c r="E219"/>
  <c r="C219"/>
  <c r="E218"/>
  <c r="C218"/>
  <c r="E217"/>
  <c r="C217"/>
  <c r="E216"/>
  <c r="C216"/>
  <c r="E215"/>
  <c r="C215"/>
  <c r="E214"/>
  <c r="C214"/>
  <c r="E213"/>
  <c r="C3208" i="2" s="1"/>
  <c r="C213" i="1"/>
  <c r="C2209" i="2" s="1"/>
  <c r="E212" i="1"/>
  <c r="C212"/>
  <c r="E211"/>
  <c r="C211"/>
  <c r="E210"/>
  <c r="C210"/>
  <c r="E209"/>
  <c r="C209"/>
  <c r="E208"/>
  <c r="C208"/>
  <c r="E207"/>
  <c r="C207"/>
  <c r="E206"/>
  <c r="C206"/>
  <c r="E205"/>
  <c r="C205"/>
  <c r="E204"/>
  <c r="C204"/>
  <c r="E203"/>
  <c r="C203"/>
  <c r="E202"/>
  <c r="C202"/>
  <c r="C2198" i="2" s="1"/>
  <c r="E201" i="1"/>
  <c r="C201"/>
  <c r="E200"/>
  <c r="C200"/>
  <c r="E199"/>
  <c r="C199"/>
  <c r="E198"/>
  <c r="C198"/>
  <c r="E197"/>
  <c r="C197"/>
  <c r="E196"/>
  <c r="C196"/>
  <c r="E195"/>
  <c r="C195"/>
  <c r="E194"/>
  <c r="C194"/>
  <c r="E193"/>
  <c r="C193"/>
  <c r="E192"/>
  <c r="C192"/>
  <c r="E191"/>
  <c r="C3186" i="2" s="1"/>
  <c r="C191" i="1"/>
  <c r="C2187" i="2" s="1"/>
  <c r="E190" i="1"/>
  <c r="C190"/>
  <c r="E189"/>
  <c r="C189"/>
  <c r="E188"/>
  <c r="C188"/>
  <c r="E187"/>
  <c r="C187"/>
  <c r="E186"/>
  <c r="C186"/>
  <c r="E185"/>
  <c r="C185"/>
  <c r="E184"/>
  <c r="C184"/>
  <c r="E183"/>
  <c r="C183"/>
  <c r="E182"/>
  <c r="C182"/>
  <c r="E181"/>
  <c r="C181"/>
  <c r="E180"/>
  <c r="C180"/>
  <c r="C2176" i="2" s="1"/>
  <c r="E179" i="1"/>
  <c r="C179"/>
  <c r="E178"/>
  <c r="C178"/>
  <c r="E177"/>
  <c r="C177"/>
  <c r="E176"/>
  <c r="C176"/>
  <c r="E175"/>
  <c r="C175"/>
  <c r="E174"/>
  <c r="C174"/>
  <c r="E173"/>
  <c r="C173"/>
  <c r="E172"/>
  <c r="C172"/>
  <c r="E171"/>
  <c r="C171"/>
  <c r="E170"/>
  <c r="C170"/>
  <c r="E169"/>
  <c r="C169"/>
  <c r="E168"/>
  <c r="C168"/>
  <c r="E167"/>
  <c r="C167"/>
  <c r="E166"/>
  <c r="C166"/>
  <c r="E165"/>
  <c r="C165"/>
  <c r="E164"/>
  <c r="C164"/>
  <c r="E163"/>
  <c r="C163"/>
  <c r="E162"/>
  <c r="C162"/>
  <c r="E161"/>
  <c r="C161"/>
  <c r="E160"/>
  <c r="C160"/>
  <c r="E159"/>
  <c r="C159"/>
  <c r="E158"/>
  <c r="C158"/>
  <c r="F157"/>
  <c r="E157"/>
  <c r="D157"/>
  <c r="C157"/>
  <c r="F156"/>
  <c r="E156"/>
  <c r="D156"/>
  <c r="C156"/>
  <c r="F155"/>
  <c r="E155"/>
  <c r="D155"/>
  <c r="C155"/>
  <c r="F154"/>
  <c r="E154"/>
  <c r="D154"/>
  <c r="C154"/>
  <c r="F153"/>
  <c r="E153"/>
  <c r="D153"/>
  <c r="C153"/>
  <c r="F152"/>
  <c r="E152"/>
  <c r="D152"/>
  <c r="C152"/>
  <c r="F151"/>
  <c r="E151"/>
  <c r="D151"/>
  <c r="C151"/>
  <c r="F150"/>
  <c r="E150"/>
  <c r="D150"/>
  <c r="C150"/>
  <c r="E149"/>
  <c r="C149"/>
  <c r="E148"/>
  <c r="C148"/>
  <c r="E147"/>
  <c r="C147"/>
  <c r="E146"/>
  <c r="C146"/>
  <c r="E145"/>
  <c r="C145"/>
  <c r="E144"/>
  <c r="C144"/>
  <c r="E143"/>
  <c r="C143"/>
  <c r="E142"/>
  <c r="C142"/>
  <c r="E141"/>
  <c r="C141"/>
  <c r="E140"/>
  <c r="C140"/>
  <c r="E139"/>
  <c r="C139"/>
  <c r="E138"/>
  <c r="C138"/>
  <c r="E137"/>
  <c r="C137"/>
  <c r="E136"/>
  <c r="C136"/>
  <c r="E135"/>
  <c r="C135"/>
  <c r="E134"/>
  <c r="C134"/>
  <c r="E133"/>
  <c r="C133"/>
  <c r="E132"/>
  <c r="C132"/>
  <c r="E131"/>
  <c r="C131"/>
  <c r="E130"/>
  <c r="C130"/>
  <c r="E129"/>
  <c r="C129"/>
  <c r="E128"/>
  <c r="C128"/>
  <c r="E127"/>
  <c r="C127"/>
  <c r="E126"/>
  <c r="C126"/>
  <c r="E125"/>
  <c r="C125"/>
  <c r="E124"/>
  <c r="C124"/>
  <c r="E123"/>
  <c r="C123"/>
  <c r="E122"/>
  <c r="C122"/>
  <c r="E121"/>
  <c r="C121"/>
  <c r="E120"/>
  <c r="C120"/>
  <c r="E119"/>
  <c r="C119"/>
  <c r="E118"/>
  <c r="C118"/>
  <c r="E117"/>
  <c r="C117"/>
  <c r="E116"/>
  <c r="C116"/>
  <c r="E115"/>
  <c r="C115"/>
  <c r="E114"/>
  <c r="C114"/>
  <c r="E113"/>
  <c r="C113"/>
  <c r="E112"/>
  <c r="C112"/>
  <c r="E111"/>
  <c r="C111"/>
  <c r="E110"/>
  <c r="C110"/>
  <c r="E109"/>
  <c r="C109"/>
  <c r="E108"/>
  <c r="C108"/>
  <c r="E107"/>
  <c r="C107"/>
  <c r="E106"/>
  <c r="C106"/>
  <c r="E105"/>
  <c r="C105"/>
  <c r="E104"/>
  <c r="C104"/>
  <c r="E103"/>
  <c r="C103"/>
  <c r="E102"/>
  <c r="C102"/>
  <c r="E101"/>
  <c r="C101"/>
  <c r="E100"/>
  <c r="C100"/>
  <c r="E99"/>
  <c r="C99"/>
  <c r="E98"/>
  <c r="C98"/>
  <c r="E97"/>
  <c r="C97"/>
  <c r="E96"/>
  <c r="C96"/>
  <c r="E95"/>
  <c r="C95"/>
  <c r="E94"/>
  <c r="C94"/>
  <c r="E93"/>
  <c r="C93"/>
  <c r="E92"/>
  <c r="C92"/>
  <c r="E91"/>
  <c r="C91"/>
  <c r="E90"/>
  <c r="C90"/>
  <c r="E89"/>
  <c r="C89"/>
  <c r="E88"/>
  <c r="C88"/>
  <c r="E87"/>
  <c r="C87"/>
  <c r="E86"/>
  <c r="C86"/>
  <c r="E85"/>
  <c r="C85"/>
  <c r="E84"/>
  <c r="C84"/>
  <c r="E83"/>
  <c r="C83"/>
  <c r="E82"/>
  <c r="C82"/>
  <c r="E81"/>
  <c r="C81"/>
  <c r="E80"/>
  <c r="C80"/>
  <c r="E79"/>
  <c r="C79"/>
  <c r="E78"/>
  <c r="C78"/>
  <c r="E77"/>
  <c r="C77"/>
  <c r="E76"/>
  <c r="C76"/>
  <c r="E75"/>
  <c r="C75"/>
  <c r="E74"/>
  <c r="C74"/>
  <c r="E73"/>
  <c r="C73"/>
  <c r="E72"/>
  <c r="C72"/>
  <c r="E71"/>
  <c r="C71"/>
  <c r="E70"/>
  <c r="C70"/>
  <c r="E69"/>
  <c r="C69"/>
  <c r="E68"/>
  <c r="C68"/>
  <c r="E67"/>
  <c r="C67"/>
  <c r="E66"/>
  <c r="C66"/>
  <c r="E65"/>
  <c r="C65"/>
  <c r="E64"/>
  <c r="C64"/>
  <c r="E63"/>
  <c r="C63"/>
  <c r="E62"/>
  <c r="C62"/>
  <c r="E61"/>
  <c r="C61"/>
  <c r="E60"/>
  <c r="C60"/>
  <c r="E59"/>
  <c r="C59"/>
  <c r="E58"/>
  <c r="C58"/>
  <c r="E57"/>
  <c r="C57"/>
  <c r="E56"/>
  <c r="C56"/>
  <c r="E55"/>
  <c r="C55"/>
  <c r="E54"/>
  <c r="C54"/>
  <c r="E53"/>
  <c r="C53"/>
  <c r="E52"/>
  <c r="C52"/>
  <c r="E51"/>
  <c r="C51"/>
  <c r="E50"/>
  <c r="C50"/>
  <c r="E49"/>
  <c r="C49"/>
  <c r="E48"/>
  <c r="C48"/>
  <c r="E47"/>
  <c r="C47"/>
  <c r="E46"/>
  <c r="C46"/>
  <c r="E45"/>
  <c r="C45"/>
  <c r="E44"/>
  <c r="C44"/>
  <c r="E43"/>
  <c r="C43"/>
  <c r="E42"/>
  <c r="C42"/>
  <c r="E41"/>
  <c r="C41"/>
  <c r="E40"/>
  <c r="C40"/>
  <c r="E39"/>
  <c r="C39"/>
  <c r="E38"/>
  <c r="C38"/>
  <c r="E37"/>
  <c r="C37"/>
  <c r="E36"/>
  <c r="C36"/>
  <c r="E35"/>
  <c r="C35"/>
  <c r="E34"/>
  <c r="C34"/>
  <c r="E33"/>
  <c r="C33"/>
  <c r="E32"/>
  <c r="C32"/>
  <c r="E31"/>
  <c r="C31"/>
  <c r="E30"/>
  <c r="C30"/>
  <c r="E29"/>
  <c r="C29"/>
  <c r="E28"/>
  <c r="C28"/>
  <c r="E27"/>
  <c r="C27"/>
  <c r="E26"/>
  <c r="C26"/>
  <c r="E25"/>
  <c r="C25"/>
  <c r="E24"/>
  <c r="C24"/>
  <c r="E23"/>
  <c r="C23"/>
  <c r="E22"/>
  <c r="C22"/>
  <c r="E21"/>
  <c r="C21"/>
  <c r="E20"/>
  <c r="C20"/>
  <c r="E19"/>
  <c r="C19"/>
  <c r="E18"/>
  <c r="C18"/>
  <c r="E17"/>
  <c r="C17"/>
  <c r="E16"/>
  <c r="C16"/>
  <c r="E15"/>
  <c r="C15"/>
  <c r="E14"/>
  <c r="C14"/>
  <c r="E13"/>
  <c r="C13"/>
  <c r="E12"/>
  <c r="C12"/>
  <c r="E11"/>
  <c r="C11"/>
  <c r="E10"/>
  <c r="C10"/>
  <c r="F9"/>
  <c r="E9"/>
  <c r="D9"/>
  <c r="C9"/>
  <c r="F8"/>
  <c r="E8"/>
  <c r="D8"/>
  <c r="C8"/>
  <c r="F7"/>
  <c r="E7"/>
  <c r="D7"/>
  <c r="C7"/>
  <c r="F6"/>
  <c r="E6"/>
  <c r="D6"/>
  <c r="C6"/>
  <c r="A278" i="2"/>
  <c r="B278"/>
  <c r="A279"/>
  <c r="B279"/>
  <c r="A3235" s="1"/>
  <c r="A280"/>
  <c r="B280"/>
  <c r="A281"/>
  <c r="B281"/>
  <c r="A3237" s="1"/>
  <c r="A282"/>
  <c r="B282"/>
  <c r="A283"/>
  <c r="B283"/>
  <c r="A3239" s="1"/>
  <c r="A271"/>
  <c r="B271"/>
  <c r="A272"/>
  <c r="A2229" s="1"/>
  <c r="B272"/>
  <c r="A273"/>
  <c r="B273"/>
  <c r="A274"/>
  <c r="A2231" s="1"/>
  <c r="B274"/>
  <c r="A275"/>
  <c r="B275"/>
  <c r="A3231" s="1"/>
  <c r="A276"/>
  <c r="A2233" s="1"/>
  <c r="B276"/>
  <c r="A277"/>
  <c r="B277"/>
  <c r="A3800"/>
  <c r="A3799"/>
  <c r="A3798"/>
  <c r="A3797"/>
  <c r="A3796"/>
  <c r="A3795"/>
  <c r="A3794"/>
  <c r="A3793"/>
  <c r="A3792"/>
  <c r="A3791"/>
  <c r="A3790"/>
  <c r="A3789"/>
  <c r="A3788"/>
  <c r="A3787"/>
  <c r="A3786"/>
  <c r="A3785"/>
  <c r="A3784"/>
  <c r="A3783"/>
  <c r="A3782"/>
  <c r="A3781"/>
  <c r="A3780"/>
  <c r="A3779"/>
  <c r="A3778"/>
  <c r="A3777"/>
  <c r="A3776"/>
  <c r="A3775"/>
  <c r="A3774"/>
  <c r="A3773"/>
  <c r="A3772"/>
  <c r="A3771"/>
  <c r="A3770"/>
  <c r="A3769"/>
  <c r="A3768"/>
  <c r="A3767"/>
  <c r="A3766"/>
  <c r="A3765"/>
  <c r="A3764"/>
  <c r="A3763"/>
  <c r="A3762"/>
  <c r="A3761"/>
  <c r="A3760"/>
  <c r="A3759"/>
  <c r="A3758"/>
  <c r="A3757"/>
  <c r="A3756"/>
  <c r="A3755"/>
  <c r="A3754"/>
  <c r="A3753"/>
  <c r="A3752"/>
  <c r="A3751"/>
  <c r="A3750"/>
  <c r="A3749"/>
  <c r="A3748"/>
  <c r="A3747"/>
  <c r="A3746"/>
  <c r="A3745"/>
  <c r="A3744"/>
  <c r="A3743"/>
  <c r="A3742"/>
  <c r="A3741"/>
  <c r="A3740"/>
  <c r="A3739"/>
  <c r="A3738"/>
  <c r="A3737"/>
  <c r="A3736"/>
  <c r="A3735"/>
  <c r="A3734"/>
  <c r="A3733"/>
  <c r="A3732"/>
  <c r="A3731"/>
  <c r="A3730"/>
  <c r="A3729"/>
  <c r="A3728"/>
  <c r="A3727"/>
  <c r="A3726"/>
  <c r="A3725"/>
  <c r="A3724"/>
  <c r="A3723"/>
  <c r="A3722"/>
  <c r="A3721"/>
  <c r="A3720"/>
  <c r="A3719"/>
  <c r="A3718"/>
  <c r="A3717"/>
  <c r="A3716"/>
  <c r="A3715"/>
  <c r="A3714"/>
  <c r="A3713"/>
  <c r="A3712"/>
  <c r="A3711"/>
  <c r="A3710"/>
  <c r="A3709"/>
  <c r="A3708"/>
  <c r="A3707"/>
  <c r="A3706"/>
  <c r="A3705"/>
  <c r="A3704"/>
  <c r="A3703"/>
  <c r="A3702"/>
  <c r="A3701"/>
  <c r="A3700"/>
  <c r="A3699"/>
  <c r="A3698"/>
  <c r="A3697"/>
  <c r="A3696"/>
  <c r="A3695"/>
  <c r="A3694"/>
  <c r="A3693"/>
  <c r="A3692"/>
  <c r="A3691"/>
  <c r="A3690"/>
  <c r="A3689"/>
  <c r="A3688"/>
  <c r="A3687"/>
  <c r="A3686"/>
  <c r="A3685"/>
  <c r="A3684"/>
  <c r="A3683"/>
  <c r="A3682"/>
  <c r="A3681"/>
  <c r="A3680"/>
  <c r="A3679"/>
  <c r="A3678"/>
  <c r="A3677"/>
  <c r="A3676"/>
  <c r="A3675"/>
  <c r="A3674"/>
  <c r="A3673"/>
  <c r="A3672"/>
  <c r="A3671"/>
  <c r="A3670"/>
  <c r="A3669"/>
  <c r="A3668"/>
  <c r="A3667"/>
  <c r="A3666"/>
  <c r="A3665"/>
  <c r="A3664"/>
  <c r="A3663"/>
  <c r="A3662"/>
  <c r="A3661"/>
  <c r="A3660"/>
  <c r="A3659"/>
  <c r="A3658"/>
  <c r="A3657"/>
  <c r="A3656"/>
  <c r="A3655"/>
  <c r="A3654"/>
  <c r="A3653"/>
  <c r="A3652"/>
  <c r="A3651"/>
  <c r="A3650"/>
  <c r="A3649"/>
  <c r="A3648"/>
  <c r="A3647"/>
  <c r="A3646"/>
  <c r="A3645"/>
  <c r="A3644"/>
  <c r="A3643"/>
  <c r="A3642"/>
  <c r="A3641"/>
  <c r="A3640"/>
  <c r="A3639"/>
  <c r="A3638"/>
  <c r="A3637"/>
  <c r="A3636"/>
  <c r="A3635"/>
  <c r="A3634"/>
  <c r="A3633"/>
  <c r="A3632"/>
  <c r="A3631"/>
  <c r="A3630"/>
  <c r="A3629"/>
  <c r="A3628"/>
  <c r="A3627"/>
  <c r="A3626"/>
  <c r="A3625"/>
  <c r="A3624"/>
  <c r="A3623"/>
  <c r="A3622"/>
  <c r="A3621"/>
  <c r="A3620"/>
  <c r="A3619"/>
  <c r="A3618"/>
  <c r="A3617"/>
  <c r="A3616"/>
  <c r="A3615"/>
  <c r="A3614"/>
  <c r="A3613"/>
  <c r="A3612"/>
  <c r="A3611"/>
  <c r="A3610"/>
  <c r="A3609"/>
  <c r="A3608"/>
  <c r="A3607"/>
  <c r="A3606"/>
  <c r="A3605"/>
  <c r="A3604"/>
  <c r="A3603"/>
  <c r="A3602"/>
  <c r="A3601"/>
  <c r="A3600"/>
  <c r="A3599"/>
  <c r="A3598"/>
  <c r="A3597"/>
  <c r="A3596"/>
  <c r="A3595"/>
  <c r="A3594"/>
  <c r="A3593"/>
  <c r="A3592"/>
  <c r="A3591"/>
  <c r="A3590"/>
  <c r="A3589"/>
  <c r="A3588"/>
  <c r="A3587"/>
  <c r="A3586"/>
  <c r="A3585"/>
  <c r="A3584"/>
  <c r="A3583"/>
  <c r="A3582"/>
  <c r="A3581"/>
  <c r="A3580"/>
  <c r="A3579"/>
  <c r="A3578"/>
  <c r="A3577"/>
  <c r="A3576"/>
  <c r="A3575"/>
  <c r="A3574"/>
  <c r="A3573"/>
  <c r="A3572"/>
  <c r="A3571"/>
  <c r="A3570"/>
  <c r="A3569"/>
  <c r="A3568"/>
  <c r="A3567"/>
  <c r="A3566"/>
  <c r="A3565"/>
  <c r="A3564"/>
  <c r="A3563"/>
  <c r="A3562"/>
  <c r="A3561"/>
  <c r="A3560"/>
  <c r="A3559"/>
  <c r="A3558"/>
  <c r="A3557"/>
  <c r="A3556"/>
  <c r="A3555"/>
  <c r="A3554"/>
  <c r="A3553"/>
  <c r="A3552"/>
  <c r="A3551"/>
  <c r="A3550"/>
  <c r="A3549"/>
  <c r="A3548"/>
  <c r="A3547"/>
  <c r="A3546"/>
  <c r="A3545"/>
  <c r="A3544"/>
  <c r="A3543"/>
  <c r="A3542"/>
  <c r="A3541"/>
  <c r="A3540"/>
  <c r="A3539"/>
  <c r="A3538"/>
  <c r="A3537"/>
  <c r="A3536"/>
  <c r="A3535"/>
  <c r="A3534"/>
  <c r="A3533"/>
  <c r="A3532"/>
  <c r="A3531"/>
  <c r="A3530"/>
  <c r="A3529"/>
  <c r="A3528"/>
  <c r="A3527"/>
  <c r="A3526"/>
  <c r="A3525"/>
  <c r="A3524"/>
  <c r="A3523"/>
  <c r="A3522"/>
  <c r="A3521"/>
  <c r="A3520"/>
  <c r="A3519"/>
  <c r="A3518"/>
  <c r="A3517"/>
  <c r="A3516"/>
  <c r="A3515"/>
  <c r="A3514"/>
  <c r="A3513"/>
  <c r="A3512"/>
  <c r="A3511"/>
  <c r="A3510"/>
  <c r="A3509"/>
  <c r="A3508"/>
  <c r="A3507"/>
  <c r="A3506"/>
  <c r="A3505"/>
  <c r="A3504"/>
  <c r="A3503"/>
  <c r="A3502"/>
  <c r="A3501"/>
  <c r="A3500"/>
  <c r="A3499"/>
  <c r="A3498"/>
  <c r="A3497"/>
  <c r="A3496"/>
  <c r="A3495"/>
  <c r="A3494"/>
  <c r="A3493"/>
  <c r="A3492"/>
  <c r="A3491"/>
  <c r="A3490"/>
  <c r="A3489"/>
  <c r="A3488"/>
  <c r="A3487"/>
  <c r="A3486"/>
  <c r="A3485"/>
  <c r="A3484"/>
  <c r="A3483"/>
  <c r="A3482"/>
  <c r="A3481"/>
  <c r="A3480"/>
  <c r="A3479"/>
  <c r="A3478"/>
  <c r="A3477"/>
  <c r="A3476"/>
  <c r="A3475"/>
  <c r="A3474"/>
  <c r="A3473"/>
  <c r="A3472"/>
  <c r="A3471"/>
  <c r="A3470"/>
  <c r="A3469"/>
  <c r="A3468"/>
  <c r="A3467"/>
  <c r="A3466"/>
  <c r="A3465"/>
  <c r="A3464"/>
  <c r="A3463"/>
  <c r="A3462"/>
  <c r="A3461"/>
  <c r="A3460"/>
  <c r="A3459"/>
  <c r="A3458"/>
  <c r="A3457"/>
  <c r="A3456"/>
  <c r="A3455"/>
  <c r="A3454"/>
  <c r="A3453"/>
  <c r="A3452"/>
  <c r="A3451"/>
  <c r="A3450"/>
  <c r="A3449"/>
  <c r="A3448"/>
  <c r="A3447"/>
  <c r="A3446"/>
  <c r="A3445"/>
  <c r="A3444"/>
  <c r="A3443"/>
  <c r="A3442"/>
  <c r="A3441"/>
  <c r="A3440"/>
  <c r="A3439"/>
  <c r="A3438"/>
  <c r="A3437"/>
  <c r="A3436"/>
  <c r="A3435"/>
  <c r="A3434"/>
  <c r="A3433"/>
  <c r="A3432"/>
  <c r="A3431"/>
  <c r="A3430"/>
  <c r="A3429"/>
  <c r="A3428"/>
  <c r="A3427"/>
  <c r="A3426"/>
  <c r="A3425"/>
  <c r="A3424"/>
  <c r="A3423"/>
  <c r="A3422"/>
  <c r="A3421"/>
  <c r="A3420"/>
  <c r="A3419"/>
  <c r="A3418"/>
  <c r="A3417"/>
  <c r="A3000"/>
  <c r="A2800"/>
  <c r="A2799"/>
  <c r="A2798"/>
  <c r="A2797"/>
  <c r="A2796"/>
  <c r="A2795"/>
  <c r="A2794"/>
  <c r="A2793"/>
  <c r="A2792"/>
  <c r="A2791"/>
  <c r="A2790"/>
  <c r="A2789"/>
  <c r="A2788"/>
  <c r="A2787"/>
  <c r="A2786"/>
  <c r="A2785"/>
  <c r="A2784"/>
  <c r="A2783"/>
  <c r="A2782"/>
  <c r="A2781"/>
  <c r="A2780"/>
  <c r="A2779"/>
  <c r="A2778"/>
  <c r="A2777"/>
  <c r="A2776"/>
  <c r="A2775"/>
  <c r="A2774"/>
  <c r="A2773"/>
  <c r="A2772"/>
  <c r="A2771"/>
  <c r="A2770"/>
  <c r="A2769"/>
  <c r="A2768"/>
  <c r="A2767"/>
  <c r="A2766"/>
  <c r="A2765"/>
  <c r="A2764"/>
  <c r="A2763"/>
  <c r="A2762"/>
  <c r="A2761"/>
  <c r="A2760"/>
  <c r="A2759"/>
  <c r="A2758"/>
  <c r="A2757"/>
  <c r="A2756"/>
  <c r="A2755"/>
  <c r="A2754"/>
  <c r="A2753"/>
  <c r="A2752"/>
  <c r="A2751"/>
  <c r="A2750"/>
  <c r="A2749"/>
  <c r="A2748"/>
  <c r="A2747"/>
  <c r="A2746"/>
  <c r="A2745"/>
  <c r="A2744"/>
  <c r="A2743"/>
  <c r="A2742"/>
  <c r="A2741"/>
  <c r="A2740"/>
  <c r="A2739"/>
  <c r="A2738"/>
  <c r="A2737"/>
  <c r="A2736"/>
  <c r="A2735"/>
  <c r="A2734"/>
  <c r="A2733"/>
  <c r="A2732"/>
  <c r="A2731"/>
  <c r="A2730"/>
  <c r="A2729"/>
  <c r="A2728"/>
  <c r="A2727"/>
  <c r="A2726"/>
  <c r="A2725"/>
  <c r="A2724"/>
  <c r="A2723"/>
  <c r="A2722"/>
  <c r="A2721"/>
  <c r="A2720"/>
  <c r="A2719"/>
  <c r="A2718"/>
  <c r="A2717"/>
  <c r="A2716"/>
  <c r="A2715"/>
  <c r="A2714"/>
  <c r="A2713"/>
  <c r="A2712"/>
  <c r="A2711"/>
  <c r="A2710"/>
  <c r="A2709"/>
  <c r="A2708"/>
  <c r="A2707"/>
  <c r="A2706"/>
  <c r="A2705"/>
  <c r="A2704"/>
  <c r="A2703"/>
  <c r="A2702"/>
  <c r="A2701"/>
  <c r="A2700"/>
  <c r="A2699"/>
  <c r="A2698"/>
  <c r="A2697"/>
  <c r="A2696"/>
  <c r="A2695"/>
  <c r="A2694"/>
  <c r="A2693"/>
  <c r="A2692"/>
  <c r="A2691"/>
  <c r="A2690"/>
  <c r="A2689"/>
  <c r="A2688"/>
  <c r="A2687"/>
  <c r="A2686"/>
  <c r="A2685"/>
  <c r="A2684"/>
  <c r="A2683"/>
  <c r="A2682"/>
  <c r="A2681"/>
  <c r="A2680"/>
  <c r="A2679"/>
  <c r="A2678"/>
  <c r="A2677"/>
  <c r="A2676"/>
  <c r="A2675"/>
  <c r="A2674"/>
  <c r="A2673"/>
  <c r="A2672"/>
  <c r="A2671"/>
  <c r="A2670"/>
  <c r="A2669"/>
  <c r="A2668"/>
  <c r="A2667"/>
  <c r="A2666"/>
  <c r="A2665"/>
  <c r="A2664"/>
  <c r="A2663"/>
  <c r="A2662"/>
  <c r="A2661"/>
  <c r="A2660"/>
  <c r="A2659"/>
  <c r="A2658"/>
  <c r="A2657"/>
  <c r="A2656"/>
  <c r="A2655"/>
  <c r="A2654"/>
  <c r="A2653"/>
  <c r="A2652"/>
  <c r="A2651"/>
  <c r="A2650"/>
  <c r="A2649"/>
  <c r="A2648"/>
  <c r="A2647"/>
  <c r="A2646"/>
  <c r="A2645"/>
  <c r="A2644"/>
  <c r="A2643"/>
  <c r="A2642"/>
  <c r="A2641"/>
  <c r="A2640"/>
  <c r="A2639"/>
  <c r="A2638"/>
  <c r="A2637"/>
  <c r="A2636"/>
  <c r="A2635"/>
  <c r="A2634"/>
  <c r="A2633"/>
  <c r="A2632"/>
  <c r="A2631"/>
  <c r="A2630"/>
  <c r="A2629"/>
  <c r="A2628"/>
  <c r="A2627"/>
  <c r="A2626"/>
  <c r="A2625"/>
  <c r="A2624"/>
  <c r="A2623"/>
  <c r="A2622"/>
  <c r="A2621"/>
  <c r="A2620"/>
  <c r="A2619"/>
  <c r="A2618"/>
  <c r="A2617"/>
  <c r="A2616"/>
  <c r="A2615"/>
  <c r="A2614"/>
  <c r="A2613"/>
  <c r="A2612"/>
  <c r="A2611"/>
  <c r="A2610"/>
  <c r="A2609"/>
  <c r="A2608"/>
  <c r="A2607"/>
  <c r="A2606"/>
  <c r="A2605"/>
  <c r="A2604"/>
  <c r="A2603"/>
  <c r="A2602"/>
  <c r="A2601"/>
  <c r="A2600"/>
  <c r="A2599"/>
  <c r="A2598"/>
  <c r="A2597"/>
  <c r="A2596"/>
  <c r="A2595"/>
  <c r="A2594"/>
  <c r="A2593"/>
  <c r="A2592"/>
  <c r="A2591"/>
  <c r="A2590"/>
  <c r="A2589"/>
  <c r="A2588"/>
  <c r="A2587"/>
  <c r="A2586"/>
  <c r="A2585"/>
  <c r="A2584"/>
  <c r="A2583"/>
  <c r="A2582"/>
  <c r="A2581"/>
  <c r="A2580"/>
  <c r="A2579"/>
  <c r="A2578"/>
  <c r="A2577"/>
  <c r="A2576"/>
  <c r="A2575"/>
  <c r="A2574"/>
  <c r="A2573"/>
  <c r="A2572"/>
  <c r="A2571"/>
  <c r="A2570"/>
  <c r="A2569"/>
  <c r="A2568"/>
  <c r="A2567"/>
  <c r="A2566"/>
  <c r="A2565"/>
  <c r="A2564"/>
  <c r="A2563"/>
  <c r="A2562"/>
  <c r="A2561"/>
  <c r="A2560"/>
  <c r="A2559"/>
  <c r="A2558"/>
  <c r="A2557"/>
  <c r="A2556"/>
  <c r="A2555"/>
  <c r="A2554"/>
  <c r="A2553"/>
  <c r="A2552"/>
  <c r="A2551"/>
  <c r="A2550"/>
  <c r="A2549"/>
  <c r="A2548"/>
  <c r="A2547"/>
  <c r="A2546"/>
  <c r="A2545"/>
  <c r="A2544"/>
  <c r="A2543"/>
  <c r="A2542"/>
  <c r="A2541"/>
  <c r="A2540"/>
  <c r="A2539"/>
  <c r="A2538"/>
  <c r="A2537"/>
  <c r="A2536"/>
  <c r="A2535"/>
  <c r="A2534"/>
  <c r="A2533"/>
  <c r="A2532"/>
  <c r="A2531"/>
  <c r="A2530"/>
  <c r="A2529"/>
  <c r="A2528"/>
  <c r="A2527"/>
  <c r="A2526"/>
  <c r="A2525"/>
  <c r="A2524"/>
  <c r="A2523"/>
  <c r="A2522"/>
  <c r="A2521"/>
  <c r="A2520"/>
  <c r="A2519"/>
  <c r="A2518"/>
  <c r="A2517"/>
  <c r="A2516"/>
  <c r="A2515"/>
  <c r="A2514"/>
  <c r="A2513"/>
  <c r="A2512"/>
  <c r="A2511"/>
  <c r="A2510"/>
  <c r="A2509"/>
  <c r="A2508"/>
  <c r="A2507"/>
  <c r="A2506"/>
  <c r="A2505"/>
  <c r="A2504"/>
  <c r="A2503"/>
  <c r="A2502"/>
  <c r="A2501"/>
  <c r="A2500"/>
  <c r="A2499"/>
  <c r="A2498"/>
  <c r="A2497"/>
  <c r="A2496"/>
  <c r="A2495"/>
  <c r="A2494"/>
  <c r="A2493"/>
  <c r="A2492"/>
  <c r="A2491"/>
  <c r="A2490"/>
  <c r="A2489"/>
  <c r="A2488"/>
  <c r="A2487"/>
  <c r="A2486"/>
  <c r="A2485"/>
  <c r="A2484"/>
  <c r="A2483"/>
  <c r="A2482"/>
  <c r="A2481"/>
  <c r="A2480"/>
  <c r="A2479"/>
  <c r="A2478"/>
  <c r="A2477"/>
  <c r="A2476"/>
  <c r="A2475"/>
  <c r="A2474"/>
  <c r="A2473"/>
  <c r="A2472"/>
  <c r="A2471"/>
  <c r="A2470"/>
  <c r="A2469"/>
  <c r="A2468"/>
  <c r="A2467"/>
  <c r="A2466"/>
  <c r="A2465"/>
  <c r="A2464"/>
  <c r="A2463"/>
  <c r="A2462"/>
  <c r="A2461"/>
  <c r="A2460"/>
  <c r="A2459"/>
  <c r="A2458"/>
  <c r="A2457"/>
  <c r="A2456"/>
  <c r="A2455"/>
  <c r="A2454"/>
  <c r="A2453"/>
  <c r="A2452"/>
  <c r="A2451"/>
  <c r="A2450"/>
  <c r="A2449"/>
  <c r="A2448"/>
  <c r="A2447"/>
  <c r="A2446"/>
  <c r="A2445"/>
  <c r="A2444"/>
  <c r="A2443"/>
  <c r="A2442"/>
  <c r="A2441"/>
  <c r="A2440"/>
  <c r="A2439"/>
  <c r="A2438"/>
  <c r="A2437"/>
  <c r="A2436"/>
  <c r="A2435"/>
  <c r="A2434"/>
  <c r="A2433"/>
  <c r="A2432"/>
  <c r="A2431"/>
  <c r="A2430"/>
  <c r="A2429"/>
  <c r="A2428"/>
  <c r="A2427"/>
  <c r="A2426"/>
  <c r="A2425"/>
  <c r="A2424"/>
  <c r="A2423"/>
  <c r="A2422"/>
  <c r="A2421"/>
  <c r="A2420"/>
  <c r="A2419"/>
  <c r="A2418"/>
  <c r="A3416"/>
  <c r="A3415"/>
  <c r="A3414"/>
  <c r="A3413"/>
  <c r="A3412"/>
  <c r="A3411"/>
  <c r="A3410"/>
  <c r="A3409"/>
  <c r="A3408"/>
  <c r="A3407"/>
  <c r="A3406"/>
  <c r="A3405"/>
  <c r="A3404"/>
  <c r="A3403"/>
  <c r="A3402"/>
  <c r="A3401"/>
  <c r="A3400"/>
  <c r="A3399"/>
  <c r="A3398"/>
  <c r="A3397"/>
  <c r="A3396"/>
  <c r="A3395"/>
  <c r="A3394"/>
  <c r="A3393"/>
  <c r="A3392"/>
  <c r="A3391"/>
  <c r="A3390"/>
  <c r="A3389"/>
  <c r="A3388"/>
  <c r="A3387"/>
  <c r="A3386"/>
  <c r="A3385"/>
  <c r="A3384"/>
  <c r="A3383"/>
  <c r="A3382"/>
  <c r="A3381"/>
  <c r="A3380"/>
  <c r="A3379"/>
  <c r="A3378"/>
  <c r="A3377"/>
  <c r="A3376"/>
  <c r="A3375"/>
  <c r="A3374"/>
  <c r="A3373"/>
  <c r="A3372"/>
  <c r="A3371"/>
  <c r="A3370"/>
  <c r="A3369"/>
  <c r="A3368"/>
  <c r="A3367"/>
  <c r="A3366"/>
  <c r="A3365"/>
  <c r="A3364"/>
  <c r="A3363"/>
  <c r="A3362"/>
  <c r="A3361"/>
  <c r="A3360"/>
  <c r="A3359"/>
  <c r="A3358"/>
  <c r="A3357"/>
  <c r="A3356"/>
  <c r="A3355"/>
  <c r="A3354"/>
  <c r="A3353"/>
  <c r="A3352"/>
  <c r="A3351"/>
  <c r="A3350"/>
  <c r="A3349"/>
  <c r="A3348"/>
  <c r="A3347"/>
  <c r="A3346"/>
  <c r="A3345"/>
  <c r="A3344"/>
  <c r="A3343"/>
  <c r="A3342"/>
  <c r="A3341"/>
  <c r="A3340"/>
  <c r="A3339"/>
  <c r="A3338"/>
  <c r="A3337"/>
  <c r="A3336"/>
  <c r="A3335"/>
  <c r="A3334"/>
  <c r="A3333"/>
  <c r="A3332"/>
  <c r="A3331"/>
  <c r="A3330"/>
  <c r="A3329"/>
  <c r="A3328"/>
  <c r="A3327"/>
  <c r="A3326"/>
  <c r="A3325"/>
  <c r="A3324"/>
  <c r="A3323"/>
  <c r="A3322"/>
  <c r="A3321"/>
  <c r="A3320"/>
  <c r="A3319"/>
  <c r="A3318"/>
  <c r="A3317"/>
  <c r="A3316"/>
  <c r="A3315"/>
  <c r="A3314"/>
  <c r="A3313"/>
  <c r="A3312"/>
  <c r="A3311"/>
  <c r="A3310"/>
  <c r="A3309"/>
  <c r="A3308"/>
  <c r="A3307"/>
  <c r="A3306"/>
  <c r="A3305"/>
  <c r="A3304"/>
  <c r="A3303"/>
  <c r="A3302"/>
  <c r="A3301"/>
  <c r="A3300"/>
  <c r="A3299"/>
  <c r="A3298"/>
  <c r="A3297"/>
  <c r="A3296"/>
  <c r="A3295"/>
  <c r="A3294"/>
  <c r="A3293"/>
  <c r="A3292"/>
  <c r="A3291"/>
  <c r="A3290"/>
  <c r="A3289"/>
  <c r="A3288"/>
  <c r="A3287"/>
  <c r="A3286"/>
  <c r="A3285"/>
  <c r="A3284"/>
  <c r="A3283"/>
  <c r="A3282"/>
  <c r="A3281"/>
  <c r="A3280"/>
  <c r="A3279"/>
  <c r="A3278"/>
  <c r="A3277"/>
  <c r="A3276"/>
  <c r="A3275"/>
  <c r="A3274"/>
  <c r="A3273"/>
  <c r="A3272"/>
  <c r="A3271"/>
  <c r="A3270"/>
  <c r="A3269"/>
  <c r="A3268"/>
  <c r="A3267"/>
  <c r="A3266"/>
  <c r="A3265"/>
  <c r="A3264"/>
  <c r="A3263"/>
  <c r="A3262"/>
  <c r="A3261"/>
  <c r="A3260"/>
  <c r="A3259"/>
  <c r="A3258"/>
  <c r="A3257"/>
  <c r="A3256"/>
  <c r="A3255"/>
  <c r="A3254"/>
  <c r="A3253"/>
  <c r="A3252"/>
  <c r="A3251"/>
  <c r="A3250"/>
  <c r="A3249"/>
  <c r="A3248"/>
  <c r="A3247"/>
  <c r="A3246"/>
  <c r="A3245"/>
  <c r="A3244"/>
  <c r="A3243"/>
  <c r="A3242"/>
  <c r="A3241"/>
  <c r="A3240"/>
  <c r="A3238"/>
  <c r="A3236"/>
  <c r="A3234"/>
  <c r="A3233"/>
  <c r="A3229"/>
  <c r="A3227"/>
  <c r="B270"/>
  <c r="A3226" s="1"/>
  <c r="B269"/>
  <c r="A3225" s="1"/>
  <c r="B268"/>
  <c r="A3224" s="1"/>
  <c r="B267"/>
  <c r="A3223" s="1"/>
  <c r="B266"/>
  <c r="A3222" s="1"/>
  <c r="B265"/>
  <c r="A3221" s="1"/>
  <c r="B264"/>
  <c r="A3220" s="1"/>
  <c r="B263"/>
  <c r="A3219" s="1"/>
  <c r="B262"/>
  <c r="A3218" s="1"/>
  <c r="B261"/>
  <c r="A3217" s="1"/>
  <c r="B260"/>
  <c r="A3216" s="1"/>
  <c r="B259"/>
  <c r="A3215" s="1"/>
  <c r="B258"/>
  <c r="A3214" s="1"/>
  <c r="B257"/>
  <c r="A3213" s="1"/>
  <c r="B256"/>
  <c r="A3212" s="1"/>
  <c r="B255"/>
  <c r="A3211" s="1"/>
  <c r="B254"/>
  <c r="A3210" s="1"/>
  <c r="B253"/>
  <c r="A3209" s="1"/>
  <c r="B252"/>
  <c r="A3208" s="1"/>
  <c r="B251"/>
  <c r="A3207" s="1"/>
  <c r="B250"/>
  <c r="A3206" s="1"/>
  <c r="B249"/>
  <c r="A3205" s="1"/>
  <c r="B248"/>
  <c r="A3204" s="1"/>
  <c r="B247"/>
  <c r="A3203" s="1"/>
  <c r="B246"/>
  <c r="A3202" s="1"/>
  <c r="B245"/>
  <c r="A3201" s="1"/>
  <c r="B244"/>
  <c r="A3200" s="1"/>
  <c r="B243"/>
  <c r="A3199" s="1"/>
  <c r="B242"/>
  <c r="A3198" s="1"/>
  <c r="B241"/>
  <c r="A3197" s="1"/>
  <c r="B240"/>
  <c r="A3196" s="1"/>
  <c r="B239"/>
  <c r="A3195" s="1"/>
  <c r="B238"/>
  <c r="A3194" s="1"/>
  <c r="B237"/>
  <c r="A3193" s="1"/>
  <c r="B236"/>
  <c r="A3192" s="1"/>
  <c r="B235"/>
  <c r="A3191" s="1"/>
  <c r="B234"/>
  <c r="A3190" s="1"/>
  <c r="B233"/>
  <c r="A3189" s="1"/>
  <c r="B232"/>
  <c r="A3188" s="1"/>
  <c r="B231"/>
  <c r="A3187" s="1"/>
  <c r="B230"/>
  <c r="A3186" s="1"/>
  <c r="B229"/>
  <c r="A3185" s="1"/>
  <c r="B228"/>
  <c r="A3184" s="1"/>
  <c r="B227"/>
  <c r="A3183" s="1"/>
  <c r="B226"/>
  <c r="A3182" s="1"/>
  <c r="B225"/>
  <c r="A3181" s="1"/>
  <c r="B224"/>
  <c r="A3180" s="1"/>
  <c r="B223"/>
  <c r="A3179" s="1"/>
  <c r="B222"/>
  <c r="A3178" s="1"/>
  <c r="B221"/>
  <c r="A3177" s="1"/>
  <c r="B220"/>
  <c r="A3176" s="1"/>
  <c r="B219"/>
  <c r="A3175" s="1"/>
  <c r="B218"/>
  <c r="A3174" s="1"/>
  <c r="B217"/>
  <c r="A3173" s="1"/>
  <c r="B216"/>
  <c r="A3172" s="1"/>
  <c r="B215"/>
  <c r="A3171" s="1"/>
  <c r="B214"/>
  <c r="A3170" s="1"/>
  <c r="B213"/>
  <c r="A3169" s="1"/>
  <c r="B212"/>
  <c r="A3168" s="1"/>
  <c r="B211"/>
  <c r="A3167" s="1"/>
  <c r="B210"/>
  <c r="A3166" s="1"/>
  <c r="B209"/>
  <c r="A3165" s="1"/>
  <c r="B208"/>
  <c r="A3164" s="1"/>
  <c r="B207"/>
  <c r="A3163" s="1"/>
  <c r="B206"/>
  <c r="A3162" s="1"/>
  <c r="B205"/>
  <c r="A3161" s="1"/>
  <c r="B204"/>
  <c r="A3160" s="1"/>
  <c r="B203"/>
  <c r="A3159" s="1"/>
  <c r="B202"/>
  <c r="A3158" s="1"/>
  <c r="B201"/>
  <c r="A3157" s="1"/>
  <c r="B200"/>
  <c r="A3156" s="1"/>
  <c r="B199"/>
  <c r="A3155" s="1"/>
  <c r="B198"/>
  <c r="A3154" s="1"/>
  <c r="B197"/>
  <c r="A3153" s="1"/>
  <c r="B196"/>
  <c r="A3152" s="1"/>
  <c r="B195"/>
  <c r="A3151" s="1"/>
  <c r="B194"/>
  <c r="A3150" s="1"/>
  <c r="B193"/>
  <c r="A3149" s="1"/>
  <c r="B192"/>
  <c r="A3148" s="1"/>
  <c r="B191"/>
  <c r="A3147" s="1"/>
  <c r="B190"/>
  <c r="A3146" s="1"/>
  <c r="B189"/>
  <c r="A3145" s="1"/>
  <c r="B188"/>
  <c r="A3144" s="1"/>
  <c r="B187"/>
  <c r="A3143" s="1"/>
  <c r="B186"/>
  <c r="A3142" s="1"/>
  <c r="B185"/>
  <c r="A3141" s="1"/>
  <c r="B184"/>
  <c r="A3140" s="1"/>
  <c r="B183"/>
  <c r="A3139" s="1"/>
  <c r="B182"/>
  <c r="A3138" s="1"/>
  <c r="B181"/>
  <c r="A3137" s="1"/>
  <c r="B180"/>
  <c r="A3136" s="1"/>
  <c r="B179"/>
  <c r="A3135" s="1"/>
  <c r="B178"/>
  <c r="A3134" s="1"/>
  <c r="B177"/>
  <c r="A3133" s="1"/>
  <c r="B176"/>
  <c r="A3132" s="1"/>
  <c r="B175"/>
  <c r="A3131" s="1"/>
  <c r="B174"/>
  <c r="A3130" s="1"/>
  <c r="B173"/>
  <c r="A3129" s="1"/>
  <c r="B172"/>
  <c r="A3128" s="1"/>
  <c r="B171"/>
  <c r="A3127" s="1"/>
  <c r="B170"/>
  <c r="A3126" s="1"/>
  <c r="B169"/>
  <c r="A3125" s="1"/>
  <c r="B168"/>
  <c r="A3124" s="1"/>
  <c r="B167"/>
  <c r="A3123" s="1"/>
  <c r="B166"/>
  <c r="A3122" s="1"/>
  <c r="B165"/>
  <c r="A3121" s="1"/>
  <c r="B164"/>
  <c r="A3120" s="1"/>
  <c r="B163"/>
  <c r="A3119" s="1"/>
  <c r="B162"/>
  <c r="A3118" s="1"/>
  <c r="B161"/>
  <c r="A3117" s="1"/>
  <c r="B160"/>
  <c r="A3116" s="1"/>
  <c r="B159"/>
  <c r="A3115" s="1"/>
  <c r="B158"/>
  <c r="A3114" s="1"/>
  <c r="B157"/>
  <c r="A3113" s="1"/>
  <c r="B156"/>
  <c r="A3112" s="1"/>
  <c r="B155"/>
  <c r="A3111" s="1"/>
  <c r="B154"/>
  <c r="A3110" s="1"/>
  <c r="B153"/>
  <c r="A3109" s="1"/>
  <c r="B152"/>
  <c r="A3108" s="1"/>
  <c r="B151"/>
  <c r="A3107" s="1"/>
  <c r="B150"/>
  <c r="A3106" s="1"/>
  <c r="B149"/>
  <c r="A3105" s="1"/>
  <c r="B148"/>
  <c r="A3104" s="1"/>
  <c r="B147"/>
  <c r="A3103" s="1"/>
  <c r="B146"/>
  <c r="A3102" s="1"/>
  <c r="B145"/>
  <c r="A3101" s="1"/>
  <c r="B144"/>
  <c r="A3100" s="1"/>
  <c r="B143"/>
  <c r="A3099" s="1"/>
  <c r="B142"/>
  <c r="A3098" s="1"/>
  <c r="B141"/>
  <c r="A3097" s="1"/>
  <c r="B140"/>
  <c r="A3096" s="1"/>
  <c r="B139"/>
  <c r="A3095" s="1"/>
  <c r="B138"/>
  <c r="A3094" s="1"/>
  <c r="B137"/>
  <c r="A3093" s="1"/>
  <c r="B136"/>
  <c r="A3092" s="1"/>
  <c r="B135"/>
  <c r="A3091" s="1"/>
  <c r="B134"/>
  <c r="A3090" s="1"/>
  <c r="B133"/>
  <c r="A3089" s="1"/>
  <c r="B132"/>
  <c r="A3088" s="1"/>
  <c r="B131"/>
  <c r="A3087" s="1"/>
  <c r="B130"/>
  <c r="A3086" s="1"/>
  <c r="B129"/>
  <c r="A3085" s="1"/>
  <c r="B128"/>
  <c r="A3084" s="1"/>
  <c r="B127"/>
  <c r="A3083" s="1"/>
  <c r="B126"/>
  <c r="A3082" s="1"/>
  <c r="B125"/>
  <c r="A3081" s="1"/>
  <c r="B124"/>
  <c r="A3080" s="1"/>
  <c r="B123"/>
  <c r="A3079" s="1"/>
  <c r="B122"/>
  <c r="A3078" s="1"/>
  <c r="B121"/>
  <c r="A3077" s="1"/>
  <c r="B120"/>
  <c r="A3076" s="1"/>
  <c r="B119"/>
  <c r="A3075" s="1"/>
  <c r="B118"/>
  <c r="A3074" s="1"/>
  <c r="B117"/>
  <c r="A3073" s="1"/>
  <c r="B116"/>
  <c r="A3072" s="1"/>
  <c r="B115"/>
  <c r="A3071" s="1"/>
  <c r="B114"/>
  <c r="A3070" s="1"/>
  <c r="B113"/>
  <c r="A3069" s="1"/>
  <c r="B112"/>
  <c r="A3068" s="1"/>
  <c r="B111"/>
  <c r="A3067" s="1"/>
  <c r="B110"/>
  <c r="A3066" s="1"/>
  <c r="B109"/>
  <c r="A3065" s="1"/>
  <c r="B108"/>
  <c r="A3064" s="1"/>
  <c r="B107"/>
  <c r="A3063" s="1"/>
  <c r="B106"/>
  <c r="A3062" s="1"/>
  <c r="B105"/>
  <c r="A3061" s="1"/>
  <c r="B104"/>
  <c r="A3060" s="1"/>
  <c r="B103"/>
  <c r="A3059" s="1"/>
  <c r="B102"/>
  <c r="A3058" s="1"/>
  <c r="B101"/>
  <c r="A3057" s="1"/>
  <c r="B100"/>
  <c r="A3056" s="1"/>
  <c r="B99"/>
  <c r="A3055" s="1"/>
  <c r="B98"/>
  <c r="A3054" s="1"/>
  <c r="B97"/>
  <c r="A3053" s="1"/>
  <c r="B96"/>
  <c r="A3052" s="1"/>
  <c r="B95"/>
  <c r="A3051" s="1"/>
  <c r="B94"/>
  <c r="A3050" s="1"/>
  <c r="B93"/>
  <c r="A3049" s="1"/>
  <c r="B92"/>
  <c r="A3048" s="1"/>
  <c r="B91"/>
  <c r="A3047" s="1"/>
  <c r="B90"/>
  <c r="A3046" s="1"/>
  <c r="B89"/>
  <c r="A3045" s="1"/>
  <c r="B88"/>
  <c r="A3044" s="1"/>
  <c r="B87"/>
  <c r="A3043" s="1"/>
  <c r="B86"/>
  <c r="A3042" s="1"/>
  <c r="B85"/>
  <c r="A3041" s="1"/>
  <c r="B84"/>
  <c r="A3040" s="1"/>
  <c r="B83"/>
  <c r="A3039" s="1"/>
  <c r="B82"/>
  <c r="A3038" s="1"/>
  <c r="B81"/>
  <c r="A3037" s="1"/>
  <c r="B80"/>
  <c r="A3036" s="1"/>
  <c r="B79"/>
  <c r="A3035" s="1"/>
  <c r="B78"/>
  <c r="A3034" s="1"/>
  <c r="B77"/>
  <c r="A3033" s="1"/>
  <c r="B76"/>
  <c r="A3032" s="1"/>
  <c r="B75"/>
  <c r="A3031" s="1"/>
  <c r="B74"/>
  <c r="A3030" s="1"/>
  <c r="B73"/>
  <c r="A3029" s="1"/>
  <c r="B72"/>
  <c r="A3028" s="1"/>
  <c r="B71"/>
  <c r="A3027" s="1"/>
  <c r="B70"/>
  <c r="A3026" s="1"/>
  <c r="B69"/>
  <c r="A3025" s="1"/>
  <c r="B68"/>
  <c r="A3024" s="1"/>
  <c r="B67"/>
  <c r="A3023" s="1"/>
  <c r="B66"/>
  <c r="A3022" s="1"/>
  <c r="B65"/>
  <c r="A3021" s="1"/>
  <c r="B64"/>
  <c r="A3020" s="1"/>
  <c r="B63"/>
  <c r="A3019" s="1"/>
  <c r="B62"/>
  <c r="A3018" s="1"/>
  <c r="B61"/>
  <c r="A3017" s="1"/>
  <c r="B60"/>
  <c r="A3016" s="1"/>
  <c r="B59"/>
  <c r="A3015" s="1"/>
  <c r="B58"/>
  <c r="A3014" s="1"/>
  <c r="B57"/>
  <c r="A3013" s="1"/>
  <c r="B56"/>
  <c r="A3012" s="1"/>
  <c r="B55"/>
  <c r="A3011" s="1"/>
  <c r="B54"/>
  <c r="A3010" s="1"/>
  <c r="B53"/>
  <c r="A3009" s="1"/>
  <c r="B52"/>
  <c r="A3008" s="1"/>
  <c r="B51"/>
  <c r="A3007" s="1"/>
  <c r="B50"/>
  <c r="A3006" s="1"/>
  <c r="B49"/>
  <c r="A3005" s="1"/>
  <c r="B48"/>
  <c r="A3004" s="1"/>
  <c r="B47"/>
  <c r="A3003" s="1"/>
  <c r="B46"/>
  <c r="A3002" s="1"/>
  <c r="A2417"/>
  <c r="A2416"/>
  <c r="A2415"/>
  <c r="A2414"/>
  <c r="A2413"/>
  <c r="A2412"/>
  <c r="A2411"/>
  <c r="A2410"/>
  <c r="A2409"/>
  <c r="A2408"/>
  <c r="A2407"/>
  <c r="A2406"/>
  <c r="A2405"/>
  <c r="A2404"/>
  <c r="A2403"/>
  <c r="A2402"/>
  <c r="A2401"/>
  <c r="A2400"/>
  <c r="A2399"/>
  <c r="A2398"/>
  <c r="A2397"/>
  <c r="A2396"/>
  <c r="A2395"/>
  <c r="A2394"/>
  <c r="A2393"/>
  <c r="A2392"/>
  <c r="A2391"/>
  <c r="A2390"/>
  <c r="A2389"/>
  <c r="A2388"/>
  <c r="A2387"/>
  <c r="A2386"/>
  <c r="A2385"/>
  <c r="A2384"/>
  <c r="A2383"/>
  <c r="A2382"/>
  <c r="A2381"/>
  <c r="A2380"/>
  <c r="A2379"/>
  <c r="A2378"/>
  <c r="A2377"/>
  <c r="A2376"/>
  <c r="A2375"/>
  <c r="A2374"/>
  <c r="A2373"/>
  <c r="A2372"/>
  <c r="A2371"/>
  <c r="A2370"/>
  <c r="A2369"/>
  <c r="A2368"/>
  <c r="A2367"/>
  <c r="A2366"/>
  <c r="A2365"/>
  <c r="A2364"/>
  <c r="A2363"/>
  <c r="A2362"/>
  <c r="A2361"/>
  <c r="A2360"/>
  <c r="A2359"/>
  <c r="A2358"/>
  <c r="A2357"/>
  <c r="A2356"/>
  <c r="A2355"/>
  <c r="A2354"/>
  <c r="A2353"/>
  <c r="A2352"/>
  <c r="A2351"/>
  <c r="A2350"/>
  <c r="A2349"/>
  <c r="A2348"/>
  <c r="A2347"/>
  <c r="A2346"/>
  <c r="A2345"/>
  <c r="A2344"/>
  <c r="A2343"/>
  <c r="A2342"/>
  <c r="A2341"/>
  <c r="A2340"/>
  <c r="A2339"/>
  <c r="A2338"/>
  <c r="A2337"/>
  <c r="A2336"/>
  <c r="A2335"/>
  <c r="A2334"/>
  <c r="A2333"/>
  <c r="A2332"/>
  <c r="A2331"/>
  <c r="A2330"/>
  <c r="A2329"/>
  <c r="A2328"/>
  <c r="A2327"/>
  <c r="A2326"/>
  <c r="A2325"/>
  <c r="A2324"/>
  <c r="A2323"/>
  <c r="A2322"/>
  <c r="A2321"/>
  <c r="A2320"/>
  <c r="A2319"/>
  <c r="A2318"/>
  <c r="A2317"/>
  <c r="A2316"/>
  <c r="A2315"/>
  <c r="A2314"/>
  <c r="A2313"/>
  <c r="A2312"/>
  <c r="A2311"/>
  <c r="A2310"/>
  <c r="A2309"/>
  <c r="A2308"/>
  <c r="A2307"/>
  <c r="A2306"/>
  <c r="A2305"/>
  <c r="A2304"/>
  <c r="A2303"/>
  <c r="A2302"/>
  <c r="A2301"/>
  <c r="A2300"/>
  <c r="A2299"/>
  <c r="A2298"/>
  <c r="A2297"/>
  <c r="A2296"/>
  <c r="A2295"/>
  <c r="A2294"/>
  <c r="A2293"/>
  <c r="A2292"/>
  <c r="A2291"/>
  <c r="A2290"/>
  <c r="A2289"/>
  <c r="A2288"/>
  <c r="A2287"/>
  <c r="A2286"/>
  <c r="A2285"/>
  <c r="A2284"/>
  <c r="A2283"/>
  <c r="A2282"/>
  <c r="A2281"/>
  <c r="A2280"/>
  <c r="A2279"/>
  <c r="A2278"/>
  <c r="A2277"/>
  <c r="A2276"/>
  <c r="A2275"/>
  <c r="A2274"/>
  <c r="A2273"/>
  <c r="A2272"/>
  <c r="A2271"/>
  <c r="A2270"/>
  <c r="A2269"/>
  <c r="A2268"/>
  <c r="A2267"/>
  <c r="A2266"/>
  <c r="A2265"/>
  <c r="A2264"/>
  <c r="A2263"/>
  <c r="A2262"/>
  <c r="A2261"/>
  <c r="A2260"/>
  <c r="A2259"/>
  <c r="A2258"/>
  <c r="A2257"/>
  <c r="A2256"/>
  <c r="A2255"/>
  <c r="A2254"/>
  <c r="A2253"/>
  <c r="A2252"/>
  <c r="A2251"/>
  <c r="A2250"/>
  <c r="A2249"/>
  <c r="A2248"/>
  <c r="A2247"/>
  <c r="A2246"/>
  <c r="A2245"/>
  <c r="A2244"/>
  <c r="A2243"/>
  <c r="A2242"/>
  <c r="A2241"/>
  <c r="A2240"/>
  <c r="A2239"/>
  <c r="A2238"/>
  <c r="A2237"/>
  <c r="A2236"/>
  <c r="A2235"/>
  <c r="A2234"/>
  <c r="A2232"/>
  <c r="A2230"/>
  <c r="A2228"/>
  <c r="A270"/>
  <c r="A2227" s="1"/>
  <c r="A269"/>
  <c r="A2226" s="1"/>
  <c r="A268"/>
  <c r="A2225" s="1"/>
  <c r="A267"/>
  <c r="A2224" s="1"/>
  <c r="A266"/>
  <c r="A2223" s="1"/>
  <c r="A265"/>
  <c r="A2222" s="1"/>
  <c r="A264"/>
  <c r="A2221" s="1"/>
  <c r="A263"/>
  <c r="A2220" s="1"/>
  <c r="A262"/>
  <c r="A2219" s="1"/>
  <c r="A261"/>
  <c r="A2218" s="1"/>
  <c r="A260"/>
  <c r="A2217" s="1"/>
  <c r="A259"/>
  <c r="A2216" s="1"/>
  <c r="A258"/>
  <c r="A2215" s="1"/>
  <c r="A257"/>
  <c r="A2214" s="1"/>
  <c r="A256"/>
  <c r="A2213" s="1"/>
  <c r="A255"/>
  <c r="A2212" s="1"/>
  <c r="A254"/>
  <c r="A2211" s="1"/>
  <c r="A253"/>
  <c r="A2210" s="1"/>
  <c r="A252"/>
  <c r="A2209" s="1"/>
  <c r="A251"/>
  <c r="A2208" s="1"/>
  <c r="A250"/>
  <c r="A2207" s="1"/>
  <c r="A249"/>
  <c r="A2206" s="1"/>
  <c r="A248"/>
  <c r="A2205" s="1"/>
  <c r="A247"/>
  <c r="A2204" s="1"/>
  <c r="A246"/>
  <c r="A2203" s="1"/>
  <c r="A245"/>
  <c r="A2202" s="1"/>
  <c r="A244"/>
  <c r="A2201" s="1"/>
  <c r="A243"/>
  <c r="A2200" s="1"/>
  <c r="A242"/>
  <c r="A2199" s="1"/>
  <c r="A241"/>
  <c r="A2198" s="1"/>
  <c r="A240"/>
  <c r="A2197" s="1"/>
  <c r="A239"/>
  <c r="A2196" s="1"/>
  <c r="A238"/>
  <c r="A2195" s="1"/>
  <c r="A237"/>
  <c r="A2194" s="1"/>
  <c r="A236"/>
  <c r="A2193" s="1"/>
  <c r="A235"/>
  <c r="A2192" s="1"/>
  <c r="A234"/>
  <c r="A2191" s="1"/>
  <c r="A233"/>
  <c r="A2190" s="1"/>
  <c r="A232"/>
  <c r="A2189" s="1"/>
  <c r="A231"/>
  <c r="A2188" s="1"/>
  <c r="A230"/>
  <c r="A2187" s="1"/>
  <c r="A229"/>
  <c r="A2186" s="1"/>
  <c r="A228"/>
  <c r="A2185" s="1"/>
  <c r="A227"/>
  <c r="A2184" s="1"/>
  <c r="A226"/>
  <c r="A2183" s="1"/>
  <c r="A225"/>
  <c r="A2182" s="1"/>
  <c r="A224"/>
  <c r="A2181" s="1"/>
  <c r="A223"/>
  <c r="A2180" s="1"/>
  <c r="A222"/>
  <c r="A2179" s="1"/>
  <c r="A221"/>
  <c r="A2178" s="1"/>
  <c r="A220"/>
  <c r="A2177" s="1"/>
  <c r="A219"/>
  <c r="A2176" s="1"/>
  <c r="A218"/>
  <c r="A2175" s="1"/>
  <c r="A217"/>
  <c r="A2174" s="1"/>
  <c r="A216"/>
  <c r="A2173" s="1"/>
  <c r="A215"/>
  <c r="A2172" s="1"/>
  <c r="A214"/>
  <c r="A2171" s="1"/>
  <c r="A213"/>
  <c r="A2170" s="1"/>
  <c r="A212"/>
  <c r="A2169" s="1"/>
  <c r="A211"/>
  <c r="A2168" s="1"/>
  <c r="A210"/>
  <c r="A2167" s="1"/>
  <c r="A209"/>
  <c r="A2166" s="1"/>
  <c r="A208"/>
  <c r="A2165" s="1"/>
  <c r="A207"/>
  <c r="A2164" s="1"/>
  <c r="A206"/>
  <c r="A2163" s="1"/>
  <c r="A205"/>
  <c r="A2162" s="1"/>
  <c r="A204"/>
  <c r="A2161" s="1"/>
  <c r="A203"/>
  <c r="A2160" s="1"/>
  <c r="A202"/>
  <c r="A2159" s="1"/>
  <c r="A201"/>
  <c r="A2158" s="1"/>
  <c r="A200"/>
  <c r="A2157" s="1"/>
  <c r="A199"/>
  <c r="A2156" s="1"/>
  <c r="A198"/>
  <c r="A2155" s="1"/>
  <c r="A197"/>
  <c r="A2154" s="1"/>
  <c r="A196"/>
  <c r="A2153" s="1"/>
  <c r="A195"/>
  <c r="A2152" s="1"/>
  <c r="A194"/>
  <c r="A2151" s="1"/>
  <c r="A193"/>
  <c r="A2150" s="1"/>
  <c r="A192"/>
  <c r="A2149" s="1"/>
  <c r="A191"/>
  <c r="A2148" s="1"/>
  <c r="A190"/>
  <c r="A2147" s="1"/>
  <c r="A189"/>
  <c r="A2146" s="1"/>
  <c r="A188"/>
  <c r="A2145" s="1"/>
  <c r="A187"/>
  <c r="A2144" s="1"/>
  <c r="A186"/>
  <c r="A2143" s="1"/>
  <c r="A185"/>
  <c r="A2142" s="1"/>
  <c r="A184"/>
  <c r="A2141" s="1"/>
  <c r="A183"/>
  <c r="A2140" s="1"/>
  <c r="A182"/>
  <c r="A2139" s="1"/>
  <c r="A181"/>
  <c r="A2138" s="1"/>
  <c r="A180"/>
  <c r="A2137" s="1"/>
  <c r="A179"/>
  <c r="A2136" s="1"/>
  <c r="A178"/>
  <c r="A2135" s="1"/>
  <c r="A177"/>
  <c r="A2134" s="1"/>
  <c r="A176"/>
  <c r="A2133" s="1"/>
  <c r="A175"/>
  <c r="A2132" s="1"/>
  <c r="A174"/>
  <c r="A2131" s="1"/>
  <c r="A173"/>
  <c r="A2130" s="1"/>
  <c r="A172"/>
  <c r="A2129" s="1"/>
  <c r="A171"/>
  <c r="A2128" s="1"/>
  <c r="A170"/>
  <c r="A2127" s="1"/>
  <c r="A169"/>
  <c r="A2126" s="1"/>
  <c r="A168"/>
  <c r="A2125" s="1"/>
  <c r="A167"/>
  <c r="A2124" s="1"/>
  <c r="A166"/>
  <c r="A2123" s="1"/>
  <c r="A165"/>
  <c r="A2122" s="1"/>
  <c r="A164"/>
  <c r="A2121" s="1"/>
  <c r="A163"/>
  <c r="A2120" s="1"/>
  <c r="A162"/>
  <c r="A2119" s="1"/>
  <c r="A161"/>
  <c r="A2118" s="1"/>
  <c r="A160"/>
  <c r="A2117" s="1"/>
  <c r="A159"/>
  <c r="A2116" s="1"/>
  <c r="A158"/>
  <c r="A2115" s="1"/>
  <c r="A157"/>
  <c r="A2114" s="1"/>
  <c r="A156"/>
  <c r="A2113" s="1"/>
  <c r="A155"/>
  <c r="A2112" s="1"/>
  <c r="A154"/>
  <c r="A2111" s="1"/>
  <c r="A153"/>
  <c r="A2110" s="1"/>
  <c r="A152"/>
  <c r="A2109" s="1"/>
  <c r="A151"/>
  <c r="A2108" s="1"/>
  <c r="A150"/>
  <c r="A2107" s="1"/>
  <c r="A149"/>
  <c r="A2106" s="1"/>
  <c r="A148"/>
  <c r="A2105" s="1"/>
  <c r="A147"/>
  <c r="A2104" s="1"/>
  <c r="A146"/>
  <c r="A2103" s="1"/>
  <c r="A145"/>
  <c r="A2102" s="1"/>
  <c r="A144"/>
  <c r="A2101" s="1"/>
  <c r="A143"/>
  <c r="A2100" s="1"/>
  <c r="A142"/>
  <c r="A2099" s="1"/>
  <c r="A141"/>
  <c r="A2098" s="1"/>
  <c r="A140"/>
  <c r="A2097" s="1"/>
  <c r="A139"/>
  <c r="A2096" s="1"/>
  <c r="A138"/>
  <c r="A2095" s="1"/>
  <c r="A137"/>
  <c r="A2094" s="1"/>
  <c r="A136"/>
  <c r="A2093" s="1"/>
  <c r="A135"/>
  <c r="A2092" s="1"/>
  <c r="A134"/>
  <c r="A2091" s="1"/>
  <c r="A133"/>
  <c r="A2090" s="1"/>
  <c r="A132"/>
  <c r="A2089" s="1"/>
  <c r="A131"/>
  <c r="A2088" s="1"/>
  <c r="A130"/>
  <c r="A2087" s="1"/>
  <c r="A129"/>
  <c r="A2086" s="1"/>
  <c r="A128"/>
  <c r="A2085" s="1"/>
  <c r="A127"/>
  <c r="A2084" s="1"/>
  <c r="A126"/>
  <c r="A2083" s="1"/>
  <c r="A125"/>
  <c r="A2082" s="1"/>
  <c r="A124"/>
  <c r="A2081" s="1"/>
  <c r="A123"/>
  <c r="A2080" s="1"/>
  <c r="A122"/>
  <c r="A2079" s="1"/>
  <c r="A121"/>
  <c r="A2078" s="1"/>
  <c r="A120"/>
  <c r="A2077" s="1"/>
  <c r="A119"/>
  <c r="A2076" s="1"/>
  <c r="A118"/>
  <c r="A2075" s="1"/>
  <c r="A117"/>
  <c r="A2074" s="1"/>
  <c r="A116"/>
  <c r="A2073" s="1"/>
  <c r="A115"/>
  <c r="A2072" s="1"/>
  <c r="A114"/>
  <c r="A2071" s="1"/>
  <c r="A113"/>
  <c r="A2070" s="1"/>
  <c r="A112"/>
  <c r="A2069" s="1"/>
  <c r="A111"/>
  <c r="A2068" s="1"/>
  <c r="A110"/>
  <c r="A2067" s="1"/>
  <c r="A109"/>
  <c r="A2066" s="1"/>
  <c r="A108"/>
  <c r="A2065" s="1"/>
  <c r="A107"/>
  <c r="A2064" s="1"/>
  <c r="A106"/>
  <c r="A2063" s="1"/>
  <c r="A105"/>
  <c r="A2062" s="1"/>
  <c r="A104"/>
  <c r="A2061" s="1"/>
  <c r="A103"/>
  <c r="A2060" s="1"/>
  <c r="A102"/>
  <c r="A2059" s="1"/>
  <c r="A101"/>
  <c r="A2058" s="1"/>
  <c r="A100"/>
  <c r="A2057" s="1"/>
  <c r="A99"/>
  <c r="A2056" s="1"/>
  <c r="A98"/>
  <c r="A2055" s="1"/>
  <c r="A97"/>
  <c r="A2054" s="1"/>
  <c r="A96"/>
  <c r="A2053" s="1"/>
  <c r="A95"/>
  <c r="A2052" s="1"/>
  <c r="A94"/>
  <c r="A2051" s="1"/>
  <c r="A93"/>
  <c r="A2050" s="1"/>
  <c r="A92"/>
  <c r="A2049" s="1"/>
  <c r="A91"/>
  <c r="A2048" s="1"/>
  <c r="A90"/>
  <c r="A2047" s="1"/>
  <c r="A89"/>
  <c r="A2046" s="1"/>
  <c r="A88"/>
  <c r="A2045" s="1"/>
  <c r="A87"/>
  <c r="A2044" s="1"/>
  <c r="A86"/>
  <c r="A2043" s="1"/>
  <c r="A85"/>
  <c r="A2042" s="1"/>
  <c r="A84"/>
  <c r="A2041" s="1"/>
  <c r="A83"/>
  <c r="A2040" s="1"/>
  <c r="A82"/>
  <c r="A2039" s="1"/>
  <c r="A81"/>
  <c r="A2038" s="1"/>
  <c r="A80"/>
  <c r="A2037" s="1"/>
  <c r="A79"/>
  <c r="A2036" s="1"/>
  <c r="A78"/>
  <c r="A2035" s="1"/>
  <c r="A77"/>
  <c r="A2034" s="1"/>
  <c r="A76"/>
  <c r="A2033" s="1"/>
  <c r="A75"/>
  <c r="A2032" s="1"/>
  <c r="A74"/>
  <c r="A2031" s="1"/>
  <c r="A73"/>
  <c r="A2030" s="1"/>
  <c r="A72"/>
  <c r="A2029" s="1"/>
  <c r="A71"/>
  <c r="A2028" s="1"/>
  <c r="A70"/>
  <c r="A2027" s="1"/>
  <c r="A69"/>
  <c r="A2026" s="1"/>
  <c r="A68"/>
  <c r="A2025" s="1"/>
  <c r="A67"/>
  <c r="A2024" s="1"/>
  <c r="A66"/>
  <c r="A2023" s="1"/>
  <c r="A65"/>
  <c r="A2022" s="1"/>
  <c r="A64"/>
  <c r="A2021" s="1"/>
  <c r="A63"/>
  <c r="A2020" s="1"/>
  <c r="A62"/>
  <c r="A2019" s="1"/>
  <c r="A61"/>
  <c r="A2018" s="1"/>
  <c r="A60"/>
  <c r="A2017" s="1"/>
  <c r="A59"/>
  <c r="A2016" s="1"/>
  <c r="A58"/>
  <c r="A2015" s="1"/>
  <c r="A57"/>
  <c r="A2014" s="1"/>
  <c r="A56"/>
  <c r="A2013" s="1"/>
  <c r="A55"/>
  <c r="A2012" s="1"/>
  <c r="A54"/>
  <c r="A2011" s="1"/>
  <c r="A53"/>
  <c r="A2010" s="1"/>
  <c r="A52"/>
  <c r="A2009" s="1"/>
  <c r="A51"/>
  <c r="A2008" s="1"/>
  <c r="A50"/>
  <c r="A2007" s="1"/>
  <c r="A49"/>
  <c r="A2006" s="1"/>
  <c r="A48"/>
  <c r="A2005" s="1"/>
  <c r="A47"/>
  <c r="A2004" s="1"/>
  <c r="A46"/>
  <c r="A2003" s="1"/>
  <c r="B45"/>
  <c r="A3001" s="1"/>
  <c r="A45"/>
  <c r="A2002" s="1"/>
  <c r="KN5"/>
  <c r="UV5" s="1"/>
  <c r="WK5" s="1"/>
  <c r="KN6"/>
  <c r="UV6" s="1"/>
  <c r="WK6" s="1"/>
  <c r="KN7"/>
  <c r="UV7" s="1"/>
  <c r="WK7" s="1"/>
  <c r="KN8"/>
  <c r="UV8" s="1"/>
  <c r="WK8" s="1"/>
  <c r="KN9"/>
  <c r="UV9" s="1"/>
  <c r="WK9" s="1"/>
  <c r="KN10"/>
  <c r="UV10" s="1"/>
  <c r="WK10" s="1"/>
  <c r="KN11"/>
  <c r="UV11" s="1"/>
  <c r="WK11" s="1"/>
  <c r="KN12"/>
  <c r="UV12" s="1"/>
  <c r="WK12" s="1"/>
  <c r="KN13"/>
  <c r="UV13" s="1"/>
  <c r="WK13" s="1"/>
  <c r="KN14"/>
  <c r="UV14" s="1"/>
  <c r="WK14" s="1"/>
  <c r="KN15"/>
  <c r="UV15" s="1"/>
  <c r="WK15" s="1"/>
  <c r="KN16"/>
  <c r="UV16" s="1"/>
  <c r="WK16" s="1"/>
  <c r="KN17"/>
  <c r="UV17" s="1"/>
  <c r="WK17" s="1"/>
  <c r="KN18"/>
  <c r="UV18" s="1"/>
  <c r="WK18" s="1"/>
  <c r="KN19"/>
  <c r="UV19" s="1"/>
  <c r="WK19" s="1"/>
  <c r="KN20"/>
  <c r="UV20" s="1"/>
  <c r="WK20" s="1"/>
  <c r="KN21"/>
  <c r="UV21" s="1"/>
  <c r="WK21" s="1"/>
  <c r="KN22"/>
  <c r="UV22" s="1"/>
  <c r="WK22" s="1"/>
  <c r="KN23"/>
  <c r="UV23" s="1"/>
  <c r="WK23" s="1"/>
  <c r="KN24"/>
  <c r="UV24" s="1"/>
  <c r="WK24" s="1"/>
  <c r="KN25"/>
  <c r="UQ25" s="1"/>
  <c r="KN26"/>
  <c r="UV26" s="1"/>
  <c r="WK26" s="1"/>
  <c r="KN27"/>
  <c r="UJ27" s="1"/>
  <c r="KN28"/>
  <c r="UV28" s="1"/>
  <c r="WK28" s="1"/>
  <c r="KN29"/>
  <c r="UQ29" s="1"/>
  <c r="KN30"/>
  <c r="UV30" s="1"/>
  <c r="WK30" s="1"/>
  <c r="KN31"/>
  <c r="UJ31" s="1"/>
  <c r="KN32"/>
  <c r="UV32" s="1"/>
  <c r="WK32" s="1"/>
  <c r="KN33"/>
  <c r="UQ33" s="1"/>
  <c r="KN4"/>
  <c r="UV4" s="1"/>
  <c r="WK4" s="1"/>
  <c r="TA31"/>
  <c r="RK27"/>
  <c r="PN33"/>
  <c r="NX29"/>
  <c r="MH25"/>
  <c r="AY1" i="7"/>
  <c r="AX1"/>
  <c r="C1" i="5"/>
  <c r="AB4" s="1"/>
  <c r="F24" i="4" s="1"/>
  <c r="F18" i="5"/>
  <c r="C18"/>
  <c r="A38" i="7"/>
  <c r="A36"/>
  <c r="A34"/>
  <c r="A32"/>
  <c r="A30"/>
  <c r="A28"/>
  <c r="A26"/>
  <c r="A24"/>
  <c r="A18"/>
  <c r="A16"/>
  <c r="A14"/>
  <c r="A12"/>
  <c r="A10"/>
  <c r="A8"/>
  <c r="A6"/>
  <c r="A4"/>
  <c r="UY3" i="2"/>
  <c r="KV2"/>
  <c r="LC2" s="1"/>
  <c r="LJ2" s="1"/>
  <c r="LQ2" s="1"/>
  <c r="LX2" s="1"/>
  <c r="ME2" s="1"/>
  <c r="ML2" s="1"/>
  <c r="MS2" s="1"/>
  <c r="MZ2" s="1"/>
  <c r="NG2" s="1"/>
  <c r="NN2" s="1"/>
  <c r="NU2" s="1"/>
  <c r="OB2" s="1"/>
  <c r="OI2" s="1"/>
  <c r="OP2" s="1"/>
  <c r="OW2" s="1"/>
  <c r="LB3"/>
  <c r="LI3" s="1"/>
  <c r="LP3" s="1"/>
  <c r="LW3" s="1"/>
  <c r="MD3" s="1"/>
  <c r="MK3" s="1"/>
  <c r="MR3" s="1"/>
  <c r="MY3" s="1"/>
  <c r="NF3" s="1"/>
  <c r="NM3" s="1"/>
  <c r="NT3" s="1"/>
  <c r="OA3" s="1"/>
  <c r="OH3" s="1"/>
  <c r="OO3" s="1"/>
  <c r="OV3" s="1"/>
  <c r="PC3" s="1"/>
  <c r="PJ3" s="1"/>
  <c r="PQ3" s="1"/>
  <c r="PX3" s="1"/>
  <c r="QE3" s="1"/>
  <c r="QL3" s="1"/>
  <c r="QS3" s="1"/>
  <c r="QZ3" s="1"/>
  <c r="RG3" s="1"/>
  <c r="RN3" s="1"/>
  <c r="RU3" s="1"/>
  <c r="SB3" s="1"/>
  <c r="SI3" s="1"/>
  <c r="SP3" s="1"/>
  <c r="SW3" s="1"/>
  <c r="TD3" s="1"/>
  <c r="TK3" s="1"/>
  <c r="TR3" s="1"/>
  <c r="TY3" s="1"/>
  <c r="UF3" s="1"/>
  <c r="UM3" s="1"/>
  <c r="UT3" s="1"/>
  <c r="Q2999"/>
  <c r="P2999"/>
  <c r="Q2998"/>
  <c r="P2998"/>
  <c r="Q2997"/>
  <c r="P2997"/>
  <c r="Q2996"/>
  <c r="P2996"/>
  <c r="Q2995"/>
  <c r="P2995"/>
  <c r="Q2994"/>
  <c r="P2994"/>
  <c r="Q2993"/>
  <c r="P2993"/>
  <c r="Q2992"/>
  <c r="P2992"/>
  <c r="Q2991"/>
  <c r="P2991"/>
  <c r="Q2990"/>
  <c r="P2990"/>
  <c r="Q2989"/>
  <c r="P2989"/>
  <c r="Q2988"/>
  <c r="P2988"/>
  <c r="Q2987"/>
  <c r="P2987"/>
  <c r="Q2986"/>
  <c r="P2986"/>
  <c r="Q2985"/>
  <c r="P2985"/>
  <c r="Q2984"/>
  <c r="P2984"/>
  <c r="Q2983"/>
  <c r="P2983"/>
  <c r="Q2982"/>
  <c r="P2982"/>
  <c r="Q2981"/>
  <c r="P2981"/>
  <c r="Q2980"/>
  <c r="P2980"/>
  <c r="Q2979"/>
  <c r="P2979"/>
  <c r="Q2978"/>
  <c r="P2978"/>
  <c r="Q2977"/>
  <c r="P2977"/>
  <c r="Q2976"/>
  <c r="P2976"/>
  <c r="Q2975"/>
  <c r="P2975"/>
  <c r="Q2974"/>
  <c r="P2974"/>
  <c r="Q2973"/>
  <c r="P2973"/>
  <c r="Q2972"/>
  <c r="P2972"/>
  <c r="Q2971"/>
  <c r="P2971"/>
  <c r="Q2970"/>
  <c r="P2970"/>
  <c r="Q2969"/>
  <c r="P2969"/>
  <c r="Q2968"/>
  <c r="P2968"/>
  <c r="Q2967"/>
  <c r="P2967"/>
  <c r="Q2966"/>
  <c r="P2966"/>
  <c r="Q2965"/>
  <c r="P2965"/>
  <c r="Q2964"/>
  <c r="P2964"/>
  <c r="Q2963"/>
  <c r="P2963"/>
  <c r="Q2962"/>
  <c r="P2962"/>
  <c r="Q2961"/>
  <c r="P2961"/>
  <c r="Q2960"/>
  <c r="P2960"/>
  <c r="Q2959"/>
  <c r="P2959"/>
  <c r="Q2958"/>
  <c r="P2958"/>
  <c r="Q2957"/>
  <c r="P2957"/>
  <c r="Q2956"/>
  <c r="P2956"/>
  <c r="Q2955"/>
  <c r="P2955"/>
  <c r="Q2954"/>
  <c r="P2954"/>
  <c r="Q2953"/>
  <c r="P2953"/>
  <c r="Q2952"/>
  <c r="P2952"/>
  <c r="Q2951"/>
  <c r="P2951"/>
  <c r="Q2950"/>
  <c r="P2950"/>
  <c r="Q2949"/>
  <c r="P2949"/>
  <c r="Q2948"/>
  <c r="P2948"/>
  <c r="Q2947"/>
  <c r="P2947"/>
  <c r="Q2946"/>
  <c r="P2946"/>
  <c r="Q2945"/>
  <c r="P2945"/>
  <c r="Q2944"/>
  <c r="P2944"/>
  <c r="Q2943"/>
  <c r="P2943"/>
  <c r="Q2942"/>
  <c r="P2942"/>
  <c r="Q2941"/>
  <c r="P2941"/>
  <c r="Q2940"/>
  <c r="P2940"/>
  <c r="Q2939"/>
  <c r="P2939"/>
  <c r="Q2938"/>
  <c r="P2938"/>
  <c r="Q2937"/>
  <c r="P2937"/>
  <c r="Q2936"/>
  <c r="P2936"/>
  <c r="Q2935"/>
  <c r="P2935"/>
  <c r="Q2934"/>
  <c r="P2934"/>
  <c r="Q2933"/>
  <c r="P2933"/>
  <c r="Q2932"/>
  <c r="P2932"/>
  <c r="Q2931"/>
  <c r="P2931"/>
  <c r="Q2930"/>
  <c r="P2930"/>
  <c r="Q2929"/>
  <c r="P2929"/>
  <c r="Q2928"/>
  <c r="P2928"/>
  <c r="Q2927"/>
  <c r="P2927"/>
  <c r="Q2926"/>
  <c r="P2926"/>
  <c r="Q2925"/>
  <c r="P2925"/>
  <c r="Q2924"/>
  <c r="P2924"/>
  <c r="Q2923"/>
  <c r="P2923"/>
  <c r="Q2922"/>
  <c r="P2922"/>
  <c r="Q2921"/>
  <c r="P2921"/>
  <c r="Q2920"/>
  <c r="P2920"/>
  <c r="Q2919"/>
  <c r="P2919"/>
  <c r="Q2918"/>
  <c r="P2918"/>
  <c r="Q2917"/>
  <c r="P2917"/>
  <c r="Q2916"/>
  <c r="P2916"/>
  <c r="Q2915"/>
  <c r="P2915"/>
  <c r="Q2914"/>
  <c r="P2914"/>
  <c r="Q2913"/>
  <c r="P2913"/>
  <c r="Q2912"/>
  <c r="P2912"/>
  <c r="Q2911"/>
  <c r="P2911"/>
  <c r="Q2910"/>
  <c r="P2910"/>
  <c r="Q2909"/>
  <c r="P2909"/>
  <c r="Q2908"/>
  <c r="P2908"/>
  <c r="Q2907"/>
  <c r="P2907"/>
  <c r="Q2906"/>
  <c r="P2906"/>
  <c r="Q2905"/>
  <c r="P2905"/>
  <c r="Q2904"/>
  <c r="P2904"/>
  <c r="Q2903"/>
  <c r="P2903"/>
  <c r="Q2902"/>
  <c r="P2902"/>
  <c r="Q2901"/>
  <c r="P2901"/>
  <c r="Q2900"/>
  <c r="P2900"/>
  <c r="Q2899"/>
  <c r="P2899"/>
  <c r="Q2898"/>
  <c r="P2898"/>
  <c r="Q2897"/>
  <c r="P2897"/>
  <c r="Q2896"/>
  <c r="P2896"/>
  <c r="Q2895"/>
  <c r="P2895"/>
  <c r="Q2894"/>
  <c r="P2894"/>
  <c r="Q2893"/>
  <c r="P2893"/>
  <c r="Q2892"/>
  <c r="P2892"/>
  <c r="Q2891"/>
  <c r="P2891"/>
  <c r="Q2890"/>
  <c r="P2890"/>
  <c r="Q2889"/>
  <c r="P2889"/>
  <c r="Q2888"/>
  <c r="P2888"/>
  <c r="Q2887"/>
  <c r="P2887"/>
  <c r="Q2886"/>
  <c r="P2886"/>
  <c r="Q2885"/>
  <c r="P2885"/>
  <c r="Q2884"/>
  <c r="P2884"/>
  <c r="Q2883"/>
  <c r="P2883"/>
  <c r="Q2882"/>
  <c r="P2882"/>
  <c r="Q2881"/>
  <c r="P2881"/>
  <c r="Q2880"/>
  <c r="P2880"/>
  <c r="Q2879"/>
  <c r="P2879"/>
  <c r="Q2878"/>
  <c r="P2878"/>
  <c r="Q2877"/>
  <c r="P2877"/>
  <c r="Q2876"/>
  <c r="P2876"/>
  <c r="Q2875"/>
  <c r="P2875"/>
  <c r="Q2874"/>
  <c r="P2874"/>
  <c r="Q2873"/>
  <c r="P2873"/>
  <c r="Q2872"/>
  <c r="P2872"/>
  <c r="Q2871"/>
  <c r="P2871"/>
  <c r="Q2870"/>
  <c r="P2870"/>
  <c r="Q2869"/>
  <c r="P2869"/>
  <c r="Q2868"/>
  <c r="P2868"/>
  <c r="Q2867"/>
  <c r="P2867"/>
  <c r="Q2866"/>
  <c r="P2866"/>
  <c r="Q2865"/>
  <c r="P2865"/>
  <c r="Q2864"/>
  <c r="P2864"/>
  <c r="Q2863"/>
  <c r="P2863"/>
  <c r="Q2862"/>
  <c r="P2862"/>
  <c r="Q2861"/>
  <c r="P2861"/>
  <c r="Q2860"/>
  <c r="P2860"/>
  <c r="Q2859"/>
  <c r="P2859"/>
  <c r="Q2858"/>
  <c r="P2858"/>
  <c r="Q2857"/>
  <c r="P2857"/>
  <c r="Q2856"/>
  <c r="P2856"/>
  <c r="Q2855"/>
  <c r="P2855"/>
  <c r="Q2854"/>
  <c r="P2854"/>
  <c r="Q2853"/>
  <c r="P2853"/>
  <c r="Q2852"/>
  <c r="P2852"/>
  <c r="Q2851"/>
  <c r="P2851"/>
  <c r="Q2850"/>
  <c r="P2850"/>
  <c r="Q2849"/>
  <c r="P2849"/>
  <c r="Q2848"/>
  <c r="P2848"/>
  <c r="Q2847"/>
  <c r="P2847"/>
  <c r="Q2846"/>
  <c r="P2846"/>
  <c r="Q2845"/>
  <c r="P2845"/>
  <c r="Q2844"/>
  <c r="P2844"/>
  <c r="Q2843"/>
  <c r="P2843"/>
  <c r="Q2842"/>
  <c r="P2842"/>
  <c r="Q2841"/>
  <c r="P2841"/>
  <c r="Q2840"/>
  <c r="P2840"/>
  <c r="Q2839"/>
  <c r="P2839"/>
  <c r="Q2838"/>
  <c r="P2838"/>
  <c r="Q2837"/>
  <c r="P2837"/>
  <c r="Q2836"/>
  <c r="P2836"/>
  <c r="Q2835"/>
  <c r="P2835"/>
  <c r="Q2834"/>
  <c r="P2834"/>
  <c r="Q2833"/>
  <c r="P2833"/>
  <c r="Q2832"/>
  <c r="P2832"/>
  <c r="Q2831"/>
  <c r="P2831"/>
  <c r="Q2830"/>
  <c r="P2830"/>
  <c r="Q2829"/>
  <c r="P2829"/>
  <c r="Q2828"/>
  <c r="P2828"/>
  <c r="Q2827"/>
  <c r="P2827"/>
  <c r="Q2826"/>
  <c r="P2826"/>
  <c r="Q2825"/>
  <c r="P2825"/>
  <c r="Q2824"/>
  <c r="P2824"/>
  <c r="Q2823"/>
  <c r="P2823"/>
  <c r="Q2822"/>
  <c r="P2822"/>
  <c r="Q2821"/>
  <c r="P2821"/>
  <c r="Q2820"/>
  <c r="P2820"/>
  <c r="Q2819"/>
  <c r="P2819"/>
  <c r="Q2818"/>
  <c r="P2818"/>
  <c r="Q2817"/>
  <c r="P2817"/>
  <c r="Q2816"/>
  <c r="P2816"/>
  <c r="Q2815"/>
  <c r="P2815"/>
  <c r="Q2814"/>
  <c r="P2814"/>
  <c r="Q2813"/>
  <c r="P2813"/>
  <c r="Q2812"/>
  <c r="P2812"/>
  <c r="Q2811"/>
  <c r="P2811"/>
  <c r="Q2810"/>
  <c r="P2810"/>
  <c r="Q2809"/>
  <c r="P2809"/>
  <c r="Q2808"/>
  <c r="P2808"/>
  <c r="Q2807"/>
  <c r="P2807"/>
  <c r="Q2806"/>
  <c r="P2806"/>
  <c r="Q2805"/>
  <c r="P2805"/>
  <c r="Q2804"/>
  <c r="P2804"/>
  <c r="Q2803"/>
  <c r="P2803"/>
  <c r="Q2802"/>
  <c r="P2802"/>
  <c r="Q2801"/>
  <c r="P2801"/>
  <c r="O2999"/>
  <c r="N2999"/>
  <c r="O2998"/>
  <c r="N2998"/>
  <c r="O2997"/>
  <c r="N2997"/>
  <c r="O2996"/>
  <c r="N2996"/>
  <c r="O2995"/>
  <c r="N2995"/>
  <c r="O2994"/>
  <c r="N2994"/>
  <c r="O2993"/>
  <c r="N2993"/>
  <c r="O2992"/>
  <c r="N2992"/>
  <c r="O2991"/>
  <c r="N2991"/>
  <c r="O2990"/>
  <c r="N2990"/>
  <c r="O2989"/>
  <c r="N2989"/>
  <c r="O2988"/>
  <c r="N2988"/>
  <c r="O2987"/>
  <c r="N2987"/>
  <c r="O2986"/>
  <c r="N2986"/>
  <c r="O2985"/>
  <c r="N2985"/>
  <c r="O2984"/>
  <c r="N2984"/>
  <c r="O2983"/>
  <c r="N2983"/>
  <c r="O2982"/>
  <c r="N2982"/>
  <c r="O2981"/>
  <c r="N2981"/>
  <c r="O2980"/>
  <c r="N2980"/>
  <c r="O2979"/>
  <c r="N2979"/>
  <c r="O2978"/>
  <c r="N2978"/>
  <c r="O2977"/>
  <c r="N2977"/>
  <c r="O2976"/>
  <c r="N2976"/>
  <c r="O2975"/>
  <c r="N2975"/>
  <c r="O2974"/>
  <c r="N2974"/>
  <c r="O2973"/>
  <c r="N2973"/>
  <c r="O2972"/>
  <c r="N2972"/>
  <c r="O2971"/>
  <c r="N2971"/>
  <c r="O2970"/>
  <c r="N2970"/>
  <c r="O2969"/>
  <c r="N2969"/>
  <c r="O2968"/>
  <c r="N2968"/>
  <c r="O2967"/>
  <c r="N2967"/>
  <c r="O2966"/>
  <c r="N2966"/>
  <c r="O2965"/>
  <c r="N2965"/>
  <c r="O2964"/>
  <c r="N2964"/>
  <c r="O2963"/>
  <c r="N2963"/>
  <c r="O2962"/>
  <c r="N2962"/>
  <c r="O2961"/>
  <c r="N2961"/>
  <c r="O2960"/>
  <c r="N2960"/>
  <c r="O2959"/>
  <c r="N2959"/>
  <c r="O2958"/>
  <c r="N2958"/>
  <c r="O2957"/>
  <c r="N2957"/>
  <c r="O2956"/>
  <c r="N2956"/>
  <c r="O2955"/>
  <c r="N2955"/>
  <c r="O2954"/>
  <c r="N2954"/>
  <c r="O2953"/>
  <c r="N2953"/>
  <c r="O2952"/>
  <c r="N2952"/>
  <c r="O2951"/>
  <c r="N2951"/>
  <c r="O2950"/>
  <c r="N2950"/>
  <c r="O2949"/>
  <c r="N2949"/>
  <c r="O2948"/>
  <c r="N2948"/>
  <c r="O2947"/>
  <c r="N2947"/>
  <c r="O2946"/>
  <c r="N2946"/>
  <c r="O2945"/>
  <c r="N2945"/>
  <c r="O2944"/>
  <c r="N2944"/>
  <c r="O2943"/>
  <c r="N2943"/>
  <c r="O2942"/>
  <c r="N2942"/>
  <c r="O2941"/>
  <c r="N2941"/>
  <c r="O2940"/>
  <c r="N2940"/>
  <c r="O2939"/>
  <c r="N2939"/>
  <c r="O2938"/>
  <c r="N2938"/>
  <c r="O2937"/>
  <c r="N2937"/>
  <c r="O2936"/>
  <c r="N2936"/>
  <c r="O2935"/>
  <c r="N2935"/>
  <c r="O2934"/>
  <c r="N2934"/>
  <c r="O2933"/>
  <c r="N2933"/>
  <c r="O2932"/>
  <c r="N2932"/>
  <c r="O2931"/>
  <c r="N2931"/>
  <c r="O2930"/>
  <c r="N2930"/>
  <c r="O2929"/>
  <c r="N2929"/>
  <c r="O2928"/>
  <c r="N2928"/>
  <c r="O2927"/>
  <c r="N2927"/>
  <c r="O2926"/>
  <c r="N2926"/>
  <c r="O2925"/>
  <c r="N2925"/>
  <c r="O2924"/>
  <c r="N2924"/>
  <c r="O2923"/>
  <c r="N2923"/>
  <c r="O2922"/>
  <c r="N2922"/>
  <c r="O2921"/>
  <c r="N2921"/>
  <c r="O2920"/>
  <c r="N2920"/>
  <c r="O2919"/>
  <c r="N2919"/>
  <c r="O2918"/>
  <c r="N2918"/>
  <c r="O2917"/>
  <c r="N2917"/>
  <c r="O2916"/>
  <c r="N2916"/>
  <c r="O2915"/>
  <c r="N2915"/>
  <c r="O2914"/>
  <c r="N2914"/>
  <c r="O2913"/>
  <c r="N2913"/>
  <c r="O2912"/>
  <c r="N2912"/>
  <c r="O2911"/>
  <c r="N2911"/>
  <c r="O2910"/>
  <c r="N2910"/>
  <c r="O2909"/>
  <c r="N2909"/>
  <c r="O2908"/>
  <c r="N2908"/>
  <c r="O2907"/>
  <c r="N2907"/>
  <c r="O2906"/>
  <c r="N2906"/>
  <c r="O2905"/>
  <c r="N2905"/>
  <c r="O2904"/>
  <c r="N2904"/>
  <c r="O2903"/>
  <c r="N2903"/>
  <c r="O2902"/>
  <c r="N2902"/>
  <c r="O2901"/>
  <c r="N2901"/>
  <c r="O2900"/>
  <c r="N2900"/>
  <c r="O2899"/>
  <c r="N2899"/>
  <c r="O2898"/>
  <c r="N2898"/>
  <c r="O2897"/>
  <c r="N2897"/>
  <c r="O2896"/>
  <c r="N2896"/>
  <c r="O2895"/>
  <c r="N2895"/>
  <c r="O2894"/>
  <c r="N2894"/>
  <c r="O2893"/>
  <c r="N2893"/>
  <c r="O2892"/>
  <c r="N2892"/>
  <c r="O2891"/>
  <c r="N2891"/>
  <c r="O2890"/>
  <c r="N2890"/>
  <c r="O2889"/>
  <c r="N2889"/>
  <c r="O2888"/>
  <c r="N2888"/>
  <c r="O2887"/>
  <c r="N2887"/>
  <c r="O2886"/>
  <c r="N2886"/>
  <c r="O2885"/>
  <c r="N2885"/>
  <c r="O2884"/>
  <c r="N2884"/>
  <c r="O2883"/>
  <c r="N2883"/>
  <c r="O2882"/>
  <c r="N2882"/>
  <c r="O2881"/>
  <c r="N2881"/>
  <c r="O2880"/>
  <c r="N2880"/>
  <c r="O2879"/>
  <c r="N2879"/>
  <c r="O2878"/>
  <c r="N2878"/>
  <c r="O2877"/>
  <c r="N2877"/>
  <c r="O2876"/>
  <c r="N2876"/>
  <c r="O2875"/>
  <c r="N2875"/>
  <c r="O2874"/>
  <c r="N2874"/>
  <c r="O2873"/>
  <c r="N2873"/>
  <c r="O2872"/>
  <c r="N2872"/>
  <c r="O2871"/>
  <c r="N2871"/>
  <c r="O2870"/>
  <c r="N2870"/>
  <c r="O2869"/>
  <c r="N2869"/>
  <c r="O2868"/>
  <c r="N2868"/>
  <c r="O2867"/>
  <c r="N2867"/>
  <c r="O2866"/>
  <c r="N2866"/>
  <c r="O2865"/>
  <c r="N2865"/>
  <c r="O2864"/>
  <c r="N2864"/>
  <c r="O2863"/>
  <c r="N2863"/>
  <c r="O2862"/>
  <c r="N2862"/>
  <c r="O2861"/>
  <c r="N2861"/>
  <c r="O2860"/>
  <c r="N2860"/>
  <c r="O2859"/>
  <c r="N2859"/>
  <c r="O2858"/>
  <c r="N2858"/>
  <c r="O2857"/>
  <c r="N2857"/>
  <c r="O2856"/>
  <c r="N2856"/>
  <c r="O2855"/>
  <c r="N2855"/>
  <c r="O2854"/>
  <c r="N2854"/>
  <c r="O2853"/>
  <c r="N2853"/>
  <c r="O2852"/>
  <c r="N2852"/>
  <c r="O2851"/>
  <c r="N2851"/>
  <c r="O2850"/>
  <c r="N2850"/>
  <c r="O2849"/>
  <c r="N2849"/>
  <c r="O2848"/>
  <c r="N2848"/>
  <c r="O2847"/>
  <c r="N2847"/>
  <c r="O2846"/>
  <c r="N2846"/>
  <c r="O2845"/>
  <c r="N2845"/>
  <c r="O2844"/>
  <c r="N2844"/>
  <c r="O2843"/>
  <c r="N2843"/>
  <c r="O2842"/>
  <c r="N2842"/>
  <c r="O2841"/>
  <c r="N2841"/>
  <c r="O2840"/>
  <c r="N2840"/>
  <c r="O2839"/>
  <c r="N2839"/>
  <c r="O2838"/>
  <c r="N2838"/>
  <c r="O2837"/>
  <c r="N2837"/>
  <c r="O2836"/>
  <c r="N2836"/>
  <c r="O2835"/>
  <c r="N2835"/>
  <c r="O2834"/>
  <c r="N2834"/>
  <c r="O2833"/>
  <c r="N2833"/>
  <c r="O2832"/>
  <c r="N2832"/>
  <c r="O2831"/>
  <c r="N2831"/>
  <c r="O2830"/>
  <c r="N2830"/>
  <c r="O2829"/>
  <c r="N2829"/>
  <c r="O2828"/>
  <c r="N2828"/>
  <c r="O2827"/>
  <c r="N2827"/>
  <c r="O2826"/>
  <c r="N2826"/>
  <c r="O2825"/>
  <c r="N2825"/>
  <c r="O2824"/>
  <c r="N2824"/>
  <c r="O2823"/>
  <c r="N2823"/>
  <c r="O2822"/>
  <c r="N2822"/>
  <c r="O2821"/>
  <c r="N2821"/>
  <c r="O2820"/>
  <c r="N2820"/>
  <c r="O2819"/>
  <c r="N2819"/>
  <c r="O2818"/>
  <c r="N2818"/>
  <c r="O2817"/>
  <c r="N2817"/>
  <c r="O2816"/>
  <c r="N2816"/>
  <c r="O2815"/>
  <c r="N2815"/>
  <c r="O2814"/>
  <c r="N2814"/>
  <c r="O2813"/>
  <c r="N2813"/>
  <c r="O2812"/>
  <c r="N2812"/>
  <c r="O2811"/>
  <c r="N2811"/>
  <c r="O2810"/>
  <c r="N2810"/>
  <c r="O2809"/>
  <c r="N2809"/>
  <c r="O2808"/>
  <c r="N2808"/>
  <c r="O2807"/>
  <c r="N2807"/>
  <c r="O2806"/>
  <c r="N2806"/>
  <c r="O2805"/>
  <c r="N2805"/>
  <c r="O2804"/>
  <c r="N2804"/>
  <c r="O2803"/>
  <c r="N2803"/>
  <c r="O2802"/>
  <c r="N2802"/>
  <c r="O2801"/>
  <c r="N2801"/>
  <c r="A2001"/>
  <c r="C2011"/>
  <c r="C2022"/>
  <c r="C2033"/>
  <c r="C2044"/>
  <c r="C2055"/>
  <c r="C2066"/>
  <c r="C2077"/>
  <c r="C2088"/>
  <c r="C2099"/>
  <c r="C2110"/>
  <c r="C2121"/>
  <c r="C2132"/>
  <c r="C2143"/>
  <c r="C2154"/>
  <c r="C2165"/>
  <c r="C2220"/>
  <c r="C2231"/>
  <c r="C2242"/>
  <c r="E2242"/>
  <c r="E3241" s="1"/>
  <c r="C2253"/>
  <c r="C2264"/>
  <c r="C2275"/>
  <c r="C2286"/>
  <c r="E2286"/>
  <c r="D2286" s="1"/>
  <c r="O2286" s="1"/>
  <c r="C2297"/>
  <c r="E2297"/>
  <c r="C2308"/>
  <c r="E2308"/>
  <c r="C2319"/>
  <c r="E2319"/>
  <c r="C2330"/>
  <c r="E2330"/>
  <c r="D2330" s="1"/>
  <c r="O2330" s="1"/>
  <c r="C2341"/>
  <c r="E2341"/>
  <c r="C2352"/>
  <c r="E2352"/>
  <c r="C2363"/>
  <c r="E2363"/>
  <c r="C2374"/>
  <c r="E2374"/>
  <c r="D2374" s="1"/>
  <c r="O2374" s="1"/>
  <c r="C2385"/>
  <c r="E2385"/>
  <c r="E3384" s="1"/>
  <c r="L3384" s="1"/>
  <c r="C2396"/>
  <c r="E2396"/>
  <c r="D2396" s="1"/>
  <c r="O2396" s="1"/>
  <c r="C2407"/>
  <c r="E2407"/>
  <c r="C2418"/>
  <c r="N2418" s="1"/>
  <c r="E2418"/>
  <c r="E3417" s="1"/>
  <c r="K3417" s="1"/>
  <c r="C2419"/>
  <c r="N2419" s="1"/>
  <c r="E2419"/>
  <c r="C2420"/>
  <c r="N2420" s="1"/>
  <c r="E2420"/>
  <c r="D2420" s="1"/>
  <c r="O2420" s="1"/>
  <c r="C2421"/>
  <c r="N2421" s="1"/>
  <c r="E2421"/>
  <c r="E3420" s="1"/>
  <c r="C2422"/>
  <c r="N2422" s="1"/>
  <c r="E2422"/>
  <c r="D2422" s="1"/>
  <c r="O2422" s="1"/>
  <c r="C2423"/>
  <c r="N2423" s="1"/>
  <c r="E2423"/>
  <c r="D2423" s="1"/>
  <c r="O2423" s="1"/>
  <c r="C2424"/>
  <c r="N2424" s="1"/>
  <c r="E2424"/>
  <c r="D2424" s="1"/>
  <c r="O2424" s="1"/>
  <c r="C2425"/>
  <c r="N2425" s="1"/>
  <c r="E2425"/>
  <c r="C2426"/>
  <c r="N2426" s="1"/>
  <c r="E2426"/>
  <c r="K2426" s="1"/>
  <c r="C2427"/>
  <c r="N2427" s="1"/>
  <c r="E2427"/>
  <c r="D2427" s="1"/>
  <c r="O2427" s="1"/>
  <c r="C2428"/>
  <c r="N2428" s="1"/>
  <c r="E2428"/>
  <c r="C2429"/>
  <c r="N2429" s="1"/>
  <c r="E2429"/>
  <c r="C2430"/>
  <c r="N2430" s="1"/>
  <c r="E2430"/>
  <c r="C2431"/>
  <c r="N2431" s="1"/>
  <c r="E2431"/>
  <c r="D2431" s="1"/>
  <c r="O2431" s="1"/>
  <c r="C2432"/>
  <c r="N2432" s="1"/>
  <c r="E2432"/>
  <c r="C2433"/>
  <c r="N2433" s="1"/>
  <c r="E2433"/>
  <c r="C2434"/>
  <c r="N2434" s="1"/>
  <c r="E2434"/>
  <c r="C2435"/>
  <c r="N2435" s="1"/>
  <c r="E2435"/>
  <c r="D2435" s="1"/>
  <c r="O2435" s="1"/>
  <c r="C2436"/>
  <c r="N2436" s="1"/>
  <c r="E2436"/>
  <c r="E3435" s="1"/>
  <c r="H3435" s="1"/>
  <c r="C2437"/>
  <c r="N2437" s="1"/>
  <c r="E2437"/>
  <c r="C2438"/>
  <c r="N2438" s="1"/>
  <c r="E2438"/>
  <c r="C2439"/>
  <c r="N2439" s="1"/>
  <c r="E2439"/>
  <c r="C2440"/>
  <c r="N2440" s="1"/>
  <c r="E2440"/>
  <c r="C2441"/>
  <c r="N2441" s="1"/>
  <c r="E2441"/>
  <c r="D2441" s="1"/>
  <c r="O2441" s="1"/>
  <c r="C2442"/>
  <c r="N2442" s="1"/>
  <c r="E2442"/>
  <c r="D2442" s="1"/>
  <c r="O2442" s="1"/>
  <c r="C2443"/>
  <c r="N2443" s="1"/>
  <c r="E2443"/>
  <c r="D2443" s="1"/>
  <c r="O2443" s="1"/>
  <c r="C2444"/>
  <c r="N2444" s="1"/>
  <c r="E2444"/>
  <c r="D2444" s="1"/>
  <c r="O2444" s="1"/>
  <c r="C2445"/>
  <c r="N2445" s="1"/>
  <c r="E2445"/>
  <c r="C2446"/>
  <c r="N2446" s="1"/>
  <c r="E2446"/>
  <c r="E3445" s="1"/>
  <c r="C2447"/>
  <c r="N2447" s="1"/>
  <c r="E2447"/>
  <c r="E3446" s="1"/>
  <c r="L3446" s="1"/>
  <c r="C2448"/>
  <c r="N2448" s="1"/>
  <c r="E2448"/>
  <c r="E3447" s="1"/>
  <c r="C2449"/>
  <c r="N2449" s="1"/>
  <c r="E2449"/>
  <c r="D2449" s="1"/>
  <c r="O2449" s="1"/>
  <c r="C2450"/>
  <c r="N2450" s="1"/>
  <c r="E2450"/>
  <c r="E3449" s="1"/>
  <c r="C2451"/>
  <c r="N2451" s="1"/>
  <c r="E2451"/>
  <c r="E3450" s="1"/>
  <c r="L3450" s="1"/>
  <c r="C2452"/>
  <c r="N2452" s="1"/>
  <c r="E2452"/>
  <c r="E3451" s="1"/>
  <c r="C2453"/>
  <c r="N2453" s="1"/>
  <c r="E2453"/>
  <c r="D2453" s="1"/>
  <c r="O2453" s="1"/>
  <c r="C2454"/>
  <c r="N2454" s="1"/>
  <c r="E2454"/>
  <c r="C2455"/>
  <c r="N2455" s="1"/>
  <c r="E2455"/>
  <c r="D2455" s="1"/>
  <c r="O2455" s="1"/>
  <c r="C2456"/>
  <c r="N2456" s="1"/>
  <c r="E2456"/>
  <c r="K2456" s="1"/>
  <c r="C2457"/>
  <c r="N2457" s="1"/>
  <c r="E2457"/>
  <c r="E3456" s="1"/>
  <c r="C2458"/>
  <c r="N2458" s="1"/>
  <c r="E2458"/>
  <c r="D2458" s="1"/>
  <c r="O2458" s="1"/>
  <c r="C2459"/>
  <c r="N2459" s="1"/>
  <c r="E2459"/>
  <c r="K2459" s="1"/>
  <c r="C2460"/>
  <c r="N2460" s="1"/>
  <c r="E2460"/>
  <c r="C2461"/>
  <c r="N2461" s="1"/>
  <c r="E2461"/>
  <c r="C2462"/>
  <c r="N2462" s="1"/>
  <c r="E2462"/>
  <c r="K2462" s="1"/>
  <c r="C2463"/>
  <c r="N2463" s="1"/>
  <c r="E2463"/>
  <c r="C2464"/>
  <c r="N2464" s="1"/>
  <c r="E2464"/>
  <c r="D2464" s="1"/>
  <c r="O2464" s="1"/>
  <c r="C2465"/>
  <c r="N2465" s="1"/>
  <c r="E2465"/>
  <c r="D2465" s="1"/>
  <c r="O2465" s="1"/>
  <c r="C2466"/>
  <c r="N2466" s="1"/>
  <c r="E2466"/>
  <c r="D2466" s="1"/>
  <c r="O2466" s="1"/>
  <c r="C2467"/>
  <c r="N2467" s="1"/>
  <c r="E2467"/>
  <c r="D2467" s="1"/>
  <c r="O2467" s="1"/>
  <c r="C2468"/>
  <c r="N2468" s="1"/>
  <c r="E2468"/>
  <c r="C2469"/>
  <c r="N2469" s="1"/>
  <c r="E2469"/>
  <c r="C2470"/>
  <c r="N2470" s="1"/>
  <c r="E2470"/>
  <c r="C2471"/>
  <c r="N2471" s="1"/>
  <c r="E2471"/>
  <c r="C2472"/>
  <c r="N2472" s="1"/>
  <c r="E2472"/>
  <c r="C2473"/>
  <c r="N2473" s="1"/>
  <c r="E2473"/>
  <c r="C2474"/>
  <c r="N2474" s="1"/>
  <c r="E2474"/>
  <c r="C2475"/>
  <c r="N2475" s="1"/>
  <c r="E2475"/>
  <c r="I2475" s="1"/>
  <c r="C2476"/>
  <c r="N2476" s="1"/>
  <c r="E2476"/>
  <c r="D2476" s="1"/>
  <c r="O2476" s="1"/>
  <c r="C2477"/>
  <c r="N2477" s="1"/>
  <c r="E2477"/>
  <c r="C2478"/>
  <c r="N2478" s="1"/>
  <c r="E2478"/>
  <c r="C2479"/>
  <c r="N2479" s="1"/>
  <c r="E2479"/>
  <c r="D2479" s="1"/>
  <c r="O2479" s="1"/>
  <c r="C2480"/>
  <c r="N2480" s="1"/>
  <c r="E2480"/>
  <c r="D2480" s="1"/>
  <c r="O2480" s="1"/>
  <c r="C2481"/>
  <c r="N2481" s="1"/>
  <c r="E2481"/>
  <c r="D2481" s="1"/>
  <c r="O2481" s="1"/>
  <c r="C2482"/>
  <c r="N2482" s="1"/>
  <c r="E2482"/>
  <c r="C2483"/>
  <c r="N2483" s="1"/>
  <c r="E2483"/>
  <c r="E3482" s="1"/>
  <c r="K3482" s="1"/>
  <c r="C2484"/>
  <c r="N2484" s="1"/>
  <c r="E2484"/>
  <c r="C2485"/>
  <c r="N2485" s="1"/>
  <c r="E2485"/>
  <c r="D2485" s="1"/>
  <c r="O2485" s="1"/>
  <c r="C2486"/>
  <c r="N2486" s="1"/>
  <c r="E2486"/>
  <c r="E3485" s="1"/>
  <c r="K3485" s="1"/>
  <c r="C2487"/>
  <c r="N2487" s="1"/>
  <c r="E2487"/>
  <c r="E3486" s="1"/>
  <c r="K3486" s="1"/>
  <c r="C2488"/>
  <c r="N2488" s="1"/>
  <c r="E2488"/>
  <c r="D2488" s="1"/>
  <c r="O2488" s="1"/>
  <c r="C2489"/>
  <c r="N2489" s="1"/>
  <c r="E2489"/>
  <c r="C2490"/>
  <c r="N2490" s="1"/>
  <c r="E2490"/>
  <c r="C2491"/>
  <c r="N2491" s="1"/>
  <c r="E2491"/>
  <c r="D2491" s="1"/>
  <c r="O2491" s="1"/>
  <c r="C2492"/>
  <c r="N2492" s="1"/>
  <c r="E2492"/>
  <c r="D2492" s="1"/>
  <c r="O2492" s="1"/>
  <c r="C2493"/>
  <c r="N2493" s="1"/>
  <c r="E2493"/>
  <c r="D2493" s="1"/>
  <c r="O2493" s="1"/>
  <c r="C2494"/>
  <c r="N2494" s="1"/>
  <c r="E2494"/>
  <c r="D2494" s="1"/>
  <c r="O2494" s="1"/>
  <c r="C2495"/>
  <c r="N2495" s="1"/>
  <c r="E2495"/>
  <c r="G2495" s="1"/>
  <c r="C2496"/>
  <c r="N2496" s="1"/>
  <c r="E2496"/>
  <c r="G2496" s="1"/>
  <c r="C2497"/>
  <c r="N2497" s="1"/>
  <c r="E2497"/>
  <c r="D2497" s="1"/>
  <c r="O2497" s="1"/>
  <c r="C2498"/>
  <c r="N2498" s="1"/>
  <c r="E2498"/>
  <c r="C2499"/>
  <c r="N2499" s="1"/>
  <c r="E2499"/>
  <c r="C2500"/>
  <c r="N2500" s="1"/>
  <c r="E2500"/>
  <c r="D2500" s="1"/>
  <c r="O2500" s="1"/>
  <c r="C2501"/>
  <c r="N2501" s="1"/>
  <c r="E2501"/>
  <c r="E3500" s="1"/>
  <c r="L3500" s="1"/>
  <c r="C2502"/>
  <c r="N2502" s="1"/>
  <c r="E2502"/>
  <c r="D2502" s="1"/>
  <c r="O2502" s="1"/>
  <c r="C2503"/>
  <c r="N2503" s="1"/>
  <c r="E2503"/>
  <c r="D2503" s="1"/>
  <c r="O2503" s="1"/>
  <c r="C2504"/>
  <c r="N2504" s="1"/>
  <c r="E2504"/>
  <c r="C2505"/>
  <c r="N2505" s="1"/>
  <c r="E2505"/>
  <c r="C2506"/>
  <c r="N2506" s="1"/>
  <c r="E2506"/>
  <c r="D2506" s="1"/>
  <c r="O2506" s="1"/>
  <c r="C2507"/>
  <c r="N2507" s="1"/>
  <c r="E2507"/>
  <c r="D2507" s="1"/>
  <c r="O2507" s="1"/>
  <c r="C2508"/>
  <c r="N2508" s="1"/>
  <c r="E2508"/>
  <c r="C2509"/>
  <c r="N2509" s="1"/>
  <c r="E2509"/>
  <c r="D2509" s="1"/>
  <c r="O2509" s="1"/>
  <c r="C2510"/>
  <c r="N2510" s="1"/>
  <c r="E2510"/>
  <c r="D2510" s="1"/>
  <c r="O2510" s="1"/>
  <c r="C2511"/>
  <c r="N2511" s="1"/>
  <c r="E2511"/>
  <c r="D2511" s="1"/>
  <c r="O2511" s="1"/>
  <c r="C2512"/>
  <c r="N2512" s="1"/>
  <c r="E2512"/>
  <c r="C2513"/>
  <c r="N2513" s="1"/>
  <c r="E2513"/>
  <c r="C2514"/>
  <c r="N2514" s="1"/>
  <c r="E2514"/>
  <c r="C2515"/>
  <c r="N2515" s="1"/>
  <c r="E2515"/>
  <c r="C2516"/>
  <c r="N2516" s="1"/>
  <c r="E2516"/>
  <c r="K2516" s="1"/>
  <c r="C2517"/>
  <c r="N2517" s="1"/>
  <c r="E2517"/>
  <c r="C2518"/>
  <c r="N2518" s="1"/>
  <c r="E2518"/>
  <c r="D2518" s="1"/>
  <c r="O2518" s="1"/>
  <c r="C2519"/>
  <c r="N2519" s="1"/>
  <c r="E2519"/>
  <c r="D2519" s="1"/>
  <c r="O2519" s="1"/>
  <c r="C2520"/>
  <c r="N2520" s="1"/>
  <c r="E2520"/>
  <c r="D2520" s="1"/>
  <c r="O2520" s="1"/>
  <c r="C2521"/>
  <c r="N2521" s="1"/>
  <c r="E2521"/>
  <c r="D2521" s="1"/>
  <c r="O2521" s="1"/>
  <c r="C2522"/>
  <c r="N2522" s="1"/>
  <c r="E2522"/>
  <c r="C2523"/>
  <c r="N2523" s="1"/>
  <c r="E2523"/>
  <c r="C2524"/>
  <c r="N2524" s="1"/>
  <c r="E2524"/>
  <c r="C2525"/>
  <c r="N2525" s="1"/>
  <c r="E2525"/>
  <c r="C2526"/>
  <c r="N2526" s="1"/>
  <c r="E2526"/>
  <c r="C2527"/>
  <c r="N2527" s="1"/>
  <c r="E2527"/>
  <c r="K2527" s="1"/>
  <c r="C2528"/>
  <c r="N2528" s="1"/>
  <c r="E2528"/>
  <c r="C2529"/>
  <c r="N2529" s="1"/>
  <c r="E2529"/>
  <c r="D2529" s="1"/>
  <c r="O2529" s="1"/>
  <c r="C2530"/>
  <c r="N2530" s="1"/>
  <c r="E2530"/>
  <c r="D2530" s="1"/>
  <c r="O2530" s="1"/>
  <c r="C2531"/>
  <c r="N2531" s="1"/>
  <c r="E2531"/>
  <c r="D2531" s="1"/>
  <c r="O2531" s="1"/>
  <c r="C2532"/>
  <c r="N2532" s="1"/>
  <c r="E2532"/>
  <c r="C2533"/>
  <c r="N2533" s="1"/>
  <c r="E2533"/>
  <c r="C2534"/>
  <c r="N2534" s="1"/>
  <c r="E2534"/>
  <c r="C2535"/>
  <c r="N2535" s="1"/>
  <c r="E2535"/>
  <c r="D2535" s="1"/>
  <c r="O2535" s="1"/>
  <c r="C2536"/>
  <c r="N2536" s="1"/>
  <c r="E2536"/>
  <c r="E3535" s="1"/>
  <c r="K3535" s="1"/>
  <c r="C2537"/>
  <c r="N2537" s="1"/>
  <c r="E2537"/>
  <c r="D2537" s="1"/>
  <c r="O2537" s="1"/>
  <c r="C2538"/>
  <c r="N2538" s="1"/>
  <c r="E2538"/>
  <c r="C2539"/>
  <c r="N2539" s="1"/>
  <c r="E2539"/>
  <c r="C2540"/>
  <c r="N2540" s="1"/>
  <c r="E2540"/>
  <c r="K2540" s="1"/>
  <c r="C2541"/>
  <c r="N2541" s="1"/>
  <c r="E2541"/>
  <c r="C2542"/>
  <c r="N2542" s="1"/>
  <c r="E2542"/>
  <c r="C2543"/>
  <c r="N2543" s="1"/>
  <c r="E2543"/>
  <c r="C2544"/>
  <c r="N2544" s="1"/>
  <c r="E2544"/>
  <c r="C2545"/>
  <c r="N2545" s="1"/>
  <c r="E2545"/>
  <c r="C2546"/>
  <c r="N2546" s="1"/>
  <c r="E2546"/>
  <c r="I2546" s="1"/>
  <c r="C2547"/>
  <c r="N2547" s="1"/>
  <c r="E2547"/>
  <c r="C2548"/>
  <c r="N2548" s="1"/>
  <c r="E2548"/>
  <c r="D2548" s="1"/>
  <c r="O2548" s="1"/>
  <c r="C2549"/>
  <c r="N2549" s="1"/>
  <c r="E2549"/>
  <c r="D2549" s="1"/>
  <c r="O2549" s="1"/>
  <c r="C2550"/>
  <c r="N2550" s="1"/>
  <c r="E2550"/>
  <c r="C2551"/>
  <c r="N2551" s="1"/>
  <c r="E2551"/>
  <c r="D2551" s="1"/>
  <c r="O2551" s="1"/>
  <c r="C2552"/>
  <c r="N2552" s="1"/>
  <c r="E2552"/>
  <c r="D2552" s="1"/>
  <c r="O2552" s="1"/>
  <c r="C2553"/>
  <c r="N2553" s="1"/>
  <c r="E2553"/>
  <c r="D2553" s="1"/>
  <c r="O2553" s="1"/>
  <c r="C2554"/>
  <c r="N2554" s="1"/>
  <c r="E2554"/>
  <c r="D2554" s="1"/>
  <c r="O2554" s="1"/>
  <c r="C2555"/>
  <c r="N2555" s="1"/>
  <c r="E2555"/>
  <c r="C2556"/>
  <c r="N2556" s="1"/>
  <c r="E2556"/>
  <c r="C2557"/>
  <c r="N2557" s="1"/>
  <c r="E2557"/>
  <c r="C2558"/>
  <c r="N2558" s="1"/>
  <c r="E2558"/>
  <c r="D2558" s="1"/>
  <c r="O2558" s="1"/>
  <c r="C2559"/>
  <c r="N2559" s="1"/>
  <c r="E2559"/>
  <c r="C2560"/>
  <c r="N2560" s="1"/>
  <c r="E2560"/>
  <c r="E3559" s="1"/>
  <c r="C2561"/>
  <c r="N2561" s="1"/>
  <c r="E2561"/>
  <c r="C2562"/>
  <c r="N2562" s="1"/>
  <c r="E2562"/>
  <c r="D2562" s="1"/>
  <c r="O2562" s="1"/>
  <c r="C2563"/>
  <c r="N2563" s="1"/>
  <c r="E2563"/>
  <c r="D2563" s="1"/>
  <c r="O2563" s="1"/>
  <c r="C2564"/>
  <c r="N2564" s="1"/>
  <c r="E2564"/>
  <c r="E3563" s="1"/>
  <c r="L3563" s="1"/>
  <c r="C2565"/>
  <c r="N2565" s="1"/>
  <c r="E2565"/>
  <c r="C2566"/>
  <c r="N2566" s="1"/>
  <c r="E2566"/>
  <c r="D2566" s="1"/>
  <c r="O2566" s="1"/>
  <c r="C2567"/>
  <c r="N2567" s="1"/>
  <c r="E2567"/>
  <c r="E3566" s="1"/>
  <c r="H3566" s="1"/>
  <c r="C2568"/>
  <c r="N2568" s="1"/>
  <c r="E2568"/>
  <c r="C2569"/>
  <c r="N2569" s="1"/>
  <c r="E2569"/>
  <c r="C2570"/>
  <c r="N2570" s="1"/>
  <c r="E2570"/>
  <c r="D2570" s="1"/>
  <c r="O2570" s="1"/>
  <c r="C2571"/>
  <c r="N2571" s="1"/>
  <c r="E2571"/>
  <c r="D2571" s="1"/>
  <c r="O2571" s="1"/>
  <c r="C2572"/>
  <c r="N2572" s="1"/>
  <c r="E2572"/>
  <c r="D2572" s="1"/>
  <c r="O2572" s="1"/>
  <c r="C2573"/>
  <c r="N2573" s="1"/>
  <c r="E2573"/>
  <c r="C2574"/>
  <c r="N2574" s="1"/>
  <c r="E2574"/>
  <c r="C2575"/>
  <c r="N2575" s="1"/>
  <c r="E2575"/>
  <c r="C2576"/>
  <c r="N2576" s="1"/>
  <c r="E2576"/>
  <c r="C2577"/>
  <c r="N2577" s="1"/>
  <c r="E2577"/>
  <c r="K2577" s="1"/>
  <c r="C2578"/>
  <c r="N2578" s="1"/>
  <c r="E2578"/>
  <c r="C2579"/>
  <c r="N2579" s="1"/>
  <c r="E2579"/>
  <c r="K2579" s="1"/>
  <c r="C2580"/>
  <c r="N2580" s="1"/>
  <c r="E2580"/>
  <c r="C2581"/>
  <c r="N2581" s="1"/>
  <c r="E2581"/>
  <c r="K2581" s="1"/>
  <c r="C2582"/>
  <c r="N2582" s="1"/>
  <c r="E2582"/>
  <c r="C2583"/>
  <c r="N2583" s="1"/>
  <c r="E2583"/>
  <c r="K2583" s="1"/>
  <c r="C2584"/>
  <c r="N2584" s="1"/>
  <c r="E2584"/>
  <c r="C2585"/>
  <c r="N2585" s="1"/>
  <c r="E2585"/>
  <c r="D2585" s="1"/>
  <c r="O2585" s="1"/>
  <c r="C2586"/>
  <c r="N2586" s="1"/>
  <c r="E2586"/>
  <c r="C2587"/>
  <c r="N2587" s="1"/>
  <c r="E2587"/>
  <c r="C2588"/>
  <c r="N2588" s="1"/>
  <c r="E2588"/>
  <c r="C2589"/>
  <c r="N2589" s="1"/>
  <c r="E2589"/>
  <c r="D2589" s="1"/>
  <c r="O2589" s="1"/>
  <c r="C2590"/>
  <c r="N2590" s="1"/>
  <c r="E2590"/>
  <c r="D2590" s="1"/>
  <c r="O2590" s="1"/>
  <c r="C2591"/>
  <c r="N2591" s="1"/>
  <c r="E2591"/>
  <c r="C2592"/>
  <c r="N2592" s="1"/>
  <c r="E2592"/>
  <c r="D2592" s="1"/>
  <c r="O2592" s="1"/>
  <c r="C2593"/>
  <c r="N2593" s="1"/>
  <c r="E2593"/>
  <c r="D2593" s="1"/>
  <c r="O2593" s="1"/>
  <c r="C2594"/>
  <c r="N2594" s="1"/>
  <c r="E2594"/>
  <c r="D2594" s="1"/>
  <c r="O2594" s="1"/>
  <c r="C2595"/>
  <c r="N2595" s="1"/>
  <c r="E2595"/>
  <c r="D2595" s="1"/>
  <c r="O2595" s="1"/>
  <c r="C2596"/>
  <c r="N2596" s="1"/>
  <c r="E2596"/>
  <c r="D2596" s="1"/>
  <c r="O2596" s="1"/>
  <c r="C2597"/>
  <c r="N2597" s="1"/>
  <c r="E2597"/>
  <c r="D2597" s="1"/>
  <c r="O2597" s="1"/>
  <c r="C2598"/>
  <c r="N2598" s="1"/>
  <c r="E2598"/>
  <c r="C2599"/>
  <c r="N2599" s="1"/>
  <c r="E2599"/>
  <c r="C2600"/>
  <c r="N2600" s="1"/>
  <c r="E2600"/>
  <c r="C2601"/>
  <c r="N2601" s="1"/>
  <c r="E2601"/>
  <c r="C2602"/>
  <c r="N2602" s="1"/>
  <c r="E2602"/>
  <c r="D2602" s="1"/>
  <c r="O2602" s="1"/>
  <c r="C2603"/>
  <c r="N2603" s="1"/>
  <c r="E2603"/>
  <c r="C2604"/>
  <c r="N2604" s="1"/>
  <c r="E2604"/>
  <c r="D2604" s="1"/>
  <c r="O2604" s="1"/>
  <c r="C2605"/>
  <c r="N2605" s="1"/>
  <c r="E2605"/>
  <c r="C2606"/>
  <c r="N2606" s="1"/>
  <c r="E2606"/>
  <c r="C2607"/>
  <c r="N2607" s="1"/>
  <c r="E2607"/>
  <c r="D2607" s="1"/>
  <c r="O2607" s="1"/>
  <c r="C2608"/>
  <c r="N2608" s="1"/>
  <c r="E2608"/>
  <c r="C2609"/>
  <c r="N2609" s="1"/>
  <c r="E2609"/>
  <c r="E3608" s="1"/>
  <c r="K3608" s="1"/>
  <c r="C2610"/>
  <c r="N2610" s="1"/>
  <c r="E2610"/>
  <c r="D2610" s="1"/>
  <c r="O2610" s="1"/>
  <c r="C2611"/>
  <c r="N2611" s="1"/>
  <c r="E2611"/>
  <c r="D2611" s="1"/>
  <c r="O2611" s="1"/>
  <c r="C2612"/>
  <c r="N2612" s="1"/>
  <c r="E2612"/>
  <c r="C2613"/>
  <c r="N2613" s="1"/>
  <c r="E2613"/>
  <c r="C2614"/>
  <c r="N2614" s="1"/>
  <c r="E2614"/>
  <c r="C2615"/>
  <c r="N2615" s="1"/>
  <c r="E2615"/>
  <c r="C2616"/>
  <c r="N2616" s="1"/>
  <c r="E2616"/>
  <c r="C2617"/>
  <c r="N2617" s="1"/>
  <c r="E2617"/>
  <c r="C2618"/>
  <c r="N2618" s="1"/>
  <c r="E2618"/>
  <c r="C2619"/>
  <c r="N2619" s="1"/>
  <c r="E2619"/>
  <c r="D2619" s="1"/>
  <c r="O2619" s="1"/>
  <c r="C2620"/>
  <c r="N2620" s="1"/>
  <c r="E2620"/>
  <c r="D2620" s="1"/>
  <c r="O2620" s="1"/>
  <c r="C2621"/>
  <c r="N2621" s="1"/>
  <c r="E2621"/>
  <c r="D2621" s="1"/>
  <c r="O2621" s="1"/>
  <c r="C2622"/>
  <c r="N2622" s="1"/>
  <c r="E2622"/>
  <c r="D2622" s="1"/>
  <c r="O2622" s="1"/>
  <c r="C2623"/>
  <c r="N2623" s="1"/>
  <c r="E2623"/>
  <c r="D2623" s="1"/>
  <c r="O2623" s="1"/>
  <c r="C2624"/>
  <c r="N2624" s="1"/>
  <c r="E2624"/>
  <c r="C2625"/>
  <c r="N2625" s="1"/>
  <c r="E2625"/>
  <c r="C2626"/>
  <c r="N2626" s="1"/>
  <c r="E2626"/>
  <c r="D2626" s="1"/>
  <c r="O2626" s="1"/>
  <c r="C2627"/>
  <c r="N2627" s="1"/>
  <c r="E2627"/>
  <c r="E3626" s="1"/>
  <c r="C2628"/>
  <c r="N2628" s="1"/>
  <c r="E2628"/>
  <c r="C2629"/>
  <c r="N2629" s="1"/>
  <c r="E2629"/>
  <c r="D2629" s="1"/>
  <c r="O2629" s="1"/>
  <c r="C2630"/>
  <c r="N2630" s="1"/>
  <c r="E2630"/>
  <c r="C2631"/>
  <c r="N2631" s="1"/>
  <c r="E2631"/>
  <c r="C2632"/>
  <c r="N2632" s="1"/>
  <c r="E2632"/>
  <c r="C2633"/>
  <c r="N2633" s="1"/>
  <c r="E2633"/>
  <c r="D2633" s="1"/>
  <c r="O2633" s="1"/>
  <c r="C2634"/>
  <c r="N2634" s="1"/>
  <c r="E2634"/>
  <c r="E3633" s="1"/>
  <c r="H3633" s="1"/>
  <c r="C2635"/>
  <c r="N2635" s="1"/>
  <c r="E2635"/>
  <c r="C2636"/>
  <c r="N2636" s="1"/>
  <c r="E2636"/>
  <c r="C2637"/>
  <c r="N2637" s="1"/>
  <c r="E2637"/>
  <c r="C2638"/>
  <c r="N2638" s="1"/>
  <c r="E2638"/>
  <c r="C2639"/>
  <c r="N2639" s="1"/>
  <c r="E2639"/>
  <c r="C2640"/>
  <c r="N2640" s="1"/>
  <c r="E2640"/>
  <c r="D2640" s="1"/>
  <c r="O2640" s="1"/>
  <c r="C2641"/>
  <c r="N2641" s="1"/>
  <c r="E2641"/>
  <c r="C2642"/>
  <c r="N2642" s="1"/>
  <c r="E2642"/>
  <c r="D2642" s="1"/>
  <c r="O2642" s="1"/>
  <c r="C2643"/>
  <c r="N2643" s="1"/>
  <c r="E2643"/>
  <c r="D2643" s="1"/>
  <c r="O2643" s="1"/>
  <c r="C2644"/>
  <c r="N2644" s="1"/>
  <c r="E2644"/>
  <c r="D2644" s="1"/>
  <c r="O2644" s="1"/>
  <c r="C2645"/>
  <c r="N2645" s="1"/>
  <c r="E2645"/>
  <c r="C2646"/>
  <c r="N2646" s="1"/>
  <c r="E2646"/>
  <c r="D2646" s="1"/>
  <c r="O2646" s="1"/>
  <c r="C2647"/>
  <c r="N2647" s="1"/>
  <c r="E2647"/>
  <c r="D2647" s="1"/>
  <c r="O2647" s="1"/>
  <c r="C2648"/>
  <c r="N2648" s="1"/>
  <c r="E2648"/>
  <c r="C2649"/>
  <c r="N2649" s="1"/>
  <c r="E2649"/>
  <c r="C2650"/>
  <c r="N2650" s="1"/>
  <c r="E2650"/>
  <c r="C2651"/>
  <c r="N2651" s="1"/>
  <c r="E2651"/>
  <c r="D2651" s="1"/>
  <c r="O2651" s="1"/>
  <c r="C2652"/>
  <c r="N2652" s="1"/>
  <c r="E2652"/>
  <c r="D2652" s="1"/>
  <c r="O2652" s="1"/>
  <c r="C2653"/>
  <c r="N2653" s="1"/>
  <c r="E2653"/>
  <c r="D2653" s="1"/>
  <c r="O2653" s="1"/>
  <c r="C2654"/>
  <c r="N2654" s="1"/>
  <c r="E2654"/>
  <c r="K2654" s="1"/>
  <c r="C2655"/>
  <c r="N2655" s="1"/>
  <c r="E2655"/>
  <c r="K2655" s="1"/>
  <c r="C2656"/>
  <c r="N2656" s="1"/>
  <c r="E2656"/>
  <c r="K2656" s="1"/>
  <c r="C2657"/>
  <c r="N2657" s="1"/>
  <c r="E2657"/>
  <c r="E3656" s="1"/>
  <c r="K3656" s="1"/>
  <c r="C2658"/>
  <c r="N2658" s="1"/>
  <c r="E2658"/>
  <c r="D2658" s="1"/>
  <c r="O2658" s="1"/>
  <c r="C2659"/>
  <c r="N2659" s="1"/>
  <c r="E2659"/>
  <c r="D2659" s="1"/>
  <c r="O2659" s="1"/>
  <c r="C2660"/>
  <c r="N2660" s="1"/>
  <c r="E2660"/>
  <c r="D2660" s="1"/>
  <c r="O2660" s="1"/>
  <c r="C2661"/>
  <c r="N2661" s="1"/>
  <c r="E2661"/>
  <c r="C2662"/>
  <c r="N2662" s="1"/>
  <c r="E2662"/>
  <c r="K2662" s="1"/>
  <c r="C2663"/>
  <c r="N2663" s="1"/>
  <c r="E2663"/>
  <c r="C2664"/>
  <c r="N2664" s="1"/>
  <c r="E2664"/>
  <c r="I2664" s="1"/>
  <c r="C2665"/>
  <c r="N2665" s="1"/>
  <c r="E2665"/>
  <c r="D2665" s="1"/>
  <c r="O2665" s="1"/>
  <c r="C2666"/>
  <c r="N2666" s="1"/>
  <c r="E2666"/>
  <c r="D2666" s="1"/>
  <c r="O2666" s="1"/>
  <c r="C2667"/>
  <c r="N2667" s="1"/>
  <c r="E2667"/>
  <c r="D2667" s="1"/>
  <c r="O2667" s="1"/>
  <c r="C2668"/>
  <c r="N2668" s="1"/>
  <c r="E2668"/>
  <c r="C2669"/>
  <c r="N2669" s="1"/>
  <c r="E2669"/>
  <c r="E3668" s="1"/>
  <c r="C2670"/>
  <c r="N2670" s="1"/>
  <c r="E2670"/>
  <c r="C2671"/>
  <c r="N2671" s="1"/>
  <c r="E2671"/>
  <c r="E3670" s="1"/>
  <c r="C2672"/>
  <c r="N2672" s="1"/>
  <c r="E2672"/>
  <c r="D2672" s="1"/>
  <c r="O2672" s="1"/>
  <c r="C2673"/>
  <c r="N2673" s="1"/>
  <c r="E2673"/>
  <c r="C2674"/>
  <c r="N2674" s="1"/>
  <c r="E2674"/>
  <c r="D2674" s="1"/>
  <c r="O2674" s="1"/>
  <c r="C2675"/>
  <c r="N2675" s="1"/>
  <c r="E2675"/>
  <c r="D2675" s="1"/>
  <c r="O2675" s="1"/>
  <c r="C2676"/>
  <c r="N2676" s="1"/>
  <c r="E2676"/>
  <c r="D2676" s="1"/>
  <c r="O2676" s="1"/>
  <c r="C2677"/>
  <c r="N2677" s="1"/>
  <c r="E2677"/>
  <c r="C2678"/>
  <c r="N2678" s="1"/>
  <c r="E2678"/>
  <c r="C2679"/>
  <c r="N2679" s="1"/>
  <c r="E2679"/>
  <c r="E3678" s="1"/>
  <c r="C2680"/>
  <c r="N2680" s="1"/>
  <c r="E2680"/>
  <c r="C2681"/>
  <c r="N2681" s="1"/>
  <c r="E2681"/>
  <c r="C2682"/>
  <c r="N2682" s="1"/>
  <c r="E2682"/>
  <c r="D2682" s="1"/>
  <c r="O2682" s="1"/>
  <c r="C2683"/>
  <c r="N2683" s="1"/>
  <c r="E2683"/>
  <c r="C2684"/>
  <c r="N2684" s="1"/>
  <c r="E2684"/>
  <c r="G2684" s="1"/>
  <c r="C2685"/>
  <c r="N2685" s="1"/>
  <c r="E2685"/>
  <c r="G2685" s="1"/>
  <c r="C2686"/>
  <c r="N2686" s="1"/>
  <c r="E2686"/>
  <c r="G2686" s="1"/>
  <c r="C2687"/>
  <c r="N2687" s="1"/>
  <c r="E2687"/>
  <c r="G2687" s="1"/>
  <c r="C2688"/>
  <c r="N2688" s="1"/>
  <c r="E2688"/>
  <c r="G2688" s="1"/>
  <c r="C2689"/>
  <c r="N2689" s="1"/>
  <c r="E2689"/>
  <c r="G2689" s="1"/>
  <c r="C2690"/>
  <c r="N2690" s="1"/>
  <c r="E2690"/>
  <c r="C2691"/>
  <c r="N2691" s="1"/>
  <c r="E2691"/>
  <c r="C2692"/>
  <c r="N2692" s="1"/>
  <c r="E2692"/>
  <c r="C2693"/>
  <c r="N2693" s="1"/>
  <c r="E2693"/>
  <c r="C2694"/>
  <c r="N2694" s="1"/>
  <c r="E2694"/>
  <c r="C2695"/>
  <c r="N2695" s="1"/>
  <c r="E2695"/>
  <c r="C2696"/>
  <c r="N2696" s="1"/>
  <c r="E2696"/>
  <c r="G2696" s="1"/>
  <c r="C2697"/>
  <c r="N2697" s="1"/>
  <c r="E2697"/>
  <c r="E3696" s="1"/>
  <c r="K3696" s="1"/>
  <c r="C2698"/>
  <c r="N2698" s="1"/>
  <c r="E2698"/>
  <c r="C2699"/>
  <c r="N2699" s="1"/>
  <c r="E2699"/>
  <c r="G2699" s="1"/>
  <c r="C2700"/>
  <c r="N2700" s="1"/>
  <c r="E2700"/>
  <c r="C2701"/>
  <c r="N2701" s="1"/>
  <c r="E2701"/>
  <c r="C2702"/>
  <c r="N2702" s="1"/>
  <c r="E2702"/>
  <c r="D2702" s="1"/>
  <c r="O2702" s="1"/>
  <c r="C2703"/>
  <c r="N2703" s="1"/>
  <c r="E2703"/>
  <c r="D2703" s="1"/>
  <c r="O2703" s="1"/>
  <c r="C2704"/>
  <c r="N2704" s="1"/>
  <c r="E2704"/>
  <c r="D2704" s="1"/>
  <c r="O2704" s="1"/>
  <c r="C2705"/>
  <c r="N2705" s="1"/>
  <c r="E2705"/>
  <c r="D2705" s="1"/>
  <c r="O2705" s="1"/>
  <c r="C2706"/>
  <c r="N2706" s="1"/>
  <c r="E2706"/>
  <c r="C2707"/>
  <c r="N2707" s="1"/>
  <c r="E2707"/>
  <c r="D2707" s="1"/>
  <c r="O2707" s="1"/>
  <c r="C2708"/>
  <c r="N2708" s="1"/>
  <c r="E2708"/>
  <c r="C2709"/>
  <c r="N2709" s="1"/>
  <c r="E2709"/>
  <c r="D2709" s="1"/>
  <c r="O2709" s="1"/>
  <c r="C2710"/>
  <c r="N2710" s="1"/>
  <c r="E2710"/>
  <c r="C2711"/>
  <c r="N2711" s="1"/>
  <c r="E2711"/>
  <c r="C2712"/>
  <c r="N2712" s="1"/>
  <c r="E2712"/>
  <c r="C2713"/>
  <c r="N2713" s="1"/>
  <c r="E2713"/>
  <c r="C2714"/>
  <c r="N2714" s="1"/>
  <c r="E2714"/>
  <c r="D2714" s="1"/>
  <c r="O2714" s="1"/>
  <c r="C2715"/>
  <c r="N2715" s="1"/>
  <c r="E2715"/>
  <c r="D2715" s="1"/>
  <c r="O2715" s="1"/>
  <c r="C2716"/>
  <c r="N2716" s="1"/>
  <c r="E2716"/>
  <c r="C2717"/>
  <c r="N2717" s="1"/>
  <c r="E2717"/>
  <c r="C2718"/>
  <c r="N2718" s="1"/>
  <c r="E2718"/>
  <c r="C2719"/>
  <c r="N2719" s="1"/>
  <c r="E2719"/>
  <c r="E3718" s="1"/>
  <c r="C2720"/>
  <c r="N2720" s="1"/>
  <c r="E2720"/>
  <c r="C2721"/>
  <c r="N2721" s="1"/>
  <c r="E2721"/>
  <c r="C2722"/>
  <c r="N2722" s="1"/>
  <c r="E2722"/>
  <c r="C2723"/>
  <c r="N2723" s="1"/>
  <c r="E2723"/>
  <c r="K2723" s="1"/>
  <c r="C2724"/>
  <c r="N2724" s="1"/>
  <c r="E2724"/>
  <c r="C2725"/>
  <c r="N2725" s="1"/>
  <c r="E2725"/>
  <c r="C2726"/>
  <c r="N2726" s="1"/>
  <c r="E2726"/>
  <c r="C2727"/>
  <c r="N2727" s="1"/>
  <c r="E2727"/>
  <c r="D2727" s="1"/>
  <c r="O2727" s="1"/>
  <c r="C2728"/>
  <c r="N2728" s="1"/>
  <c r="E2728"/>
  <c r="C2729"/>
  <c r="N2729" s="1"/>
  <c r="E2729"/>
  <c r="D2729" s="1"/>
  <c r="O2729" s="1"/>
  <c r="C2730"/>
  <c r="N2730" s="1"/>
  <c r="E2730"/>
  <c r="D2730" s="1"/>
  <c r="O2730" s="1"/>
  <c r="C2731"/>
  <c r="N2731" s="1"/>
  <c r="E2731"/>
  <c r="D2731" s="1"/>
  <c r="O2731" s="1"/>
  <c r="C2732"/>
  <c r="N2732" s="1"/>
  <c r="E2732"/>
  <c r="D2732" s="1"/>
  <c r="O2732" s="1"/>
  <c r="C2733"/>
  <c r="N2733" s="1"/>
  <c r="E2733"/>
  <c r="C2734"/>
  <c r="N2734" s="1"/>
  <c r="E2734"/>
  <c r="E3733" s="1"/>
  <c r="C2735"/>
  <c r="N2735" s="1"/>
  <c r="E2735"/>
  <c r="E3734" s="1"/>
  <c r="C2736"/>
  <c r="N2736" s="1"/>
  <c r="E2736"/>
  <c r="D2736" s="1"/>
  <c r="O2736" s="1"/>
  <c r="C2737"/>
  <c r="N2737" s="1"/>
  <c r="E2737"/>
  <c r="C2738"/>
  <c r="N2738" s="1"/>
  <c r="E2738"/>
  <c r="C2739"/>
  <c r="N2739" s="1"/>
  <c r="E2739"/>
  <c r="D2739" s="1"/>
  <c r="O2739" s="1"/>
  <c r="C2740"/>
  <c r="N2740" s="1"/>
  <c r="E2740"/>
  <c r="D2740" s="1"/>
  <c r="O2740" s="1"/>
  <c r="C2741"/>
  <c r="N2741" s="1"/>
  <c r="E2741"/>
  <c r="C2742"/>
  <c r="N2742" s="1"/>
  <c r="E2742"/>
  <c r="C2743"/>
  <c r="N2743" s="1"/>
  <c r="E2743"/>
  <c r="C2744"/>
  <c r="N2744" s="1"/>
  <c r="E2744"/>
  <c r="C2745"/>
  <c r="N2745" s="1"/>
  <c r="E2745"/>
  <c r="D2745" s="1"/>
  <c r="O2745" s="1"/>
  <c r="C2746"/>
  <c r="N2746" s="1"/>
  <c r="E2746"/>
  <c r="D2746" s="1"/>
  <c r="O2746" s="1"/>
  <c r="C2747"/>
  <c r="N2747" s="1"/>
  <c r="E2747"/>
  <c r="C2748"/>
  <c r="N2748" s="1"/>
  <c r="E2748"/>
  <c r="C2749"/>
  <c r="N2749" s="1"/>
  <c r="E2749"/>
  <c r="D2749" s="1"/>
  <c r="O2749" s="1"/>
  <c r="C2750"/>
  <c r="N2750" s="1"/>
  <c r="E2750"/>
  <c r="D2750" s="1"/>
  <c r="O2750" s="1"/>
  <c r="C2751"/>
  <c r="N2751" s="1"/>
  <c r="E2751"/>
  <c r="C2752"/>
  <c r="N2752" s="1"/>
  <c r="E2752"/>
  <c r="D2752" s="1"/>
  <c r="O2752" s="1"/>
  <c r="C2753"/>
  <c r="N2753" s="1"/>
  <c r="E2753"/>
  <c r="D2753" s="1"/>
  <c r="O2753" s="1"/>
  <c r="C2754"/>
  <c r="N2754" s="1"/>
  <c r="E2754"/>
  <c r="D2754" s="1"/>
  <c r="O2754" s="1"/>
  <c r="C2755"/>
  <c r="N2755" s="1"/>
  <c r="E2755"/>
  <c r="D2755" s="1"/>
  <c r="O2755" s="1"/>
  <c r="C2756"/>
  <c r="N2756" s="1"/>
  <c r="E2756"/>
  <c r="C2757"/>
  <c r="N2757" s="1"/>
  <c r="E2757"/>
  <c r="C2758"/>
  <c r="N2758" s="1"/>
  <c r="E2758"/>
  <c r="C2759"/>
  <c r="N2759" s="1"/>
  <c r="E2759"/>
  <c r="D2759" s="1"/>
  <c r="O2759" s="1"/>
  <c r="C2760"/>
  <c r="N2760" s="1"/>
  <c r="E2760"/>
  <c r="D2760" s="1"/>
  <c r="O2760" s="1"/>
  <c r="C2761"/>
  <c r="N2761" s="1"/>
  <c r="E2761"/>
  <c r="E3760" s="1"/>
  <c r="D3760" s="1"/>
  <c r="O3760" s="1"/>
  <c r="C2762"/>
  <c r="N2762" s="1"/>
  <c r="E2762"/>
  <c r="C2763"/>
  <c r="N2763" s="1"/>
  <c r="E2763"/>
  <c r="C2764"/>
  <c r="N2764" s="1"/>
  <c r="E2764"/>
  <c r="D2764" s="1"/>
  <c r="O2764" s="1"/>
  <c r="C2765"/>
  <c r="N2765" s="1"/>
  <c r="E2765"/>
  <c r="D2765" s="1"/>
  <c r="O2765" s="1"/>
  <c r="C2766"/>
  <c r="N2766" s="1"/>
  <c r="E2766"/>
  <c r="E3765" s="1"/>
  <c r="L3765" s="1"/>
  <c r="C2767"/>
  <c r="N2767" s="1"/>
  <c r="E2767"/>
  <c r="D2767" s="1"/>
  <c r="O2767" s="1"/>
  <c r="C2768"/>
  <c r="N2768" s="1"/>
  <c r="E2768"/>
  <c r="C2769"/>
  <c r="N2769" s="1"/>
  <c r="E2769"/>
  <c r="D2769" s="1"/>
  <c r="O2769" s="1"/>
  <c r="C2770"/>
  <c r="N2770" s="1"/>
  <c r="E2770"/>
  <c r="E3769" s="1"/>
  <c r="D3769" s="1"/>
  <c r="O3769" s="1"/>
  <c r="C2771"/>
  <c r="N2771" s="1"/>
  <c r="E2771"/>
  <c r="D2771" s="1"/>
  <c r="O2771" s="1"/>
  <c r="C2772"/>
  <c r="N2772" s="1"/>
  <c r="E2772"/>
  <c r="D2772" s="1"/>
  <c r="O2772" s="1"/>
  <c r="C2773"/>
  <c r="N2773" s="1"/>
  <c r="E2773"/>
  <c r="C2774"/>
  <c r="N2774" s="1"/>
  <c r="E2774"/>
  <c r="E3773" s="1"/>
  <c r="D3773" s="1"/>
  <c r="O3773" s="1"/>
  <c r="C2775"/>
  <c r="N2775" s="1"/>
  <c r="E2775"/>
  <c r="D2775" s="1"/>
  <c r="O2775" s="1"/>
  <c r="C2776"/>
  <c r="N2776" s="1"/>
  <c r="E2776"/>
  <c r="C2777"/>
  <c r="N2777" s="1"/>
  <c r="E2777"/>
  <c r="D2777" s="1"/>
  <c r="O2777" s="1"/>
  <c r="C2778"/>
  <c r="N2778" s="1"/>
  <c r="E2778"/>
  <c r="E3777" s="1"/>
  <c r="D3777" s="1"/>
  <c r="O3777" s="1"/>
  <c r="C2779"/>
  <c r="N2779" s="1"/>
  <c r="E2779"/>
  <c r="D2779" s="1"/>
  <c r="O2779" s="1"/>
  <c r="C2780"/>
  <c r="N2780" s="1"/>
  <c r="E2780"/>
  <c r="D2780" s="1"/>
  <c r="O2780" s="1"/>
  <c r="C2781"/>
  <c r="N2781" s="1"/>
  <c r="E2781"/>
  <c r="D2781" s="1"/>
  <c r="O2781" s="1"/>
  <c r="C2782"/>
  <c r="N2782" s="1"/>
  <c r="E2782"/>
  <c r="D2782" s="1"/>
  <c r="O2782" s="1"/>
  <c r="C2783"/>
  <c r="N2783" s="1"/>
  <c r="E2783"/>
  <c r="D2783" s="1"/>
  <c r="O2783" s="1"/>
  <c r="C2784"/>
  <c r="N2784" s="1"/>
  <c r="E2784"/>
  <c r="D2784" s="1"/>
  <c r="O2784" s="1"/>
  <c r="C2785"/>
  <c r="N2785" s="1"/>
  <c r="E2785"/>
  <c r="D2785" s="1"/>
  <c r="O2785" s="1"/>
  <c r="C2786"/>
  <c r="N2786" s="1"/>
  <c r="E2786"/>
  <c r="D2786" s="1"/>
  <c r="O2786" s="1"/>
  <c r="C2787"/>
  <c r="N2787" s="1"/>
  <c r="E2787"/>
  <c r="D2787" s="1"/>
  <c r="O2787" s="1"/>
  <c r="C2788"/>
  <c r="N2788" s="1"/>
  <c r="E2788"/>
  <c r="E3787" s="1"/>
  <c r="D3787" s="1"/>
  <c r="O3787" s="1"/>
  <c r="C2789"/>
  <c r="N2789" s="1"/>
  <c r="E2789"/>
  <c r="C2790"/>
  <c r="N2790" s="1"/>
  <c r="E2790"/>
  <c r="C2791"/>
  <c r="N2791" s="1"/>
  <c r="E2791"/>
  <c r="C2792"/>
  <c r="N2792" s="1"/>
  <c r="E2792"/>
  <c r="D2792" s="1"/>
  <c r="O2792" s="1"/>
  <c r="C2793"/>
  <c r="N2793" s="1"/>
  <c r="E2793"/>
  <c r="D2793" s="1"/>
  <c r="O2793" s="1"/>
  <c r="C2794"/>
  <c r="N2794" s="1"/>
  <c r="E2794"/>
  <c r="D2794" s="1"/>
  <c r="O2794" s="1"/>
  <c r="C2795"/>
  <c r="N2795" s="1"/>
  <c r="E2795"/>
  <c r="D2795" s="1"/>
  <c r="O2795" s="1"/>
  <c r="C2796"/>
  <c r="N2796" s="1"/>
  <c r="E2796"/>
  <c r="I2796" s="1"/>
  <c r="P2796" s="1"/>
  <c r="C2797"/>
  <c r="N2797" s="1"/>
  <c r="E2797"/>
  <c r="D2797" s="1"/>
  <c r="O2797" s="1"/>
  <c r="C2798"/>
  <c r="N2798" s="1"/>
  <c r="E2798"/>
  <c r="D2798" s="1"/>
  <c r="O2798" s="1"/>
  <c r="C2799"/>
  <c r="N2799" s="1"/>
  <c r="E2799"/>
  <c r="D2799" s="1"/>
  <c r="O2799" s="1"/>
  <c r="C2800"/>
  <c r="N2800" s="1"/>
  <c r="E2800"/>
  <c r="D2800" s="1"/>
  <c r="O2800" s="1"/>
  <c r="C3010"/>
  <c r="C3021"/>
  <c r="C3032"/>
  <c r="C3043"/>
  <c r="C3054"/>
  <c r="C3065"/>
  <c r="C3076"/>
  <c r="C3087"/>
  <c r="C3098"/>
  <c r="C3109"/>
  <c r="C3120"/>
  <c r="C3131"/>
  <c r="C3142"/>
  <c r="C3153"/>
  <c r="C3164"/>
  <c r="C3175"/>
  <c r="C3197"/>
  <c r="C3219"/>
  <c r="C3230"/>
  <c r="C3241"/>
  <c r="C3252"/>
  <c r="C3263"/>
  <c r="C3274"/>
  <c r="C3285"/>
  <c r="C3296"/>
  <c r="C3307"/>
  <c r="C3318"/>
  <c r="C3329"/>
  <c r="C3340"/>
  <c r="C3351"/>
  <c r="C3362"/>
  <c r="C3373"/>
  <c r="C3384"/>
  <c r="C3395"/>
  <c r="C3406"/>
  <c r="C3417"/>
  <c r="N3417" s="1"/>
  <c r="C3418"/>
  <c r="N3418" s="1"/>
  <c r="C3419"/>
  <c r="N3419" s="1"/>
  <c r="C3420"/>
  <c r="N3420" s="1"/>
  <c r="C3421"/>
  <c r="N3421" s="1"/>
  <c r="C3422"/>
  <c r="N3422" s="1"/>
  <c r="C3423"/>
  <c r="N3423" s="1"/>
  <c r="C3424"/>
  <c r="N3424" s="1"/>
  <c r="C3425"/>
  <c r="N3425" s="1"/>
  <c r="E3425"/>
  <c r="C3426"/>
  <c r="N3426" s="1"/>
  <c r="E3426"/>
  <c r="K3426" s="1"/>
  <c r="C3427"/>
  <c r="N3427" s="1"/>
  <c r="C3428"/>
  <c r="N3428" s="1"/>
  <c r="C3429"/>
  <c r="N3429" s="1"/>
  <c r="C3430"/>
  <c r="N3430" s="1"/>
  <c r="C3431"/>
  <c r="N3431" s="1"/>
  <c r="C3432"/>
  <c r="N3432" s="1"/>
  <c r="C3433"/>
  <c r="N3433" s="1"/>
  <c r="C3434"/>
  <c r="N3434" s="1"/>
  <c r="C3435"/>
  <c r="N3435" s="1"/>
  <c r="C3436"/>
  <c r="N3436" s="1"/>
  <c r="C3437"/>
  <c r="N3437" s="1"/>
  <c r="C3438"/>
  <c r="N3438" s="1"/>
  <c r="C3439"/>
  <c r="N3439" s="1"/>
  <c r="C3440"/>
  <c r="N3440" s="1"/>
  <c r="C3441"/>
  <c r="N3441" s="1"/>
  <c r="C3442"/>
  <c r="N3442" s="1"/>
  <c r="C3443"/>
  <c r="N3443" s="1"/>
  <c r="C3444"/>
  <c r="N3444" s="1"/>
  <c r="C3445"/>
  <c r="N3445" s="1"/>
  <c r="C3446"/>
  <c r="N3446" s="1"/>
  <c r="C3447"/>
  <c r="N3447" s="1"/>
  <c r="C3448"/>
  <c r="N3448" s="1"/>
  <c r="C3449"/>
  <c r="N3449" s="1"/>
  <c r="C3450"/>
  <c r="N3450" s="1"/>
  <c r="C3451"/>
  <c r="N3451" s="1"/>
  <c r="C3452"/>
  <c r="N3452" s="1"/>
  <c r="C3453"/>
  <c r="N3453" s="1"/>
  <c r="C3454"/>
  <c r="N3454" s="1"/>
  <c r="C3455"/>
  <c r="N3455" s="1"/>
  <c r="C3456"/>
  <c r="N3456" s="1"/>
  <c r="C3457"/>
  <c r="N3457" s="1"/>
  <c r="C3458"/>
  <c r="N3458" s="1"/>
  <c r="C3459"/>
  <c r="N3459" s="1"/>
  <c r="C3460"/>
  <c r="N3460" s="1"/>
  <c r="C3461"/>
  <c r="N3461" s="1"/>
  <c r="C3462"/>
  <c r="N3462" s="1"/>
  <c r="C3463"/>
  <c r="N3463" s="1"/>
  <c r="C3464"/>
  <c r="N3464" s="1"/>
  <c r="C3465"/>
  <c r="N3465" s="1"/>
  <c r="C3466"/>
  <c r="N3466" s="1"/>
  <c r="C3467"/>
  <c r="N3467" s="1"/>
  <c r="C3468"/>
  <c r="N3468" s="1"/>
  <c r="C3469"/>
  <c r="N3469" s="1"/>
  <c r="C3470"/>
  <c r="N3470" s="1"/>
  <c r="C3471"/>
  <c r="N3471" s="1"/>
  <c r="C3472"/>
  <c r="N3472" s="1"/>
  <c r="C3473"/>
  <c r="N3473" s="1"/>
  <c r="C3474"/>
  <c r="N3474" s="1"/>
  <c r="C3475"/>
  <c r="N3475" s="1"/>
  <c r="C3476"/>
  <c r="N3476" s="1"/>
  <c r="C3477"/>
  <c r="N3477" s="1"/>
  <c r="E3477"/>
  <c r="C3478"/>
  <c r="N3478" s="1"/>
  <c r="E3478"/>
  <c r="D3478" s="1"/>
  <c r="O3478" s="1"/>
  <c r="C3479"/>
  <c r="N3479" s="1"/>
  <c r="E3479"/>
  <c r="D3479" s="1"/>
  <c r="O3479" s="1"/>
  <c r="C3480"/>
  <c r="N3480" s="1"/>
  <c r="E3480"/>
  <c r="D3480" s="1"/>
  <c r="O3480" s="1"/>
  <c r="C3481"/>
  <c r="N3481" s="1"/>
  <c r="C3482"/>
  <c r="N3482" s="1"/>
  <c r="C3483"/>
  <c r="N3483" s="1"/>
  <c r="C3484"/>
  <c r="N3484" s="1"/>
  <c r="C3485"/>
  <c r="N3485" s="1"/>
  <c r="C3486"/>
  <c r="N3486" s="1"/>
  <c r="C3487"/>
  <c r="N3487" s="1"/>
  <c r="C3488"/>
  <c r="N3488" s="1"/>
  <c r="C3489"/>
  <c r="N3489" s="1"/>
  <c r="C3490"/>
  <c r="N3490" s="1"/>
  <c r="C3491"/>
  <c r="N3491" s="1"/>
  <c r="C3492"/>
  <c r="N3492" s="1"/>
  <c r="C3493"/>
  <c r="N3493" s="1"/>
  <c r="C3494"/>
  <c r="N3494" s="1"/>
  <c r="C3495"/>
  <c r="N3495" s="1"/>
  <c r="C3496"/>
  <c r="N3496" s="1"/>
  <c r="C3497"/>
  <c r="N3497" s="1"/>
  <c r="C3498"/>
  <c r="N3498" s="1"/>
  <c r="C3499"/>
  <c r="N3499" s="1"/>
  <c r="C3500"/>
  <c r="N3500" s="1"/>
  <c r="C3501"/>
  <c r="N3501" s="1"/>
  <c r="C3502"/>
  <c r="N3502" s="1"/>
  <c r="C3503"/>
  <c r="N3503" s="1"/>
  <c r="C3504"/>
  <c r="N3504" s="1"/>
  <c r="C3505"/>
  <c r="N3505" s="1"/>
  <c r="C3506"/>
  <c r="N3506" s="1"/>
  <c r="C3507"/>
  <c r="N3507" s="1"/>
  <c r="C3508"/>
  <c r="N3508" s="1"/>
  <c r="E3508"/>
  <c r="D3508" s="1"/>
  <c r="O3508" s="1"/>
  <c r="C3509"/>
  <c r="N3509" s="1"/>
  <c r="E3509"/>
  <c r="G3509" s="1"/>
  <c r="C3510"/>
  <c r="N3510" s="1"/>
  <c r="E3510"/>
  <c r="H3510" s="1"/>
  <c r="C3511"/>
  <c r="N3511" s="1"/>
  <c r="C3512"/>
  <c r="N3512" s="1"/>
  <c r="C3513"/>
  <c r="N3513" s="1"/>
  <c r="C3514"/>
  <c r="N3514" s="1"/>
  <c r="C3515"/>
  <c r="N3515" s="1"/>
  <c r="E3515"/>
  <c r="G3515" s="1"/>
  <c r="C3516"/>
  <c r="N3516" s="1"/>
  <c r="E3516"/>
  <c r="C3517"/>
  <c r="N3517" s="1"/>
  <c r="E3517"/>
  <c r="G3517" s="1"/>
  <c r="C3518"/>
  <c r="N3518" s="1"/>
  <c r="C3519"/>
  <c r="N3519" s="1"/>
  <c r="C3520"/>
  <c r="N3520" s="1"/>
  <c r="C3521"/>
  <c r="N3521" s="1"/>
  <c r="C3522"/>
  <c r="N3522" s="1"/>
  <c r="C3523"/>
  <c r="N3523" s="1"/>
  <c r="C3524"/>
  <c r="N3524" s="1"/>
  <c r="C3525"/>
  <c r="N3525" s="1"/>
  <c r="C3526"/>
  <c r="N3526" s="1"/>
  <c r="E3526"/>
  <c r="C3527"/>
  <c r="N3527" s="1"/>
  <c r="C3528"/>
  <c r="N3528" s="1"/>
  <c r="C3529"/>
  <c r="N3529" s="1"/>
  <c r="C3530"/>
  <c r="N3530" s="1"/>
  <c r="C3531"/>
  <c r="N3531" s="1"/>
  <c r="C3532"/>
  <c r="N3532" s="1"/>
  <c r="C3533"/>
  <c r="N3533" s="1"/>
  <c r="C3534"/>
  <c r="N3534" s="1"/>
  <c r="C3535"/>
  <c r="N3535" s="1"/>
  <c r="C3536"/>
  <c r="N3536" s="1"/>
  <c r="C3537"/>
  <c r="N3537" s="1"/>
  <c r="C3538"/>
  <c r="N3538" s="1"/>
  <c r="C3539"/>
  <c r="N3539" s="1"/>
  <c r="C3540"/>
  <c r="N3540" s="1"/>
  <c r="C3541"/>
  <c r="N3541" s="1"/>
  <c r="C3542"/>
  <c r="N3542" s="1"/>
  <c r="C3543"/>
  <c r="N3543" s="1"/>
  <c r="C3544"/>
  <c r="N3544" s="1"/>
  <c r="C3545"/>
  <c r="N3545" s="1"/>
  <c r="C3546"/>
  <c r="N3546" s="1"/>
  <c r="C3547"/>
  <c r="N3547" s="1"/>
  <c r="C3548"/>
  <c r="N3548" s="1"/>
  <c r="C3549"/>
  <c r="N3549" s="1"/>
  <c r="C3550"/>
  <c r="N3550" s="1"/>
  <c r="C3551"/>
  <c r="N3551" s="1"/>
  <c r="C3552"/>
  <c r="N3552" s="1"/>
  <c r="C3553"/>
  <c r="N3553" s="1"/>
  <c r="E3553"/>
  <c r="C3554"/>
  <c r="N3554" s="1"/>
  <c r="C3555"/>
  <c r="N3555" s="1"/>
  <c r="C3556"/>
  <c r="N3556" s="1"/>
  <c r="E3556"/>
  <c r="C3557"/>
  <c r="N3557" s="1"/>
  <c r="E3557"/>
  <c r="C3558"/>
  <c r="N3558" s="1"/>
  <c r="C3559"/>
  <c r="N3559" s="1"/>
  <c r="C3560"/>
  <c r="N3560" s="1"/>
  <c r="C3561"/>
  <c r="N3561" s="1"/>
  <c r="C3562"/>
  <c r="N3562" s="1"/>
  <c r="C3563"/>
  <c r="N3563" s="1"/>
  <c r="C3564"/>
  <c r="N3564" s="1"/>
  <c r="C3565"/>
  <c r="N3565" s="1"/>
  <c r="C3566"/>
  <c r="N3566" s="1"/>
  <c r="C3567"/>
  <c r="N3567" s="1"/>
  <c r="C3568"/>
  <c r="N3568" s="1"/>
  <c r="C3569"/>
  <c r="N3569" s="1"/>
  <c r="C3570"/>
  <c r="N3570" s="1"/>
  <c r="C3571"/>
  <c r="N3571" s="1"/>
  <c r="C3572"/>
  <c r="N3572" s="1"/>
  <c r="C3573"/>
  <c r="N3573" s="1"/>
  <c r="C3574"/>
  <c r="N3574" s="1"/>
  <c r="C3575"/>
  <c r="N3575" s="1"/>
  <c r="C3576"/>
  <c r="N3576" s="1"/>
  <c r="E3576"/>
  <c r="C3577"/>
  <c r="N3577" s="1"/>
  <c r="C3578"/>
  <c r="N3578" s="1"/>
  <c r="C3579"/>
  <c r="N3579" s="1"/>
  <c r="C3580"/>
  <c r="N3580" s="1"/>
  <c r="C3581"/>
  <c r="N3581" s="1"/>
  <c r="C3582"/>
  <c r="N3582" s="1"/>
  <c r="C3583"/>
  <c r="N3583" s="1"/>
  <c r="C3584"/>
  <c r="N3584" s="1"/>
  <c r="C3585"/>
  <c r="N3585" s="1"/>
  <c r="C3586"/>
  <c r="N3586" s="1"/>
  <c r="C3587"/>
  <c r="N3587" s="1"/>
  <c r="C3588"/>
  <c r="N3588" s="1"/>
  <c r="C3589"/>
  <c r="N3589" s="1"/>
  <c r="C3590"/>
  <c r="N3590" s="1"/>
  <c r="C3591"/>
  <c r="N3591" s="1"/>
  <c r="C3592"/>
  <c r="N3592" s="1"/>
  <c r="C3593"/>
  <c r="N3593" s="1"/>
  <c r="C3594"/>
  <c r="N3594" s="1"/>
  <c r="C3595"/>
  <c r="N3595" s="1"/>
  <c r="C3596"/>
  <c r="N3596" s="1"/>
  <c r="C3597"/>
  <c r="N3597" s="1"/>
  <c r="C3598"/>
  <c r="N3598" s="1"/>
  <c r="C3599"/>
  <c r="N3599" s="1"/>
  <c r="C3600"/>
  <c r="N3600" s="1"/>
  <c r="C3601"/>
  <c r="N3601" s="1"/>
  <c r="C3602"/>
  <c r="N3602" s="1"/>
  <c r="C3603"/>
  <c r="N3603" s="1"/>
  <c r="E3603"/>
  <c r="C3604"/>
  <c r="N3604" s="1"/>
  <c r="C3605"/>
  <c r="N3605" s="1"/>
  <c r="C3606"/>
  <c r="N3606" s="1"/>
  <c r="E3606"/>
  <c r="K3606" s="1"/>
  <c r="C3607"/>
  <c r="N3607" s="1"/>
  <c r="C3608"/>
  <c r="N3608" s="1"/>
  <c r="C3609"/>
  <c r="N3609" s="1"/>
  <c r="C3610"/>
  <c r="N3610" s="1"/>
  <c r="C3611"/>
  <c r="N3611" s="1"/>
  <c r="C3612"/>
  <c r="N3612" s="1"/>
  <c r="C3613"/>
  <c r="N3613" s="1"/>
  <c r="C3614"/>
  <c r="N3614" s="1"/>
  <c r="C3615"/>
  <c r="N3615" s="1"/>
  <c r="C3616"/>
  <c r="N3616" s="1"/>
  <c r="C3617"/>
  <c r="N3617" s="1"/>
  <c r="C3618"/>
  <c r="N3618" s="1"/>
  <c r="C3619"/>
  <c r="N3619" s="1"/>
  <c r="C3620"/>
  <c r="N3620" s="1"/>
  <c r="C3621"/>
  <c r="N3621" s="1"/>
  <c r="C3622"/>
  <c r="N3622" s="1"/>
  <c r="C3623"/>
  <c r="N3623" s="1"/>
  <c r="C3624"/>
  <c r="N3624" s="1"/>
  <c r="C3625"/>
  <c r="N3625" s="1"/>
  <c r="C3626"/>
  <c r="N3626" s="1"/>
  <c r="C3627"/>
  <c r="N3627" s="1"/>
  <c r="C3628"/>
  <c r="N3628" s="1"/>
  <c r="C3629"/>
  <c r="N3629" s="1"/>
  <c r="C3630"/>
  <c r="N3630" s="1"/>
  <c r="C3631"/>
  <c r="N3631" s="1"/>
  <c r="C3632"/>
  <c r="N3632" s="1"/>
  <c r="C3633"/>
  <c r="N3633" s="1"/>
  <c r="C3634"/>
  <c r="N3634" s="1"/>
  <c r="C3635"/>
  <c r="N3635" s="1"/>
  <c r="C3636"/>
  <c r="N3636" s="1"/>
  <c r="C3637"/>
  <c r="N3637" s="1"/>
  <c r="C3638"/>
  <c r="N3638" s="1"/>
  <c r="C3639"/>
  <c r="N3639" s="1"/>
  <c r="C3640"/>
  <c r="N3640" s="1"/>
  <c r="C3641"/>
  <c r="N3641" s="1"/>
  <c r="C3642"/>
  <c r="N3642" s="1"/>
  <c r="C3643"/>
  <c r="N3643" s="1"/>
  <c r="C3644"/>
  <c r="N3644" s="1"/>
  <c r="C3645"/>
  <c r="N3645" s="1"/>
  <c r="C3646"/>
  <c r="N3646" s="1"/>
  <c r="C3647"/>
  <c r="N3647" s="1"/>
  <c r="C3648"/>
  <c r="N3648" s="1"/>
  <c r="C3649"/>
  <c r="N3649" s="1"/>
  <c r="C3650"/>
  <c r="N3650" s="1"/>
  <c r="C3651"/>
  <c r="N3651" s="1"/>
  <c r="E3651"/>
  <c r="K3651" s="1"/>
  <c r="C3652"/>
  <c r="N3652" s="1"/>
  <c r="E3652"/>
  <c r="K3652" s="1"/>
  <c r="C3653"/>
  <c r="N3653" s="1"/>
  <c r="C3654"/>
  <c r="N3654" s="1"/>
  <c r="C3655"/>
  <c r="N3655" s="1"/>
  <c r="C3656"/>
  <c r="N3656" s="1"/>
  <c r="C3657"/>
  <c r="N3657" s="1"/>
  <c r="C3658"/>
  <c r="N3658" s="1"/>
  <c r="C3659"/>
  <c r="N3659" s="1"/>
  <c r="C3660"/>
  <c r="N3660" s="1"/>
  <c r="C3661"/>
  <c r="N3661" s="1"/>
  <c r="E3661"/>
  <c r="G3661" s="1"/>
  <c r="C3662"/>
  <c r="N3662" s="1"/>
  <c r="E3662"/>
  <c r="C3663"/>
  <c r="N3663" s="1"/>
  <c r="E3663"/>
  <c r="H3663" s="1"/>
  <c r="C3664"/>
  <c r="N3664" s="1"/>
  <c r="E3664"/>
  <c r="H3664" s="1"/>
  <c r="C3665"/>
  <c r="N3665" s="1"/>
  <c r="E3665"/>
  <c r="H3665" s="1"/>
  <c r="C3666"/>
  <c r="N3666" s="1"/>
  <c r="E3666"/>
  <c r="K3666" s="1"/>
  <c r="C3667"/>
  <c r="N3667" s="1"/>
  <c r="C3668"/>
  <c r="N3668" s="1"/>
  <c r="C3669"/>
  <c r="N3669" s="1"/>
  <c r="C3670"/>
  <c r="N3670" s="1"/>
  <c r="C3671"/>
  <c r="N3671" s="1"/>
  <c r="C3672"/>
  <c r="N3672" s="1"/>
  <c r="C3673"/>
  <c r="N3673" s="1"/>
  <c r="C3674"/>
  <c r="N3674" s="1"/>
  <c r="C3675"/>
  <c r="N3675" s="1"/>
  <c r="C3676"/>
  <c r="N3676" s="1"/>
  <c r="C3677"/>
  <c r="N3677" s="1"/>
  <c r="C3678"/>
  <c r="N3678" s="1"/>
  <c r="C3679"/>
  <c r="N3679" s="1"/>
  <c r="C3680"/>
  <c r="N3680" s="1"/>
  <c r="C3681"/>
  <c r="N3681" s="1"/>
  <c r="C3682"/>
  <c r="N3682" s="1"/>
  <c r="C3683"/>
  <c r="N3683" s="1"/>
  <c r="E3683"/>
  <c r="K3683" s="1"/>
  <c r="C3684"/>
  <c r="N3684" s="1"/>
  <c r="E3684"/>
  <c r="D3684" s="1"/>
  <c r="O3684" s="1"/>
  <c r="C3685"/>
  <c r="N3685" s="1"/>
  <c r="C3686"/>
  <c r="N3686" s="1"/>
  <c r="C3687"/>
  <c r="N3687" s="1"/>
  <c r="C3688"/>
  <c r="N3688" s="1"/>
  <c r="C3689"/>
  <c r="N3689" s="1"/>
  <c r="C3690"/>
  <c r="N3690" s="1"/>
  <c r="C3691"/>
  <c r="N3691" s="1"/>
  <c r="C3692"/>
  <c r="N3692" s="1"/>
  <c r="C3693"/>
  <c r="N3693" s="1"/>
  <c r="C3694"/>
  <c r="N3694" s="1"/>
  <c r="C3695"/>
  <c r="N3695" s="1"/>
  <c r="C3696"/>
  <c r="N3696" s="1"/>
  <c r="C3697"/>
  <c r="N3697" s="1"/>
  <c r="C3698"/>
  <c r="N3698" s="1"/>
  <c r="C3699"/>
  <c r="N3699" s="1"/>
  <c r="C3700"/>
  <c r="N3700" s="1"/>
  <c r="C3701"/>
  <c r="N3701" s="1"/>
  <c r="C3702"/>
  <c r="N3702" s="1"/>
  <c r="C3703"/>
  <c r="N3703" s="1"/>
  <c r="C3704"/>
  <c r="N3704" s="1"/>
  <c r="C3705"/>
  <c r="N3705" s="1"/>
  <c r="C3706"/>
  <c r="N3706" s="1"/>
  <c r="E3706"/>
  <c r="L3706" s="1"/>
  <c r="C3707"/>
  <c r="N3707" s="1"/>
  <c r="E3707"/>
  <c r="H3707" s="1"/>
  <c r="C3708"/>
  <c r="N3708" s="1"/>
  <c r="E3708"/>
  <c r="C3709"/>
  <c r="N3709" s="1"/>
  <c r="C3710"/>
  <c r="N3710" s="1"/>
  <c r="C3711"/>
  <c r="N3711" s="1"/>
  <c r="C3712"/>
  <c r="N3712" s="1"/>
  <c r="C3713"/>
  <c r="N3713" s="1"/>
  <c r="E3713"/>
  <c r="K3713" s="1"/>
  <c r="C3714"/>
  <c r="N3714" s="1"/>
  <c r="E3714"/>
  <c r="C3715"/>
  <c r="N3715" s="1"/>
  <c r="C3716"/>
  <c r="N3716" s="1"/>
  <c r="C3717"/>
  <c r="N3717" s="1"/>
  <c r="C3718"/>
  <c r="N3718" s="1"/>
  <c r="C3719"/>
  <c r="N3719" s="1"/>
  <c r="C3720"/>
  <c r="N3720" s="1"/>
  <c r="C3721"/>
  <c r="N3721" s="1"/>
  <c r="C3722"/>
  <c r="N3722" s="1"/>
  <c r="C3723"/>
  <c r="N3723" s="1"/>
  <c r="C3724"/>
  <c r="N3724" s="1"/>
  <c r="C3725"/>
  <c r="N3725" s="1"/>
  <c r="C3726"/>
  <c r="N3726" s="1"/>
  <c r="C3727"/>
  <c r="N3727" s="1"/>
  <c r="C3728"/>
  <c r="N3728" s="1"/>
  <c r="E3728"/>
  <c r="D3728" s="1"/>
  <c r="O3728" s="1"/>
  <c r="C3729"/>
  <c r="N3729" s="1"/>
  <c r="C3730"/>
  <c r="N3730" s="1"/>
  <c r="C3731"/>
  <c r="N3731" s="1"/>
  <c r="C3732"/>
  <c r="N3732" s="1"/>
  <c r="C3733"/>
  <c r="N3733" s="1"/>
  <c r="C3734"/>
  <c r="N3734" s="1"/>
  <c r="C3735"/>
  <c r="N3735" s="1"/>
  <c r="C3736"/>
  <c r="N3736" s="1"/>
  <c r="C3737"/>
  <c r="N3737" s="1"/>
  <c r="C3738"/>
  <c r="N3738" s="1"/>
  <c r="E3738"/>
  <c r="L3738" s="1"/>
  <c r="C3739"/>
  <c r="N3739" s="1"/>
  <c r="E3739"/>
  <c r="C3740"/>
  <c r="N3740" s="1"/>
  <c r="C3741"/>
  <c r="N3741" s="1"/>
  <c r="C3742"/>
  <c r="N3742" s="1"/>
  <c r="C3743"/>
  <c r="N3743" s="1"/>
  <c r="C3744"/>
  <c r="N3744" s="1"/>
  <c r="E3744"/>
  <c r="K3744" s="1"/>
  <c r="C3745"/>
  <c r="N3745" s="1"/>
  <c r="E3745"/>
  <c r="K3745" s="1"/>
  <c r="C3746"/>
  <c r="N3746" s="1"/>
  <c r="C3747"/>
  <c r="N3747" s="1"/>
  <c r="C3748"/>
  <c r="N3748" s="1"/>
  <c r="E3748"/>
  <c r="C3749"/>
  <c r="N3749" s="1"/>
  <c r="E3749"/>
  <c r="G3749" s="1"/>
  <c r="C3750"/>
  <c r="N3750" s="1"/>
  <c r="C3751"/>
  <c r="N3751" s="1"/>
  <c r="C3752"/>
  <c r="N3752" s="1"/>
  <c r="C3753"/>
  <c r="N3753" s="1"/>
  <c r="C3754"/>
  <c r="N3754" s="1"/>
  <c r="C3755"/>
  <c r="N3755" s="1"/>
  <c r="C3756"/>
  <c r="N3756" s="1"/>
  <c r="C3757"/>
  <c r="N3757" s="1"/>
  <c r="C3758"/>
  <c r="N3758" s="1"/>
  <c r="E3758"/>
  <c r="D3758" s="1"/>
  <c r="O3758" s="1"/>
  <c r="C3759"/>
  <c r="N3759" s="1"/>
  <c r="E3759"/>
  <c r="D3759" s="1"/>
  <c r="O3759" s="1"/>
  <c r="C3760"/>
  <c r="N3760" s="1"/>
  <c r="C3761"/>
  <c r="N3761" s="1"/>
  <c r="C3762"/>
  <c r="N3762" s="1"/>
  <c r="C3763"/>
  <c r="N3763" s="1"/>
  <c r="C3764"/>
  <c r="N3764" s="1"/>
  <c r="C3765"/>
  <c r="N3765" s="1"/>
  <c r="C3766"/>
  <c r="N3766" s="1"/>
  <c r="C3767"/>
  <c r="N3767" s="1"/>
  <c r="C3768"/>
  <c r="N3768" s="1"/>
  <c r="C3769"/>
  <c r="N3769" s="1"/>
  <c r="C3770"/>
  <c r="N3770" s="1"/>
  <c r="C3771"/>
  <c r="N3771" s="1"/>
  <c r="C3772"/>
  <c r="N3772" s="1"/>
  <c r="C3773"/>
  <c r="N3773" s="1"/>
  <c r="C3774"/>
  <c r="N3774" s="1"/>
  <c r="C3775"/>
  <c r="N3775" s="1"/>
  <c r="C3776"/>
  <c r="N3776" s="1"/>
  <c r="C3777"/>
  <c r="N3777" s="1"/>
  <c r="C3778"/>
  <c r="N3778" s="1"/>
  <c r="C3779"/>
  <c r="N3779" s="1"/>
  <c r="C3780"/>
  <c r="N3780" s="1"/>
  <c r="C3781"/>
  <c r="N3781" s="1"/>
  <c r="E3781"/>
  <c r="D3781" s="1"/>
  <c r="O3781" s="1"/>
  <c r="C3782"/>
  <c r="N3782" s="1"/>
  <c r="C3783"/>
  <c r="N3783" s="1"/>
  <c r="C3784"/>
  <c r="N3784" s="1"/>
  <c r="C3785"/>
  <c r="N3785" s="1"/>
  <c r="C3786"/>
  <c r="N3786" s="1"/>
  <c r="C3787"/>
  <c r="N3787" s="1"/>
  <c r="C3788"/>
  <c r="N3788" s="1"/>
  <c r="C3789"/>
  <c r="N3789" s="1"/>
  <c r="C3790"/>
  <c r="N3790" s="1"/>
  <c r="C3791"/>
  <c r="N3791" s="1"/>
  <c r="C3792"/>
  <c r="N3792" s="1"/>
  <c r="C3793"/>
  <c r="N3793" s="1"/>
  <c r="E3793"/>
  <c r="D3793" s="1"/>
  <c r="O3793" s="1"/>
  <c r="C3794"/>
  <c r="N3794" s="1"/>
  <c r="E3794"/>
  <c r="D3794" s="1"/>
  <c r="O3794" s="1"/>
  <c r="C3795"/>
  <c r="N3795" s="1"/>
  <c r="E3795"/>
  <c r="D3795" s="1"/>
  <c r="O3795" s="1"/>
  <c r="C3796"/>
  <c r="N3796" s="1"/>
  <c r="C3797"/>
  <c r="N3797" s="1"/>
  <c r="C3798"/>
  <c r="N3798" s="1"/>
  <c r="C3799"/>
  <c r="N3799" s="1"/>
  <c r="C3800"/>
  <c r="N3800" s="1"/>
  <c r="E3800"/>
  <c r="D3800" s="1"/>
  <c r="O3800" s="1"/>
  <c r="I3800"/>
  <c r="P3800" s="1"/>
  <c r="J3800"/>
  <c r="Q3800" s="1"/>
  <c r="B2" i="6"/>
  <c r="YE10" i="2" l="1"/>
  <c r="YF10"/>
  <c r="YE11"/>
  <c r="YF11"/>
  <c r="YC5"/>
  <c r="YC4"/>
  <c r="ZQ12"/>
  <c r="ZO12"/>
  <c r="ZM12"/>
  <c r="ZK12"/>
  <c r="ZI12"/>
  <c r="ZG12"/>
  <c r="ZE12"/>
  <c r="ZC12"/>
  <c r="ZA12"/>
  <c r="YY12"/>
  <c r="YW12"/>
  <c r="YU12"/>
  <c r="YS12"/>
  <c r="YQ12"/>
  <c r="YO12"/>
  <c r="YM12"/>
  <c r="YK12"/>
  <c r="YI12"/>
  <c r="YG12"/>
  <c r="YE12"/>
  <c r="ZR12"/>
  <c r="ZP12"/>
  <c r="ZN12"/>
  <c r="ZL12"/>
  <c r="ZJ12"/>
  <c r="ZH12"/>
  <c r="ZF12"/>
  <c r="ZD12"/>
  <c r="ZB12"/>
  <c r="YZ12"/>
  <c r="YX12"/>
  <c r="YV12"/>
  <c r="YT12"/>
  <c r="YR12"/>
  <c r="YP12"/>
  <c r="YN12"/>
  <c r="YL12"/>
  <c r="YJ12"/>
  <c r="YH12"/>
  <c r="YF12"/>
  <c r="ZQ14"/>
  <c r="ZO14"/>
  <c r="ZM14"/>
  <c r="ZK14"/>
  <c r="ZI14"/>
  <c r="ZG14"/>
  <c r="ZE14"/>
  <c r="ZC14"/>
  <c r="ZA14"/>
  <c r="YY14"/>
  <c r="YW14"/>
  <c r="YU14"/>
  <c r="YS14"/>
  <c r="YQ14"/>
  <c r="YO14"/>
  <c r="YM14"/>
  <c r="YK14"/>
  <c r="YI14"/>
  <c r="YG14"/>
  <c r="YE14"/>
  <c r="ZR14"/>
  <c r="ZP14"/>
  <c r="ZN14"/>
  <c r="ZL14"/>
  <c r="ZJ14"/>
  <c r="ZH14"/>
  <c r="ZF14"/>
  <c r="ZD14"/>
  <c r="ZB14"/>
  <c r="YZ14"/>
  <c r="YX14"/>
  <c r="YV14"/>
  <c r="YT14"/>
  <c r="YR14"/>
  <c r="YP14"/>
  <c r="YN14"/>
  <c r="YL14"/>
  <c r="YJ14"/>
  <c r="YH14"/>
  <c r="YF14"/>
  <c r="ZQ13"/>
  <c r="ZO13"/>
  <c r="ZM13"/>
  <c r="ZK13"/>
  <c r="ZI13"/>
  <c r="ZG13"/>
  <c r="ZE13"/>
  <c r="ZC13"/>
  <c r="ZA13"/>
  <c r="YY13"/>
  <c r="YW13"/>
  <c r="YU13"/>
  <c r="YS13"/>
  <c r="YQ13"/>
  <c r="YO13"/>
  <c r="YM13"/>
  <c r="YK13"/>
  <c r="YI13"/>
  <c r="YG13"/>
  <c r="YE13"/>
  <c r="ZR13"/>
  <c r="ZP13"/>
  <c r="ZN13"/>
  <c r="ZL13"/>
  <c r="ZJ13"/>
  <c r="ZH13"/>
  <c r="ZF13"/>
  <c r="ZD13"/>
  <c r="ZB13"/>
  <c r="YZ13"/>
  <c r="YX13"/>
  <c r="YV13"/>
  <c r="YT13"/>
  <c r="YR13"/>
  <c r="YP13"/>
  <c r="YN13"/>
  <c r="YL13"/>
  <c r="YJ13"/>
  <c r="YH13"/>
  <c r="YF13"/>
  <c r="YC8"/>
  <c r="YC6"/>
  <c r="YC7"/>
  <c r="A3228"/>
  <c r="A3230"/>
  <c r="A3232"/>
  <c r="LF33"/>
  <c r="NC27"/>
  <c r="OS31"/>
  <c r="QP25"/>
  <c r="SF29"/>
  <c r="TV33"/>
  <c r="KY27"/>
  <c r="LT29"/>
  <c r="MO31"/>
  <c r="NJ33"/>
  <c r="OL25"/>
  <c r="PG27"/>
  <c r="QB29"/>
  <c r="QW31"/>
  <c r="RR33"/>
  <c r="ST25"/>
  <c r="TO27"/>
  <c r="UJ29"/>
  <c r="UV29"/>
  <c r="WK29" s="1"/>
  <c r="KR29"/>
  <c r="LF25"/>
  <c r="LM31"/>
  <c r="MA27"/>
  <c r="MH33"/>
  <c r="MV29"/>
  <c r="NJ25"/>
  <c r="NQ31"/>
  <c r="OE27"/>
  <c r="OL33"/>
  <c r="OZ29"/>
  <c r="PN25"/>
  <c r="PU31"/>
  <c r="QI27"/>
  <c r="QP33"/>
  <c r="RD29"/>
  <c r="RR25"/>
  <c r="RY31"/>
  <c r="SM27"/>
  <c r="ST33"/>
  <c r="TH29"/>
  <c r="TV25"/>
  <c r="UC31"/>
  <c r="UQ27"/>
  <c r="K3800"/>
  <c r="UV25"/>
  <c r="WK25" s="1"/>
  <c r="UV33"/>
  <c r="WK33" s="1"/>
  <c r="KR25"/>
  <c r="KR33"/>
  <c r="KY31"/>
  <c r="LF29"/>
  <c r="LM27"/>
  <c r="LT25"/>
  <c r="LT33"/>
  <c r="MA31"/>
  <c r="MH29"/>
  <c r="MO27"/>
  <c r="MV25"/>
  <c r="MV33"/>
  <c r="NC31"/>
  <c r="NJ29"/>
  <c r="NQ27"/>
  <c r="NX25"/>
  <c r="NX33"/>
  <c r="OE31"/>
  <c r="OL29"/>
  <c r="OS27"/>
  <c r="OZ25"/>
  <c r="OZ33"/>
  <c r="PG31"/>
  <c r="PN29"/>
  <c r="PU27"/>
  <c r="QB25"/>
  <c r="QB33"/>
  <c r="QI31"/>
  <c r="QP29"/>
  <c r="QW27"/>
  <c r="RD25"/>
  <c r="RD33"/>
  <c r="RK31"/>
  <c r="RR29"/>
  <c r="RY27"/>
  <c r="SF25"/>
  <c r="SF33"/>
  <c r="SM31"/>
  <c r="ST29"/>
  <c r="TA27"/>
  <c r="TH25"/>
  <c r="TH33"/>
  <c r="TO31"/>
  <c r="TV29"/>
  <c r="UC27"/>
  <c r="UJ25"/>
  <c r="UJ33"/>
  <c r="UQ31"/>
  <c r="G3800"/>
  <c r="E3783"/>
  <c r="D3783" s="1"/>
  <c r="O3783" s="1"/>
  <c r="E3779"/>
  <c r="E3778"/>
  <c r="D3778" s="1"/>
  <c r="O3778" s="1"/>
  <c r="E3776"/>
  <c r="D3776" s="1"/>
  <c r="O3776" s="1"/>
  <c r="E3771"/>
  <c r="D3771" s="1"/>
  <c r="O3771" s="1"/>
  <c r="E3752"/>
  <c r="E3751"/>
  <c r="K3751" s="1"/>
  <c r="K3728"/>
  <c r="E3722"/>
  <c r="K3684"/>
  <c r="E3639"/>
  <c r="K3639" s="1"/>
  <c r="E3632"/>
  <c r="E3589"/>
  <c r="K3589" s="1"/>
  <c r="E3588"/>
  <c r="G3588" s="1"/>
  <c r="E3484"/>
  <c r="D3484" s="1"/>
  <c r="O3484" s="1"/>
  <c r="E3285"/>
  <c r="D3285" s="1"/>
  <c r="O3285" s="1"/>
  <c r="E3274"/>
  <c r="K3274" s="1"/>
  <c r="E3263"/>
  <c r="D3263" s="1"/>
  <c r="O3263" s="1"/>
  <c r="E3252"/>
  <c r="D3252" s="1"/>
  <c r="O3252" s="1"/>
  <c r="UV27"/>
  <c r="WK27" s="1"/>
  <c r="YE5" s="1"/>
  <c r="UV31"/>
  <c r="WK31" s="1"/>
  <c r="KR27"/>
  <c r="KR31"/>
  <c r="KY25"/>
  <c r="KY29"/>
  <c r="KY33"/>
  <c r="LF27"/>
  <c r="LF31"/>
  <c r="LM25"/>
  <c r="LM29"/>
  <c r="LM33"/>
  <c r="LT27"/>
  <c r="LT31"/>
  <c r="MA25"/>
  <c r="MA29"/>
  <c r="MA33"/>
  <c r="MH27"/>
  <c r="MH31"/>
  <c r="MO25"/>
  <c r="MO29"/>
  <c r="MO33"/>
  <c r="MV27"/>
  <c r="MV31"/>
  <c r="NC25"/>
  <c r="NC29"/>
  <c r="NC33"/>
  <c r="NJ27"/>
  <c r="NJ31"/>
  <c r="NQ25"/>
  <c r="NQ29"/>
  <c r="NQ33"/>
  <c r="NX27"/>
  <c r="NX31"/>
  <c r="OE25"/>
  <c r="OE29"/>
  <c r="OE33"/>
  <c r="OL27"/>
  <c r="OL31"/>
  <c r="OS25"/>
  <c r="OS29"/>
  <c r="OS33"/>
  <c r="OZ27"/>
  <c r="OZ31"/>
  <c r="PG25"/>
  <c r="PG29"/>
  <c r="PG33"/>
  <c r="PN27"/>
  <c r="PN31"/>
  <c r="PU25"/>
  <c r="PU29"/>
  <c r="PU33"/>
  <c r="QB27"/>
  <c r="QB31"/>
  <c r="QI25"/>
  <c r="QI29"/>
  <c r="QI33"/>
  <c r="QP27"/>
  <c r="QP31"/>
  <c r="QW25"/>
  <c r="QW29"/>
  <c r="QW33"/>
  <c r="RD27"/>
  <c r="RD31"/>
  <c r="RK25"/>
  <c r="RK29"/>
  <c r="RK33"/>
  <c r="RR27"/>
  <c r="RR31"/>
  <c r="RY25"/>
  <c r="RY29"/>
  <c r="RY33"/>
  <c r="SF27"/>
  <c r="SF31"/>
  <c r="SM25"/>
  <c r="SM29"/>
  <c r="SM33"/>
  <c r="ST27"/>
  <c r="ST31"/>
  <c r="TA25"/>
  <c r="TA29"/>
  <c r="TA33"/>
  <c r="TH27"/>
  <c r="TH31"/>
  <c r="TO25"/>
  <c r="TO29"/>
  <c r="TO33"/>
  <c r="TV27"/>
  <c r="TV31"/>
  <c r="UC25"/>
  <c r="UC29"/>
  <c r="UC33"/>
  <c r="E3610"/>
  <c r="H3610" s="1"/>
  <c r="E3609"/>
  <c r="H3609" s="1"/>
  <c r="E3601"/>
  <c r="K3601" s="1"/>
  <c r="E3596"/>
  <c r="E3595"/>
  <c r="E3584"/>
  <c r="E3571"/>
  <c r="E3570"/>
  <c r="E3569"/>
  <c r="G3569" s="1"/>
  <c r="E3565"/>
  <c r="K3565" s="1"/>
  <c r="E3562"/>
  <c r="E3561"/>
  <c r="E3552"/>
  <c r="E3551"/>
  <c r="G3551" s="1"/>
  <c r="E3550"/>
  <c r="D3550" s="1"/>
  <c r="O3550" s="1"/>
  <c r="E3545"/>
  <c r="E3536"/>
  <c r="K3536" s="1"/>
  <c r="E3534"/>
  <c r="D3534" s="1"/>
  <c r="O3534" s="1"/>
  <c r="E3506"/>
  <c r="E3505"/>
  <c r="L3505" s="1"/>
  <c r="E3502"/>
  <c r="L3502" s="1"/>
  <c r="E3501"/>
  <c r="E3499"/>
  <c r="E3496"/>
  <c r="D3496" s="1"/>
  <c r="O3496" s="1"/>
  <c r="E3495"/>
  <c r="E3494"/>
  <c r="E3493"/>
  <c r="D3493" s="1"/>
  <c r="O3493" s="1"/>
  <c r="E3492"/>
  <c r="D3492" s="1"/>
  <c r="O3492" s="1"/>
  <c r="E3491"/>
  <c r="D3491" s="1"/>
  <c r="O3491" s="1"/>
  <c r="E3490"/>
  <c r="K3490" s="1"/>
  <c r="E3475"/>
  <c r="E3466"/>
  <c r="D3466" s="1"/>
  <c r="O3466" s="1"/>
  <c r="E3463"/>
  <c r="D3463" s="1"/>
  <c r="O3463" s="1"/>
  <c r="E3452"/>
  <c r="H3452" s="1"/>
  <c r="E3430"/>
  <c r="K3430" s="1"/>
  <c r="E3395"/>
  <c r="K3395" s="1"/>
  <c r="E3373"/>
  <c r="L3373" s="1"/>
  <c r="K2611"/>
  <c r="KR24"/>
  <c r="KR26"/>
  <c r="KR28"/>
  <c r="KR30"/>
  <c r="KR32"/>
  <c r="KY24"/>
  <c r="KY26"/>
  <c r="KY28"/>
  <c r="KY30"/>
  <c r="KY32"/>
  <c r="LF24"/>
  <c r="LF26"/>
  <c r="LF28"/>
  <c r="LF30"/>
  <c r="LF32"/>
  <c r="LM24"/>
  <c r="LM26"/>
  <c r="LM28"/>
  <c r="LM30"/>
  <c r="LM32"/>
  <c r="LT24"/>
  <c r="LT26"/>
  <c r="LT28"/>
  <c r="LT30"/>
  <c r="LT32"/>
  <c r="MA24"/>
  <c r="MA26"/>
  <c r="MA28"/>
  <c r="MA30"/>
  <c r="MA32"/>
  <c r="MH24"/>
  <c r="MH26"/>
  <c r="MH28"/>
  <c r="MH30"/>
  <c r="MH32"/>
  <c r="MO24"/>
  <c r="MO26"/>
  <c r="MO28"/>
  <c r="MO30"/>
  <c r="MO32"/>
  <c r="MV24"/>
  <c r="MV26"/>
  <c r="MV28"/>
  <c r="MV30"/>
  <c r="MV32"/>
  <c r="NC24"/>
  <c r="NC26"/>
  <c r="NC28"/>
  <c r="NC30"/>
  <c r="NC32"/>
  <c r="NJ24"/>
  <c r="NJ26"/>
  <c r="NJ28"/>
  <c r="NJ30"/>
  <c r="NJ32"/>
  <c r="NQ24"/>
  <c r="NQ26"/>
  <c r="NQ28"/>
  <c r="NQ30"/>
  <c r="NQ32"/>
  <c r="NX24"/>
  <c r="NX26"/>
  <c r="NX28"/>
  <c r="NX30"/>
  <c r="NX32"/>
  <c r="OE24"/>
  <c r="OE26"/>
  <c r="OE28"/>
  <c r="OE30"/>
  <c r="OE32"/>
  <c r="OL24"/>
  <c r="OL26"/>
  <c r="OL28"/>
  <c r="OL30"/>
  <c r="OL32"/>
  <c r="OS24"/>
  <c r="OS26"/>
  <c r="OS28"/>
  <c r="OS30"/>
  <c r="OS32"/>
  <c r="OZ24"/>
  <c r="OZ26"/>
  <c r="OZ28"/>
  <c r="OZ30"/>
  <c r="OZ32"/>
  <c r="PG24"/>
  <c r="PG26"/>
  <c r="PG28"/>
  <c r="PG30"/>
  <c r="PG32"/>
  <c r="PN24"/>
  <c r="PN26"/>
  <c r="PN28"/>
  <c r="PN30"/>
  <c r="PN32"/>
  <c r="PU24"/>
  <c r="PU26"/>
  <c r="PU28"/>
  <c r="PU30"/>
  <c r="PU32"/>
  <c r="QB24"/>
  <c r="QB26"/>
  <c r="QB28"/>
  <c r="QB30"/>
  <c r="QB32"/>
  <c r="QI24"/>
  <c r="QI26"/>
  <c r="QI28"/>
  <c r="QI30"/>
  <c r="QI32"/>
  <c r="QP24"/>
  <c r="QP26"/>
  <c r="QP28"/>
  <c r="QP30"/>
  <c r="QP32"/>
  <c r="QW24"/>
  <c r="QW26"/>
  <c r="QW28"/>
  <c r="QW30"/>
  <c r="QW32"/>
  <c r="RD24"/>
  <c r="RD26"/>
  <c r="RD28"/>
  <c r="RD30"/>
  <c r="RD32"/>
  <c r="RK24"/>
  <c r="RK26"/>
  <c r="RK28"/>
  <c r="RK30"/>
  <c r="RK32"/>
  <c r="RR24"/>
  <c r="RR26"/>
  <c r="RR28"/>
  <c r="RR30"/>
  <c r="RR32"/>
  <c r="RY24"/>
  <c r="RY26"/>
  <c r="RY28"/>
  <c r="RY30"/>
  <c r="RY32"/>
  <c r="SF24"/>
  <c r="SF26"/>
  <c r="SF28"/>
  <c r="SF30"/>
  <c r="SF32"/>
  <c r="SM24"/>
  <c r="SM26"/>
  <c r="SM28"/>
  <c r="SM30"/>
  <c r="SM32"/>
  <c r="ST24"/>
  <c r="ST26"/>
  <c r="ST28"/>
  <c r="ST30"/>
  <c r="ST32"/>
  <c r="TA24"/>
  <c r="TA26"/>
  <c r="TA28"/>
  <c r="TA30"/>
  <c r="TA32"/>
  <c r="TH24"/>
  <c r="TH26"/>
  <c r="TH28"/>
  <c r="TH30"/>
  <c r="TH32"/>
  <c r="TO24"/>
  <c r="TO26"/>
  <c r="TO28"/>
  <c r="TO30"/>
  <c r="TO32"/>
  <c r="TV24"/>
  <c r="TV26"/>
  <c r="TV28"/>
  <c r="TV30"/>
  <c r="TV32"/>
  <c r="UC24"/>
  <c r="UC26"/>
  <c r="UC28"/>
  <c r="UC30"/>
  <c r="UC32"/>
  <c r="UJ24"/>
  <c r="UJ26"/>
  <c r="UJ28"/>
  <c r="UJ30"/>
  <c r="UJ32"/>
  <c r="UQ24"/>
  <c r="UQ26"/>
  <c r="UQ28"/>
  <c r="UQ30"/>
  <c r="UQ32"/>
  <c r="L3492"/>
  <c r="K3263"/>
  <c r="K2784"/>
  <c r="AD4" i="5"/>
  <c r="D3" i="6" s="1"/>
  <c r="I3" s="1"/>
  <c r="U4" i="5"/>
  <c r="B1" i="4" s="1"/>
  <c r="W4" i="5"/>
  <c r="D4" i="4" s="1"/>
  <c r="Y4" i="5"/>
  <c r="H4" i="4" s="1"/>
  <c r="AA4" i="5"/>
  <c r="D24" i="4" s="1"/>
  <c r="AC4" i="5"/>
  <c r="H24" i="4" s="1"/>
  <c r="S4" i="5"/>
  <c r="V4"/>
  <c r="B4" i="4" s="1"/>
  <c r="X4" i="5"/>
  <c r="F4" i="4" s="1"/>
  <c r="Z4" i="5"/>
  <c r="B24" i="4" s="1"/>
  <c r="K3493" i="2"/>
  <c r="L3478"/>
  <c r="K2753"/>
  <c r="K2511"/>
  <c r="L3285"/>
  <c r="H3285"/>
  <c r="E3799"/>
  <c r="D3799" s="1"/>
  <c r="O3799" s="1"/>
  <c r="E3798"/>
  <c r="D3798" s="1"/>
  <c r="O3798" s="1"/>
  <c r="E3797"/>
  <c r="D3797" s="1"/>
  <c r="O3797" s="1"/>
  <c r="E3796"/>
  <c r="D3796" s="1"/>
  <c r="O3796" s="1"/>
  <c r="J3795"/>
  <c r="Q3795" s="1"/>
  <c r="E3785"/>
  <c r="D3785" s="1"/>
  <c r="O3785" s="1"/>
  <c r="E3774"/>
  <c r="L3774" s="1"/>
  <c r="E3770"/>
  <c r="E3766"/>
  <c r="D3766" s="1"/>
  <c r="O3766" s="1"/>
  <c r="E3754"/>
  <c r="K3754" s="1"/>
  <c r="G3684"/>
  <c r="E3675"/>
  <c r="K3675" s="1"/>
  <c r="E3674"/>
  <c r="K3674" s="1"/>
  <c r="E3673"/>
  <c r="G3673" s="1"/>
  <c r="E3643"/>
  <c r="K3643" s="1"/>
  <c r="E3642"/>
  <c r="L3642" s="1"/>
  <c r="E3641"/>
  <c r="G3641" s="1"/>
  <c r="K3609"/>
  <c r="E3578"/>
  <c r="K3578" s="1"/>
  <c r="G3552"/>
  <c r="E3530"/>
  <c r="L3530" s="1"/>
  <c r="E3529"/>
  <c r="E3528"/>
  <c r="K3528" s="1"/>
  <c r="E3520"/>
  <c r="D3520" s="1"/>
  <c r="O3520" s="1"/>
  <c r="E3519"/>
  <c r="K3519" s="1"/>
  <c r="E3518"/>
  <c r="G3518" s="1"/>
  <c r="K3517"/>
  <c r="L3494"/>
  <c r="H3494"/>
  <c r="F3494"/>
  <c r="G3492"/>
  <c r="K3484"/>
  <c r="E3465"/>
  <c r="H3465" s="1"/>
  <c r="E3464"/>
  <c r="D3464" s="1"/>
  <c r="O3464" s="1"/>
  <c r="E3461"/>
  <c r="E3457"/>
  <c r="D3457" s="1"/>
  <c r="O3457" s="1"/>
  <c r="E3455"/>
  <c r="E3454"/>
  <c r="D3454" s="1"/>
  <c r="O3454" s="1"/>
  <c r="E3448"/>
  <c r="L3448" s="1"/>
  <c r="E3443"/>
  <c r="L3443" s="1"/>
  <c r="E3442"/>
  <c r="D3442" s="1"/>
  <c r="O3442" s="1"/>
  <c r="E3441"/>
  <c r="K3441" s="1"/>
  <c r="E3440"/>
  <c r="G3440" s="1"/>
  <c r="E3434"/>
  <c r="G3434" s="1"/>
  <c r="E3423"/>
  <c r="E3422"/>
  <c r="D3422" s="1"/>
  <c r="O3422" s="1"/>
  <c r="E3421"/>
  <c r="L3421" s="1"/>
  <c r="E3329"/>
  <c r="K3329" s="1"/>
  <c r="K3285"/>
  <c r="G3285"/>
  <c r="G3263"/>
  <c r="K2780"/>
  <c r="K2676"/>
  <c r="K2467"/>
  <c r="K3771"/>
  <c r="G3728"/>
  <c r="K3550"/>
  <c r="L3520"/>
  <c r="K3508"/>
  <c r="L3479"/>
  <c r="H3478"/>
  <c r="K3466"/>
  <c r="H3463"/>
  <c r="I2786"/>
  <c r="K2782"/>
  <c r="I2760"/>
  <c r="J3759" s="1"/>
  <c r="Q3759" s="1"/>
  <c r="K2644"/>
  <c r="K2596"/>
  <c r="I2554"/>
  <c r="K2495"/>
  <c r="I2444"/>
  <c r="G3626"/>
  <c r="K3626"/>
  <c r="L3797"/>
  <c r="L3793"/>
  <c r="E3792"/>
  <c r="K3792" s="1"/>
  <c r="E3791"/>
  <c r="D3791" s="1"/>
  <c r="O3791" s="1"/>
  <c r="E3786"/>
  <c r="D3786" s="1"/>
  <c r="O3786" s="1"/>
  <c r="H3785"/>
  <c r="E3784"/>
  <c r="E3782"/>
  <c r="D3782" s="1"/>
  <c r="O3782" s="1"/>
  <c r="E3780"/>
  <c r="D3780" s="1"/>
  <c r="O3780" s="1"/>
  <c r="K3776"/>
  <c r="G3771"/>
  <c r="G3770"/>
  <c r="E3764"/>
  <c r="G3764" s="1"/>
  <c r="E3763"/>
  <c r="K3763" s="1"/>
  <c r="E3753"/>
  <c r="G3753" s="1"/>
  <c r="K3749"/>
  <c r="E3731"/>
  <c r="E3730"/>
  <c r="K3730" s="1"/>
  <c r="E3729"/>
  <c r="L3728"/>
  <c r="H3728"/>
  <c r="F3728"/>
  <c r="E3704"/>
  <c r="K3704" s="1"/>
  <c r="E3703"/>
  <c r="L3703" s="1"/>
  <c r="E3702"/>
  <c r="L3702" s="1"/>
  <c r="E3701"/>
  <c r="K3701" s="1"/>
  <c r="E3695"/>
  <c r="H3695" s="1"/>
  <c r="E3688"/>
  <c r="F3688" s="1"/>
  <c r="E3687"/>
  <c r="K3687" s="1"/>
  <c r="E3686"/>
  <c r="G3686" s="1"/>
  <c r="E3685"/>
  <c r="H3685" s="1"/>
  <c r="L3684"/>
  <c r="H3684"/>
  <c r="F3684"/>
  <c r="L3664"/>
  <c r="E3657"/>
  <c r="G3657" s="1"/>
  <c r="E3655"/>
  <c r="E3654"/>
  <c r="F3654" s="1"/>
  <c r="E3650"/>
  <c r="K3650" s="1"/>
  <c r="E3645"/>
  <c r="G3645" s="1"/>
  <c r="E3628"/>
  <c r="E3625"/>
  <c r="K3625" s="1"/>
  <c r="E3621"/>
  <c r="E3620"/>
  <c r="H3620" s="1"/>
  <c r="E3619"/>
  <c r="E3618"/>
  <c r="K3618" s="1"/>
  <c r="E3594"/>
  <c r="E3593"/>
  <c r="F3593" s="1"/>
  <c r="E3592"/>
  <c r="G3592" s="1"/>
  <c r="E3591"/>
  <c r="G3591" s="1"/>
  <c r="K3551"/>
  <c r="K3518"/>
  <c r="L3510"/>
  <c r="L3480"/>
  <c r="H3466"/>
  <c r="G3465"/>
  <c r="K3463"/>
  <c r="G3463"/>
  <c r="L3452"/>
  <c r="L3435"/>
  <c r="K3252"/>
  <c r="K2793"/>
  <c r="K2785"/>
  <c r="K2783"/>
  <c r="K2781"/>
  <c r="K2772"/>
  <c r="I2754"/>
  <c r="K2740"/>
  <c r="K2705"/>
  <c r="K2629"/>
  <c r="I2597"/>
  <c r="K2595"/>
  <c r="K2572"/>
  <c r="K2531"/>
  <c r="I2497"/>
  <c r="K2485"/>
  <c r="K2453"/>
  <c r="K2286"/>
  <c r="L3800"/>
  <c r="H3800"/>
  <c r="F3800"/>
  <c r="K3796"/>
  <c r="K3794"/>
  <c r="H3793"/>
  <c r="L3791"/>
  <c r="G3731"/>
  <c r="K3673"/>
  <c r="L3661"/>
  <c r="L3610"/>
  <c r="L3566"/>
  <c r="L3552"/>
  <c r="H3552"/>
  <c r="F3552"/>
  <c r="G3550"/>
  <c r="G3520"/>
  <c r="L3515"/>
  <c r="L3496"/>
  <c r="G3496"/>
  <c r="G3484"/>
  <c r="G3480"/>
  <c r="G3479"/>
  <c r="K3478"/>
  <c r="G3478"/>
  <c r="H3443"/>
  <c r="H3442"/>
  <c r="L3263"/>
  <c r="H3263"/>
  <c r="F3263"/>
  <c r="H3252"/>
  <c r="K2798"/>
  <c r="K2786"/>
  <c r="G2786"/>
  <c r="I2785"/>
  <c r="I2784"/>
  <c r="J3783" s="1"/>
  <c r="Q3783" s="1"/>
  <c r="I2783"/>
  <c r="I2782"/>
  <c r="J3781" s="1"/>
  <c r="Q3781" s="1"/>
  <c r="I2781"/>
  <c r="I2780"/>
  <c r="I2765"/>
  <c r="P2765" s="1"/>
  <c r="K2754"/>
  <c r="G2754"/>
  <c r="I2753"/>
  <c r="P2753" s="1"/>
  <c r="I2732"/>
  <c r="K2715"/>
  <c r="I2689"/>
  <c r="P2689" s="1"/>
  <c r="K2667"/>
  <c r="K2633"/>
  <c r="K2622"/>
  <c r="K2597"/>
  <c r="G2597"/>
  <c r="I2596"/>
  <c r="I2595"/>
  <c r="J3594" s="1"/>
  <c r="Q3594" s="1"/>
  <c r="I2562"/>
  <c r="I2521"/>
  <c r="J3520" s="1"/>
  <c r="Q3520" s="1"/>
  <c r="K2497"/>
  <c r="G2497"/>
  <c r="I2495"/>
  <c r="K2481"/>
  <c r="K2449"/>
  <c r="P2546"/>
  <c r="J3545"/>
  <c r="Q3545" s="1"/>
  <c r="P2475"/>
  <c r="J3474"/>
  <c r="Q3474" s="1"/>
  <c r="D3734"/>
  <c r="O3734" s="1"/>
  <c r="G3734"/>
  <c r="D3713"/>
  <c r="O3713" s="1"/>
  <c r="F3713"/>
  <c r="H3713"/>
  <c r="L3713"/>
  <c r="D3695"/>
  <c r="O3695" s="1"/>
  <c r="F3674"/>
  <c r="L3674"/>
  <c r="D3670"/>
  <c r="O3670" s="1"/>
  <c r="G3670"/>
  <c r="D3656"/>
  <c r="O3656" s="1"/>
  <c r="G3656"/>
  <c r="L3656"/>
  <c r="D3652"/>
  <c r="O3652" s="1"/>
  <c r="F3652"/>
  <c r="H3652"/>
  <c r="L3652"/>
  <c r="G3603"/>
  <c r="K3603"/>
  <c r="K3592"/>
  <c r="G3584"/>
  <c r="K3584"/>
  <c r="D3571"/>
  <c r="O3571" s="1"/>
  <c r="G3571"/>
  <c r="K3571"/>
  <c r="G3562"/>
  <c r="K3562"/>
  <c r="G3557"/>
  <c r="K3557"/>
  <c r="G3530"/>
  <c r="D3518"/>
  <c r="O3518" s="1"/>
  <c r="F3518"/>
  <c r="H3518"/>
  <c r="L3518"/>
  <c r="D3510"/>
  <c r="O3510" s="1"/>
  <c r="G3510"/>
  <c r="K3510"/>
  <c r="D3495"/>
  <c r="O3495" s="1"/>
  <c r="K3495"/>
  <c r="G3455"/>
  <c r="L3455"/>
  <c r="D3426"/>
  <c r="O3426" s="1"/>
  <c r="F3426"/>
  <c r="H3426"/>
  <c r="L3426"/>
  <c r="D2790"/>
  <c r="O2790" s="1"/>
  <c r="K2790"/>
  <c r="E3789"/>
  <c r="D2789"/>
  <c r="O2789" s="1"/>
  <c r="E3788"/>
  <c r="P2784"/>
  <c r="D2768"/>
  <c r="O2768" s="1"/>
  <c r="K2768"/>
  <c r="E3767"/>
  <c r="G3767" s="1"/>
  <c r="J3764"/>
  <c r="Q3764" s="1"/>
  <c r="K2757"/>
  <c r="E3756"/>
  <c r="L3756" s="1"/>
  <c r="D2735"/>
  <c r="O2735" s="1"/>
  <c r="K2735"/>
  <c r="D2723"/>
  <c r="O2723" s="1"/>
  <c r="I2723"/>
  <c r="D2722"/>
  <c r="O2722" s="1"/>
  <c r="E3721"/>
  <c r="D2721"/>
  <c r="O2721" s="1"/>
  <c r="E3720"/>
  <c r="D2720"/>
  <c r="O2720" s="1"/>
  <c r="E3719"/>
  <c r="D2718"/>
  <c r="O2718" s="1"/>
  <c r="E3717"/>
  <c r="L3717" s="1"/>
  <c r="G2697"/>
  <c r="I2697"/>
  <c r="G2695"/>
  <c r="E3694"/>
  <c r="K3694" s="1"/>
  <c r="G2694"/>
  <c r="E3693"/>
  <c r="G3693" s="1"/>
  <c r="G2690"/>
  <c r="E3689"/>
  <c r="J3688"/>
  <c r="Q3688" s="1"/>
  <c r="D2671"/>
  <c r="O2671" s="1"/>
  <c r="K2671"/>
  <c r="D2670"/>
  <c r="O2670" s="1"/>
  <c r="E3669"/>
  <c r="K3669" s="1"/>
  <c r="D2668"/>
  <c r="O2668" s="1"/>
  <c r="E3667"/>
  <c r="L3667" s="1"/>
  <c r="D2657"/>
  <c r="O2657" s="1"/>
  <c r="I2657"/>
  <c r="D2655"/>
  <c r="O2655" s="1"/>
  <c r="I2655"/>
  <c r="P2655" s="1"/>
  <c r="D2637"/>
  <c r="O2637" s="1"/>
  <c r="K2637"/>
  <c r="E3636"/>
  <c r="D3636" s="1"/>
  <c r="O3636" s="1"/>
  <c r="D2636"/>
  <c r="O2636" s="1"/>
  <c r="E3635"/>
  <c r="D3635" s="1"/>
  <c r="O3635" s="1"/>
  <c r="D2635"/>
  <c r="O2635" s="1"/>
  <c r="E3634"/>
  <c r="G3634" s="1"/>
  <c r="D2627"/>
  <c r="O2627" s="1"/>
  <c r="K2627"/>
  <c r="D2605"/>
  <c r="O2605" s="1"/>
  <c r="K2605"/>
  <c r="E3604"/>
  <c r="K3604" s="1"/>
  <c r="D2603"/>
  <c r="O2603" s="1"/>
  <c r="E3602"/>
  <c r="D2598"/>
  <c r="O2598" s="1"/>
  <c r="E3597"/>
  <c r="L3597" s="1"/>
  <c r="D2567"/>
  <c r="O2567" s="1"/>
  <c r="K2567"/>
  <c r="D2565"/>
  <c r="O2565" s="1"/>
  <c r="E3564"/>
  <c r="L3564" s="1"/>
  <c r="D2536"/>
  <c r="O2536" s="1"/>
  <c r="K2536"/>
  <c r="D2487"/>
  <c r="O2487" s="1"/>
  <c r="K2487"/>
  <c r="D2451"/>
  <c r="O2451" s="1"/>
  <c r="K2451"/>
  <c r="D2436"/>
  <c r="O2436" s="1"/>
  <c r="K2436"/>
  <c r="D2434"/>
  <c r="O2434" s="1"/>
  <c r="E3433"/>
  <c r="D2433"/>
  <c r="O2433" s="1"/>
  <c r="E3432"/>
  <c r="K3432" s="1"/>
  <c r="D2430"/>
  <c r="O2430" s="1"/>
  <c r="E3429"/>
  <c r="K3429" s="1"/>
  <c r="D2429"/>
  <c r="O2429" s="1"/>
  <c r="E3428"/>
  <c r="D2428"/>
  <c r="O2428" s="1"/>
  <c r="E3427"/>
  <c r="L3427" s="1"/>
  <c r="K3798"/>
  <c r="L3569"/>
  <c r="K3509"/>
  <c r="L3766"/>
  <c r="K3786"/>
  <c r="D3779"/>
  <c r="O3779" s="1"/>
  <c r="G3779"/>
  <c r="L3779"/>
  <c r="D3774"/>
  <c r="O3774" s="1"/>
  <c r="D3765"/>
  <c r="O3765" s="1"/>
  <c r="H3765"/>
  <c r="D3763"/>
  <c r="O3763" s="1"/>
  <c r="D3754"/>
  <c r="O3754" s="1"/>
  <c r="G3754"/>
  <c r="D3751"/>
  <c r="O3751" s="1"/>
  <c r="G3751"/>
  <c r="G3730"/>
  <c r="H3708"/>
  <c r="L3708"/>
  <c r="D3696"/>
  <c r="O3696" s="1"/>
  <c r="G3696"/>
  <c r="D3666"/>
  <c r="O3666" s="1"/>
  <c r="G3666"/>
  <c r="L3666"/>
  <c r="D3650"/>
  <c r="O3650" s="1"/>
  <c r="D3625"/>
  <c r="O3625" s="1"/>
  <c r="D3610"/>
  <c r="O3610" s="1"/>
  <c r="G3610"/>
  <c r="K3610"/>
  <c r="G3596"/>
  <c r="L3596"/>
  <c r="D3566"/>
  <c r="O3566" s="1"/>
  <c r="G3566"/>
  <c r="K3566"/>
  <c r="D3486"/>
  <c r="O3486" s="1"/>
  <c r="G3486"/>
  <c r="D3482"/>
  <c r="O3482" s="1"/>
  <c r="G3482"/>
  <c r="D3440"/>
  <c r="O3440" s="1"/>
  <c r="F3440"/>
  <c r="H3440"/>
  <c r="L3440"/>
  <c r="D3435"/>
  <c r="O3435" s="1"/>
  <c r="G3435"/>
  <c r="K3435"/>
  <c r="D2776"/>
  <c r="O2776" s="1"/>
  <c r="K2776"/>
  <c r="E3775"/>
  <c r="D3775" s="1"/>
  <c r="O3775" s="1"/>
  <c r="D2773"/>
  <c r="O2773" s="1"/>
  <c r="E3772"/>
  <c r="D2762"/>
  <c r="O2762" s="1"/>
  <c r="K2762"/>
  <c r="E3761"/>
  <c r="D3761" s="1"/>
  <c r="O3761" s="1"/>
  <c r="P2760"/>
  <c r="D2747"/>
  <c r="O2747" s="1"/>
  <c r="K2747"/>
  <c r="E3746"/>
  <c r="H3746" s="1"/>
  <c r="D2744"/>
  <c r="O2744" s="1"/>
  <c r="E3743"/>
  <c r="K2741"/>
  <c r="E3740"/>
  <c r="G3740" s="1"/>
  <c r="D2724"/>
  <c r="O2724" s="1"/>
  <c r="I2724"/>
  <c r="J3723" s="1"/>
  <c r="Q3723" s="1"/>
  <c r="E3723"/>
  <c r="D2711"/>
  <c r="O2711" s="1"/>
  <c r="I2711"/>
  <c r="E3710"/>
  <c r="L3710" s="1"/>
  <c r="D2710"/>
  <c r="O2710" s="1"/>
  <c r="E3709"/>
  <c r="K3709" s="1"/>
  <c r="D2681"/>
  <c r="O2681" s="1"/>
  <c r="I2681"/>
  <c r="J3680" s="1"/>
  <c r="Q3680" s="1"/>
  <c r="E3680"/>
  <c r="D2680"/>
  <c r="O2680" s="1"/>
  <c r="E3679"/>
  <c r="D2656"/>
  <c r="O2656" s="1"/>
  <c r="I2656"/>
  <c r="D2654"/>
  <c r="O2654" s="1"/>
  <c r="I2654"/>
  <c r="E3653"/>
  <c r="G3653" s="1"/>
  <c r="D2650"/>
  <c r="O2650" s="1"/>
  <c r="E3649"/>
  <c r="D3649" s="1"/>
  <c r="O3649" s="1"/>
  <c r="D2631"/>
  <c r="O2631" s="1"/>
  <c r="K2631"/>
  <c r="E3630"/>
  <c r="K3630" s="1"/>
  <c r="D2614"/>
  <c r="O2614" s="1"/>
  <c r="K2614"/>
  <c r="E3613"/>
  <c r="D3613" s="1"/>
  <c r="O3613" s="1"/>
  <c r="D2613"/>
  <c r="O2613" s="1"/>
  <c r="E3612"/>
  <c r="K3612" s="1"/>
  <c r="D2588"/>
  <c r="O2588" s="1"/>
  <c r="I2588"/>
  <c r="P2588" s="1"/>
  <c r="E3587"/>
  <c r="D2587"/>
  <c r="O2587" s="1"/>
  <c r="E3586"/>
  <c r="D2586"/>
  <c r="O2586" s="1"/>
  <c r="E3585"/>
  <c r="K3585" s="1"/>
  <c r="D2575"/>
  <c r="O2575" s="1"/>
  <c r="E3574"/>
  <c r="K3574" s="1"/>
  <c r="D2574"/>
  <c r="O2574" s="1"/>
  <c r="E3573"/>
  <c r="K3573" s="1"/>
  <c r="D2560"/>
  <c r="O2560" s="1"/>
  <c r="K2560"/>
  <c r="D2559"/>
  <c r="O2559" s="1"/>
  <c r="E3558"/>
  <c r="K3558" s="1"/>
  <c r="D2546"/>
  <c r="O2546" s="1"/>
  <c r="G2546"/>
  <c r="K2546"/>
  <c r="D2545"/>
  <c r="O2545" s="1"/>
  <c r="E3544"/>
  <c r="K3544" s="1"/>
  <c r="D2544"/>
  <c r="O2544" s="1"/>
  <c r="E3543"/>
  <c r="H3543" s="1"/>
  <c r="D2543"/>
  <c r="O2543" s="1"/>
  <c r="E3542"/>
  <c r="K3542" s="1"/>
  <c r="D2542"/>
  <c r="O2542" s="1"/>
  <c r="E3541"/>
  <c r="G3541" s="1"/>
  <c r="K2525"/>
  <c r="E3524"/>
  <c r="D3524" s="1"/>
  <c r="O3524" s="1"/>
  <c r="D2523"/>
  <c r="O2523" s="1"/>
  <c r="E3522"/>
  <c r="K3522" s="1"/>
  <c r="D2522"/>
  <c r="O2522" s="1"/>
  <c r="E3521"/>
  <c r="D3521" s="1"/>
  <c r="O3521" s="1"/>
  <c r="D2505"/>
  <c r="O2505" s="1"/>
  <c r="K2505"/>
  <c r="E3504"/>
  <c r="K3504" s="1"/>
  <c r="D2504"/>
  <c r="O2504" s="1"/>
  <c r="E3503"/>
  <c r="D2499"/>
  <c r="O2499" s="1"/>
  <c r="E3498"/>
  <c r="L3498" s="1"/>
  <c r="D2483"/>
  <c r="O2483" s="1"/>
  <c r="K2483"/>
  <c r="D2475"/>
  <c r="O2475" s="1"/>
  <c r="G2475"/>
  <c r="K2475"/>
  <c r="E3474"/>
  <c r="D3474" s="1"/>
  <c r="O3474" s="1"/>
  <c r="D2474"/>
  <c r="O2474" s="1"/>
  <c r="E3473"/>
  <c r="D3473" s="1"/>
  <c r="O3473" s="1"/>
  <c r="D2473"/>
  <c r="O2473" s="1"/>
  <c r="E3472"/>
  <c r="D2472"/>
  <c r="O2472" s="1"/>
  <c r="E3471"/>
  <c r="D2454"/>
  <c r="O2454" s="1"/>
  <c r="E3453"/>
  <c r="L3453" s="1"/>
  <c r="D2447"/>
  <c r="O2447" s="1"/>
  <c r="K2447"/>
  <c r="D2445"/>
  <c r="O2445" s="1"/>
  <c r="E3444"/>
  <c r="L3444" s="1"/>
  <c r="D2419"/>
  <c r="O2419" s="1"/>
  <c r="K2419"/>
  <c r="E3418"/>
  <c r="G3418" s="1"/>
  <c r="D2407"/>
  <c r="O2407" s="1"/>
  <c r="E3406"/>
  <c r="D2352"/>
  <c r="O2352" s="1"/>
  <c r="E3351"/>
  <c r="F3351" s="1"/>
  <c r="D2341"/>
  <c r="O2341" s="1"/>
  <c r="E3340"/>
  <c r="F3340" s="1"/>
  <c r="D2308"/>
  <c r="O2308" s="1"/>
  <c r="E3307"/>
  <c r="D3307" s="1"/>
  <c r="O3307" s="1"/>
  <c r="D2297"/>
  <c r="O2297" s="1"/>
  <c r="E3296"/>
  <c r="L3296" s="1"/>
  <c r="G3799"/>
  <c r="H3798"/>
  <c r="G3797"/>
  <c r="G3796"/>
  <c r="L3794"/>
  <c r="G3794"/>
  <c r="K3793"/>
  <c r="G3793"/>
  <c r="H3792"/>
  <c r="H3791"/>
  <c r="K3734"/>
  <c r="G3713"/>
  <c r="L3695"/>
  <c r="K3670"/>
  <c r="K3665"/>
  <c r="K3663"/>
  <c r="H3656"/>
  <c r="G3652"/>
  <c r="G3426"/>
  <c r="G3792"/>
  <c r="K3791"/>
  <c r="G3791"/>
  <c r="G3784"/>
  <c r="L3777"/>
  <c r="G3766"/>
  <c r="K3765"/>
  <c r="G3765"/>
  <c r="K3764"/>
  <c r="H3764"/>
  <c r="F3764"/>
  <c r="G3763"/>
  <c r="L3760"/>
  <c r="L3758"/>
  <c r="L3753"/>
  <c r="L3751"/>
  <c r="H3751"/>
  <c r="F3751"/>
  <c r="L3734"/>
  <c r="H3734"/>
  <c r="F3734"/>
  <c r="L3731"/>
  <c r="H3731"/>
  <c r="F3731"/>
  <c r="L3696"/>
  <c r="H3696"/>
  <c r="F3696"/>
  <c r="K3695"/>
  <c r="G3695"/>
  <c r="L3670"/>
  <c r="H3670"/>
  <c r="F3670"/>
  <c r="L3650"/>
  <c r="H3650"/>
  <c r="F3650"/>
  <c r="K3641"/>
  <c r="H3625"/>
  <c r="K3496"/>
  <c r="H3496"/>
  <c r="F3496"/>
  <c r="G3495"/>
  <c r="L3486"/>
  <c r="H3486"/>
  <c r="F3486"/>
  <c r="L3484"/>
  <c r="H3484"/>
  <c r="F3484"/>
  <c r="L3482"/>
  <c r="H3482"/>
  <c r="F3482"/>
  <c r="K2374"/>
  <c r="K2297"/>
  <c r="I2286"/>
  <c r="P2286" s="1"/>
  <c r="K2428"/>
  <c r="I2424"/>
  <c r="K2407"/>
  <c r="K2341"/>
  <c r="D3752"/>
  <c r="O3752" s="1"/>
  <c r="F3752"/>
  <c r="H3752"/>
  <c r="K3752"/>
  <c r="D3733"/>
  <c r="O3733" s="1"/>
  <c r="F3733"/>
  <c r="H3733"/>
  <c r="L3733"/>
  <c r="D3729"/>
  <c r="O3729" s="1"/>
  <c r="G3729"/>
  <c r="D3722"/>
  <c r="O3722" s="1"/>
  <c r="F3722"/>
  <c r="H3722"/>
  <c r="K3722"/>
  <c r="D3678"/>
  <c r="O3678" s="1"/>
  <c r="F3678"/>
  <c r="H3678"/>
  <c r="K3678"/>
  <c r="D3675"/>
  <c r="O3675" s="1"/>
  <c r="F3675"/>
  <c r="H3675"/>
  <c r="L3675"/>
  <c r="D3669"/>
  <c r="O3669" s="1"/>
  <c r="F3669"/>
  <c r="H3669"/>
  <c r="L3669"/>
  <c r="D3667"/>
  <c r="O3667" s="1"/>
  <c r="G3667"/>
  <c r="K3667"/>
  <c r="D3632"/>
  <c r="O3632" s="1"/>
  <c r="G3632"/>
  <c r="K3632"/>
  <c r="D3630"/>
  <c r="O3630" s="1"/>
  <c r="F3630"/>
  <c r="H3630"/>
  <c r="L3630"/>
  <c r="D3619"/>
  <c r="O3619" s="1"/>
  <c r="G3619"/>
  <c r="K3619"/>
  <c r="L3612"/>
  <c r="D3608"/>
  <c r="O3608" s="1"/>
  <c r="F3608"/>
  <c r="H3608"/>
  <c r="L3608"/>
  <c r="D3604"/>
  <c r="O3604" s="1"/>
  <c r="F3604"/>
  <c r="H3604"/>
  <c r="L3604"/>
  <c r="D3558"/>
  <c r="O3558" s="1"/>
  <c r="F3558"/>
  <c r="H3558"/>
  <c r="L3558"/>
  <c r="D3556"/>
  <c r="O3556" s="1"/>
  <c r="G3556"/>
  <c r="D3516"/>
  <c r="O3516" s="1"/>
  <c r="F3516"/>
  <c r="H3516"/>
  <c r="K3516"/>
  <c r="D3503"/>
  <c r="O3503" s="1"/>
  <c r="G3503"/>
  <c r="D3501"/>
  <c r="O3501" s="1"/>
  <c r="G3501"/>
  <c r="D3485"/>
  <c r="O3485" s="1"/>
  <c r="F3485"/>
  <c r="H3485"/>
  <c r="L3485"/>
  <c r="G3454"/>
  <c r="D3451"/>
  <c r="O3451" s="1"/>
  <c r="H3451"/>
  <c r="D3449"/>
  <c r="O3449" s="1"/>
  <c r="G3449"/>
  <c r="D3447"/>
  <c r="O3447" s="1"/>
  <c r="G3447"/>
  <c r="D3445"/>
  <c r="O3445" s="1"/>
  <c r="G3445"/>
  <c r="D3432"/>
  <c r="O3432" s="1"/>
  <c r="F3432"/>
  <c r="H3432"/>
  <c r="L3432"/>
  <c r="D3428"/>
  <c r="O3428" s="1"/>
  <c r="G3428"/>
  <c r="D3427"/>
  <c r="O3427" s="1"/>
  <c r="G3427"/>
  <c r="K3427"/>
  <c r="D3420"/>
  <c r="O3420" s="1"/>
  <c r="G3420"/>
  <c r="D3418"/>
  <c r="O3418" s="1"/>
  <c r="D3274"/>
  <c r="O3274" s="1"/>
  <c r="F3274"/>
  <c r="H3274"/>
  <c r="L3274"/>
  <c r="D3241"/>
  <c r="O3241" s="1"/>
  <c r="H3241"/>
  <c r="L3241"/>
  <c r="D2778"/>
  <c r="O2778" s="1"/>
  <c r="I2778"/>
  <c r="D2770"/>
  <c r="O2770" s="1"/>
  <c r="K2770"/>
  <c r="D2756"/>
  <c r="O2756" s="1"/>
  <c r="I2756"/>
  <c r="D2743"/>
  <c r="O2743" s="1"/>
  <c r="K2743"/>
  <c r="E3742"/>
  <c r="H3742" s="1"/>
  <c r="D2738"/>
  <c r="O2738" s="1"/>
  <c r="K2738"/>
  <c r="E3737"/>
  <c r="D2725"/>
  <c r="O2725" s="1"/>
  <c r="E3724"/>
  <c r="P2724"/>
  <c r="D2712"/>
  <c r="O2712" s="1"/>
  <c r="E3711"/>
  <c r="F3711" s="1"/>
  <c r="P2711"/>
  <c r="J3710"/>
  <c r="Q3710" s="1"/>
  <c r="G2700"/>
  <c r="E3699"/>
  <c r="G3699" s="1"/>
  <c r="G2698"/>
  <c r="E3697"/>
  <c r="P2664"/>
  <c r="J3663"/>
  <c r="Q3663" s="1"/>
  <c r="D2648"/>
  <c r="O2648" s="1"/>
  <c r="E3647"/>
  <c r="L3647" s="1"/>
  <c r="D2634"/>
  <c r="O2634" s="1"/>
  <c r="K2634"/>
  <c r="D2612"/>
  <c r="O2612" s="1"/>
  <c r="I2612"/>
  <c r="E3611"/>
  <c r="D3611" s="1"/>
  <c r="O3611" s="1"/>
  <c r="D2601"/>
  <c r="O2601" s="1"/>
  <c r="K2601"/>
  <c r="E3600"/>
  <c r="K3600" s="1"/>
  <c r="P2595"/>
  <c r="D2582"/>
  <c r="O2582" s="1"/>
  <c r="I2582"/>
  <c r="E3581"/>
  <c r="D2578"/>
  <c r="O2578" s="1"/>
  <c r="I2578"/>
  <c r="E3577"/>
  <c r="F3577" s="1"/>
  <c r="D2569"/>
  <c r="O2569" s="1"/>
  <c r="K2569"/>
  <c r="E3568"/>
  <c r="F3568" s="1"/>
  <c r="D2550"/>
  <c r="O2550" s="1"/>
  <c r="K2550"/>
  <c r="E3549"/>
  <c r="G3549" s="1"/>
  <c r="D2541"/>
  <c r="O2541" s="1"/>
  <c r="G2541"/>
  <c r="K2541"/>
  <c r="E3540"/>
  <c r="D2534"/>
  <c r="O2534" s="1"/>
  <c r="I2534"/>
  <c r="E3533"/>
  <c r="G3533" s="1"/>
  <c r="D2532"/>
  <c r="O2532" s="1"/>
  <c r="E3531"/>
  <c r="D3531" s="1"/>
  <c r="O3531" s="1"/>
  <c r="D2528"/>
  <c r="O2528" s="1"/>
  <c r="G2528"/>
  <c r="K2528"/>
  <c r="D2517"/>
  <c r="O2517" s="1"/>
  <c r="I2517"/>
  <c r="D2489"/>
  <c r="O2489" s="1"/>
  <c r="E3488"/>
  <c r="D2460"/>
  <c r="O2460" s="1"/>
  <c r="E3459"/>
  <c r="D2457"/>
  <c r="O2457" s="1"/>
  <c r="I2457"/>
  <c r="D2439"/>
  <c r="O2439" s="1"/>
  <c r="E3438"/>
  <c r="K3438" s="1"/>
  <c r="D2437"/>
  <c r="O2437" s="1"/>
  <c r="E3436"/>
  <c r="G3436" s="1"/>
  <c r="D2242"/>
  <c r="O2242" s="1"/>
  <c r="J2242"/>
  <c r="L2242"/>
  <c r="D3748"/>
  <c r="O3748" s="1"/>
  <c r="G3748"/>
  <c r="D3745"/>
  <c r="O3745" s="1"/>
  <c r="F3745"/>
  <c r="H3745"/>
  <c r="L3745"/>
  <c r="D3739"/>
  <c r="O3739" s="1"/>
  <c r="G3739"/>
  <c r="D3718"/>
  <c r="O3718" s="1"/>
  <c r="G3718"/>
  <c r="D3706"/>
  <c r="O3706" s="1"/>
  <c r="G3706"/>
  <c r="K3706"/>
  <c r="D3704"/>
  <c r="O3704" s="1"/>
  <c r="F3704"/>
  <c r="H3704"/>
  <c r="L3704"/>
  <c r="G3703"/>
  <c r="D3688"/>
  <c r="O3688" s="1"/>
  <c r="H3688"/>
  <c r="D3662"/>
  <c r="O3662" s="1"/>
  <c r="F3662"/>
  <c r="H3662"/>
  <c r="K3662"/>
  <c r="D3642"/>
  <c r="O3642" s="1"/>
  <c r="G3642"/>
  <c r="K3642"/>
  <c r="D3606"/>
  <c r="O3606" s="1"/>
  <c r="F3606"/>
  <c r="H3606"/>
  <c r="L3606"/>
  <c r="D3585"/>
  <c r="O3585" s="1"/>
  <c r="F3585"/>
  <c r="H3585"/>
  <c r="L3585"/>
  <c r="G3576"/>
  <c r="L3576"/>
  <c r="D3574"/>
  <c r="O3574" s="1"/>
  <c r="F3574"/>
  <c r="H3574"/>
  <c r="L3574"/>
  <c r="D3565"/>
  <c r="O3565" s="1"/>
  <c r="F3565"/>
  <c r="H3565"/>
  <c r="L3565"/>
  <c r="D3564"/>
  <c r="O3564" s="1"/>
  <c r="G3564"/>
  <c r="K3564"/>
  <c r="D3563"/>
  <c r="O3563" s="1"/>
  <c r="G3563"/>
  <c r="K3563"/>
  <c r="D3545"/>
  <c r="O3545" s="1"/>
  <c r="H3545"/>
  <c r="K3545"/>
  <c r="D3528"/>
  <c r="O3528" s="1"/>
  <c r="H3528"/>
  <c r="D3526"/>
  <c r="O3526" s="1"/>
  <c r="F3526"/>
  <c r="H3526"/>
  <c r="K3526"/>
  <c r="F3524"/>
  <c r="G3521"/>
  <c r="F3519"/>
  <c r="L3519"/>
  <c r="D3506"/>
  <c r="O3506" s="1"/>
  <c r="G3506"/>
  <c r="D3505"/>
  <c r="O3505" s="1"/>
  <c r="G3505"/>
  <c r="K3505"/>
  <c r="D3499"/>
  <c r="O3499" s="1"/>
  <c r="G3499"/>
  <c r="D3490"/>
  <c r="O3490" s="1"/>
  <c r="F3490"/>
  <c r="H3490"/>
  <c r="L3490"/>
  <c r="D3477"/>
  <c r="O3477" s="1"/>
  <c r="K3477"/>
  <c r="D3475"/>
  <c r="O3475" s="1"/>
  <c r="L3475"/>
  <c r="D3461"/>
  <c r="O3461" s="1"/>
  <c r="F3461"/>
  <c r="H3461"/>
  <c r="K3461"/>
  <c r="D3456"/>
  <c r="O3456" s="1"/>
  <c r="F3456"/>
  <c r="H3456"/>
  <c r="K3456"/>
  <c r="D3430"/>
  <c r="O3430" s="1"/>
  <c r="F3430"/>
  <c r="H3430"/>
  <c r="L3430"/>
  <c r="D3425"/>
  <c r="O3425" s="1"/>
  <c r="H3425"/>
  <c r="K3425"/>
  <c r="G3422"/>
  <c r="D3395"/>
  <c r="O3395" s="1"/>
  <c r="F3395"/>
  <c r="H3395"/>
  <c r="L3395"/>
  <c r="D3384"/>
  <c r="O3384" s="1"/>
  <c r="G3384"/>
  <c r="K3384"/>
  <c r="D3373"/>
  <c r="O3373" s="1"/>
  <c r="G3373"/>
  <c r="K3373"/>
  <c r="F3329"/>
  <c r="L3329"/>
  <c r="D2791"/>
  <c r="O2791" s="1"/>
  <c r="K2791"/>
  <c r="D2763"/>
  <c r="O2763" s="1"/>
  <c r="K2763"/>
  <c r="D2758"/>
  <c r="O2758" s="1"/>
  <c r="I2758"/>
  <c r="D2742"/>
  <c r="O2742" s="1"/>
  <c r="E3741"/>
  <c r="K3741" s="1"/>
  <c r="D2737"/>
  <c r="O2737" s="1"/>
  <c r="E3736"/>
  <c r="H3736" s="1"/>
  <c r="D2728"/>
  <c r="O2728" s="1"/>
  <c r="K2728"/>
  <c r="E3727"/>
  <c r="L3727" s="1"/>
  <c r="D2726"/>
  <c r="O2726" s="1"/>
  <c r="E3725"/>
  <c r="D2713"/>
  <c r="O2713" s="1"/>
  <c r="K2713"/>
  <c r="E3712"/>
  <c r="D3712" s="1"/>
  <c r="O3712" s="1"/>
  <c r="G2701"/>
  <c r="K2701"/>
  <c r="E3700"/>
  <c r="D3700" s="1"/>
  <c r="O3700" s="1"/>
  <c r="P2697"/>
  <c r="J3696"/>
  <c r="Q3696" s="1"/>
  <c r="G2683"/>
  <c r="K2683"/>
  <c r="E3682"/>
  <c r="L3682" s="1"/>
  <c r="D2673"/>
  <c r="O2673" s="1"/>
  <c r="K2673"/>
  <c r="E3672"/>
  <c r="D2663"/>
  <c r="O2663" s="1"/>
  <c r="I2663"/>
  <c r="D2661"/>
  <c r="O2661" s="1"/>
  <c r="I2661"/>
  <c r="P2656"/>
  <c r="J3655"/>
  <c r="Q3655" s="1"/>
  <c r="D2649"/>
  <c r="O2649" s="1"/>
  <c r="G2649"/>
  <c r="K2649"/>
  <c r="D2645"/>
  <c r="O2645" s="1"/>
  <c r="E3644"/>
  <c r="D2630"/>
  <c r="O2630" s="1"/>
  <c r="K2630"/>
  <c r="D2625"/>
  <c r="O2625" s="1"/>
  <c r="K2625"/>
  <c r="E3624"/>
  <c r="D3624" s="1"/>
  <c r="O3624" s="1"/>
  <c r="D2624"/>
  <c r="O2624" s="1"/>
  <c r="E3623"/>
  <c r="D3623" s="1"/>
  <c r="O3623" s="1"/>
  <c r="D2600"/>
  <c r="O2600" s="1"/>
  <c r="E3599"/>
  <c r="D3599" s="1"/>
  <c r="O3599" s="1"/>
  <c r="D2599"/>
  <c r="O2599" s="1"/>
  <c r="E3598"/>
  <c r="D3598" s="1"/>
  <c r="O3598" s="1"/>
  <c r="P2596"/>
  <c r="J3595"/>
  <c r="Q3595" s="1"/>
  <c r="D2584"/>
  <c r="O2584" s="1"/>
  <c r="K2584"/>
  <c r="E3583"/>
  <c r="G3583" s="1"/>
  <c r="D2580"/>
  <c r="O2580" s="1"/>
  <c r="I2580"/>
  <c r="E3579"/>
  <c r="D2568"/>
  <c r="O2568" s="1"/>
  <c r="E3567"/>
  <c r="F3567" s="1"/>
  <c r="D2561"/>
  <c r="O2561" s="1"/>
  <c r="K2561"/>
  <c r="E3560"/>
  <c r="D3560" s="1"/>
  <c r="O3560" s="1"/>
  <c r="D2547"/>
  <c r="O2547" s="1"/>
  <c r="E3546"/>
  <c r="L3546" s="1"/>
  <c r="D2533"/>
  <c r="O2533" s="1"/>
  <c r="E3532"/>
  <c r="F3532" s="1"/>
  <c r="D2526"/>
  <c r="O2526" s="1"/>
  <c r="I2526"/>
  <c r="D2508"/>
  <c r="O2508" s="1"/>
  <c r="I2508"/>
  <c r="D2490"/>
  <c r="O2490" s="1"/>
  <c r="I2490"/>
  <c r="D2484"/>
  <c r="O2484" s="1"/>
  <c r="K2484"/>
  <c r="D2478"/>
  <c r="O2478" s="1"/>
  <c r="K2478"/>
  <c r="D2477"/>
  <c r="O2477" s="1"/>
  <c r="E3476"/>
  <c r="G3476" s="1"/>
  <c r="D2463"/>
  <c r="O2463" s="1"/>
  <c r="K2463"/>
  <c r="D2461"/>
  <c r="O2461" s="1"/>
  <c r="I2461"/>
  <c r="D2452"/>
  <c r="O2452" s="1"/>
  <c r="K2452"/>
  <c r="D2448"/>
  <c r="O2448" s="1"/>
  <c r="K2448"/>
  <c r="D2440"/>
  <c r="O2440" s="1"/>
  <c r="K2440"/>
  <c r="E3439"/>
  <c r="L3439" s="1"/>
  <c r="D2438"/>
  <c r="O2438" s="1"/>
  <c r="E3437"/>
  <c r="F3437" s="1"/>
  <c r="D2421"/>
  <c r="O2421" s="1"/>
  <c r="L2421"/>
  <c r="D2385"/>
  <c r="O2385" s="1"/>
  <c r="L2385"/>
  <c r="D2319"/>
  <c r="O2319" s="1"/>
  <c r="L2319"/>
  <c r="D3753"/>
  <c r="O3753" s="1"/>
  <c r="F3753"/>
  <c r="H3753"/>
  <c r="K3753"/>
  <c r="D3749"/>
  <c r="O3749" s="1"/>
  <c r="F3749"/>
  <c r="H3749"/>
  <c r="L3749"/>
  <c r="D3744"/>
  <c r="O3744" s="1"/>
  <c r="G3744"/>
  <c r="L3740"/>
  <c r="D3738"/>
  <c r="O3738" s="1"/>
  <c r="G3738"/>
  <c r="F3730"/>
  <c r="L3730"/>
  <c r="D3723"/>
  <c r="O3723" s="1"/>
  <c r="G3723"/>
  <c r="L3723"/>
  <c r="D3719"/>
  <c r="O3719" s="1"/>
  <c r="F3719"/>
  <c r="H3719"/>
  <c r="L3719"/>
  <c r="D3717"/>
  <c r="O3717" s="1"/>
  <c r="H3717"/>
  <c r="D3714"/>
  <c r="O3714" s="1"/>
  <c r="L3714"/>
  <c r="D3708"/>
  <c r="O3708" s="1"/>
  <c r="G3708"/>
  <c r="K3708"/>
  <c r="D3702"/>
  <c r="O3702" s="1"/>
  <c r="G3702"/>
  <c r="D3694"/>
  <c r="O3694" s="1"/>
  <c r="G3694"/>
  <c r="L3694"/>
  <c r="D3689"/>
  <c r="O3689" s="1"/>
  <c r="F3689"/>
  <c r="H3689"/>
  <c r="L3689"/>
  <c r="D3679"/>
  <c r="O3679" s="1"/>
  <c r="F3679"/>
  <c r="H3679"/>
  <c r="L3679"/>
  <c r="D3673"/>
  <c r="O3673" s="1"/>
  <c r="F3673"/>
  <c r="H3673"/>
  <c r="L3673"/>
  <c r="D3663"/>
  <c r="O3663" s="1"/>
  <c r="G3663"/>
  <c r="L3663"/>
  <c r="D3661"/>
  <c r="O3661" s="1"/>
  <c r="F3661"/>
  <c r="H3661"/>
  <c r="K3661"/>
  <c r="F3636"/>
  <c r="G3635"/>
  <c r="K3634"/>
  <c r="D3628"/>
  <c r="O3628" s="1"/>
  <c r="G3628"/>
  <c r="K3628"/>
  <c r="D3626"/>
  <c r="O3626" s="1"/>
  <c r="F3626"/>
  <c r="H3626"/>
  <c r="L3626"/>
  <c r="D3621"/>
  <c r="O3621" s="1"/>
  <c r="G3621"/>
  <c r="K3621"/>
  <c r="D3601"/>
  <c r="O3601" s="1"/>
  <c r="H3601"/>
  <c r="L3601"/>
  <c r="D3592"/>
  <c r="O3592" s="1"/>
  <c r="F3592"/>
  <c r="H3592"/>
  <c r="L3592"/>
  <c r="H3578"/>
  <c r="D3535"/>
  <c r="O3535" s="1"/>
  <c r="G3535"/>
  <c r="G3522"/>
  <c r="D3517"/>
  <c r="O3517" s="1"/>
  <c r="F3517"/>
  <c r="H3517"/>
  <c r="L3517"/>
  <c r="D3515"/>
  <c r="O3515" s="1"/>
  <c r="F3515"/>
  <c r="H3515"/>
  <c r="K3515"/>
  <c r="D3509"/>
  <c r="O3509" s="1"/>
  <c r="F3509"/>
  <c r="H3509"/>
  <c r="L3509"/>
  <c r="D3504"/>
  <c r="O3504" s="1"/>
  <c r="H3504"/>
  <c r="D3502"/>
  <c r="O3502" s="1"/>
  <c r="G3502"/>
  <c r="D3500"/>
  <c r="O3500" s="1"/>
  <c r="G3500"/>
  <c r="D3498"/>
  <c r="O3498" s="1"/>
  <c r="H3498"/>
  <c r="F3457"/>
  <c r="L3457"/>
  <c r="D3455"/>
  <c r="O3455" s="1"/>
  <c r="F3455"/>
  <c r="H3455"/>
  <c r="K3455"/>
  <c r="D3453"/>
  <c r="O3453" s="1"/>
  <c r="G3453"/>
  <c r="D3452"/>
  <c r="O3452" s="1"/>
  <c r="G3452"/>
  <c r="K3452"/>
  <c r="D3450"/>
  <c r="O3450" s="1"/>
  <c r="G3450"/>
  <c r="D3448"/>
  <c r="O3448" s="1"/>
  <c r="G3448"/>
  <c r="D3446"/>
  <c r="O3446" s="1"/>
  <c r="G3446"/>
  <c r="D3444"/>
  <c r="O3444" s="1"/>
  <c r="H3444"/>
  <c r="D3441"/>
  <c r="O3441" s="1"/>
  <c r="D3434"/>
  <c r="O3434" s="1"/>
  <c r="H3434"/>
  <c r="D3429"/>
  <c r="O3429" s="1"/>
  <c r="H3429"/>
  <c r="D3423"/>
  <c r="O3423" s="1"/>
  <c r="G3423"/>
  <c r="L3423"/>
  <c r="D3421"/>
  <c r="O3421" s="1"/>
  <c r="G3421"/>
  <c r="D3417"/>
  <c r="O3417" s="1"/>
  <c r="G3417"/>
  <c r="H3351"/>
  <c r="D2796"/>
  <c r="O2796" s="1"/>
  <c r="G2796"/>
  <c r="K2796"/>
  <c r="D2788"/>
  <c r="O2788" s="1"/>
  <c r="I2788"/>
  <c r="D2774"/>
  <c r="O2774" s="1"/>
  <c r="K2774"/>
  <c r="D2766"/>
  <c r="O2766" s="1"/>
  <c r="K2766"/>
  <c r="D2761"/>
  <c r="O2761" s="1"/>
  <c r="K2761"/>
  <c r="D2757"/>
  <c r="O2757" s="1"/>
  <c r="I2757"/>
  <c r="D2751"/>
  <c r="O2751" s="1"/>
  <c r="K2751"/>
  <c r="E3750"/>
  <c r="D2748"/>
  <c r="O2748" s="1"/>
  <c r="E3747"/>
  <c r="D2741"/>
  <c r="O2741" s="1"/>
  <c r="I2741"/>
  <c r="D2734"/>
  <c r="O2734" s="1"/>
  <c r="K2734"/>
  <c r="D2733"/>
  <c r="O2733" s="1"/>
  <c r="E3732"/>
  <c r="P2732"/>
  <c r="J3731"/>
  <c r="Q3731" s="1"/>
  <c r="D2719"/>
  <c r="O2719" s="1"/>
  <c r="K2719"/>
  <c r="D2717"/>
  <c r="O2717" s="1"/>
  <c r="E3716"/>
  <c r="D2716"/>
  <c r="O2716" s="1"/>
  <c r="E3715"/>
  <c r="D2708"/>
  <c r="O2708" s="1"/>
  <c r="K2708"/>
  <c r="D2706"/>
  <c r="O2706" s="1"/>
  <c r="E3705"/>
  <c r="K3705" s="1"/>
  <c r="G2693"/>
  <c r="I2693"/>
  <c r="E3692"/>
  <c r="F3692" s="1"/>
  <c r="G2692"/>
  <c r="E3691"/>
  <c r="F3691" s="1"/>
  <c r="G2691"/>
  <c r="E3690"/>
  <c r="G3690" s="1"/>
  <c r="D2679"/>
  <c r="O2679" s="1"/>
  <c r="I2679"/>
  <c r="D2678"/>
  <c r="O2678" s="1"/>
  <c r="E3677"/>
  <c r="D2677"/>
  <c r="O2677" s="1"/>
  <c r="E3676"/>
  <c r="F3676" s="1"/>
  <c r="D2669"/>
  <c r="O2669" s="1"/>
  <c r="K2669"/>
  <c r="D2664"/>
  <c r="O2664" s="1"/>
  <c r="G2664"/>
  <c r="K2664"/>
  <c r="D2662"/>
  <c r="O2662" s="1"/>
  <c r="I2662"/>
  <c r="D2641"/>
  <c r="O2641" s="1"/>
  <c r="K2641"/>
  <c r="E3640"/>
  <c r="D2639"/>
  <c r="O2639" s="1"/>
  <c r="E3638"/>
  <c r="D2638"/>
  <c r="O2638" s="1"/>
  <c r="E3637"/>
  <c r="D3637" s="1"/>
  <c r="O3637" s="1"/>
  <c r="D2632"/>
  <c r="O2632" s="1"/>
  <c r="K2632"/>
  <c r="E3631"/>
  <c r="D2628"/>
  <c r="O2628" s="1"/>
  <c r="K2628"/>
  <c r="E3627"/>
  <c r="D2618"/>
  <c r="O2618" s="1"/>
  <c r="K2618"/>
  <c r="E3617"/>
  <c r="D2617"/>
  <c r="O2617" s="1"/>
  <c r="E3616"/>
  <c r="D2616"/>
  <c r="O2616" s="1"/>
  <c r="E3615"/>
  <c r="D2615"/>
  <c r="O2615" s="1"/>
  <c r="E3614"/>
  <c r="D2609"/>
  <c r="O2609" s="1"/>
  <c r="K2609"/>
  <c r="D2608"/>
  <c r="O2608" s="1"/>
  <c r="E3607"/>
  <c r="D2606"/>
  <c r="O2606" s="1"/>
  <c r="E3605"/>
  <c r="K3605" s="1"/>
  <c r="D2591"/>
  <c r="O2591" s="1"/>
  <c r="K2591"/>
  <c r="E3590"/>
  <c r="H3590" s="1"/>
  <c r="D2583"/>
  <c r="O2583" s="1"/>
  <c r="I2583"/>
  <c r="E3582"/>
  <c r="D2581"/>
  <c r="O2581" s="1"/>
  <c r="I2581"/>
  <c r="E3580"/>
  <c r="D2579"/>
  <c r="O2579" s="1"/>
  <c r="I2579"/>
  <c r="D2577"/>
  <c r="O2577" s="1"/>
  <c r="I2577"/>
  <c r="D2576"/>
  <c r="O2576" s="1"/>
  <c r="E3575"/>
  <c r="G3575" s="1"/>
  <c r="D2573"/>
  <c r="O2573" s="1"/>
  <c r="E3572"/>
  <c r="D2564"/>
  <c r="O2564" s="1"/>
  <c r="K2564"/>
  <c r="D2557"/>
  <c r="O2557" s="1"/>
  <c r="K2557"/>
  <c r="D2556"/>
  <c r="O2556" s="1"/>
  <c r="E3555"/>
  <c r="K3555" s="1"/>
  <c r="D2555"/>
  <c r="O2555" s="1"/>
  <c r="E3554"/>
  <c r="D3554" s="1"/>
  <c r="O3554" s="1"/>
  <c r="P2554"/>
  <c r="J3553"/>
  <c r="Q3553" s="1"/>
  <c r="D2540"/>
  <c r="O2540" s="1"/>
  <c r="I2540"/>
  <c r="E3539"/>
  <c r="K3539" s="1"/>
  <c r="D2539"/>
  <c r="O2539" s="1"/>
  <c r="E3538"/>
  <c r="D3538" s="1"/>
  <c r="O3538" s="1"/>
  <c r="D2538"/>
  <c r="O2538" s="1"/>
  <c r="E3537"/>
  <c r="H3537" s="1"/>
  <c r="D2527"/>
  <c r="O2527" s="1"/>
  <c r="I2527"/>
  <c r="D2525"/>
  <c r="O2525" s="1"/>
  <c r="I2525"/>
  <c r="D2524"/>
  <c r="O2524" s="1"/>
  <c r="E3523"/>
  <c r="D2516"/>
  <c r="O2516" s="1"/>
  <c r="I2516"/>
  <c r="D2515"/>
  <c r="O2515" s="1"/>
  <c r="E3514"/>
  <c r="D2514"/>
  <c r="O2514" s="1"/>
  <c r="E3513"/>
  <c r="D2513"/>
  <c r="O2513" s="1"/>
  <c r="E3512"/>
  <c r="D2512"/>
  <c r="O2512" s="1"/>
  <c r="E3511"/>
  <c r="D2501"/>
  <c r="O2501" s="1"/>
  <c r="K2501"/>
  <c r="D2498"/>
  <c r="O2498" s="1"/>
  <c r="E3497"/>
  <c r="P2495"/>
  <c r="J3494"/>
  <c r="Q3494" s="1"/>
  <c r="D2486"/>
  <c r="O2486" s="1"/>
  <c r="K2486"/>
  <c r="D2482"/>
  <c r="O2482" s="1"/>
  <c r="K2482"/>
  <c r="E3481"/>
  <c r="L3481" s="1"/>
  <c r="D2471"/>
  <c r="O2471" s="1"/>
  <c r="K2471"/>
  <c r="E3470"/>
  <c r="D2470"/>
  <c r="O2470" s="1"/>
  <c r="E3469"/>
  <c r="D2469"/>
  <c r="O2469" s="1"/>
  <c r="E3468"/>
  <c r="D2468"/>
  <c r="O2468" s="1"/>
  <c r="E3467"/>
  <c r="D2462"/>
  <c r="O2462" s="1"/>
  <c r="I2462"/>
  <c r="D2459"/>
  <c r="O2459" s="1"/>
  <c r="I2459"/>
  <c r="E3458"/>
  <c r="D2456"/>
  <c r="O2456" s="1"/>
  <c r="I2456"/>
  <c r="D2450"/>
  <c r="O2450" s="1"/>
  <c r="K2450"/>
  <c r="D2446"/>
  <c r="O2446" s="1"/>
  <c r="K2446"/>
  <c r="P2444"/>
  <c r="J3443"/>
  <c r="Q3443" s="1"/>
  <c r="D2432"/>
  <c r="O2432" s="1"/>
  <c r="K2432"/>
  <c r="E3431"/>
  <c r="D2426"/>
  <c r="O2426" s="1"/>
  <c r="I2426"/>
  <c r="L2426"/>
  <c r="D2425"/>
  <c r="O2425" s="1"/>
  <c r="E3424"/>
  <c r="G3424" s="1"/>
  <c r="D2418"/>
  <c r="O2418" s="1"/>
  <c r="K2418"/>
  <c r="D2363"/>
  <c r="O2363" s="1"/>
  <c r="K2363"/>
  <c r="E3362"/>
  <c r="F3362" s="1"/>
  <c r="L3778"/>
  <c r="G3777"/>
  <c r="K3733"/>
  <c r="L3632"/>
  <c r="L3619"/>
  <c r="L3795"/>
  <c r="G3795"/>
  <c r="E3790"/>
  <c r="H3790" s="1"/>
  <c r="L3787"/>
  <c r="G3787"/>
  <c r="L3785"/>
  <c r="G3785"/>
  <c r="K3784"/>
  <c r="H3784"/>
  <c r="F3784"/>
  <c r="L3782"/>
  <c r="L3780"/>
  <c r="G3780"/>
  <c r="K3779"/>
  <c r="H3779"/>
  <c r="F3779"/>
  <c r="G3778"/>
  <c r="K3777"/>
  <c r="H3777"/>
  <c r="F3777"/>
  <c r="G3776"/>
  <c r="K3773"/>
  <c r="K3769"/>
  <c r="E3768"/>
  <c r="E3762"/>
  <c r="D3762" s="1"/>
  <c r="O3762" s="1"/>
  <c r="L3761"/>
  <c r="L3759"/>
  <c r="G3759"/>
  <c r="H3758"/>
  <c r="E3757"/>
  <c r="F3757" s="1"/>
  <c r="E3755"/>
  <c r="L3754"/>
  <c r="H3754"/>
  <c r="F3754"/>
  <c r="L3752"/>
  <c r="G3752"/>
  <c r="K3748"/>
  <c r="G3745"/>
  <c r="L3739"/>
  <c r="E3735"/>
  <c r="G3733"/>
  <c r="K3729"/>
  <c r="E3726"/>
  <c r="L3722"/>
  <c r="G3722"/>
  <c r="K3718"/>
  <c r="K3707"/>
  <c r="H3706"/>
  <c r="G3704"/>
  <c r="H3703"/>
  <c r="E3698"/>
  <c r="L3698" s="1"/>
  <c r="K3693"/>
  <c r="G3688"/>
  <c r="L3685"/>
  <c r="E3681"/>
  <c r="L3681" s="1"/>
  <c r="L3678"/>
  <c r="G3678"/>
  <c r="G3675"/>
  <c r="E3671"/>
  <c r="G3669"/>
  <c r="H3667"/>
  <c r="L3662"/>
  <c r="G3662"/>
  <c r="E3660"/>
  <c r="E3659"/>
  <c r="D3659" s="1"/>
  <c r="O3659" s="1"/>
  <c r="E3658"/>
  <c r="L3657"/>
  <c r="J3654"/>
  <c r="Q3654" s="1"/>
  <c r="E3648"/>
  <c r="F3648" s="1"/>
  <c r="E3646"/>
  <c r="K3645"/>
  <c r="H3642"/>
  <c r="K3633"/>
  <c r="H3632"/>
  <c r="G3630"/>
  <c r="E3629"/>
  <c r="E3622"/>
  <c r="H3619"/>
  <c r="G3608"/>
  <c r="G3606"/>
  <c r="G3604"/>
  <c r="K3591"/>
  <c r="L3588"/>
  <c r="G3585"/>
  <c r="G3574"/>
  <c r="G3565"/>
  <c r="H3564"/>
  <c r="H3563"/>
  <c r="G3558"/>
  <c r="K3556"/>
  <c r="E3548"/>
  <c r="K3548" s="1"/>
  <c r="E3547"/>
  <c r="L3547" s="1"/>
  <c r="E3527"/>
  <c r="L3526"/>
  <c r="G3526"/>
  <c r="E3525"/>
  <c r="G3524"/>
  <c r="L3516"/>
  <c r="G3516"/>
  <c r="E3507"/>
  <c r="K3507" s="1"/>
  <c r="L3506"/>
  <c r="H3505"/>
  <c r="L3503"/>
  <c r="L3501"/>
  <c r="L3499"/>
  <c r="G3490"/>
  <c r="E3489"/>
  <c r="E3487"/>
  <c r="G3485"/>
  <c r="E3483"/>
  <c r="E3462"/>
  <c r="L3461"/>
  <c r="G3461"/>
  <c r="E3460"/>
  <c r="L3456"/>
  <c r="G3456"/>
  <c r="K3451"/>
  <c r="L3449"/>
  <c r="L3447"/>
  <c r="L3445"/>
  <c r="G3432"/>
  <c r="G3430"/>
  <c r="L3428"/>
  <c r="H3427"/>
  <c r="L3422"/>
  <c r="L3420"/>
  <c r="E3419"/>
  <c r="K3419" s="1"/>
  <c r="G3395"/>
  <c r="H3384"/>
  <c r="H3373"/>
  <c r="E3318"/>
  <c r="L3318" s="1"/>
  <c r="G3274"/>
  <c r="K2756"/>
  <c r="K2663"/>
  <c r="K2661"/>
  <c r="I2649"/>
  <c r="K2582"/>
  <c r="K2580"/>
  <c r="K2578"/>
  <c r="I2541"/>
  <c r="I2528"/>
  <c r="K2526"/>
  <c r="K2461"/>
  <c r="K2457"/>
  <c r="K2242"/>
  <c r="UZ3"/>
  <c r="PD2"/>
  <c r="L3788"/>
  <c r="H3788"/>
  <c r="F3788"/>
  <c r="K3787"/>
  <c r="H3787"/>
  <c r="F3787"/>
  <c r="L3781"/>
  <c r="G3781"/>
  <c r="L3775"/>
  <c r="G3774"/>
  <c r="G3773"/>
  <c r="L3770"/>
  <c r="H3770"/>
  <c r="F3770"/>
  <c r="G3769"/>
  <c r="L3763"/>
  <c r="F3763"/>
  <c r="G3761"/>
  <c r="G3760"/>
  <c r="K3702"/>
  <c r="H3702"/>
  <c r="F3702"/>
  <c r="F3566"/>
  <c r="L3556"/>
  <c r="H3556"/>
  <c r="F3556"/>
  <c r="L3550"/>
  <c r="H3550"/>
  <c r="F3550"/>
  <c r="K3549"/>
  <c r="L3545"/>
  <c r="G3545"/>
  <c r="L3537"/>
  <c r="F3537"/>
  <c r="L3535"/>
  <c r="H3535"/>
  <c r="F3535"/>
  <c r="L3534"/>
  <c r="G3534"/>
  <c r="L3508"/>
  <c r="G3508"/>
  <c r="G3475"/>
  <c r="L3473"/>
  <c r="K3442"/>
  <c r="G3442"/>
  <c r="G3441"/>
  <c r="G3714"/>
  <c r="G3601"/>
  <c r="F3590"/>
  <c r="K3498"/>
  <c r="G3498"/>
  <c r="K2800"/>
  <c r="I2790"/>
  <c r="K2749"/>
  <c r="K2745"/>
  <c r="G2741"/>
  <c r="I2740"/>
  <c r="I2736"/>
  <c r="I2735"/>
  <c r="I2734"/>
  <c r="K2730"/>
  <c r="I2726"/>
  <c r="K2721"/>
  <c r="K2717"/>
  <c r="K2714"/>
  <c r="K2712"/>
  <c r="K2709"/>
  <c r="I2707"/>
  <c r="I2703"/>
  <c r="K2699"/>
  <c r="I2695"/>
  <c r="I2691"/>
  <c r="I2687"/>
  <c r="K2681"/>
  <c r="G2681"/>
  <c r="K2678"/>
  <c r="K2674"/>
  <c r="K2672"/>
  <c r="K2670"/>
  <c r="K2668"/>
  <c r="K2666"/>
  <c r="I2659"/>
  <c r="K2651"/>
  <c r="K2646"/>
  <c r="I2643"/>
  <c r="K2639"/>
  <c r="K2635"/>
  <c r="I2634"/>
  <c r="I2633"/>
  <c r="I2632"/>
  <c r="I2631"/>
  <c r="I2630"/>
  <c r="I2629"/>
  <c r="I2628"/>
  <c r="I2627"/>
  <c r="I2624"/>
  <c r="I2620"/>
  <c r="K2616"/>
  <c r="K2612"/>
  <c r="G2612"/>
  <c r="I2611"/>
  <c r="K2607"/>
  <c r="K2603"/>
  <c r="I2599"/>
  <c r="K2593"/>
  <c r="K2589"/>
  <c r="K2586"/>
  <c r="K2574"/>
  <c r="K2570"/>
  <c r="K2568"/>
  <c r="K2566"/>
  <c r="K2562"/>
  <c r="G2562"/>
  <c r="I2561"/>
  <c r="I2560"/>
  <c r="K2555"/>
  <c r="K2552"/>
  <c r="K2548"/>
  <c r="K2543"/>
  <c r="K2538"/>
  <c r="I2535"/>
  <c r="K2532"/>
  <c r="I2530"/>
  <c r="I2523"/>
  <c r="I2519"/>
  <c r="K2513"/>
  <c r="K2509"/>
  <c r="K2507"/>
  <c r="K2503"/>
  <c r="K2499"/>
  <c r="K2492"/>
  <c r="I2488"/>
  <c r="I2487"/>
  <c r="I2486"/>
  <c r="I2485"/>
  <c r="I2484"/>
  <c r="I2483"/>
  <c r="I2482"/>
  <c r="I2481"/>
  <c r="I2477"/>
  <c r="I2473"/>
  <c r="K2469"/>
  <c r="K2465"/>
  <c r="I2454"/>
  <c r="I2453"/>
  <c r="I2452"/>
  <c r="I2451"/>
  <c r="I2450"/>
  <c r="I2449"/>
  <c r="I2448"/>
  <c r="I2447"/>
  <c r="I2446"/>
  <c r="K2442"/>
  <c r="K2438"/>
  <c r="K2434"/>
  <c r="K2430"/>
  <c r="L2427"/>
  <c r="K2424"/>
  <c r="G2424"/>
  <c r="K2420"/>
  <c r="L2418"/>
  <c r="I2418"/>
  <c r="L2396"/>
  <c r="L2374"/>
  <c r="I2374"/>
  <c r="I2363"/>
  <c r="K2330"/>
  <c r="J2319"/>
  <c r="K2264"/>
  <c r="F3712"/>
  <c r="G3709"/>
  <c r="D3705"/>
  <c r="O3705" s="1"/>
  <c r="F3705"/>
  <c r="H3705"/>
  <c r="L3705"/>
  <c r="G3701"/>
  <c r="D3699"/>
  <c r="O3699" s="1"/>
  <c r="D3698"/>
  <c r="O3698" s="1"/>
  <c r="G3698"/>
  <c r="K3698"/>
  <c r="D3687"/>
  <c r="O3687" s="1"/>
  <c r="F3687"/>
  <c r="H3687"/>
  <c r="L3687"/>
  <c r="D3683"/>
  <c r="O3683" s="1"/>
  <c r="F3683"/>
  <c r="H3683"/>
  <c r="L3683"/>
  <c r="D3682"/>
  <c r="O3682" s="1"/>
  <c r="K3682"/>
  <c r="D3658"/>
  <c r="O3658" s="1"/>
  <c r="F3658"/>
  <c r="H3658"/>
  <c r="K3658"/>
  <c r="D3654"/>
  <c r="O3654" s="1"/>
  <c r="H3654"/>
  <c r="D3651"/>
  <c r="O3651" s="1"/>
  <c r="F3651"/>
  <c r="H3651"/>
  <c r="L3651"/>
  <c r="D3648"/>
  <c r="O3648" s="1"/>
  <c r="D3647"/>
  <c r="O3647" s="1"/>
  <c r="G3647"/>
  <c r="K3647"/>
  <c r="F3643"/>
  <c r="L3643"/>
  <c r="D3639"/>
  <c r="O3639" s="1"/>
  <c r="F3639"/>
  <c r="H3639"/>
  <c r="L3639"/>
  <c r="F3623"/>
  <c r="K3623"/>
  <c r="F3618"/>
  <c r="L3618"/>
  <c r="G3611"/>
  <c r="D3605"/>
  <c r="O3605" s="1"/>
  <c r="F3605"/>
  <c r="H3605"/>
  <c r="L3605"/>
  <c r="D3600"/>
  <c r="O3600" s="1"/>
  <c r="F3600"/>
  <c r="H3600"/>
  <c r="L3600"/>
  <c r="F3598"/>
  <c r="K3598"/>
  <c r="D3597"/>
  <c r="O3597" s="1"/>
  <c r="G3597"/>
  <c r="K3597"/>
  <c r="D3595"/>
  <c r="O3595" s="1"/>
  <c r="F3595"/>
  <c r="H3595"/>
  <c r="K3595"/>
  <c r="D3593"/>
  <c r="O3593" s="1"/>
  <c r="H3593"/>
  <c r="D3589"/>
  <c r="O3589" s="1"/>
  <c r="F3589"/>
  <c r="H3589"/>
  <c r="L3589"/>
  <c r="D3577"/>
  <c r="O3577" s="1"/>
  <c r="H3577"/>
  <c r="D3573"/>
  <c r="O3573" s="1"/>
  <c r="F3573"/>
  <c r="H3573"/>
  <c r="L3573"/>
  <c r="D3570"/>
  <c r="O3570" s="1"/>
  <c r="G3570"/>
  <c r="L3570"/>
  <c r="D3568"/>
  <c r="O3568" s="1"/>
  <c r="H3568"/>
  <c r="D3561"/>
  <c r="O3561" s="1"/>
  <c r="F3561"/>
  <c r="H3561"/>
  <c r="K3561"/>
  <c r="D3559"/>
  <c r="O3559" s="1"/>
  <c r="F3559"/>
  <c r="H3559"/>
  <c r="K3559"/>
  <c r="D3555"/>
  <c r="O3555" s="1"/>
  <c r="L3555"/>
  <c r="D3553"/>
  <c r="O3553" s="1"/>
  <c r="F3553"/>
  <c r="H3553"/>
  <c r="K3553"/>
  <c r="F3548"/>
  <c r="L3548"/>
  <c r="G3547"/>
  <c r="D3544"/>
  <c r="O3544" s="1"/>
  <c r="D3536"/>
  <c r="O3536" s="1"/>
  <c r="F3536"/>
  <c r="H3536"/>
  <c r="L3536"/>
  <c r="D3533"/>
  <c r="O3533" s="1"/>
  <c r="L3533"/>
  <c r="F3531"/>
  <c r="K3531"/>
  <c r="D3529"/>
  <c r="O3529" s="1"/>
  <c r="F3529"/>
  <c r="H3529"/>
  <c r="K3529"/>
  <c r="D3711"/>
  <c r="O3711" s="1"/>
  <c r="H3711"/>
  <c r="D3707"/>
  <c r="O3707" s="1"/>
  <c r="G3707"/>
  <c r="L3707"/>
  <c r="F3700"/>
  <c r="K3700"/>
  <c r="D3693"/>
  <c r="O3693" s="1"/>
  <c r="F3693"/>
  <c r="H3693"/>
  <c r="L3693"/>
  <c r="L3690"/>
  <c r="F3686"/>
  <c r="K3686"/>
  <c r="D3685"/>
  <c r="O3685" s="1"/>
  <c r="G3685"/>
  <c r="K3685"/>
  <c r="D3680"/>
  <c r="O3680" s="1"/>
  <c r="F3680"/>
  <c r="H3680"/>
  <c r="K3680"/>
  <c r="D3676"/>
  <c r="O3676" s="1"/>
  <c r="D3668"/>
  <c r="O3668" s="1"/>
  <c r="G3668"/>
  <c r="L3668"/>
  <c r="D3665"/>
  <c r="O3665" s="1"/>
  <c r="G3665"/>
  <c r="L3665"/>
  <c r="D3664"/>
  <c r="O3664" s="1"/>
  <c r="G3664"/>
  <c r="K3664"/>
  <c r="D3657"/>
  <c r="O3657" s="1"/>
  <c r="H3657"/>
  <c r="D3655"/>
  <c r="O3655" s="1"/>
  <c r="G3655"/>
  <c r="L3655"/>
  <c r="K3653"/>
  <c r="L3649"/>
  <c r="F3645"/>
  <c r="L3645"/>
  <c r="F3641"/>
  <c r="L3641"/>
  <c r="L3637"/>
  <c r="D3633"/>
  <c r="O3633" s="1"/>
  <c r="G3633"/>
  <c r="L3633"/>
  <c r="D3629"/>
  <c r="O3629" s="1"/>
  <c r="G3629"/>
  <c r="L3629"/>
  <c r="F3624"/>
  <c r="L3624"/>
  <c r="G3620"/>
  <c r="D3614"/>
  <c r="O3614" s="1"/>
  <c r="F3614"/>
  <c r="H3614"/>
  <c r="L3614"/>
  <c r="D3609"/>
  <c r="O3609" s="1"/>
  <c r="G3609"/>
  <c r="L3609"/>
  <c r="D3603"/>
  <c r="O3603" s="1"/>
  <c r="F3603"/>
  <c r="H3603"/>
  <c r="L3603"/>
  <c r="F3599"/>
  <c r="K3599"/>
  <c r="D3596"/>
  <c r="O3596" s="1"/>
  <c r="F3596"/>
  <c r="H3596"/>
  <c r="K3596"/>
  <c r="D3594"/>
  <c r="O3594" s="1"/>
  <c r="F3594"/>
  <c r="H3594"/>
  <c r="K3594"/>
  <c r="F3591"/>
  <c r="L3591"/>
  <c r="D3588"/>
  <c r="O3588" s="1"/>
  <c r="F3588"/>
  <c r="H3588"/>
  <c r="K3588"/>
  <c r="D3584"/>
  <c r="O3584" s="1"/>
  <c r="F3584"/>
  <c r="H3584"/>
  <c r="L3584"/>
  <c r="G3578"/>
  <c r="D3576"/>
  <c r="O3576" s="1"/>
  <c r="F3576"/>
  <c r="H3576"/>
  <c r="K3576"/>
  <c r="D3575"/>
  <c r="O3575" s="1"/>
  <c r="K3575"/>
  <c r="D3569"/>
  <c r="O3569" s="1"/>
  <c r="F3569"/>
  <c r="H3569"/>
  <c r="K3569"/>
  <c r="D3562"/>
  <c r="O3562" s="1"/>
  <c r="F3562"/>
  <c r="H3562"/>
  <c r="L3562"/>
  <c r="F3560"/>
  <c r="K3560"/>
  <c r="D3557"/>
  <c r="O3557" s="1"/>
  <c r="F3557"/>
  <c r="H3557"/>
  <c r="L3557"/>
  <c r="F3554"/>
  <c r="K3554"/>
  <c r="D3551"/>
  <c r="O3551" s="1"/>
  <c r="F3551"/>
  <c r="H3551"/>
  <c r="L3551"/>
  <c r="G3546"/>
  <c r="G3538"/>
  <c r="D3532"/>
  <c r="O3532" s="1"/>
  <c r="H3532"/>
  <c r="D3530"/>
  <c r="O3530" s="1"/>
  <c r="H3530"/>
  <c r="L3798"/>
  <c r="G3798"/>
  <c r="L3796"/>
  <c r="H3796"/>
  <c r="F3796"/>
  <c r="K3795"/>
  <c r="H3795"/>
  <c r="F3795"/>
  <c r="L3790"/>
  <c r="K3789"/>
  <c r="H3789"/>
  <c r="F3789"/>
  <c r="H3786"/>
  <c r="L3783"/>
  <c r="G3783"/>
  <c r="K3782"/>
  <c r="F3782"/>
  <c r="K3781"/>
  <c r="H3781"/>
  <c r="F3781"/>
  <c r="L3776"/>
  <c r="H3776"/>
  <c r="F3776"/>
  <c r="L3773"/>
  <c r="H3773"/>
  <c r="F3773"/>
  <c r="L3771"/>
  <c r="H3771"/>
  <c r="F3771"/>
  <c r="L3769"/>
  <c r="H3769"/>
  <c r="F3769"/>
  <c r="H3767"/>
  <c r="H3766"/>
  <c r="L3762"/>
  <c r="G3762"/>
  <c r="K3761"/>
  <c r="H3761"/>
  <c r="F3761"/>
  <c r="K3760"/>
  <c r="H3760"/>
  <c r="F3760"/>
  <c r="K3759"/>
  <c r="H3759"/>
  <c r="F3759"/>
  <c r="K3758"/>
  <c r="G3758"/>
  <c r="L3750"/>
  <c r="H3750"/>
  <c r="F3750"/>
  <c r="L3748"/>
  <c r="H3748"/>
  <c r="F3748"/>
  <c r="F3746"/>
  <c r="L3744"/>
  <c r="H3744"/>
  <c r="F3744"/>
  <c r="L3742"/>
  <c r="G3741"/>
  <c r="K3739"/>
  <c r="H3739"/>
  <c r="F3739"/>
  <c r="K3738"/>
  <c r="H3738"/>
  <c r="F3738"/>
  <c r="L3729"/>
  <c r="H3729"/>
  <c r="F3729"/>
  <c r="H3727"/>
  <c r="L3724"/>
  <c r="G3724"/>
  <c r="L3720"/>
  <c r="H3720"/>
  <c r="F3720"/>
  <c r="L3718"/>
  <c r="H3718"/>
  <c r="F3718"/>
  <c r="K3717"/>
  <c r="G3717"/>
  <c r="L3715"/>
  <c r="H3715"/>
  <c r="F3715"/>
  <c r="G3712"/>
  <c r="G3705"/>
  <c r="K3699"/>
  <c r="H3698"/>
  <c r="G3687"/>
  <c r="G3683"/>
  <c r="H3682"/>
  <c r="L3658"/>
  <c r="G3658"/>
  <c r="G3654"/>
  <c r="G3651"/>
  <c r="G3648"/>
  <c r="H3647"/>
  <c r="G3643"/>
  <c r="G3639"/>
  <c r="L3623"/>
  <c r="G3618"/>
  <c r="G3605"/>
  <c r="G3600"/>
  <c r="L3598"/>
  <c r="H3597"/>
  <c r="L3595"/>
  <c r="G3595"/>
  <c r="G3593"/>
  <c r="G3589"/>
  <c r="L3577"/>
  <c r="G3573"/>
  <c r="G3568"/>
  <c r="L3561"/>
  <c r="G3561"/>
  <c r="L3559"/>
  <c r="G3559"/>
  <c r="L3553"/>
  <c r="G3553"/>
  <c r="G3548"/>
  <c r="G3544"/>
  <c r="G3536"/>
  <c r="L3531"/>
  <c r="L3529"/>
  <c r="G3529"/>
  <c r="H3522"/>
  <c r="F3384"/>
  <c r="F3373"/>
  <c r="H3508"/>
  <c r="F3508"/>
  <c r="H3507"/>
  <c r="K3506"/>
  <c r="H3506"/>
  <c r="F3506"/>
  <c r="F3498"/>
  <c r="H3477"/>
  <c r="L3474"/>
  <c r="G3474"/>
  <c r="G3473"/>
  <c r="K3454"/>
  <c r="F3454"/>
  <c r="K3444"/>
  <c r="G3444"/>
  <c r="H3441"/>
  <c r="I2799"/>
  <c r="I2798"/>
  <c r="K2794"/>
  <c r="K2792"/>
  <c r="K2788"/>
  <c r="G2788"/>
  <c r="K2778"/>
  <c r="G2778"/>
  <c r="K2775"/>
  <c r="K2773"/>
  <c r="K2771"/>
  <c r="K2769"/>
  <c r="I2767"/>
  <c r="I2766"/>
  <c r="I2764"/>
  <c r="I2763"/>
  <c r="I2762"/>
  <c r="I2761"/>
  <c r="K2759"/>
  <c r="I2755"/>
  <c r="I2752"/>
  <c r="K2750"/>
  <c r="K2748"/>
  <c r="K2746"/>
  <c r="K2744"/>
  <c r="K2742"/>
  <c r="I2739"/>
  <c r="K2737"/>
  <c r="I2733"/>
  <c r="I2731"/>
  <c r="K2729"/>
  <c r="K2727"/>
  <c r="I2725"/>
  <c r="I2722"/>
  <c r="K2720"/>
  <c r="K2718"/>
  <c r="K2716"/>
  <c r="I2715"/>
  <c r="I2714"/>
  <c r="I2713"/>
  <c r="I2712"/>
  <c r="I2710"/>
  <c r="I2709"/>
  <c r="I2708"/>
  <c r="K2706"/>
  <c r="I2704"/>
  <c r="I2702"/>
  <c r="I2701"/>
  <c r="K2697"/>
  <c r="K2693"/>
  <c r="K2689"/>
  <c r="K2685"/>
  <c r="K2682"/>
  <c r="K2679"/>
  <c r="G2679"/>
  <c r="I2678"/>
  <c r="I2675"/>
  <c r="I2674"/>
  <c r="I2673"/>
  <c r="I2672"/>
  <c r="I2671"/>
  <c r="I2670"/>
  <c r="I2669"/>
  <c r="I2668"/>
  <c r="I2667"/>
  <c r="I2666"/>
  <c r="I2660"/>
  <c r="I2658"/>
  <c r="K2652"/>
  <c r="K2650"/>
  <c r="K2647"/>
  <c r="K2645"/>
  <c r="K2643"/>
  <c r="G2643"/>
  <c r="K2640"/>
  <c r="K2638"/>
  <c r="K2636"/>
  <c r="I2626"/>
  <c r="K2624"/>
  <c r="G2624"/>
  <c r="I2621"/>
  <c r="K2619"/>
  <c r="K2617"/>
  <c r="K2615"/>
  <c r="K2613"/>
  <c r="I2610"/>
  <c r="I2608"/>
  <c r="I2607"/>
  <c r="K2604"/>
  <c r="K2602"/>
  <c r="I2600"/>
  <c r="K2598"/>
  <c r="I2594"/>
  <c r="K2592"/>
  <c r="K2590"/>
  <c r="I2589"/>
  <c r="K2587"/>
  <c r="I2586"/>
  <c r="K2575"/>
  <c r="K2573"/>
  <c r="I2571"/>
  <c r="I2570"/>
  <c r="I2569"/>
  <c r="I2568"/>
  <c r="I2567"/>
  <c r="I2566"/>
  <c r="K2563"/>
  <c r="K2558"/>
  <c r="I2556"/>
  <c r="I2555"/>
  <c r="K2553"/>
  <c r="K2551"/>
  <c r="K2549"/>
  <c r="K2547"/>
  <c r="K2544"/>
  <c r="K2542"/>
  <c r="I2539"/>
  <c r="K2537"/>
  <c r="K2535"/>
  <c r="G2535"/>
  <c r="I2533"/>
  <c r="I2532"/>
  <c r="I2531"/>
  <c r="K2529"/>
  <c r="I2524"/>
  <c r="I2522"/>
  <c r="I2520"/>
  <c r="I2518"/>
  <c r="K2514"/>
  <c r="K2512"/>
  <c r="K2510"/>
  <c r="K2508"/>
  <c r="G2508"/>
  <c r="I2507"/>
  <c r="K2504"/>
  <c r="K2502"/>
  <c r="K2500"/>
  <c r="K2498"/>
  <c r="K2493"/>
  <c r="K2491"/>
  <c r="I2489"/>
  <c r="K2479"/>
  <c r="K2477"/>
  <c r="G2477"/>
  <c r="K2473"/>
  <c r="G2473"/>
  <c r="K2470"/>
  <c r="K2468"/>
  <c r="K2466"/>
  <c r="K2464"/>
  <c r="I2455"/>
  <c r="K2444"/>
  <c r="G2444"/>
  <c r="K2441"/>
  <c r="K2439"/>
  <c r="K2437"/>
  <c r="K2435"/>
  <c r="K2433"/>
  <c r="K2431"/>
  <c r="K2429"/>
  <c r="I2428"/>
  <c r="K2427"/>
  <c r="K2425"/>
  <c r="L2422"/>
  <c r="I2421"/>
  <c r="L2419"/>
  <c r="I2419"/>
  <c r="L2407"/>
  <c r="J2407"/>
  <c r="K2396"/>
  <c r="K2385"/>
  <c r="L2341"/>
  <c r="I2341"/>
  <c r="K2308"/>
  <c r="I2275"/>
  <c r="K2253"/>
  <c r="F3798"/>
  <c r="H3794"/>
  <c r="F3794"/>
  <c r="K3780"/>
  <c r="H3780"/>
  <c r="F3780"/>
  <c r="L3699"/>
  <c r="F3699"/>
  <c r="F3682"/>
  <c r="F3547"/>
  <c r="H3546"/>
  <c r="K3543"/>
  <c r="H3542"/>
  <c r="H3539"/>
  <c r="K3538"/>
  <c r="F3538"/>
  <c r="K3534"/>
  <c r="H3534"/>
  <c r="F3534"/>
  <c r="H3533"/>
  <c r="F3521"/>
  <c r="K3520"/>
  <c r="H3520"/>
  <c r="F3520"/>
  <c r="K3797"/>
  <c r="F3797"/>
  <c r="K3783"/>
  <c r="H3783"/>
  <c r="F3783"/>
  <c r="K3778"/>
  <c r="H3778"/>
  <c r="F3778"/>
  <c r="K3762"/>
  <c r="H3762"/>
  <c r="F3762"/>
  <c r="K3736"/>
  <c r="F3736"/>
  <c r="K3714"/>
  <c r="H3714"/>
  <c r="F3714"/>
  <c r="F3698"/>
  <c r="H3694"/>
  <c r="F3694"/>
  <c r="K3668"/>
  <c r="H3668"/>
  <c r="F3668"/>
  <c r="H3666"/>
  <c r="F3666"/>
  <c r="H3660"/>
  <c r="F3660"/>
  <c r="F3656"/>
  <c r="K3655"/>
  <c r="H3655"/>
  <c r="F3655"/>
  <c r="F3613"/>
  <c r="K3587"/>
  <c r="H3587"/>
  <c r="F3587"/>
  <c r="K3586"/>
  <c r="H3586"/>
  <c r="F3586"/>
  <c r="K3570"/>
  <c r="H3570"/>
  <c r="F3570"/>
  <c r="F3564"/>
  <c r="F3512"/>
  <c r="K3511"/>
  <c r="H3511"/>
  <c r="F3511"/>
  <c r="L3504"/>
  <c r="G3504"/>
  <c r="K3503"/>
  <c r="H3503"/>
  <c r="F3503"/>
  <c r="K3502"/>
  <c r="H3502"/>
  <c r="F3502"/>
  <c r="K3501"/>
  <c r="H3501"/>
  <c r="F3501"/>
  <c r="K3500"/>
  <c r="H3500"/>
  <c r="F3500"/>
  <c r="K3499"/>
  <c r="H3499"/>
  <c r="F3499"/>
  <c r="L3495"/>
  <c r="H3495"/>
  <c r="F3495"/>
  <c r="L3493"/>
  <c r="G3493"/>
  <c r="K3492"/>
  <c r="H3492"/>
  <c r="F3492"/>
  <c r="K3491"/>
  <c r="H3491"/>
  <c r="F3491"/>
  <c r="K3480"/>
  <c r="H3480"/>
  <c r="F3480"/>
  <c r="K3479"/>
  <c r="H3479"/>
  <c r="F3479"/>
  <c r="L3477"/>
  <c r="G3477"/>
  <c r="H3476"/>
  <c r="K3475"/>
  <c r="H3475"/>
  <c r="F3475"/>
  <c r="K3474"/>
  <c r="H3474"/>
  <c r="F3474"/>
  <c r="K3473"/>
  <c r="H3473"/>
  <c r="F3473"/>
  <c r="K3472"/>
  <c r="H3472"/>
  <c r="F3472"/>
  <c r="K3471"/>
  <c r="H3471"/>
  <c r="F3471"/>
  <c r="K3470"/>
  <c r="H3470"/>
  <c r="F3470"/>
  <c r="K3469"/>
  <c r="H3469"/>
  <c r="F3469"/>
  <c r="K3468"/>
  <c r="H3468"/>
  <c r="F3468"/>
  <c r="K3467"/>
  <c r="H3467"/>
  <c r="F3467"/>
  <c r="L3466"/>
  <c r="G3466"/>
  <c r="K3465"/>
  <c r="F3465"/>
  <c r="K3464"/>
  <c r="H3464"/>
  <c r="F3464"/>
  <c r="K3453"/>
  <c r="H3453"/>
  <c r="F3453"/>
  <c r="L3451"/>
  <c r="G3451"/>
  <c r="K3450"/>
  <c r="H3450"/>
  <c r="F3450"/>
  <c r="K3449"/>
  <c r="H3449"/>
  <c r="F3449"/>
  <c r="K3448"/>
  <c r="H3448"/>
  <c r="F3448"/>
  <c r="K3447"/>
  <c r="H3447"/>
  <c r="F3447"/>
  <c r="K3446"/>
  <c r="H3446"/>
  <c r="F3446"/>
  <c r="K3445"/>
  <c r="H3445"/>
  <c r="F3445"/>
  <c r="G3443"/>
  <c r="G3439"/>
  <c r="H3438"/>
  <c r="L3436"/>
  <c r="L3429"/>
  <c r="G3429"/>
  <c r="K3428"/>
  <c r="H3428"/>
  <c r="F3428"/>
  <c r="L3425"/>
  <c r="G3425"/>
  <c r="F3424"/>
  <c r="K3423"/>
  <c r="H3423"/>
  <c r="F3423"/>
  <c r="K3422"/>
  <c r="F3422"/>
  <c r="K3421"/>
  <c r="H3421"/>
  <c r="F3421"/>
  <c r="K3420"/>
  <c r="H3420"/>
  <c r="F3420"/>
  <c r="H3419"/>
  <c r="K3418"/>
  <c r="L3417"/>
  <c r="H3417"/>
  <c r="F3417"/>
  <c r="H3318"/>
  <c r="H3307"/>
  <c r="F3296"/>
  <c r="L3252"/>
  <c r="G3252"/>
  <c r="K3241"/>
  <c r="G3241"/>
  <c r="I2800"/>
  <c r="I2797"/>
  <c r="I2795"/>
  <c r="I2794"/>
  <c r="I2793"/>
  <c r="I2792"/>
  <c r="I2791"/>
  <c r="K2711"/>
  <c r="G2711"/>
  <c r="K2707"/>
  <c r="G2707"/>
  <c r="I2706"/>
  <c r="I2705"/>
  <c r="K2703"/>
  <c r="G2703"/>
  <c r="L2701"/>
  <c r="J2701"/>
  <c r="H2701"/>
  <c r="I2699"/>
  <c r="K2695"/>
  <c r="K2691"/>
  <c r="K2687"/>
  <c r="I2685"/>
  <c r="I2683"/>
  <c r="I2682"/>
  <c r="I2680"/>
  <c r="I2677"/>
  <c r="I2676"/>
  <c r="I2665"/>
  <c r="K2660"/>
  <c r="G2660"/>
  <c r="K2658"/>
  <c r="G2658"/>
  <c r="I2653"/>
  <c r="I2652"/>
  <c r="I2651"/>
  <c r="I2650"/>
  <c r="I2648"/>
  <c r="I2647"/>
  <c r="I2646"/>
  <c r="I2645"/>
  <c r="I2644"/>
  <c r="I2642"/>
  <c r="I2641"/>
  <c r="I2640"/>
  <c r="I2639"/>
  <c r="I2638"/>
  <c r="I2637"/>
  <c r="I2636"/>
  <c r="I2635"/>
  <c r="K2588"/>
  <c r="G2588"/>
  <c r="I2587"/>
  <c r="I2576"/>
  <c r="I2575"/>
  <c r="I2574"/>
  <c r="I2573"/>
  <c r="I2572"/>
  <c r="I2565"/>
  <c r="I2564"/>
  <c r="I2563"/>
  <c r="I2559"/>
  <c r="I2558"/>
  <c r="I2557"/>
  <c r="K2554"/>
  <c r="G2554"/>
  <c r="I2553"/>
  <c r="I2552"/>
  <c r="I2551"/>
  <c r="I2550"/>
  <c r="I2549"/>
  <c r="I2548"/>
  <c r="I2547"/>
  <c r="I2545"/>
  <c r="I2544"/>
  <c r="I2543"/>
  <c r="I2542"/>
  <c r="K2539"/>
  <c r="G2539"/>
  <c r="I2538"/>
  <c r="I2537"/>
  <c r="I2536"/>
  <c r="K2534"/>
  <c r="G2534"/>
  <c r="K2530"/>
  <c r="G2530"/>
  <c r="I2529"/>
  <c r="K2524"/>
  <c r="G2524"/>
  <c r="K2522"/>
  <c r="G2522"/>
  <c r="K2520"/>
  <c r="G2520"/>
  <c r="K2518"/>
  <c r="G2518"/>
  <c r="I2515"/>
  <c r="I2514"/>
  <c r="I2513"/>
  <c r="I2512"/>
  <c r="I2511"/>
  <c r="I2510"/>
  <c r="I2509"/>
  <c r="I2506"/>
  <c r="I2505"/>
  <c r="I2504"/>
  <c r="I2503"/>
  <c r="I2502"/>
  <c r="I2501"/>
  <c r="I2500"/>
  <c r="I2499"/>
  <c r="I2498"/>
  <c r="I2494"/>
  <c r="I2493"/>
  <c r="I2492"/>
  <c r="I2491"/>
  <c r="K2489"/>
  <c r="G2489"/>
  <c r="I2480"/>
  <c r="I2479"/>
  <c r="I2478"/>
  <c r="I2476"/>
  <c r="I2474"/>
  <c r="I2472"/>
  <c r="I2471"/>
  <c r="I2470"/>
  <c r="I2469"/>
  <c r="I2468"/>
  <c r="I2467"/>
  <c r="I2466"/>
  <c r="I2465"/>
  <c r="I2464"/>
  <c r="I2463"/>
  <c r="I2460"/>
  <c r="I2458"/>
  <c r="I2427"/>
  <c r="L2425"/>
  <c r="I2425"/>
  <c r="I2423"/>
  <c r="I2422"/>
  <c r="I2396"/>
  <c r="I2352"/>
  <c r="L2330"/>
  <c r="I2330"/>
  <c r="K2319"/>
  <c r="I2319"/>
  <c r="I2308"/>
  <c r="I2297"/>
  <c r="I2789"/>
  <c r="I2787"/>
  <c r="I2779"/>
  <c r="I2777"/>
  <c r="I2776"/>
  <c r="I2775"/>
  <c r="I2774"/>
  <c r="I2773"/>
  <c r="I2772"/>
  <c r="I2771"/>
  <c r="I2770"/>
  <c r="I2769"/>
  <c r="I2768"/>
  <c r="K2765"/>
  <c r="G2765"/>
  <c r="K2760"/>
  <c r="G2760"/>
  <c r="I2759"/>
  <c r="K2755"/>
  <c r="G2755"/>
  <c r="K2752"/>
  <c r="G2752"/>
  <c r="I2751"/>
  <c r="I2750"/>
  <c r="I2749"/>
  <c r="I2748"/>
  <c r="I2747"/>
  <c r="I2746"/>
  <c r="I2745"/>
  <c r="I2744"/>
  <c r="I2743"/>
  <c r="I2742"/>
  <c r="K2739"/>
  <c r="G2739"/>
  <c r="I2738"/>
  <c r="I2737"/>
  <c r="K2733"/>
  <c r="G2733"/>
  <c r="K2731"/>
  <c r="G2731"/>
  <c r="I2730"/>
  <c r="I2729"/>
  <c r="I2728"/>
  <c r="I2727"/>
  <c r="K2725"/>
  <c r="G2725"/>
  <c r="K2722"/>
  <c r="G2722"/>
  <c r="I2721"/>
  <c r="I2720"/>
  <c r="I2719"/>
  <c r="I2718"/>
  <c r="I2717"/>
  <c r="I2716"/>
  <c r="K2626"/>
  <c r="G2626"/>
  <c r="I2625"/>
  <c r="I2623"/>
  <c r="I2622"/>
  <c r="K2620"/>
  <c r="G2620"/>
  <c r="I2619"/>
  <c r="I2618"/>
  <c r="I2617"/>
  <c r="I2616"/>
  <c r="I2615"/>
  <c r="I2614"/>
  <c r="I2613"/>
  <c r="K2610"/>
  <c r="G2610"/>
  <c r="I2609"/>
  <c r="I2606"/>
  <c r="I2605"/>
  <c r="I2604"/>
  <c r="I2603"/>
  <c r="I2602"/>
  <c r="I2601"/>
  <c r="K2599"/>
  <c r="G2599"/>
  <c r="I2598"/>
  <c r="K2594"/>
  <c r="G2594"/>
  <c r="I2593"/>
  <c r="I2592"/>
  <c r="I2591"/>
  <c r="I2590"/>
  <c r="I2585"/>
  <c r="I2584"/>
  <c r="G2461"/>
  <c r="G2459"/>
  <c r="K2455"/>
  <c r="G2455"/>
  <c r="I2445"/>
  <c r="I2443"/>
  <c r="I2442"/>
  <c r="I2441"/>
  <c r="I2440"/>
  <c r="I2439"/>
  <c r="I2438"/>
  <c r="I2437"/>
  <c r="I2436"/>
  <c r="I2435"/>
  <c r="I2434"/>
  <c r="I2433"/>
  <c r="I2432"/>
  <c r="I2431"/>
  <c r="I2430"/>
  <c r="I2429"/>
  <c r="L2420"/>
  <c r="I2420"/>
  <c r="J2418"/>
  <c r="G2418"/>
  <c r="I2407"/>
  <c r="I2385"/>
  <c r="G2374"/>
  <c r="K2275"/>
  <c r="G2275"/>
  <c r="I2264"/>
  <c r="I2253"/>
  <c r="I2242"/>
  <c r="F3793"/>
  <c r="F3791"/>
  <c r="F3765"/>
  <c r="F3758"/>
  <c r="F3785"/>
  <c r="F3708"/>
  <c r="F3707"/>
  <c r="F3706"/>
  <c r="F3685"/>
  <c r="F3665"/>
  <c r="F3664"/>
  <c r="F3663"/>
  <c r="F3659"/>
  <c r="F3504"/>
  <c r="F3493"/>
  <c r="F3477"/>
  <c r="F3466"/>
  <c r="F3463"/>
  <c r="F3436"/>
  <c r="F3435"/>
  <c r="K2799"/>
  <c r="G2799"/>
  <c r="K2797"/>
  <c r="G2797"/>
  <c r="K2795"/>
  <c r="G2795"/>
  <c r="G2793"/>
  <c r="G2791"/>
  <c r="K2789"/>
  <c r="G2789"/>
  <c r="K2787"/>
  <c r="G2787"/>
  <c r="G2785"/>
  <c r="G2783"/>
  <c r="G2781"/>
  <c r="K2779"/>
  <c r="G2779"/>
  <c r="K2777"/>
  <c r="G2777"/>
  <c r="G2775"/>
  <c r="G2773"/>
  <c r="G2771"/>
  <c r="G2769"/>
  <c r="K2767"/>
  <c r="G2767"/>
  <c r="G2763"/>
  <c r="G2761"/>
  <c r="G2759"/>
  <c r="G2757"/>
  <c r="G2753"/>
  <c r="G2751"/>
  <c r="G2749"/>
  <c r="G2747"/>
  <c r="G2745"/>
  <c r="G2743"/>
  <c r="G2737"/>
  <c r="G2735"/>
  <c r="G2729"/>
  <c r="G2727"/>
  <c r="G2723"/>
  <c r="G2721"/>
  <c r="G2719"/>
  <c r="G2717"/>
  <c r="G2715"/>
  <c r="G2713"/>
  <c r="G2709"/>
  <c r="G2705"/>
  <c r="I2700"/>
  <c r="I2698"/>
  <c r="I2696"/>
  <c r="I2694"/>
  <c r="I2692"/>
  <c r="I2690"/>
  <c r="I2688"/>
  <c r="I2686"/>
  <c r="I2684"/>
  <c r="G2682"/>
  <c r="K2680"/>
  <c r="G2680"/>
  <c r="G2678"/>
  <c r="G2676"/>
  <c r="G2674"/>
  <c r="G2672"/>
  <c r="G2670"/>
  <c r="G2668"/>
  <c r="G2666"/>
  <c r="G2662"/>
  <c r="G2656"/>
  <c r="G2654"/>
  <c r="G2652"/>
  <c r="G2650"/>
  <c r="K2648"/>
  <c r="G2648"/>
  <c r="G2646"/>
  <c r="G2644"/>
  <c r="K2642"/>
  <c r="G2642"/>
  <c r="G2640"/>
  <c r="G2638"/>
  <c r="G2636"/>
  <c r="G2634"/>
  <c r="G2632"/>
  <c r="G2630"/>
  <c r="G2628"/>
  <c r="G2622"/>
  <c r="G2618"/>
  <c r="G2616"/>
  <c r="G2614"/>
  <c r="K2608"/>
  <c r="G2608"/>
  <c r="K2606"/>
  <c r="G2606"/>
  <c r="G2604"/>
  <c r="G2602"/>
  <c r="K2600"/>
  <c r="G2600"/>
  <c r="G2598"/>
  <c r="G2596"/>
  <c r="G2592"/>
  <c r="G2590"/>
  <c r="G2586"/>
  <c r="G2584"/>
  <c r="G2582"/>
  <c r="G2580"/>
  <c r="G2578"/>
  <c r="K2576"/>
  <c r="G2576"/>
  <c r="G2574"/>
  <c r="G2572"/>
  <c r="G2570"/>
  <c r="G2568"/>
  <c r="G2566"/>
  <c r="G2564"/>
  <c r="G2560"/>
  <c r="G2558"/>
  <c r="K2556"/>
  <c r="G2556"/>
  <c r="G2552"/>
  <c r="G2550"/>
  <c r="G2548"/>
  <c r="G2544"/>
  <c r="G2542"/>
  <c r="G2540"/>
  <c r="G2538"/>
  <c r="G2536"/>
  <c r="G2532"/>
  <c r="G2526"/>
  <c r="G2516"/>
  <c r="G2514"/>
  <c r="G2512"/>
  <c r="G2510"/>
  <c r="K2506"/>
  <c r="G2506"/>
  <c r="G2504"/>
  <c r="G2502"/>
  <c r="G2500"/>
  <c r="G2498"/>
  <c r="I2496"/>
  <c r="K2494"/>
  <c r="G2494"/>
  <c r="G2492"/>
  <c r="K2490"/>
  <c r="G2490"/>
  <c r="K2488"/>
  <c r="G2488"/>
  <c r="G2486"/>
  <c r="G2484"/>
  <c r="G2482"/>
  <c r="K2480"/>
  <c r="G2480"/>
  <c r="G2478"/>
  <c r="K2476"/>
  <c r="G2476"/>
  <c r="K2474"/>
  <c r="G2474"/>
  <c r="K2472"/>
  <c r="G2472"/>
  <c r="G2470"/>
  <c r="G2468"/>
  <c r="G2466"/>
  <c r="G2464"/>
  <c r="G2462"/>
  <c r="K2460"/>
  <c r="G2460"/>
  <c r="K2458"/>
  <c r="G2458"/>
  <c r="G2456"/>
  <c r="K2454"/>
  <c r="G2454"/>
  <c r="G2452"/>
  <c r="G2450"/>
  <c r="G2448"/>
  <c r="G2446"/>
  <c r="G2442"/>
  <c r="G2440"/>
  <c r="G2438"/>
  <c r="G2436"/>
  <c r="G2434"/>
  <c r="G2432"/>
  <c r="G2430"/>
  <c r="G2428"/>
  <c r="G2427"/>
  <c r="J2419"/>
  <c r="G2419"/>
  <c r="G2407"/>
  <c r="G2396"/>
  <c r="G2385"/>
  <c r="K2352"/>
  <c r="G2352"/>
  <c r="G2341"/>
  <c r="G2330"/>
  <c r="G2308"/>
  <c r="G2286"/>
  <c r="G2264"/>
  <c r="G2242"/>
  <c r="F3724"/>
  <c r="F3723"/>
  <c r="F3717"/>
  <c r="F3690"/>
  <c r="F3510"/>
  <c r="F3425"/>
  <c r="G2800"/>
  <c r="G2798"/>
  <c r="G2794"/>
  <c r="G2792"/>
  <c r="G2790"/>
  <c r="G2784"/>
  <c r="G2782"/>
  <c r="G2780"/>
  <c r="G2776"/>
  <c r="G2774"/>
  <c r="G2772"/>
  <c r="G2770"/>
  <c r="G2768"/>
  <c r="G2766"/>
  <c r="K2764"/>
  <c r="G2764"/>
  <c r="G2762"/>
  <c r="K2758"/>
  <c r="G2758"/>
  <c r="G2756"/>
  <c r="G2750"/>
  <c r="G2748"/>
  <c r="G2746"/>
  <c r="G2744"/>
  <c r="G2742"/>
  <c r="G2740"/>
  <c r="G2738"/>
  <c r="K2736"/>
  <c r="G2736"/>
  <c r="G2734"/>
  <c r="K2732"/>
  <c r="G2732"/>
  <c r="G2730"/>
  <c r="G2728"/>
  <c r="K2726"/>
  <c r="G2726"/>
  <c r="K2724"/>
  <c r="G2724"/>
  <c r="G2720"/>
  <c r="G2718"/>
  <c r="G2716"/>
  <c r="G2714"/>
  <c r="G2712"/>
  <c r="K2710"/>
  <c r="G2710"/>
  <c r="G2708"/>
  <c r="G2706"/>
  <c r="K2704"/>
  <c r="G2704"/>
  <c r="K2702"/>
  <c r="G2702"/>
  <c r="K2677"/>
  <c r="G2677"/>
  <c r="K2675"/>
  <c r="G2675"/>
  <c r="G2673"/>
  <c r="G2671"/>
  <c r="G2669"/>
  <c r="G2667"/>
  <c r="K2665"/>
  <c r="G2665"/>
  <c r="G2663"/>
  <c r="G2661"/>
  <c r="K2659"/>
  <c r="G2659"/>
  <c r="K2657"/>
  <c r="G2657"/>
  <c r="G2655"/>
  <c r="K2653"/>
  <c r="G2653"/>
  <c r="G2651"/>
  <c r="G2647"/>
  <c r="G2645"/>
  <c r="G2641"/>
  <c r="G2639"/>
  <c r="G2637"/>
  <c r="G2635"/>
  <c r="G2633"/>
  <c r="G2631"/>
  <c r="G2629"/>
  <c r="G2627"/>
  <c r="G2625"/>
  <c r="K2623"/>
  <c r="G2623"/>
  <c r="K2621"/>
  <c r="G2621"/>
  <c r="G2619"/>
  <c r="G2617"/>
  <c r="G2615"/>
  <c r="G2613"/>
  <c r="G2611"/>
  <c r="G2609"/>
  <c r="G2607"/>
  <c r="G2605"/>
  <c r="G2603"/>
  <c r="G2601"/>
  <c r="G2595"/>
  <c r="G2593"/>
  <c r="G2591"/>
  <c r="G2589"/>
  <c r="G2587"/>
  <c r="K2585"/>
  <c r="G2585"/>
  <c r="G2583"/>
  <c r="G2581"/>
  <c r="G2579"/>
  <c r="G2577"/>
  <c r="G2575"/>
  <c r="G2573"/>
  <c r="K2571"/>
  <c r="G2571"/>
  <c r="G2569"/>
  <c r="G2567"/>
  <c r="K2565"/>
  <c r="G2565"/>
  <c r="G2563"/>
  <c r="G2561"/>
  <c r="K2559"/>
  <c r="G2559"/>
  <c r="G2557"/>
  <c r="G2555"/>
  <c r="G2553"/>
  <c r="G2551"/>
  <c r="G2549"/>
  <c r="G2547"/>
  <c r="K2545"/>
  <c r="G2545"/>
  <c r="G2543"/>
  <c r="G2537"/>
  <c r="K2533"/>
  <c r="G2533"/>
  <c r="G2531"/>
  <c r="G2529"/>
  <c r="G2527"/>
  <c r="G2525"/>
  <c r="K2523"/>
  <c r="G2523"/>
  <c r="K2521"/>
  <c r="G2521"/>
  <c r="K2519"/>
  <c r="G2519"/>
  <c r="K2517"/>
  <c r="G2517"/>
  <c r="K2515"/>
  <c r="G2515"/>
  <c r="G2513"/>
  <c r="G2511"/>
  <c r="G2509"/>
  <c r="G2507"/>
  <c r="G2505"/>
  <c r="G2503"/>
  <c r="G2501"/>
  <c r="G2499"/>
  <c r="G2493"/>
  <c r="G2491"/>
  <c r="G2487"/>
  <c r="G2485"/>
  <c r="G2483"/>
  <c r="G2481"/>
  <c r="G2479"/>
  <c r="G2471"/>
  <c r="G2469"/>
  <c r="G2467"/>
  <c r="G2465"/>
  <c r="G2463"/>
  <c r="G2457"/>
  <c r="G2453"/>
  <c r="G2451"/>
  <c r="G2449"/>
  <c r="G2447"/>
  <c r="K2445"/>
  <c r="G2445"/>
  <c r="K2443"/>
  <c r="G2443"/>
  <c r="G2441"/>
  <c r="G2439"/>
  <c r="G2437"/>
  <c r="G2435"/>
  <c r="G2433"/>
  <c r="G2431"/>
  <c r="G2429"/>
  <c r="J2426"/>
  <c r="G2426"/>
  <c r="G2425"/>
  <c r="K2423"/>
  <c r="G2423"/>
  <c r="K2422"/>
  <c r="G2422"/>
  <c r="K2421"/>
  <c r="G2421"/>
  <c r="G2420"/>
  <c r="G2363"/>
  <c r="G2319"/>
  <c r="G2297"/>
  <c r="G2253"/>
  <c r="F3799"/>
  <c r="F3741"/>
  <c r="F3695"/>
  <c r="F3667"/>
  <c r="F3647"/>
  <c r="F3642"/>
  <c r="F3633"/>
  <c r="F3632"/>
  <c r="F3629"/>
  <c r="F3628"/>
  <c r="F3621"/>
  <c r="F3619"/>
  <c r="F3616"/>
  <c r="F3615"/>
  <c r="F3610"/>
  <c r="F3609"/>
  <c r="F3601"/>
  <c r="F3597"/>
  <c r="F3583"/>
  <c r="F3578"/>
  <c r="F3575"/>
  <c r="F3571"/>
  <c r="F3563"/>
  <c r="F3555"/>
  <c r="F3549"/>
  <c r="F3545"/>
  <c r="F3513"/>
  <c r="F3505"/>
  <c r="F3478"/>
  <c r="F3452"/>
  <c r="F3451"/>
  <c r="F3444"/>
  <c r="F3443"/>
  <c r="F3442"/>
  <c r="F3439"/>
  <c r="F3429"/>
  <c r="F3427"/>
  <c r="H3362"/>
  <c r="D2701"/>
  <c r="O2701" s="1"/>
  <c r="F2701"/>
  <c r="D2699"/>
  <c r="O2699" s="1"/>
  <c r="F2699"/>
  <c r="H2699"/>
  <c r="J2699"/>
  <c r="L2699"/>
  <c r="D2697"/>
  <c r="O2697" s="1"/>
  <c r="F2697"/>
  <c r="H2697"/>
  <c r="J2697"/>
  <c r="L2697"/>
  <c r="D2695"/>
  <c r="O2695" s="1"/>
  <c r="F2695"/>
  <c r="H2695"/>
  <c r="J2695"/>
  <c r="L2695"/>
  <c r="D2693"/>
  <c r="O2693" s="1"/>
  <c r="F2693"/>
  <c r="H2693"/>
  <c r="J2693"/>
  <c r="L2693"/>
  <c r="D2691"/>
  <c r="O2691" s="1"/>
  <c r="F2691"/>
  <c r="H2691"/>
  <c r="J2691"/>
  <c r="L2691"/>
  <c r="D2689"/>
  <c r="O2689" s="1"/>
  <c r="F2689"/>
  <c r="H2689"/>
  <c r="J2689"/>
  <c r="L2689"/>
  <c r="D2687"/>
  <c r="O2687" s="1"/>
  <c r="F2687"/>
  <c r="H2687"/>
  <c r="J2687"/>
  <c r="L2687"/>
  <c r="D2685"/>
  <c r="O2685" s="1"/>
  <c r="F2685"/>
  <c r="H2685"/>
  <c r="J2685"/>
  <c r="L2685"/>
  <c r="D2683"/>
  <c r="O2683" s="1"/>
  <c r="F2683"/>
  <c r="H2683"/>
  <c r="J2683"/>
  <c r="L2683"/>
  <c r="F3285"/>
  <c r="F3252"/>
  <c r="F3241"/>
  <c r="L2800"/>
  <c r="J2800"/>
  <c r="H2800"/>
  <c r="F2800"/>
  <c r="L2799"/>
  <c r="J2799"/>
  <c r="H2799"/>
  <c r="F2799"/>
  <c r="L2798"/>
  <c r="J2798"/>
  <c r="H2798"/>
  <c r="F2798"/>
  <c r="L2797"/>
  <c r="J2797"/>
  <c r="H2797"/>
  <c r="F2797"/>
  <c r="L2796"/>
  <c r="J2796"/>
  <c r="H2796"/>
  <c r="F2796"/>
  <c r="L2795"/>
  <c r="J2795"/>
  <c r="H2795"/>
  <c r="F2795"/>
  <c r="L2794"/>
  <c r="J2794"/>
  <c r="H2794"/>
  <c r="F2794"/>
  <c r="L2793"/>
  <c r="J2793"/>
  <c r="H2793"/>
  <c r="F2793"/>
  <c r="L2792"/>
  <c r="J2792"/>
  <c r="H2792"/>
  <c r="F2792"/>
  <c r="L2791"/>
  <c r="J2791"/>
  <c r="H2791"/>
  <c r="F2791"/>
  <c r="L2790"/>
  <c r="J2790"/>
  <c r="H2790"/>
  <c r="F2790"/>
  <c r="L2789"/>
  <c r="J2789"/>
  <c r="H2789"/>
  <c r="F2789"/>
  <c r="L2788"/>
  <c r="J2788"/>
  <c r="H2788"/>
  <c r="F2788"/>
  <c r="L2787"/>
  <c r="J2787"/>
  <c r="H2787"/>
  <c r="F2787"/>
  <c r="L2786"/>
  <c r="J2786"/>
  <c r="H2786"/>
  <c r="F2786"/>
  <c r="L2785"/>
  <c r="J2785"/>
  <c r="H2785"/>
  <c r="F2785"/>
  <c r="L2784"/>
  <c r="J2784"/>
  <c r="H2784"/>
  <c r="F2784"/>
  <c r="L2783"/>
  <c r="J2783"/>
  <c r="H2783"/>
  <c r="F2783"/>
  <c r="L2782"/>
  <c r="J2782"/>
  <c r="H2782"/>
  <c r="F2782"/>
  <c r="L2781"/>
  <c r="J2781"/>
  <c r="H2781"/>
  <c r="F2781"/>
  <c r="L2780"/>
  <c r="J2780"/>
  <c r="H2780"/>
  <c r="F2780"/>
  <c r="L2779"/>
  <c r="J2779"/>
  <c r="H2779"/>
  <c r="F2779"/>
  <c r="L2778"/>
  <c r="J2778"/>
  <c r="H2778"/>
  <c r="F2778"/>
  <c r="L2777"/>
  <c r="J2777"/>
  <c r="H2777"/>
  <c r="F2777"/>
  <c r="L2776"/>
  <c r="J2776"/>
  <c r="H2776"/>
  <c r="F2776"/>
  <c r="L2775"/>
  <c r="J2775"/>
  <c r="H2775"/>
  <c r="F2775"/>
  <c r="L2774"/>
  <c r="J2774"/>
  <c r="H2774"/>
  <c r="F2774"/>
  <c r="L2773"/>
  <c r="J2773"/>
  <c r="H2773"/>
  <c r="F2773"/>
  <c r="L2772"/>
  <c r="J2772"/>
  <c r="H2772"/>
  <c r="F2772"/>
  <c r="L2771"/>
  <c r="J2771"/>
  <c r="H2771"/>
  <c r="F2771"/>
  <c r="L2770"/>
  <c r="J2770"/>
  <c r="H2770"/>
  <c r="F2770"/>
  <c r="L2769"/>
  <c r="J2769"/>
  <c r="H2769"/>
  <c r="F2769"/>
  <c r="L2768"/>
  <c r="J2768"/>
  <c r="H2768"/>
  <c r="F2768"/>
  <c r="L2767"/>
  <c r="J2767"/>
  <c r="H2767"/>
  <c r="F2767"/>
  <c r="L2766"/>
  <c r="J2766"/>
  <c r="H2766"/>
  <c r="F2766"/>
  <c r="L2765"/>
  <c r="J2765"/>
  <c r="H2765"/>
  <c r="F2765"/>
  <c r="L2764"/>
  <c r="J2764"/>
  <c r="H2764"/>
  <c r="F2764"/>
  <c r="L2763"/>
  <c r="J2763"/>
  <c r="H2763"/>
  <c r="F2763"/>
  <c r="L2762"/>
  <c r="J2762"/>
  <c r="H2762"/>
  <c r="F2762"/>
  <c r="L2761"/>
  <c r="J2761"/>
  <c r="H2761"/>
  <c r="F2761"/>
  <c r="L2760"/>
  <c r="J2760"/>
  <c r="H2760"/>
  <c r="F2760"/>
  <c r="L2759"/>
  <c r="J2759"/>
  <c r="H2759"/>
  <c r="F2759"/>
  <c r="L2758"/>
  <c r="J2758"/>
  <c r="H2758"/>
  <c r="F2758"/>
  <c r="L2757"/>
  <c r="J2757"/>
  <c r="H2757"/>
  <c r="F2757"/>
  <c r="L2756"/>
  <c r="J2756"/>
  <c r="H2756"/>
  <c r="F2756"/>
  <c r="L2755"/>
  <c r="J2755"/>
  <c r="H2755"/>
  <c r="F2755"/>
  <c r="L2754"/>
  <c r="J2754"/>
  <c r="H2754"/>
  <c r="F2754"/>
  <c r="L2753"/>
  <c r="J2753"/>
  <c r="H2753"/>
  <c r="F2753"/>
  <c r="L2752"/>
  <c r="J2752"/>
  <c r="H2752"/>
  <c r="F2752"/>
  <c r="L2751"/>
  <c r="J2751"/>
  <c r="H2751"/>
  <c r="F2751"/>
  <c r="L2750"/>
  <c r="J2750"/>
  <c r="H2750"/>
  <c r="F2750"/>
  <c r="L2749"/>
  <c r="J2749"/>
  <c r="H2749"/>
  <c r="F2749"/>
  <c r="L2748"/>
  <c r="J2748"/>
  <c r="H2748"/>
  <c r="F2748"/>
  <c r="L2747"/>
  <c r="J2747"/>
  <c r="H2747"/>
  <c r="F2747"/>
  <c r="L2746"/>
  <c r="J2746"/>
  <c r="H2746"/>
  <c r="F2746"/>
  <c r="L2745"/>
  <c r="J2745"/>
  <c r="H2745"/>
  <c r="F2745"/>
  <c r="L2744"/>
  <c r="J2744"/>
  <c r="H2744"/>
  <c r="F2744"/>
  <c r="L2743"/>
  <c r="J2743"/>
  <c r="H2743"/>
  <c r="F2743"/>
  <c r="L2742"/>
  <c r="J2742"/>
  <c r="H2742"/>
  <c r="F2742"/>
  <c r="L2741"/>
  <c r="J2741"/>
  <c r="H2741"/>
  <c r="F2741"/>
  <c r="L2740"/>
  <c r="J2740"/>
  <c r="H2740"/>
  <c r="F2740"/>
  <c r="L2739"/>
  <c r="J2739"/>
  <c r="H2739"/>
  <c r="F2739"/>
  <c r="L2738"/>
  <c r="J2738"/>
  <c r="H2738"/>
  <c r="F2738"/>
  <c r="L2737"/>
  <c r="J2737"/>
  <c r="H2737"/>
  <c r="F2737"/>
  <c r="L2736"/>
  <c r="J2736"/>
  <c r="H2736"/>
  <c r="F2736"/>
  <c r="L2735"/>
  <c r="J2735"/>
  <c r="H2735"/>
  <c r="F2735"/>
  <c r="L2734"/>
  <c r="J2734"/>
  <c r="H2734"/>
  <c r="F2734"/>
  <c r="L2733"/>
  <c r="J2733"/>
  <c r="H2733"/>
  <c r="F2733"/>
  <c r="L2732"/>
  <c r="J2732"/>
  <c r="H2732"/>
  <c r="F2732"/>
  <c r="L2731"/>
  <c r="J2731"/>
  <c r="H2731"/>
  <c r="F2731"/>
  <c r="L2730"/>
  <c r="J2730"/>
  <c r="H2730"/>
  <c r="F2730"/>
  <c r="L2729"/>
  <c r="J2729"/>
  <c r="H2729"/>
  <c r="F2729"/>
  <c r="L2728"/>
  <c r="J2728"/>
  <c r="H2728"/>
  <c r="F2728"/>
  <c r="L2727"/>
  <c r="J2727"/>
  <c r="H2727"/>
  <c r="F2727"/>
  <c r="L2726"/>
  <c r="J2726"/>
  <c r="H2726"/>
  <c r="F2726"/>
  <c r="L2725"/>
  <c r="J2725"/>
  <c r="H2725"/>
  <c r="F2725"/>
  <c r="L2724"/>
  <c r="J2724"/>
  <c r="H2724"/>
  <c r="F2724"/>
  <c r="L2723"/>
  <c r="J2723"/>
  <c r="H2723"/>
  <c r="F2723"/>
  <c r="L2722"/>
  <c r="J2722"/>
  <c r="H2722"/>
  <c r="F2722"/>
  <c r="L2721"/>
  <c r="J2721"/>
  <c r="H2721"/>
  <c r="F2721"/>
  <c r="L2720"/>
  <c r="J2720"/>
  <c r="H2720"/>
  <c r="F2720"/>
  <c r="L2719"/>
  <c r="J2719"/>
  <c r="H2719"/>
  <c r="F2719"/>
  <c r="L2718"/>
  <c r="J2718"/>
  <c r="H2718"/>
  <c r="F2718"/>
  <c r="L2717"/>
  <c r="J2717"/>
  <c r="H2717"/>
  <c r="F2717"/>
  <c r="L2716"/>
  <c r="J2716"/>
  <c r="H2716"/>
  <c r="F2716"/>
  <c r="L2715"/>
  <c r="J2715"/>
  <c r="H2715"/>
  <c r="F2715"/>
  <c r="L2714"/>
  <c r="J2714"/>
  <c r="H2714"/>
  <c r="F2714"/>
  <c r="L2713"/>
  <c r="J2713"/>
  <c r="H2713"/>
  <c r="F2713"/>
  <c r="L2712"/>
  <c r="J2712"/>
  <c r="H2712"/>
  <c r="F2712"/>
  <c r="L2711"/>
  <c r="J2711"/>
  <c r="H2711"/>
  <c r="F2711"/>
  <c r="L2710"/>
  <c r="J2710"/>
  <c r="H2710"/>
  <c r="F2710"/>
  <c r="L2709"/>
  <c r="J2709"/>
  <c r="H2709"/>
  <c r="F2709"/>
  <c r="L2708"/>
  <c r="J2708"/>
  <c r="H2708"/>
  <c r="F2708"/>
  <c r="L2707"/>
  <c r="J2707"/>
  <c r="H2707"/>
  <c r="F2707"/>
  <c r="L2706"/>
  <c r="J2706"/>
  <c r="H2706"/>
  <c r="F2706"/>
  <c r="L2705"/>
  <c r="J2705"/>
  <c r="H2705"/>
  <c r="F2705"/>
  <c r="L2704"/>
  <c r="J2704"/>
  <c r="H2704"/>
  <c r="F2704"/>
  <c r="L2703"/>
  <c r="J2703"/>
  <c r="H2703"/>
  <c r="F2703"/>
  <c r="L2702"/>
  <c r="J2702"/>
  <c r="H2702"/>
  <c r="F2702"/>
  <c r="K2700"/>
  <c r="K2698"/>
  <c r="K2696"/>
  <c r="K2694"/>
  <c r="K2692"/>
  <c r="K2690"/>
  <c r="K2688"/>
  <c r="K2686"/>
  <c r="K2684"/>
  <c r="D2700"/>
  <c r="O2700" s="1"/>
  <c r="F2700"/>
  <c r="H2700"/>
  <c r="J2700"/>
  <c r="L2700"/>
  <c r="D2698"/>
  <c r="O2698" s="1"/>
  <c r="F2698"/>
  <c r="H2698"/>
  <c r="J2698"/>
  <c r="L2698"/>
  <c r="D2696"/>
  <c r="O2696" s="1"/>
  <c r="F2696"/>
  <c r="H2696"/>
  <c r="J2696"/>
  <c r="L2696"/>
  <c r="D2694"/>
  <c r="O2694" s="1"/>
  <c r="F2694"/>
  <c r="H2694"/>
  <c r="J2694"/>
  <c r="L2694"/>
  <c r="D2692"/>
  <c r="O2692" s="1"/>
  <c r="F2692"/>
  <c r="H2692"/>
  <c r="J2692"/>
  <c r="L2692"/>
  <c r="D2690"/>
  <c r="O2690" s="1"/>
  <c r="F2690"/>
  <c r="H2690"/>
  <c r="J2690"/>
  <c r="L2690"/>
  <c r="D2688"/>
  <c r="O2688" s="1"/>
  <c r="F2688"/>
  <c r="H2688"/>
  <c r="J2688"/>
  <c r="L2688"/>
  <c r="D2686"/>
  <c r="O2686" s="1"/>
  <c r="F2686"/>
  <c r="H2686"/>
  <c r="J2686"/>
  <c r="L2686"/>
  <c r="D2684"/>
  <c r="O2684" s="1"/>
  <c r="F2684"/>
  <c r="H2684"/>
  <c r="J2684"/>
  <c r="L2684"/>
  <c r="D2495"/>
  <c r="O2495" s="1"/>
  <c r="F2495"/>
  <c r="H2495"/>
  <c r="J2495"/>
  <c r="L2495"/>
  <c r="L2682"/>
  <c r="J2682"/>
  <c r="H2682"/>
  <c r="F2682"/>
  <c r="L2681"/>
  <c r="J2681"/>
  <c r="H2681"/>
  <c r="F2681"/>
  <c r="L2680"/>
  <c r="J2680"/>
  <c r="H2680"/>
  <c r="F2680"/>
  <c r="L2679"/>
  <c r="J2679"/>
  <c r="H2679"/>
  <c r="F2679"/>
  <c r="L2678"/>
  <c r="J2678"/>
  <c r="H2678"/>
  <c r="F2678"/>
  <c r="L2677"/>
  <c r="J2677"/>
  <c r="H2677"/>
  <c r="F2677"/>
  <c r="L2676"/>
  <c r="J2676"/>
  <c r="H2676"/>
  <c r="F2676"/>
  <c r="L2675"/>
  <c r="J2675"/>
  <c r="H2675"/>
  <c r="F2675"/>
  <c r="L2674"/>
  <c r="J2674"/>
  <c r="H2674"/>
  <c r="F2674"/>
  <c r="L2673"/>
  <c r="J2673"/>
  <c r="H2673"/>
  <c r="F2673"/>
  <c r="L2672"/>
  <c r="J2672"/>
  <c r="H2672"/>
  <c r="F2672"/>
  <c r="L2671"/>
  <c r="J2671"/>
  <c r="H2671"/>
  <c r="F2671"/>
  <c r="L2670"/>
  <c r="J2670"/>
  <c r="H2670"/>
  <c r="F2670"/>
  <c r="L2669"/>
  <c r="J2669"/>
  <c r="H2669"/>
  <c r="F2669"/>
  <c r="L2668"/>
  <c r="J2668"/>
  <c r="H2668"/>
  <c r="F2668"/>
  <c r="L2667"/>
  <c r="J2667"/>
  <c r="H2667"/>
  <c r="F2667"/>
  <c r="L2666"/>
  <c r="J2666"/>
  <c r="H2666"/>
  <c r="F2666"/>
  <c r="L2665"/>
  <c r="J2665"/>
  <c r="H2665"/>
  <c r="F2665"/>
  <c r="L2664"/>
  <c r="J2664"/>
  <c r="H2664"/>
  <c r="F2664"/>
  <c r="L2663"/>
  <c r="J2663"/>
  <c r="H2663"/>
  <c r="F2663"/>
  <c r="L2662"/>
  <c r="J2662"/>
  <c r="H2662"/>
  <c r="F2662"/>
  <c r="L2661"/>
  <c r="J2661"/>
  <c r="H2661"/>
  <c r="F2661"/>
  <c r="L2660"/>
  <c r="J2660"/>
  <c r="H2660"/>
  <c r="F2660"/>
  <c r="L2659"/>
  <c r="J2659"/>
  <c r="H2659"/>
  <c r="F2659"/>
  <c r="L2658"/>
  <c r="J2658"/>
  <c r="H2658"/>
  <c r="F2658"/>
  <c r="L2657"/>
  <c r="J2657"/>
  <c r="H2657"/>
  <c r="F2657"/>
  <c r="L2656"/>
  <c r="J2656"/>
  <c r="H2656"/>
  <c r="F2656"/>
  <c r="L2655"/>
  <c r="J2655"/>
  <c r="H2655"/>
  <c r="F2655"/>
  <c r="L2654"/>
  <c r="J2654"/>
  <c r="H2654"/>
  <c r="F2654"/>
  <c r="L2653"/>
  <c r="J2653"/>
  <c r="H2653"/>
  <c r="F2653"/>
  <c r="L2652"/>
  <c r="J2652"/>
  <c r="H2652"/>
  <c r="F2652"/>
  <c r="L2651"/>
  <c r="J2651"/>
  <c r="H2651"/>
  <c r="F2651"/>
  <c r="L2650"/>
  <c r="J2650"/>
  <c r="H2650"/>
  <c r="F2650"/>
  <c r="L2649"/>
  <c r="J2649"/>
  <c r="H2649"/>
  <c r="F2649"/>
  <c r="L2648"/>
  <c r="J2648"/>
  <c r="H2648"/>
  <c r="F2648"/>
  <c r="L2647"/>
  <c r="J2647"/>
  <c r="H2647"/>
  <c r="F2647"/>
  <c r="L2646"/>
  <c r="J2646"/>
  <c r="H2646"/>
  <c r="F2646"/>
  <c r="L2645"/>
  <c r="J2645"/>
  <c r="H2645"/>
  <c r="F2645"/>
  <c r="L2644"/>
  <c r="J2644"/>
  <c r="H2644"/>
  <c r="F2644"/>
  <c r="L2643"/>
  <c r="J2643"/>
  <c r="H2643"/>
  <c r="F2643"/>
  <c r="L2642"/>
  <c r="J2642"/>
  <c r="H2642"/>
  <c r="F2642"/>
  <c r="L2641"/>
  <c r="J2641"/>
  <c r="H2641"/>
  <c r="F2641"/>
  <c r="L2640"/>
  <c r="J2640"/>
  <c r="H2640"/>
  <c r="F2640"/>
  <c r="L2639"/>
  <c r="J2639"/>
  <c r="H2639"/>
  <c r="F2639"/>
  <c r="L2638"/>
  <c r="J2638"/>
  <c r="H2638"/>
  <c r="F2638"/>
  <c r="L2637"/>
  <c r="J2637"/>
  <c r="H2637"/>
  <c r="F2637"/>
  <c r="L2636"/>
  <c r="J2636"/>
  <c r="H2636"/>
  <c r="F2636"/>
  <c r="L2635"/>
  <c r="J2635"/>
  <c r="H2635"/>
  <c r="F2635"/>
  <c r="L2634"/>
  <c r="J2634"/>
  <c r="H2634"/>
  <c r="F2634"/>
  <c r="L2633"/>
  <c r="J2633"/>
  <c r="H2633"/>
  <c r="F2633"/>
  <c r="L2632"/>
  <c r="J2632"/>
  <c r="H2632"/>
  <c r="F2632"/>
  <c r="L2631"/>
  <c r="J2631"/>
  <c r="H2631"/>
  <c r="F2631"/>
  <c r="L2630"/>
  <c r="J2630"/>
  <c r="H2630"/>
  <c r="F2630"/>
  <c r="L2629"/>
  <c r="J2629"/>
  <c r="H2629"/>
  <c r="F2629"/>
  <c r="L2628"/>
  <c r="J2628"/>
  <c r="H2628"/>
  <c r="F2628"/>
  <c r="L2627"/>
  <c r="J2627"/>
  <c r="H2627"/>
  <c r="F2627"/>
  <c r="L2626"/>
  <c r="J2626"/>
  <c r="H2626"/>
  <c r="F2626"/>
  <c r="L2625"/>
  <c r="J2625"/>
  <c r="H2625"/>
  <c r="F2625"/>
  <c r="L2624"/>
  <c r="J2624"/>
  <c r="H2624"/>
  <c r="F2624"/>
  <c r="L2623"/>
  <c r="J2623"/>
  <c r="H2623"/>
  <c r="F2623"/>
  <c r="L2622"/>
  <c r="J2622"/>
  <c r="H2622"/>
  <c r="F2622"/>
  <c r="L2621"/>
  <c r="J2621"/>
  <c r="H2621"/>
  <c r="F2621"/>
  <c r="L2620"/>
  <c r="J2620"/>
  <c r="H2620"/>
  <c r="F2620"/>
  <c r="L2619"/>
  <c r="J2619"/>
  <c r="H2619"/>
  <c r="F2619"/>
  <c r="L2618"/>
  <c r="J2618"/>
  <c r="H2618"/>
  <c r="F2618"/>
  <c r="L2617"/>
  <c r="J2617"/>
  <c r="H2617"/>
  <c r="F2617"/>
  <c r="L2616"/>
  <c r="J2616"/>
  <c r="H2616"/>
  <c r="F2616"/>
  <c r="L2615"/>
  <c r="J2615"/>
  <c r="H2615"/>
  <c r="F2615"/>
  <c r="L2614"/>
  <c r="J2614"/>
  <c r="H2614"/>
  <c r="F2614"/>
  <c r="L2613"/>
  <c r="J2613"/>
  <c r="H2613"/>
  <c r="F2613"/>
  <c r="L2612"/>
  <c r="J2612"/>
  <c r="H2612"/>
  <c r="F2612"/>
  <c r="L2611"/>
  <c r="J2611"/>
  <c r="H2611"/>
  <c r="F2611"/>
  <c r="L2610"/>
  <c r="J2610"/>
  <c r="H2610"/>
  <c r="F2610"/>
  <c r="L2609"/>
  <c r="J2609"/>
  <c r="H2609"/>
  <c r="F2609"/>
  <c r="L2608"/>
  <c r="J2608"/>
  <c r="H2608"/>
  <c r="F2608"/>
  <c r="L2607"/>
  <c r="J2607"/>
  <c r="H2607"/>
  <c r="F2607"/>
  <c r="L2606"/>
  <c r="J2606"/>
  <c r="H2606"/>
  <c r="F2606"/>
  <c r="L2605"/>
  <c r="J2605"/>
  <c r="H2605"/>
  <c r="F2605"/>
  <c r="L2604"/>
  <c r="J2604"/>
  <c r="H2604"/>
  <c r="F2604"/>
  <c r="L2603"/>
  <c r="J2603"/>
  <c r="H2603"/>
  <c r="F2603"/>
  <c r="L2602"/>
  <c r="J2602"/>
  <c r="H2602"/>
  <c r="F2602"/>
  <c r="L2601"/>
  <c r="J2601"/>
  <c r="H2601"/>
  <c r="F2601"/>
  <c r="L2600"/>
  <c r="J2600"/>
  <c r="H2600"/>
  <c r="F2600"/>
  <c r="L2599"/>
  <c r="J2599"/>
  <c r="H2599"/>
  <c r="F2599"/>
  <c r="L2598"/>
  <c r="J2598"/>
  <c r="H2598"/>
  <c r="F2598"/>
  <c r="L2597"/>
  <c r="J2597"/>
  <c r="H2597"/>
  <c r="F2597"/>
  <c r="L2596"/>
  <c r="J2596"/>
  <c r="H2596"/>
  <c r="F2596"/>
  <c r="L2595"/>
  <c r="J2595"/>
  <c r="H2595"/>
  <c r="F2595"/>
  <c r="L2594"/>
  <c r="J2594"/>
  <c r="H2594"/>
  <c r="F2594"/>
  <c r="L2593"/>
  <c r="J2593"/>
  <c r="H2593"/>
  <c r="F2593"/>
  <c r="L2592"/>
  <c r="J2592"/>
  <c r="H2592"/>
  <c r="F2592"/>
  <c r="L2591"/>
  <c r="J2591"/>
  <c r="H2591"/>
  <c r="F2591"/>
  <c r="L2590"/>
  <c r="J2590"/>
  <c r="H2590"/>
  <c r="F2590"/>
  <c r="L2589"/>
  <c r="J2589"/>
  <c r="H2589"/>
  <c r="F2589"/>
  <c r="L2588"/>
  <c r="J2588"/>
  <c r="H2588"/>
  <c r="F2588"/>
  <c r="L2587"/>
  <c r="J2587"/>
  <c r="H2587"/>
  <c r="F2587"/>
  <c r="L2586"/>
  <c r="J2586"/>
  <c r="H2586"/>
  <c r="F2586"/>
  <c r="L2585"/>
  <c r="J2585"/>
  <c r="H2585"/>
  <c r="F2585"/>
  <c r="L2584"/>
  <c r="J2584"/>
  <c r="H2584"/>
  <c r="F2584"/>
  <c r="L2583"/>
  <c r="J2583"/>
  <c r="H2583"/>
  <c r="F2583"/>
  <c r="L2582"/>
  <c r="J2582"/>
  <c r="H2582"/>
  <c r="F2582"/>
  <c r="L2581"/>
  <c r="J2581"/>
  <c r="H2581"/>
  <c r="F2581"/>
  <c r="L2580"/>
  <c r="J2580"/>
  <c r="H2580"/>
  <c r="F2580"/>
  <c r="L2579"/>
  <c r="J2579"/>
  <c r="H2579"/>
  <c r="F2579"/>
  <c r="L2578"/>
  <c r="J2578"/>
  <c r="H2578"/>
  <c r="F2578"/>
  <c r="L2577"/>
  <c r="J2577"/>
  <c r="H2577"/>
  <c r="F2577"/>
  <c r="L2576"/>
  <c r="J2576"/>
  <c r="H2576"/>
  <c r="F2576"/>
  <c r="L2575"/>
  <c r="J2575"/>
  <c r="H2575"/>
  <c r="F2575"/>
  <c r="L2574"/>
  <c r="J2574"/>
  <c r="H2574"/>
  <c r="F2574"/>
  <c r="L2573"/>
  <c r="J2573"/>
  <c r="H2573"/>
  <c r="F2573"/>
  <c r="L2572"/>
  <c r="J2572"/>
  <c r="H2572"/>
  <c r="F2572"/>
  <c r="L2571"/>
  <c r="J2571"/>
  <c r="H2571"/>
  <c r="F2571"/>
  <c r="L2570"/>
  <c r="J2570"/>
  <c r="H2570"/>
  <c r="F2570"/>
  <c r="L2569"/>
  <c r="J2569"/>
  <c r="H2569"/>
  <c r="F2569"/>
  <c r="L2568"/>
  <c r="J2568"/>
  <c r="H2568"/>
  <c r="F2568"/>
  <c r="L2567"/>
  <c r="J2567"/>
  <c r="H2567"/>
  <c r="F2567"/>
  <c r="L2566"/>
  <c r="J2566"/>
  <c r="H2566"/>
  <c r="F2566"/>
  <c r="L2565"/>
  <c r="J2565"/>
  <c r="H2565"/>
  <c r="F2565"/>
  <c r="L2564"/>
  <c r="J2564"/>
  <c r="H2564"/>
  <c r="F2564"/>
  <c r="L2563"/>
  <c r="J2563"/>
  <c r="H2563"/>
  <c r="F2563"/>
  <c r="L2562"/>
  <c r="J2562"/>
  <c r="H2562"/>
  <c r="F2562"/>
  <c r="L2561"/>
  <c r="J2561"/>
  <c r="H2561"/>
  <c r="F2561"/>
  <c r="L2560"/>
  <c r="J2560"/>
  <c r="H2560"/>
  <c r="F2560"/>
  <c r="L2559"/>
  <c r="J2559"/>
  <c r="H2559"/>
  <c r="F2559"/>
  <c r="L2558"/>
  <c r="J2558"/>
  <c r="H2558"/>
  <c r="F2558"/>
  <c r="L2557"/>
  <c r="J2557"/>
  <c r="H2557"/>
  <c r="F2557"/>
  <c r="L2556"/>
  <c r="J2556"/>
  <c r="H2556"/>
  <c r="F2556"/>
  <c r="L2555"/>
  <c r="J2555"/>
  <c r="H2555"/>
  <c r="F2555"/>
  <c r="L2554"/>
  <c r="J2554"/>
  <c r="H2554"/>
  <c r="F2554"/>
  <c r="L2553"/>
  <c r="J2553"/>
  <c r="H2553"/>
  <c r="F2553"/>
  <c r="L2552"/>
  <c r="J2552"/>
  <c r="H2552"/>
  <c r="F2552"/>
  <c r="L2551"/>
  <c r="J2551"/>
  <c r="H2551"/>
  <c r="F2551"/>
  <c r="L2550"/>
  <c r="J2550"/>
  <c r="H2550"/>
  <c r="F2550"/>
  <c r="L2549"/>
  <c r="J2549"/>
  <c r="H2549"/>
  <c r="F2549"/>
  <c r="L2548"/>
  <c r="J2548"/>
  <c r="H2548"/>
  <c r="F2548"/>
  <c r="L2547"/>
  <c r="J2547"/>
  <c r="H2547"/>
  <c r="F2547"/>
  <c r="L2546"/>
  <c r="J2546"/>
  <c r="H2546"/>
  <c r="F2546"/>
  <c r="L2545"/>
  <c r="J2545"/>
  <c r="H2545"/>
  <c r="F2545"/>
  <c r="L2544"/>
  <c r="J2544"/>
  <c r="H2544"/>
  <c r="F2544"/>
  <c r="L2543"/>
  <c r="J2543"/>
  <c r="H2543"/>
  <c r="F2543"/>
  <c r="L2542"/>
  <c r="J2542"/>
  <c r="H2542"/>
  <c r="F2542"/>
  <c r="L2541"/>
  <c r="J2541"/>
  <c r="H2541"/>
  <c r="F2541"/>
  <c r="L2540"/>
  <c r="J2540"/>
  <c r="H2540"/>
  <c r="F2540"/>
  <c r="L2539"/>
  <c r="J2539"/>
  <c r="H2539"/>
  <c r="F2539"/>
  <c r="L2538"/>
  <c r="J2538"/>
  <c r="H2538"/>
  <c r="F2538"/>
  <c r="L2537"/>
  <c r="J2537"/>
  <c r="H2537"/>
  <c r="F2537"/>
  <c r="L2536"/>
  <c r="J2536"/>
  <c r="H2536"/>
  <c r="F2536"/>
  <c r="L2535"/>
  <c r="J2535"/>
  <c r="H2535"/>
  <c r="F2535"/>
  <c r="L2534"/>
  <c r="J2534"/>
  <c r="H2534"/>
  <c r="F2534"/>
  <c r="L2533"/>
  <c r="J2533"/>
  <c r="H2533"/>
  <c r="F2533"/>
  <c r="L2532"/>
  <c r="J2532"/>
  <c r="H2532"/>
  <c r="F2532"/>
  <c r="L2531"/>
  <c r="J2531"/>
  <c r="H2531"/>
  <c r="F2531"/>
  <c r="L2530"/>
  <c r="J2530"/>
  <c r="H2530"/>
  <c r="F2530"/>
  <c r="L2529"/>
  <c r="J2529"/>
  <c r="H2529"/>
  <c r="F2529"/>
  <c r="L2528"/>
  <c r="J2528"/>
  <c r="H2528"/>
  <c r="F2528"/>
  <c r="L2527"/>
  <c r="J2527"/>
  <c r="H2527"/>
  <c r="F2527"/>
  <c r="L2526"/>
  <c r="J2526"/>
  <c r="H2526"/>
  <c r="F2526"/>
  <c r="L2525"/>
  <c r="J2525"/>
  <c r="H2525"/>
  <c r="F2525"/>
  <c r="L2524"/>
  <c r="J2524"/>
  <c r="H2524"/>
  <c r="F2524"/>
  <c r="L2523"/>
  <c r="J2523"/>
  <c r="H2523"/>
  <c r="F2523"/>
  <c r="L2522"/>
  <c r="J2522"/>
  <c r="H2522"/>
  <c r="F2522"/>
  <c r="L2521"/>
  <c r="J2521"/>
  <c r="H2521"/>
  <c r="F2521"/>
  <c r="L2520"/>
  <c r="J2520"/>
  <c r="H2520"/>
  <c r="F2520"/>
  <c r="L2519"/>
  <c r="J2519"/>
  <c r="H2519"/>
  <c r="F2519"/>
  <c r="L2518"/>
  <c r="J2518"/>
  <c r="H2518"/>
  <c r="F2518"/>
  <c r="L2517"/>
  <c r="J2517"/>
  <c r="H2517"/>
  <c r="F2517"/>
  <c r="L2516"/>
  <c r="J2516"/>
  <c r="H2516"/>
  <c r="F2516"/>
  <c r="L2515"/>
  <c r="J2515"/>
  <c r="H2515"/>
  <c r="F2515"/>
  <c r="L2514"/>
  <c r="J2514"/>
  <c r="H2514"/>
  <c r="F2514"/>
  <c r="L2513"/>
  <c r="J2513"/>
  <c r="H2513"/>
  <c r="F2513"/>
  <c r="L2512"/>
  <c r="J2512"/>
  <c r="H2512"/>
  <c r="F2512"/>
  <c r="L2511"/>
  <c r="J2511"/>
  <c r="H2511"/>
  <c r="F2511"/>
  <c r="L2510"/>
  <c r="J2510"/>
  <c r="H2510"/>
  <c r="F2510"/>
  <c r="L2509"/>
  <c r="J2509"/>
  <c r="H2509"/>
  <c r="F2509"/>
  <c r="L2508"/>
  <c r="J2508"/>
  <c r="H2508"/>
  <c r="F2508"/>
  <c r="L2507"/>
  <c r="J2507"/>
  <c r="H2507"/>
  <c r="F2507"/>
  <c r="L2506"/>
  <c r="J2506"/>
  <c r="H2506"/>
  <c r="F2506"/>
  <c r="L2505"/>
  <c r="J2505"/>
  <c r="H2505"/>
  <c r="F2505"/>
  <c r="L2504"/>
  <c r="J2504"/>
  <c r="H2504"/>
  <c r="F2504"/>
  <c r="L2503"/>
  <c r="J2503"/>
  <c r="H2503"/>
  <c r="F2503"/>
  <c r="L2502"/>
  <c r="J2502"/>
  <c r="H2502"/>
  <c r="F2502"/>
  <c r="L2501"/>
  <c r="J2501"/>
  <c r="H2501"/>
  <c r="F2501"/>
  <c r="L2500"/>
  <c r="J2500"/>
  <c r="H2500"/>
  <c r="F2500"/>
  <c r="L2499"/>
  <c r="J2499"/>
  <c r="H2499"/>
  <c r="F2499"/>
  <c r="L2498"/>
  <c r="J2498"/>
  <c r="H2498"/>
  <c r="F2498"/>
  <c r="L2497"/>
  <c r="J2497"/>
  <c r="H2497"/>
  <c r="F2497"/>
  <c r="K2496"/>
  <c r="D2496"/>
  <c r="O2496" s="1"/>
  <c r="F2496"/>
  <c r="H2496"/>
  <c r="J2496"/>
  <c r="L2496"/>
  <c r="L2494"/>
  <c r="J2494"/>
  <c r="H2494"/>
  <c r="F2494"/>
  <c r="L2493"/>
  <c r="J2493"/>
  <c r="H2493"/>
  <c r="F2493"/>
  <c r="L2492"/>
  <c r="J2492"/>
  <c r="H2492"/>
  <c r="F2492"/>
  <c r="L2491"/>
  <c r="J2491"/>
  <c r="H2491"/>
  <c r="F2491"/>
  <c r="L2490"/>
  <c r="J2490"/>
  <c r="H2490"/>
  <c r="F2490"/>
  <c r="L2489"/>
  <c r="J2489"/>
  <c r="H2489"/>
  <c r="F2489"/>
  <c r="L2488"/>
  <c r="J2488"/>
  <c r="H2488"/>
  <c r="F2488"/>
  <c r="L2487"/>
  <c r="J2487"/>
  <c r="H2487"/>
  <c r="F2487"/>
  <c r="L2486"/>
  <c r="J2486"/>
  <c r="H2486"/>
  <c r="F2486"/>
  <c r="L2485"/>
  <c r="J2485"/>
  <c r="H2485"/>
  <c r="F2485"/>
  <c r="L2484"/>
  <c r="J2484"/>
  <c r="H2484"/>
  <c r="F2484"/>
  <c r="L2483"/>
  <c r="J2483"/>
  <c r="H2483"/>
  <c r="F2483"/>
  <c r="L2482"/>
  <c r="J2482"/>
  <c r="H2482"/>
  <c r="F2482"/>
  <c r="L2481"/>
  <c r="J2481"/>
  <c r="H2481"/>
  <c r="F2481"/>
  <c r="L2480"/>
  <c r="J2480"/>
  <c r="H2480"/>
  <c r="F2480"/>
  <c r="L2479"/>
  <c r="J2479"/>
  <c r="H2479"/>
  <c r="F2479"/>
  <c r="L2478"/>
  <c r="J2478"/>
  <c r="H2478"/>
  <c r="F2478"/>
  <c r="L2477"/>
  <c r="J2477"/>
  <c r="H2477"/>
  <c r="F2477"/>
  <c r="L2476"/>
  <c r="J2476"/>
  <c r="H2476"/>
  <c r="F2476"/>
  <c r="L2475"/>
  <c r="J2475"/>
  <c r="H2475"/>
  <c r="F2475"/>
  <c r="L2474"/>
  <c r="J2474"/>
  <c r="H2474"/>
  <c r="F2474"/>
  <c r="L2473"/>
  <c r="J2473"/>
  <c r="H2473"/>
  <c r="F2473"/>
  <c r="L2472"/>
  <c r="J2472"/>
  <c r="H2472"/>
  <c r="F2472"/>
  <c r="L2471"/>
  <c r="J2471"/>
  <c r="H2471"/>
  <c r="F2471"/>
  <c r="L2470"/>
  <c r="J2470"/>
  <c r="H2470"/>
  <c r="F2470"/>
  <c r="L2469"/>
  <c r="J2469"/>
  <c r="H2469"/>
  <c r="F2469"/>
  <c r="L2468"/>
  <c r="J2468"/>
  <c r="H2468"/>
  <c r="F2468"/>
  <c r="L2467"/>
  <c r="J2467"/>
  <c r="H2467"/>
  <c r="F2467"/>
  <c r="L2466"/>
  <c r="J2466"/>
  <c r="H2466"/>
  <c r="F2466"/>
  <c r="L2465"/>
  <c r="J2465"/>
  <c r="H2465"/>
  <c r="F2465"/>
  <c r="L2464"/>
  <c r="J2464"/>
  <c r="H2464"/>
  <c r="F2464"/>
  <c r="L2463"/>
  <c r="J2463"/>
  <c r="H2463"/>
  <c r="F2463"/>
  <c r="L2462"/>
  <c r="J2462"/>
  <c r="H2462"/>
  <c r="F2462"/>
  <c r="L2461"/>
  <c r="J2461"/>
  <c r="H2461"/>
  <c r="F2461"/>
  <c r="L2460"/>
  <c r="J2460"/>
  <c r="H2460"/>
  <c r="F2460"/>
  <c r="L2459"/>
  <c r="J2459"/>
  <c r="H2459"/>
  <c r="F2459"/>
  <c r="L2458"/>
  <c r="J2458"/>
  <c r="H2458"/>
  <c r="F2458"/>
  <c r="L2457"/>
  <c r="J2457"/>
  <c r="H2457"/>
  <c r="F2457"/>
  <c r="L2456"/>
  <c r="J2456"/>
  <c r="H2456"/>
  <c r="F2456"/>
  <c r="L2455"/>
  <c r="J2455"/>
  <c r="H2455"/>
  <c r="F2455"/>
  <c r="L2454"/>
  <c r="J2454"/>
  <c r="H2454"/>
  <c r="F2454"/>
  <c r="L2453"/>
  <c r="J2453"/>
  <c r="H2453"/>
  <c r="F2453"/>
  <c r="L2452"/>
  <c r="J2452"/>
  <c r="H2452"/>
  <c r="F2452"/>
  <c r="L2451"/>
  <c r="J2451"/>
  <c r="H2451"/>
  <c r="F2451"/>
  <c r="L2450"/>
  <c r="J2450"/>
  <c r="H2450"/>
  <c r="F2450"/>
  <c r="L2449"/>
  <c r="J2449"/>
  <c r="H2449"/>
  <c r="F2449"/>
  <c r="L2448"/>
  <c r="J2448"/>
  <c r="H2448"/>
  <c r="F2448"/>
  <c r="L2447"/>
  <c r="J2447"/>
  <c r="H2447"/>
  <c r="F2447"/>
  <c r="L2446"/>
  <c r="J2446"/>
  <c r="H2446"/>
  <c r="F2446"/>
  <c r="L2445"/>
  <c r="J2445"/>
  <c r="H2445"/>
  <c r="F2445"/>
  <c r="L2444"/>
  <c r="J2444"/>
  <c r="H2444"/>
  <c r="F2444"/>
  <c r="L2443"/>
  <c r="J2443"/>
  <c r="H2443"/>
  <c r="F2443"/>
  <c r="L2442"/>
  <c r="J2442"/>
  <c r="H2442"/>
  <c r="F2442"/>
  <c r="L2441"/>
  <c r="J2441"/>
  <c r="H2441"/>
  <c r="F2441"/>
  <c r="L2440"/>
  <c r="J2440"/>
  <c r="H2440"/>
  <c r="F2440"/>
  <c r="L2439"/>
  <c r="J2439"/>
  <c r="H2439"/>
  <c r="F2439"/>
  <c r="L2438"/>
  <c r="J2438"/>
  <c r="H2438"/>
  <c r="F2438"/>
  <c r="L2437"/>
  <c r="J2437"/>
  <c r="H2437"/>
  <c r="F2437"/>
  <c r="L2436"/>
  <c r="J2436"/>
  <c r="H2436"/>
  <c r="F2436"/>
  <c r="L2435"/>
  <c r="J2435"/>
  <c r="H2435"/>
  <c r="F2435"/>
  <c r="L2434"/>
  <c r="J2434"/>
  <c r="H2434"/>
  <c r="F2434"/>
  <c r="L2433"/>
  <c r="J2433"/>
  <c r="H2433"/>
  <c r="F2433"/>
  <c r="L2432"/>
  <c r="J2432"/>
  <c r="H2432"/>
  <c r="F2432"/>
  <c r="L2431"/>
  <c r="J2431"/>
  <c r="H2431"/>
  <c r="F2431"/>
  <c r="L2430"/>
  <c r="J2430"/>
  <c r="H2430"/>
  <c r="F2430"/>
  <c r="L2429"/>
  <c r="J2429"/>
  <c r="H2429"/>
  <c r="F2429"/>
  <c r="L2428"/>
  <c r="J2428"/>
  <c r="H2428"/>
  <c r="F2428"/>
  <c r="J2427"/>
  <c r="H2427"/>
  <c r="F2427"/>
  <c r="H2426"/>
  <c r="F2426"/>
  <c r="J2425"/>
  <c r="H2425"/>
  <c r="F2425"/>
  <c r="L2424"/>
  <c r="J2424"/>
  <c r="H2424"/>
  <c r="F2424"/>
  <c r="L2423"/>
  <c r="J2423"/>
  <c r="H2423"/>
  <c r="F2423"/>
  <c r="J2422"/>
  <c r="H2422"/>
  <c r="F2422"/>
  <c r="J2421"/>
  <c r="H2421"/>
  <c r="F2421"/>
  <c r="J2420"/>
  <c r="H2420"/>
  <c r="F2420"/>
  <c r="H2419"/>
  <c r="F2419"/>
  <c r="H2418"/>
  <c r="F2418"/>
  <c r="H2407"/>
  <c r="F2407"/>
  <c r="J2396"/>
  <c r="H2396"/>
  <c r="F2396"/>
  <c r="J2385"/>
  <c r="H2385"/>
  <c r="F2385"/>
  <c r="J2374"/>
  <c r="H2374"/>
  <c r="F2374"/>
  <c r="L2363"/>
  <c r="J2363"/>
  <c r="H2363"/>
  <c r="F2363"/>
  <c r="L2352"/>
  <c r="J2352"/>
  <c r="H2352"/>
  <c r="F2352"/>
  <c r="J2341"/>
  <c r="H2341"/>
  <c r="F2341"/>
  <c r="J2330"/>
  <c r="H2330"/>
  <c r="F2330"/>
  <c r="H2319"/>
  <c r="F2319"/>
  <c r="L2308"/>
  <c r="J2308"/>
  <c r="H2308"/>
  <c r="F2308"/>
  <c r="L2297"/>
  <c r="J2297"/>
  <c r="H2297"/>
  <c r="F2297"/>
  <c r="L2286"/>
  <c r="J2286"/>
  <c r="H2286"/>
  <c r="F2286"/>
  <c r="L2275"/>
  <c r="J2275"/>
  <c r="H2275"/>
  <c r="F2275"/>
  <c r="L2264"/>
  <c r="J2264"/>
  <c r="H2264"/>
  <c r="F2264"/>
  <c r="L2253"/>
  <c r="J2253"/>
  <c r="H2253"/>
  <c r="F2253"/>
  <c r="H2242"/>
  <c r="F2242"/>
  <c r="G2" i="6"/>
  <c r="R4" i="5"/>
  <c r="O3" i="3" s="1"/>
  <c r="O15" s="1"/>
  <c r="YE8" i="2" l="1"/>
  <c r="YF7"/>
  <c r="YE7"/>
  <c r="YF6"/>
  <c r="YE6"/>
  <c r="YF5"/>
  <c r="YE4"/>
  <c r="YF4"/>
  <c r="YF8"/>
  <c r="A1" i="6"/>
  <c r="L3442" i="2"/>
  <c r="G3464"/>
  <c r="K3785"/>
  <c r="K3440"/>
  <c r="L3464"/>
  <c r="L3463"/>
  <c r="G3491"/>
  <c r="H3493"/>
  <c r="L3491"/>
  <c r="D3552"/>
  <c r="O3552" s="1"/>
  <c r="K3552"/>
  <c r="H3571"/>
  <c r="L3571"/>
  <c r="D3494"/>
  <c r="O3494" s="1"/>
  <c r="K3494"/>
  <c r="G3494"/>
  <c r="F3620"/>
  <c r="K3659"/>
  <c r="F3681"/>
  <c r="F3701"/>
  <c r="F3709"/>
  <c r="F3774"/>
  <c r="F3792"/>
  <c r="K3296"/>
  <c r="F3318"/>
  <c r="F3418"/>
  <c r="F3419"/>
  <c r="H3422"/>
  <c r="K3424"/>
  <c r="F3438"/>
  <c r="G3481"/>
  <c r="K3613"/>
  <c r="H3797"/>
  <c r="K3521"/>
  <c r="H3538"/>
  <c r="F3539"/>
  <c r="F3543"/>
  <c r="H3699"/>
  <c r="F3775"/>
  <c r="F3441"/>
  <c r="L3441"/>
  <c r="H3454"/>
  <c r="F3507"/>
  <c r="D3522"/>
  <c r="O3522" s="1"/>
  <c r="H3547"/>
  <c r="G3577"/>
  <c r="L3593"/>
  <c r="G3598"/>
  <c r="K3611"/>
  <c r="G3623"/>
  <c r="L3654"/>
  <c r="H3701"/>
  <c r="F3727"/>
  <c r="H3740"/>
  <c r="F3742"/>
  <c r="L3746"/>
  <c r="F3766"/>
  <c r="K3766"/>
  <c r="H3782"/>
  <c r="F3786"/>
  <c r="L3786"/>
  <c r="F3790"/>
  <c r="K3530"/>
  <c r="F3530"/>
  <c r="L3538"/>
  <c r="L3578"/>
  <c r="D3578"/>
  <c r="O3578" s="1"/>
  <c r="H3591"/>
  <c r="D3591"/>
  <c r="O3591" s="1"/>
  <c r="H3599"/>
  <c r="L3620"/>
  <c r="D3620"/>
  <c r="O3620" s="1"/>
  <c r="H3624"/>
  <c r="F3637"/>
  <c r="H3641"/>
  <c r="D3641"/>
  <c r="O3641" s="1"/>
  <c r="H3645"/>
  <c r="D3645"/>
  <c r="O3645" s="1"/>
  <c r="F3649"/>
  <c r="F3653"/>
  <c r="K3657"/>
  <c r="F3657"/>
  <c r="G3659"/>
  <c r="H3676"/>
  <c r="H3686"/>
  <c r="D3686"/>
  <c r="O3686" s="1"/>
  <c r="D3690"/>
  <c r="O3690" s="1"/>
  <c r="H3700"/>
  <c r="K3711"/>
  <c r="H3544"/>
  <c r="K3547"/>
  <c r="D3547"/>
  <c r="O3547" s="1"/>
  <c r="K3577"/>
  <c r="K3593"/>
  <c r="H3598"/>
  <c r="G3613"/>
  <c r="H3618"/>
  <c r="D3618"/>
  <c r="O3618" s="1"/>
  <c r="H3623"/>
  <c r="H3643"/>
  <c r="D3643"/>
  <c r="O3643" s="1"/>
  <c r="H3648"/>
  <c r="K3654"/>
  <c r="G3681"/>
  <c r="L3701"/>
  <c r="D3701"/>
  <c r="O3701" s="1"/>
  <c r="F3703"/>
  <c r="H3763"/>
  <c r="K3774"/>
  <c r="G3786"/>
  <c r="L3307"/>
  <c r="G3329"/>
  <c r="L3418"/>
  <c r="L3454"/>
  <c r="G3519"/>
  <c r="G3528"/>
  <c r="K3620"/>
  <c r="L3688"/>
  <c r="G3782"/>
  <c r="P2521"/>
  <c r="J3587"/>
  <c r="Q3587" s="1"/>
  <c r="D3296"/>
  <c r="O3296" s="1"/>
  <c r="D3351"/>
  <c r="O3351" s="1"/>
  <c r="L3434"/>
  <c r="F3434"/>
  <c r="H3457"/>
  <c r="D3634"/>
  <c r="O3634" s="1"/>
  <c r="L3636"/>
  <c r="L3653"/>
  <c r="H3730"/>
  <c r="D3730"/>
  <c r="O3730" s="1"/>
  <c r="D3740"/>
  <c r="O3740" s="1"/>
  <c r="G3307"/>
  <c r="H3329"/>
  <c r="D3329"/>
  <c r="O3329" s="1"/>
  <c r="H3519"/>
  <c r="D3519"/>
  <c r="O3519" s="1"/>
  <c r="K3524"/>
  <c r="L3528"/>
  <c r="F3528"/>
  <c r="K3688"/>
  <c r="K3703"/>
  <c r="D3703"/>
  <c r="O3703" s="1"/>
  <c r="P2681"/>
  <c r="F3625"/>
  <c r="L3625"/>
  <c r="L3686"/>
  <c r="G3746"/>
  <c r="H3774"/>
  <c r="K3434"/>
  <c r="G3674"/>
  <c r="K3799"/>
  <c r="G3625"/>
  <c r="H3674"/>
  <c r="D3674"/>
  <c r="O3674" s="1"/>
  <c r="L3799"/>
  <c r="H3799"/>
  <c r="D3443"/>
  <c r="O3443" s="1"/>
  <c r="K3443"/>
  <c r="G3457"/>
  <c r="K3457"/>
  <c r="D3465"/>
  <c r="O3465" s="1"/>
  <c r="L3465"/>
  <c r="D3770"/>
  <c r="O3770" s="1"/>
  <c r="K3770"/>
  <c r="F3481"/>
  <c r="F3611"/>
  <c r="F3634"/>
  <c r="F3541"/>
  <c r="H3659"/>
  <c r="F3710"/>
  <c r="H3296"/>
  <c r="F3307"/>
  <c r="K3307"/>
  <c r="H3418"/>
  <c r="H3424"/>
  <c r="F3476"/>
  <c r="K3476"/>
  <c r="H3613"/>
  <c r="H3521"/>
  <c r="F3533"/>
  <c r="K3533"/>
  <c r="F3542"/>
  <c r="F3546"/>
  <c r="K3546"/>
  <c r="F3635"/>
  <c r="H3775"/>
  <c r="F3522"/>
  <c r="G3531"/>
  <c r="H3555"/>
  <c r="L3568"/>
  <c r="H3611"/>
  <c r="L3613"/>
  <c r="L3648"/>
  <c r="H3681"/>
  <c r="H3709"/>
  <c r="L3712"/>
  <c r="F3740"/>
  <c r="K3740"/>
  <c r="F3767"/>
  <c r="L3767"/>
  <c r="K3532"/>
  <c r="D3546"/>
  <c r="O3546" s="1"/>
  <c r="H3554"/>
  <c r="H3560"/>
  <c r="H3637"/>
  <c r="H3649"/>
  <c r="H3653"/>
  <c r="D3653"/>
  <c r="O3653" s="1"/>
  <c r="L3659"/>
  <c r="L3676"/>
  <c r="H3531"/>
  <c r="L3544"/>
  <c r="F3544"/>
  <c r="H3548"/>
  <c r="D3548"/>
  <c r="O3548" s="1"/>
  <c r="G3555"/>
  <c r="K3568"/>
  <c r="L3611"/>
  <c r="K3648"/>
  <c r="K3681"/>
  <c r="D3681"/>
  <c r="O3681" s="1"/>
  <c r="G3682"/>
  <c r="L3709"/>
  <c r="D3709"/>
  <c r="O3709" s="1"/>
  <c r="G3710"/>
  <c r="G3775"/>
  <c r="J3285"/>
  <c r="Q3285" s="1"/>
  <c r="L3521"/>
  <c r="L3524"/>
  <c r="G3612"/>
  <c r="G3296"/>
  <c r="L3351"/>
  <c r="L3522"/>
  <c r="K3635"/>
  <c r="H3636"/>
  <c r="H3524"/>
  <c r="F3612"/>
  <c r="K3541"/>
  <c r="H3710"/>
  <c r="H3756"/>
  <c r="J3752"/>
  <c r="Q3752" s="1"/>
  <c r="P2782"/>
  <c r="P2786"/>
  <c r="J3785"/>
  <c r="Q3785" s="1"/>
  <c r="H3612"/>
  <c r="D3612"/>
  <c r="O3612" s="1"/>
  <c r="F3756"/>
  <c r="K3775"/>
  <c r="G3650"/>
  <c r="P2497"/>
  <c r="J3496"/>
  <c r="Q3496" s="1"/>
  <c r="P2597"/>
  <c r="J3596"/>
  <c r="Q3596" s="1"/>
  <c r="P2754"/>
  <c r="J3753"/>
  <c r="Q3753" s="1"/>
  <c r="D3792"/>
  <c r="O3792" s="1"/>
  <c r="L3792"/>
  <c r="G3594"/>
  <c r="L3594"/>
  <c r="H3621"/>
  <c r="L3621"/>
  <c r="H3628"/>
  <c r="L3628"/>
  <c r="D3731"/>
  <c r="O3731" s="1"/>
  <c r="K3731"/>
  <c r="D3764"/>
  <c r="O3764" s="1"/>
  <c r="L3764"/>
  <c r="D3784"/>
  <c r="O3784" s="1"/>
  <c r="L3784"/>
  <c r="P2562"/>
  <c r="J3561"/>
  <c r="Q3561" s="1"/>
  <c r="P2781"/>
  <c r="J3780"/>
  <c r="Q3780" s="1"/>
  <c r="P2783"/>
  <c r="J3782"/>
  <c r="Q3782" s="1"/>
  <c r="P2785"/>
  <c r="J3784"/>
  <c r="Q3784" s="1"/>
  <c r="P2780"/>
  <c r="J3779"/>
  <c r="Q3779" s="1"/>
  <c r="D3340"/>
  <c r="O3340" s="1"/>
  <c r="H3340"/>
  <c r="L3340"/>
  <c r="G3340"/>
  <c r="K3340"/>
  <c r="K3351"/>
  <c r="G3351"/>
  <c r="D3406"/>
  <c r="O3406" s="1"/>
  <c r="G3406"/>
  <c r="K3406"/>
  <c r="F3406"/>
  <c r="L3406"/>
  <c r="H3406"/>
  <c r="D3541"/>
  <c r="O3541" s="1"/>
  <c r="L3541"/>
  <c r="H3541"/>
  <c r="D3542"/>
  <c r="O3542" s="1"/>
  <c r="L3542"/>
  <c r="G3542"/>
  <c r="D3543"/>
  <c r="O3543" s="1"/>
  <c r="L3543"/>
  <c r="G3543"/>
  <c r="G3649"/>
  <c r="K3649"/>
  <c r="D3710"/>
  <c r="O3710" s="1"/>
  <c r="K3710"/>
  <c r="D3743"/>
  <c r="O3743" s="1"/>
  <c r="G3743"/>
  <c r="K3743"/>
  <c r="F3743"/>
  <c r="L3743"/>
  <c r="H3743"/>
  <c r="D3746"/>
  <c r="O3746" s="1"/>
  <c r="K3746"/>
  <c r="D3772"/>
  <c r="O3772" s="1"/>
  <c r="G3772"/>
  <c r="K3772"/>
  <c r="F3772"/>
  <c r="L3772"/>
  <c r="H3772"/>
  <c r="D3433"/>
  <c r="O3433" s="1"/>
  <c r="G3433"/>
  <c r="K3433"/>
  <c r="H3433"/>
  <c r="F3433"/>
  <c r="L3433"/>
  <c r="D3602"/>
  <c r="O3602" s="1"/>
  <c r="G3602"/>
  <c r="K3602"/>
  <c r="H3602"/>
  <c r="F3602"/>
  <c r="L3602"/>
  <c r="P2657"/>
  <c r="J3656"/>
  <c r="Q3656" s="1"/>
  <c r="G3689"/>
  <c r="K3689"/>
  <c r="K3719"/>
  <c r="G3719"/>
  <c r="D3720"/>
  <c r="O3720" s="1"/>
  <c r="K3720"/>
  <c r="G3720"/>
  <c r="D3721"/>
  <c r="O3721" s="1"/>
  <c r="G3721"/>
  <c r="K3721"/>
  <c r="H3721"/>
  <c r="F3721"/>
  <c r="L3721"/>
  <c r="P2723"/>
  <c r="J3722"/>
  <c r="Q3722" s="1"/>
  <c r="D3756"/>
  <c r="O3756" s="1"/>
  <c r="K3756"/>
  <c r="G3756"/>
  <c r="D3767"/>
  <c r="O3767" s="1"/>
  <c r="K3767"/>
  <c r="D3471"/>
  <c r="O3471" s="1"/>
  <c r="L3471"/>
  <c r="G3471"/>
  <c r="D3472"/>
  <c r="O3472" s="1"/>
  <c r="L3472"/>
  <c r="G3472"/>
  <c r="D3586"/>
  <c r="O3586" s="1"/>
  <c r="L3586"/>
  <c r="G3586"/>
  <c r="D3587"/>
  <c r="O3587" s="1"/>
  <c r="L3587"/>
  <c r="G3587"/>
  <c r="P2654"/>
  <c r="J3653"/>
  <c r="Q3653" s="1"/>
  <c r="K3679"/>
  <c r="G3679"/>
  <c r="L3680"/>
  <c r="G3680"/>
  <c r="K3723"/>
  <c r="H3723"/>
  <c r="L3634"/>
  <c r="H3634"/>
  <c r="L3635"/>
  <c r="H3635"/>
  <c r="K3636"/>
  <c r="G3636"/>
  <c r="D3788"/>
  <c r="O3788" s="1"/>
  <c r="K3788"/>
  <c r="G3788"/>
  <c r="D3789"/>
  <c r="O3789" s="1"/>
  <c r="L3789"/>
  <c r="G3789"/>
  <c r="P2424"/>
  <c r="J3423"/>
  <c r="Q3423" s="1"/>
  <c r="P2541"/>
  <c r="J3540"/>
  <c r="Q3540" s="1"/>
  <c r="P2649"/>
  <c r="J3648"/>
  <c r="Q3648" s="1"/>
  <c r="D3462"/>
  <c r="O3462" s="1"/>
  <c r="F3462"/>
  <c r="H3462"/>
  <c r="L3462"/>
  <c r="K3462"/>
  <c r="G3462"/>
  <c r="D3489"/>
  <c r="O3489" s="1"/>
  <c r="F3489"/>
  <c r="H3489"/>
  <c r="K3489"/>
  <c r="G3489"/>
  <c r="L3489"/>
  <c r="D3525"/>
  <c r="O3525" s="1"/>
  <c r="F3525"/>
  <c r="H3525"/>
  <c r="K3525"/>
  <c r="G3525"/>
  <c r="L3525"/>
  <c r="D3622"/>
  <c r="O3622" s="1"/>
  <c r="F3622"/>
  <c r="H3622"/>
  <c r="L3622"/>
  <c r="K3622"/>
  <c r="G3622"/>
  <c r="D3671"/>
  <c r="O3671" s="1"/>
  <c r="F3671"/>
  <c r="H3671"/>
  <c r="L3671"/>
  <c r="K3671"/>
  <c r="G3671"/>
  <c r="D3735"/>
  <c r="O3735" s="1"/>
  <c r="F3735"/>
  <c r="H3735"/>
  <c r="L3735"/>
  <c r="K3735"/>
  <c r="G3735"/>
  <c r="D3757"/>
  <c r="O3757" s="1"/>
  <c r="H3757"/>
  <c r="K3757"/>
  <c r="G3757"/>
  <c r="L3757"/>
  <c r="D3768"/>
  <c r="O3768" s="1"/>
  <c r="G3768"/>
  <c r="K3768"/>
  <c r="F3768"/>
  <c r="H3768"/>
  <c r="L3768"/>
  <c r="D3790"/>
  <c r="O3790" s="1"/>
  <c r="K3790"/>
  <c r="G3790"/>
  <c r="D3424"/>
  <c r="O3424" s="1"/>
  <c r="L3424"/>
  <c r="P2456"/>
  <c r="J3455"/>
  <c r="Q3455" s="1"/>
  <c r="D3458"/>
  <c r="O3458" s="1"/>
  <c r="G3458"/>
  <c r="L3458"/>
  <c r="F3458"/>
  <c r="K3458"/>
  <c r="H3458"/>
  <c r="D3481"/>
  <c r="O3481" s="1"/>
  <c r="K3481"/>
  <c r="H3481"/>
  <c r="P2540"/>
  <c r="J3539"/>
  <c r="Q3539" s="1"/>
  <c r="L3554"/>
  <c r="G3554"/>
  <c r="D3572"/>
  <c r="O3572" s="1"/>
  <c r="G3572"/>
  <c r="K3572"/>
  <c r="H3572"/>
  <c r="F3572"/>
  <c r="L3572"/>
  <c r="H3575"/>
  <c r="L3575"/>
  <c r="P2577"/>
  <c r="J3576"/>
  <c r="Q3576" s="1"/>
  <c r="P2579"/>
  <c r="J3578"/>
  <c r="Q3578" s="1"/>
  <c r="D3580"/>
  <c r="O3580" s="1"/>
  <c r="G3580"/>
  <c r="L3580"/>
  <c r="H3580"/>
  <c r="F3580"/>
  <c r="K3580"/>
  <c r="P2583"/>
  <c r="J3582"/>
  <c r="Q3582" s="1"/>
  <c r="D3590"/>
  <c r="O3590" s="1"/>
  <c r="K3590"/>
  <c r="G3590"/>
  <c r="L3590"/>
  <c r="D3627"/>
  <c r="O3627" s="1"/>
  <c r="G3627"/>
  <c r="K3627"/>
  <c r="F3627"/>
  <c r="L3627"/>
  <c r="H3627"/>
  <c r="K3637"/>
  <c r="G3637"/>
  <c r="D3638"/>
  <c r="O3638" s="1"/>
  <c r="G3638"/>
  <c r="K3638"/>
  <c r="F3638"/>
  <c r="L3638"/>
  <c r="H3638"/>
  <c r="D3640"/>
  <c r="O3640" s="1"/>
  <c r="G3640"/>
  <c r="K3640"/>
  <c r="F3640"/>
  <c r="L3640"/>
  <c r="H3640"/>
  <c r="K3676"/>
  <c r="G3676"/>
  <c r="D3677"/>
  <c r="O3677" s="1"/>
  <c r="G3677"/>
  <c r="K3677"/>
  <c r="H3677"/>
  <c r="L3677"/>
  <c r="F3677"/>
  <c r="P2679"/>
  <c r="J3678"/>
  <c r="Q3678" s="1"/>
  <c r="K3690"/>
  <c r="H3690"/>
  <c r="D3691"/>
  <c r="O3691" s="1"/>
  <c r="H3691"/>
  <c r="L3691"/>
  <c r="G3691"/>
  <c r="K3691"/>
  <c r="D3692"/>
  <c r="O3692" s="1"/>
  <c r="H3692"/>
  <c r="K3692"/>
  <c r="L3692"/>
  <c r="G3692"/>
  <c r="P2757"/>
  <c r="J3756"/>
  <c r="Q3756" s="1"/>
  <c r="P2788"/>
  <c r="J3787"/>
  <c r="Q3787" s="1"/>
  <c r="P2461"/>
  <c r="J3460"/>
  <c r="Q3460" s="1"/>
  <c r="D3476"/>
  <c r="O3476" s="1"/>
  <c r="L3476"/>
  <c r="P2490"/>
  <c r="J3489"/>
  <c r="Q3489" s="1"/>
  <c r="P2508"/>
  <c r="J3507"/>
  <c r="Q3507" s="1"/>
  <c r="P2526"/>
  <c r="J3525"/>
  <c r="Q3525" s="1"/>
  <c r="L3532"/>
  <c r="G3532"/>
  <c r="L3560"/>
  <c r="G3560"/>
  <c r="P2580"/>
  <c r="J3579"/>
  <c r="Q3579" s="1"/>
  <c r="D3583"/>
  <c r="O3583" s="1"/>
  <c r="K3583"/>
  <c r="L3583"/>
  <c r="H3583"/>
  <c r="D3644"/>
  <c r="O3644" s="1"/>
  <c r="G3644"/>
  <c r="K3644"/>
  <c r="H3644"/>
  <c r="F3644"/>
  <c r="L3644"/>
  <c r="K3712"/>
  <c r="H3712"/>
  <c r="D3736"/>
  <c r="O3736" s="1"/>
  <c r="L3736"/>
  <c r="G3736"/>
  <c r="D3741"/>
  <c r="O3741" s="1"/>
  <c r="L3741"/>
  <c r="H3741"/>
  <c r="P2758"/>
  <c r="J3757"/>
  <c r="Q3757" s="1"/>
  <c r="Q2242"/>
  <c r="I3241"/>
  <c r="P3241" s="1"/>
  <c r="D3436"/>
  <c r="O3436" s="1"/>
  <c r="K3436"/>
  <c r="H3436"/>
  <c r="D3438"/>
  <c r="O3438" s="1"/>
  <c r="L3438"/>
  <c r="G3438"/>
  <c r="P2457"/>
  <c r="J3456"/>
  <c r="Q3456" s="1"/>
  <c r="D3459"/>
  <c r="O3459" s="1"/>
  <c r="G3459"/>
  <c r="K3459"/>
  <c r="F3459"/>
  <c r="L3459"/>
  <c r="H3459"/>
  <c r="D3488"/>
  <c r="O3488" s="1"/>
  <c r="G3488"/>
  <c r="K3488"/>
  <c r="F3488"/>
  <c r="L3488"/>
  <c r="H3488"/>
  <c r="P2517"/>
  <c r="J3516"/>
  <c r="Q3516" s="1"/>
  <c r="P2534"/>
  <c r="J3533"/>
  <c r="Q3533" s="1"/>
  <c r="G3540"/>
  <c r="L3540"/>
  <c r="F3540"/>
  <c r="K3540"/>
  <c r="D3540"/>
  <c r="O3540" s="1"/>
  <c r="H3540"/>
  <c r="D3549"/>
  <c r="O3549" s="1"/>
  <c r="L3549"/>
  <c r="H3549"/>
  <c r="P2582"/>
  <c r="J3581"/>
  <c r="Q3581" s="1"/>
  <c r="P2612"/>
  <c r="J3611"/>
  <c r="Q3611" s="1"/>
  <c r="D3697"/>
  <c r="O3697" s="1"/>
  <c r="G3697"/>
  <c r="K3697"/>
  <c r="F3697"/>
  <c r="L3697"/>
  <c r="H3697"/>
  <c r="L3711"/>
  <c r="G3711"/>
  <c r="D3724"/>
  <c r="O3724" s="1"/>
  <c r="K3724"/>
  <c r="H3724"/>
  <c r="D3737"/>
  <c r="O3737" s="1"/>
  <c r="G3737"/>
  <c r="K3737"/>
  <c r="F3737"/>
  <c r="L3737"/>
  <c r="H3737"/>
  <c r="P2756"/>
  <c r="J3755"/>
  <c r="Q3755" s="1"/>
  <c r="P2778"/>
  <c r="J3777"/>
  <c r="Q3777" s="1"/>
  <c r="P2528"/>
  <c r="J3527"/>
  <c r="Q3527" s="1"/>
  <c r="D3318"/>
  <c r="O3318" s="1"/>
  <c r="G3318"/>
  <c r="K3318"/>
  <c r="D3419"/>
  <c r="O3419" s="1"/>
  <c r="G3419"/>
  <c r="L3419"/>
  <c r="D3460"/>
  <c r="O3460" s="1"/>
  <c r="F3460"/>
  <c r="H3460"/>
  <c r="K3460"/>
  <c r="G3460"/>
  <c r="L3460"/>
  <c r="D3483"/>
  <c r="O3483" s="1"/>
  <c r="F3483"/>
  <c r="H3483"/>
  <c r="L3483"/>
  <c r="K3483"/>
  <c r="G3483"/>
  <c r="D3487"/>
  <c r="O3487" s="1"/>
  <c r="F3487"/>
  <c r="H3487"/>
  <c r="L3487"/>
  <c r="K3487"/>
  <c r="G3487"/>
  <c r="D3507"/>
  <c r="O3507" s="1"/>
  <c r="G3507"/>
  <c r="L3507"/>
  <c r="D3527"/>
  <c r="O3527" s="1"/>
  <c r="F3527"/>
  <c r="H3527"/>
  <c r="K3527"/>
  <c r="L3527"/>
  <c r="G3527"/>
  <c r="H3629"/>
  <c r="K3629"/>
  <c r="D3646"/>
  <c r="O3646" s="1"/>
  <c r="F3646"/>
  <c r="H3646"/>
  <c r="L3646"/>
  <c r="K3646"/>
  <c r="G3646"/>
  <c r="D3660"/>
  <c r="O3660" s="1"/>
  <c r="G3660"/>
  <c r="K3660"/>
  <c r="L3660"/>
  <c r="D3726"/>
  <c r="O3726" s="1"/>
  <c r="F3726"/>
  <c r="H3726"/>
  <c r="L3726"/>
  <c r="K3726"/>
  <c r="G3726"/>
  <c r="D3755"/>
  <c r="O3755" s="1"/>
  <c r="G3755"/>
  <c r="L3755"/>
  <c r="F3755"/>
  <c r="H3755"/>
  <c r="K3755"/>
  <c r="D3362"/>
  <c r="O3362" s="1"/>
  <c r="K3362"/>
  <c r="G3362"/>
  <c r="L3362"/>
  <c r="P2426"/>
  <c r="J3425"/>
  <c r="Q3425" s="1"/>
  <c r="D3431"/>
  <c r="O3431" s="1"/>
  <c r="G3431"/>
  <c r="K3431"/>
  <c r="H3431"/>
  <c r="F3431"/>
  <c r="L3431"/>
  <c r="P2459"/>
  <c r="J3458"/>
  <c r="Q3458" s="1"/>
  <c r="P2462"/>
  <c r="J3461"/>
  <c r="Q3461" s="1"/>
  <c r="D3467"/>
  <c r="O3467" s="1"/>
  <c r="L3467"/>
  <c r="G3467"/>
  <c r="D3468"/>
  <c r="O3468" s="1"/>
  <c r="L3468"/>
  <c r="G3468"/>
  <c r="D3469"/>
  <c r="O3469" s="1"/>
  <c r="L3469"/>
  <c r="G3469"/>
  <c r="D3470"/>
  <c r="O3470" s="1"/>
  <c r="L3470"/>
  <c r="G3470"/>
  <c r="D3497"/>
  <c r="O3497" s="1"/>
  <c r="G3497"/>
  <c r="K3497"/>
  <c r="F3497"/>
  <c r="L3497"/>
  <c r="H3497"/>
  <c r="D3511"/>
  <c r="O3511" s="1"/>
  <c r="L3511"/>
  <c r="G3511"/>
  <c r="D3512"/>
  <c r="O3512" s="1"/>
  <c r="H3512"/>
  <c r="L3512"/>
  <c r="G3512"/>
  <c r="K3512"/>
  <c r="D3513"/>
  <c r="O3513" s="1"/>
  <c r="H3513"/>
  <c r="L3513"/>
  <c r="K3513"/>
  <c r="G3513"/>
  <c r="D3514"/>
  <c r="O3514" s="1"/>
  <c r="G3514"/>
  <c r="K3514"/>
  <c r="F3514"/>
  <c r="L3514"/>
  <c r="H3514"/>
  <c r="P2516"/>
  <c r="J3515"/>
  <c r="Q3515" s="1"/>
  <c r="D3523"/>
  <c r="O3523" s="1"/>
  <c r="G3523"/>
  <c r="K3523"/>
  <c r="H3523"/>
  <c r="F3523"/>
  <c r="L3523"/>
  <c r="P2525"/>
  <c r="J3524"/>
  <c r="Q3524" s="1"/>
  <c r="P2527"/>
  <c r="J3526"/>
  <c r="Q3526" s="1"/>
  <c r="D3537"/>
  <c r="O3537" s="1"/>
  <c r="K3537"/>
  <c r="G3537"/>
  <c r="D3539"/>
  <c r="O3539" s="1"/>
  <c r="G3539"/>
  <c r="L3539"/>
  <c r="P2581"/>
  <c r="J3580"/>
  <c r="Q3580" s="1"/>
  <c r="D3582"/>
  <c r="O3582" s="1"/>
  <c r="G3582"/>
  <c r="L3582"/>
  <c r="H3582"/>
  <c r="F3582"/>
  <c r="K3582"/>
  <c r="D3607"/>
  <c r="O3607" s="1"/>
  <c r="G3607"/>
  <c r="K3607"/>
  <c r="H3607"/>
  <c r="F3607"/>
  <c r="L3607"/>
  <c r="K3614"/>
  <c r="G3614"/>
  <c r="D3615"/>
  <c r="O3615" s="1"/>
  <c r="H3615"/>
  <c r="L3615"/>
  <c r="K3615"/>
  <c r="G3615"/>
  <c r="D3616"/>
  <c r="O3616" s="1"/>
  <c r="H3616"/>
  <c r="L3616"/>
  <c r="G3616"/>
  <c r="K3616"/>
  <c r="D3617"/>
  <c r="O3617" s="1"/>
  <c r="G3617"/>
  <c r="K3617"/>
  <c r="H3617"/>
  <c r="F3617"/>
  <c r="L3617"/>
  <c r="D3631"/>
  <c r="O3631" s="1"/>
  <c r="G3631"/>
  <c r="K3631"/>
  <c r="H3631"/>
  <c r="L3631"/>
  <c r="F3631"/>
  <c r="P2662"/>
  <c r="J3661"/>
  <c r="Q3661" s="1"/>
  <c r="P2693"/>
  <c r="J3692"/>
  <c r="Q3692" s="1"/>
  <c r="D3715"/>
  <c r="O3715" s="1"/>
  <c r="K3715"/>
  <c r="G3715"/>
  <c r="D3716"/>
  <c r="O3716" s="1"/>
  <c r="G3716"/>
  <c r="K3716"/>
  <c r="F3716"/>
  <c r="L3716"/>
  <c r="H3716"/>
  <c r="D3732"/>
  <c r="O3732" s="1"/>
  <c r="G3732"/>
  <c r="K3732"/>
  <c r="H3732"/>
  <c r="F3732"/>
  <c r="L3732"/>
  <c r="P2741"/>
  <c r="J3740"/>
  <c r="Q3740" s="1"/>
  <c r="D3747"/>
  <c r="O3747" s="1"/>
  <c r="G3747"/>
  <c r="K3747"/>
  <c r="H3747"/>
  <c r="F3747"/>
  <c r="L3747"/>
  <c r="D3750"/>
  <c r="O3750" s="1"/>
  <c r="K3750"/>
  <c r="G3750"/>
  <c r="D3437"/>
  <c r="O3437" s="1"/>
  <c r="H3437"/>
  <c r="L3437"/>
  <c r="G3437"/>
  <c r="K3437"/>
  <c r="D3439"/>
  <c r="O3439" s="1"/>
  <c r="K3439"/>
  <c r="H3439"/>
  <c r="D3567"/>
  <c r="O3567" s="1"/>
  <c r="H3567"/>
  <c r="L3567"/>
  <c r="K3567"/>
  <c r="G3567"/>
  <c r="D3579"/>
  <c r="O3579" s="1"/>
  <c r="G3579"/>
  <c r="L3579"/>
  <c r="H3579"/>
  <c r="F3579"/>
  <c r="K3579"/>
  <c r="L3599"/>
  <c r="G3599"/>
  <c r="K3624"/>
  <c r="G3624"/>
  <c r="P2661"/>
  <c r="J3660"/>
  <c r="Q3660" s="1"/>
  <c r="P2663"/>
  <c r="J3662"/>
  <c r="Q3662" s="1"/>
  <c r="D3672"/>
  <c r="O3672" s="1"/>
  <c r="G3672"/>
  <c r="K3672"/>
  <c r="F3672"/>
  <c r="L3672"/>
  <c r="H3672"/>
  <c r="L3700"/>
  <c r="G3700"/>
  <c r="D3725"/>
  <c r="O3725" s="1"/>
  <c r="G3725"/>
  <c r="K3725"/>
  <c r="F3725"/>
  <c r="L3725"/>
  <c r="H3725"/>
  <c r="D3727"/>
  <c r="O3727" s="1"/>
  <c r="K3727"/>
  <c r="G3727"/>
  <c r="P2578"/>
  <c r="J3577"/>
  <c r="Q3577" s="1"/>
  <c r="D3581"/>
  <c r="O3581" s="1"/>
  <c r="G3581"/>
  <c r="L3581"/>
  <c r="H3581"/>
  <c r="F3581"/>
  <c r="K3581"/>
  <c r="D3742"/>
  <c r="O3742" s="1"/>
  <c r="K3742"/>
  <c r="G3742"/>
  <c r="VA3"/>
  <c r="PK2"/>
  <c r="Q2319"/>
  <c r="I3318"/>
  <c r="P3318" s="1"/>
  <c r="P2363"/>
  <c r="J3362"/>
  <c r="Q3362" s="1"/>
  <c r="P2418"/>
  <c r="J3417"/>
  <c r="Q3417" s="1"/>
  <c r="P2446"/>
  <c r="J3445"/>
  <c r="Q3445" s="1"/>
  <c r="P2448"/>
  <c r="J3447"/>
  <c r="Q3447" s="1"/>
  <c r="P2450"/>
  <c r="J3449"/>
  <c r="Q3449" s="1"/>
  <c r="P2452"/>
  <c r="J3451"/>
  <c r="Q3451" s="1"/>
  <c r="P2454"/>
  <c r="J3453"/>
  <c r="Q3453" s="1"/>
  <c r="P2477"/>
  <c r="J3476"/>
  <c r="Q3476" s="1"/>
  <c r="P2482"/>
  <c r="J3481"/>
  <c r="Q3481" s="1"/>
  <c r="P2484"/>
  <c r="J3483"/>
  <c r="Q3483" s="1"/>
  <c r="P2486"/>
  <c r="J3485"/>
  <c r="Q3485" s="1"/>
  <c r="P2488"/>
  <c r="J3487"/>
  <c r="Q3487" s="1"/>
  <c r="P2523"/>
  <c r="J3522"/>
  <c r="Q3522" s="1"/>
  <c r="P2561"/>
  <c r="J3560"/>
  <c r="Q3560" s="1"/>
  <c r="P2599"/>
  <c r="J3598"/>
  <c r="Q3598" s="1"/>
  <c r="P2624"/>
  <c r="J3623"/>
  <c r="Q3623" s="1"/>
  <c r="P2628"/>
  <c r="J3627"/>
  <c r="Q3627" s="1"/>
  <c r="P2630"/>
  <c r="J3629"/>
  <c r="Q3629" s="1"/>
  <c r="P2632"/>
  <c r="J3631"/>
  <c r="Q3631" s="1"/>
  <c r="P2634"/>
  <c r="J3633"/>
  <c r="Q3633" s="1"/>
  <c r="P2659"/>
  <c r="J3658"/>
  <c r="Q3658" s="1"/>
  <c r="P2691"/>
  <c r="J3690"/>
  <c r="Q3690" s="1"/>
  <c r="P2707"/>
  <c r="J3706"/>
  <c r="Q3706" s="1"/>
  <c r="P2726"/>
  <c r="J3725"/>
  <c r="Q3725" s="1"/>
  <c r="P2734"/>
  <c r="J3733"/>
  <c r="Q3733" s="1"/>
  <c r="P2736"/>
  <c r="J3735"/>
  <c r="Q3735" s="1"/>
  <c r="P2374"/>
  <c r="J3373"/>
  <c r="Q3373" s="1"/>
  <c r="P2447"/>
  <c r="J3446"/>
  <c r="Q3446" s="1"/>
  <c r="P2449"/>
  <c r="J3448"/>
  <c r="Q3448" s="1"/>
  <c r="P2451"/>
  <c r="J3450"/>
  <c r="Q3450" s="1"/>
  <c r="P2453"/>
  <c r="J3452"/>
  <c r="Q3452" s="1"/>
  <c r="P2473"/>
  <c r="J3472"/>
  <c r="Q3472" s="1"/>
  <c r="P2481"/>
  <c r="J3480"/>
  <c r="Q3480" s="1"/>
  <c r="P2483"/>
  <c r="J3482"/>
  <c r="Q3482" s="1"/>
  <c r="P2485"/>
  <c r="J3484"/>
  <c r="Q3484" s="1"/>
  <c r="P2487"/>
  <c r="J3486"/>
  <c r="Q3486" s="1"/>
  <c r="P2519"/>
  <c r="J3518"/>
  <c r="Q3518" s="1"/>
  <c r="P2530"/>
  <c r="J3529"/>
  <c r="Q3529" s="1"/>
  <c r="P2535"/>
  <c r="J3534"/>
  <c r="Q3534" s="1"/>
  <c r="P2560"/>
  <c r="J3559"/>
  <c r="Q3559" s="1"/>
  <c r="P2611"/>
  <c r="J3610"/>
  <c r="Q3610" s="1"/>
  <c r="P2620"/>
  <c r="J3619"/>
  <c r="Q3619" s="1"/>
  <c r="P2627"/>
  <c r="J3626"/>
  <c r="Q3626" s="1"/>
  <c r="P2629"/>
  <c r="J3628"/>
  <c r="Q3628" s="1"/>
  <c r="P2631"/>
  <c r="J3630"/>
  <c r="Q3630" s="1"/>
  <c r="P2633"/>
  <c r="J3632"/>
  <c r="Q3632" s="1"/>
  <c r="P2643"/>
  <c r="J3642"/>
  <c r="Q3642" s="1"/>
  <c r="P2687"/>
  <c r="J3686"/>
  <c r="Q3686" s="1"/>
  <c r="P2695"/>
  <c r="J3694"/>
  <c r="Q3694" s="1"/>
  <c r="P2703"/>
  <c r="J3702"/>
  <c r="Q3702" s="1"/>
  <c r="P2735"/>
  <c r="J3734"/>
  <c r="Q3734" s="1"/>
  <c r="P2740"/>
  <c r="J3739"/>
  <c r="Q3739" s="1"/>
  <c r="P2790"/>
  <c r="J3789"/>
  <c r="Q3789" s="1"/>
  <c r="P2275"/>
  <c r="J3274"/>
  <c r="Q3274" s="1"/>
  <c r="P2341"/>
  <c r="J3340"/>
  <c r="Q3340" s="1"/>
  <c r="Q2407"/>
  <c r="I3406"/>
  <c r="P3406" s="1"/>
  <c r="P2419"/>
  <c r="J3418"/>
  <c r="Q3418" s="1"/>
  <c r="P2421"/>
  <c r="J3420"/>
  <c r="Q3420" s="1"/>
  <c r="P2428"/>
  <c r="J3427"/>
  <c r="Q3427" s="1"/>
  <c r="P2455"/>
  <c r="J3454"/>
  <c r="Q3454" s="1"/>
  <c r="P2489"/>
  <c r="J3488"/>
  <c r="Q3488" s="1"/>
  <c r="P2520"/>
  <c r="J3519"/>
  <c r="Q3519" s="1"/>
  <c r="P2524"/>
  <c r="J3523"/>
  <c r="Q3523" s="1"/>
  <c r="P2531"/>
  <c r="J3530"/>
  <c r="Q3530" s="1"/>
  <c r="P2533"/>
  <c r="J3532"/>
  <c r="Q3532" s="1"/>
  <c r="P2539"/>
  <c r="J3538"/>
  <c r="Q3538" s="1"/>
  <c r="P2556"/>
  <c r="J3555"/>
  <c r="Q3555" s="1"/>
  <c r="P2567"/>
  <c r="J3566"/>
  <c r="Q3566" s="1"/>
  <c r="P2569"/>
  <c r="J3568"/>
  <c r="Q3568" s="1"/>
  <c r="P2571"/>
  <c r="J3570"/>
  <c r="Q3570" s="1"/>
  <c r="P2594"/>
  <c r="J3593"/>
  <c r="Q3593" s="1"/>
  <c r="P2600"/>
  <c r="J3599"/>
  <c r="Q3599" s="1"/>
  <c r="P2608"/>
  <c r="J3607"/>
  <c r="Q3607" s="1"/>
  <c r="P2621"/>
  <c r="J3620"/>
  <c r="Q3620" s="1"/>
  <c r="P2660"/>
  <c r="J3659"/>
  <c r="Q3659" s="1"/>
  <c r="P2667"/>
  <c r="J3666"/>
  <c r="Q3666" s="1"/>
  <c r="P2669"/>
  <c r="J3668"/>
  <c r="Q3668" s="1"/>
  <c r="P2671"/>
  <c r="J3670"/>
  <c r="Q3670" s="1"/>
  <c r="P2673"/>
  <c r="J3672"/>
  <c r="Q3672" s="1"/>
  <c r="P2675"/>
  <c r="J3674"/>
  <c r="Q3674" s="1"/>
  <c r="P2702"/>
  <c r="J3701"/>
  <c r="Q3701" s="1"/>
  <c r="P2709"/>
  <c r="J3708"/>
  <c r="Q3708" s="1"/>
  <c r="P2712"/>
  <c r="J3711"/>
  <c r="Q3711" s="1"/>
  <c r="P2714"/>
  <c r="J3713"/>
  <c r="Q3713" s="1"/>
  <c r="P2725"/>
  <c r="J3724"/>
  <c r="Q3724" s="1"/>
  <c r="P2733"/>
  <c r="J3732"/>
  <c r="Q3732" s="1"/>
  <c r="P2739"/>
  <c r="J3738"/>
  <c r="Q3738" s="1"/>
  <c r="P2752"/>
  <c r="J3751"/>
  <c r="Q3751" s="1"/>
  <c r="P2762"/>
  <c r="J3761"/>
  <c r="Q3761" s="1"/>
  <c r="P2764"/>
  <c r="J3763"/>
  <c r="Q3763" s="1"/>
  <c r="P2767"/>
  <c r="J3766"/>
  <c r="Q3766" s="1"/>
  <c r="P2799"/>
  <c r="J3798"/>
  <c r="Q3798" s="1"/>
  <c r="P2507"/>
  <c r="J3506"/>
  <c r="Q3506" s="1"/>
  <c r="P2518"/>
  <c r="J3517"/>
  <c r="Q3517" s="1"/>
  <c r="P2522"/>
  <c r="J3521"/>
  <c r="Q3521" s="1"/>
  <c r="P2532"/>
  <c r="J3531"/>
  <c r="Q3531" s="1"/>
  <c r="P2555"/>
  <c r="J3554"/>
  <c r="Q3554" s="1"/>
  <c r="P2566"/>
  <c r="J3565"/>
  <c r="Q3565" s="1"/>
  <c r="P2568"/>
  <c r="J3567"/>
  <c r="Q3567" s="1"/>
  <c r="P2570"/>
  <c r="J3569"/>
  <c r="Q3569" s="1"/>
  <c r="P2586"/>
  <c r="J3585"/>
  <c r="Q3585" s="1"/>
  <c r="P2589"/>
  <c r="J3588"/>
  <c r="Q3588" s="1"/>
  <c r="P2607"/>
  <c r="J3606"/>
  <c r="Q3606" s="1"/>
  <c r="P2610"/>
  <c r="J3609"/>
  <c r="Q3609" s="1"/>
  <c r="P2626"/>
  <c r="J3625"/>
  <c r="Q3625" s="1"/>
  <c r="P2658"/>
  <c r="J3657"/>
  <c r="Q3657" s="1"/>
  <c r="P2666"/>
  <c r="J3665"/>
  <c r="Q3665" s="1"/>
  <c r="P2668"/>
  <c r="J3667"/>
  <c r="Q3667" s="1"/>
  <c r="P2670"/>
  <c r="J3669"/>
  <c r="Q3669" s="1"/>
  <c r="P2672"/>
  <c r="J3671"/>
  <c r="Q3671" s="1"/>
  <c r="P2674"/>
  <c r="J3673"/>
  <c r="Q3673" s="1"/>
  <c r="P2678"/>
  <c r="J3677"/>
  <c r="Q3677" s="1"/>
  <c r="P2701"/>
  <c r="J3700"/>
  <c r="Q3700" s="1"/>
  <c r="P2704"/>
  <c r="J3703"/>
  <c r="Q3703" s="1"/>
  <c r="P2708"/>
  <c r="J3707"/>
  <c r="Q3707" s="1"/>
  <c r="P2710"/>
  <c r="J3709"/>
  <c r="Q3709" s="1"/>
  <c r="P2713"/>
  <c r="J3712"/>
  <c r="Q3712" s="1"/>
  <c r="P2715"/>
  <c r="J3714"/>
  <c r="Q3714" s="1"/>
  <c r="P2722"/>
  <c r="J3721"/>
  <c r="Q3721" s="1"/>
  <c r="P2731"/>
  <c r="J3730"/>
  <c r="Q3730" s="1"/>
  <c r="P2755"/>
  <c r="J3754"/>
  <c r="Q3754" s="1"/>
  <c r="P2761"/>
  <c r="J3760"/>
  <c r="Q3760" s="1"/>
  <c r="P2763"/>
  <c r="J3762"/>
  <c r="Q3762" s="1"/>
  <c r="P2766"/>
  <c r="J3765"/>
  <c r="Q3765" s="1"/>
  <c r="P2798"/>
  <c r="J3797"/>
  <c r="Q3797" s="1"/>
  <c r="I3340"/>
  <c r="P3340" s="1"/>
  <c r="Q2341"/>
  <c r="I3384"/>
  <c r="P3384" s="1"/>
  <c r="Q2385"/>
  <c r="I3419"/>
  <c r="P3419" s="1"/>
  <c r="Q2420"/>
  <c r="I3421"/>
  <c r="P3421" s="1"/>
  <c r="Q2422"/>
  <c r="I3426"/>
  <c r="P3426" s="1"/>
  <c r="Q2427"/>
  <c r="I3495"/>
  <c r="P3495" s="1"/>
  <c r="Q2496"/>
  <c r="I3252"/>
  <c r="P3252" s="1"/>
  <c r="Q2253"/>
  <c r="I3263"/>
  <c r="P3263" s="1"/>
  <c r="Q2264"/>
  <c r="I3274"/>
  <c r="P3274" s="1"/>
  <c r="Q2275"/>
  <c r="I3285"/>
  <c r="P3285" s="1"/>
  <c r="Q2286"/>
  <c r="I3296"/>
  <c r="P3296" s="1"/>
  <c r="Q2297"/>
  <c r="I3307"/>
  <c r="P3307" s="1"/>
  <c r="Q2308"/>
  <c r="I3329"/>
  <c r="P3329" s="1"/>
  <c r="Q2330"/>
  <c r="I3351"/>
  <c r="P3351" s="1"/>
  <c r="Q2352"/>
  <c r="I3362"/>
  <c r="P3362" s="1"/>
  <c r="Q2363"/>
  <c r="I3373"/>
  <c r="P3373" s="1"/>
  <c r="Q2374"/>
  <c r="I3395"/>
  <c r="P3395" s="1"/>
  <c r="Q2396"/>
  <c r="I3420"/>
  <c r="P3420" s="1"/>
  <c r="Q2421"/>
  <c r="I3422"/>
  <c r="P3422" s="1"/>
  <c r="Q2423"/>
  <c r="I3423"/>
  <c r="P3423" s="1"/>
  <c r="Q2424"/>
  <c r="I3424"/>
  <c r="P3424" s="1"/>
  <c r="Q2425"/>
  <c r="I3427"/>
  <c r="P3427" s="1"/>
  <c r="Q2428"/>
  <c r="I3428"/>
  <c r="P3428" s="1"/>
  <c r="Q2429"/>
  <c r="I3429"/>
  <c r="P3429" s="1"/>
  <c r="Q2430"/>
  <c r="I3430"/>
  <c r="P3430" s="1"/>
  <c r="Q2431"/>
  <c r="I3431"/>
  <c r="P3431" s="1"/>
  <c r="Q2432"/>
  <c r="I3432"/>
  <c r="P3432" s="1"/>
  <c r="Q2433"/>
  <c r="I3433"/>
  <c r="P3433" s="1"/>
  <c r="Q2434"/>
  <c r="I3434"/>
  <c r="P3434" s="1"/>
  <c r="Q2435"/>
  <c r="I3435"/>
  <c r="P3435" s="1"/>
  <c r="Q2436"/>
  <c r="I3436"/>
  <c r="P3436" s="1"/>
  <c r="Q2437"/>
  <c r="I3437"/>
  <c r="P3437" s="1"/>
  <c r="Q2438"/>
  <c r="I3438"/>
  <c r="P3438" s="1"/>
  <c r="Q2439"/>
  <c r="I3439"/>
  <c r="P3439" s="1"/>
  <c r="Q2440"/>
  <c r="I3440"/>
  <c r="P3440" s="1"/>
  <c r="Q2441"/>
  <c r="I3441"/>
  <c r="P3441" s="1"/>
  <c r="Q2442"/>
  <c r="I3442"/>
  <c r="P3442" s="1"/>
  <c r="Q2443"/>
  <c r="I3443"/>
  <c r="P3443" s="1"/>
  <c r="Q2444"/>
  <c r="I3444"/>
  <c r="P3444" s="1"/>
  <c r="Q2445"/>
  <c r="I3445"/>
  <c r="P3445" s="1"/>
  <c r="Q2446"/>
  <c r="I3446"/>
  <c r="P3446" s="1"/>
  <c r="Q2447"/>
  <c r="I3447"/>
  <c r="P3447" s="1"/>
  <c r="Q2448"/>
  <c r="I3448"/>
  <c r="P3448" s="1"/>
  <c r="Q2449"/>
  <c r="I3449"/>
  <c r="P3449" s="1"/>
  <c r="Q2450"/>
  <c r="I3450"/>
  <c r="P3450" s="1"/>
  <c r="Q2451"/>
  <c r="I3451"/>
  <c r="P3451" s="1"/>
  <c r="Q2452"/>
  <c r="I3452"/>
  <c r="P3452" s="1"/>
  <c r="Q2453"/>
  <c r="I3453"/>
  <c r="P3453" s="1"/>
  <c r="Q2454"/>
  <c r="I3454"/>
  <c r="P3454" s="1"/>
  <c r="Q2455"/>
  <c r="I3455"/>
  <c r="P3455" s="1"/>
  <c r="Q2456"/>
  <c r="I3456"/>
  <c r="P3456" s="1"/>
  <c r="Q2457"/>
  <c r="I3457"/>
  <c r="P3457" s="1"/>
  <c r="Q2458"/>
  <c r="I3458"/>
  <c r="P3458" s="1"/>
  <c r="Q2459"/>
  <c r="I3459"/>
  <c r="P3459" s="1"/>
  <c r="Q2460"/>
  <c r="I3460"/>
  <c r="P3460" s="1"/>
  <c r="Q2461"/>
  <c r="I3461"/>
  <c r="P3461" s="1"/>
  <c r="Q2462"/>
  <c r="I3462"/>
  <c r="P3462" s="1"/>
  <c r="Q2463"/>
  <c r="I3463"/>
  <c r="P3463" s="1"/>
  <c r="Q2464"/>
  <c r="I3464"/>
  <c r="P3464" s="1"/>
  <c r="Q2465"/>
  <c r="I3465"/>
  <c r="P3465" s="1"/>
  <c r="Q2466"/>
  <c r="I3466"/>
  <c r="P3466" s="1"/>
  <c r="Q2467"/>
  <c r="I3467"/>
  <c r="P3467" s="1"/>
  <c r="Q2468"/>
  <c r="I3468"/>
  <c r="P3468" s="1"/>
  <c r="Q2469"/>
  <c r="I3469"/>
  <c r="P3469" s="1"/>
  <c r="Q2470"/>
  <c r="I3470"/>
  <c r="P3470" s="1"/>
  <c r="Q2471"/>
  <c r="I3471"/>
  <c r="P3471" s="1"/>
  <c r="Q2472"/>
  <c r="I3472"/>
  <c r="P3472" s="1"/>
  <c r="Q2473"/>
  <c r="I3473"/>
  <c r="P3473" s="1"/>
  <c r="Q2474"/>
  <c r="I3474"/>
  <c r="P3474" s="1"/>
  <c r="Q2475"/>
  <c r="I3475"/>
  <c r="P3475" s="1"/>
  <c r="Q2476"/>
  <c r="I3476"/>
  <c r="P3476" s="1"/>
  <c r="Q2477"/>
  <c r="I3477"/>
  <c r="P3477" s="1"/>
  <c r="Q2478"/>
  <c r="I3478"/>
  <c r="P3478" s="1"/>
  <c r="Q2479"/>
  <c r="I3479"/>
  <c r="P3479" s="1"/>
  <c r="Q2480"/>
  <c r="I3480"/>
  <c r="P3480" s="1"/>
  <c r="Q2481"/>
  <c r="I3481"/>
  <c r="P3481" s="1"/>
  <c r="Q2482"/>
  <c r="I3482"/>
  <c r="P3482" s="1"/>
  <c r="Q2483"/>
  <c r="I3483"/>
  <c r="P3483" s="1"/>
  <c r="Q2484"/>
  <c r="I3484"/>
  <c r="P3484" s="1"/>
  <c r="Q2485"/>
  <c r="I3485"/>
  <c r="P3485" s="1"/>
  <c r="Q2486"/>
  <c r="I3486"/>
  <c r="P3486" s="1"/>
  <c r="Q2487"/>
  <c r="I3487"/>
  <c r="P3487" s="1"/>
  <c r="Q2488"/>
  <c r="I3488"/>
  <c r="P3488" s="1"/>
  <c r="Q2489"/>
  <c r="I3489"/>
  <c r="P3489" s="1"/>
  <c r="Q2490"/>
  <c r="I3490"/>
  <c r="P3490" s="1"/>
  <c r="Q2491"/>
  <c r="I3491"/>
  <c r="P3491" s="1"/>
  <c r="Q2492"/>
  <c r="I3492"/>
  <c r="P3492" s="1"/>
  <c r="Q2493"/>
  <c r="I3493"/>
  <c r="P3493" s="1"/>
  <c r="Q2494"/>
  <c r="I3496"/>
  <c r="P3496" s="1"/>
  <c r="Q2497"/>
  <c r="I3497"/>
  <c r="P3497" s="1"/>
  <c r="Q2498"/>
  <c r="I3498"/>
  <c r="P3498" s="1"/>
  <c r="Q2499"/>
  <c r="I3499"/>
  <c r="P3499" s="1"/>
  <c r="Q2500"/>
  <c r="I3500"/>
  <c r="P3500" s="1"/>
  <c r="Q2501"/>
  <c r="I3501"/>
  <c r="P3501" s="1"/>
  <c r="Q2502"/>
  <c r="I3502"/>
  <c r="P3502" s="1"/>
  <c r="Q2503"/>
  <c r="I3503"/>
  <c r="P3503" s="1"/>
  <c r="Q2504"/>
  <c r="I3504"/>
  <c r="P3504" s="1"/>
  <c r="Q2505"/>
  <c r="I3505"/>
  <c r="P3505" s="1"/>
  <c r="Q2506"/>
  <c r="I3506"/>
  <c r="P3506" s="1"/>
  <c r="Q2507"/>
  <c r="I3507"/>
  <c r="P3507" s="1"/>
  <c r="Q2508"/>
  <c r="I3508"/>
  <c r="P3508" s="1"/>
  <c r="Q2509"/>
  <c r="I3509"/>
  <c r="P3509" s="1"/>
  <c r="Q2510"/>
  <c r="I3510"/>
  <c r="P3510" s="1"/>
  <c r="Q2511"/>
  <c r="I3511"/>
  <c r="P3511" s="1"/>
  <c r="Q2512"/>
  <c r="I3512"/>
  <c r="P3512" s="1"/>
  <c r="Q2513"/>
  <c r="I3513"/>
  <c r="P3513" s="1"/>
  <c r="Q2514"/>
  <c r="I3514"/>
  <c r="P3514" s="1"/>
  <c r="Q2515"/>
  <c r="I3515"/>
  <c r="P3515" s="1"/>
  <c r="Q2516"/>
  <c r="I3516"/>
  <c r="P3516" s="1"/>
  <c r="Q2517"/>
  <c r="I3517"/>
  <c r="P3517" s="1"/>
  <c r="Q2518"/>
  <c r="I3518"/>
  <c r="P3518" s="1"/>
  <c r="Q2519"/>
  <c r="I3519"/>
  <c r="P3519" s="1"/>
  <c r="Q2520"/>
  <c r="I3520"/>
  <c r="P3520" s="1"/>
  <c r="Q2521"/>
  <c r="I3521"/>
  <c r="P3521" s="1"/>
  <c r="Q2522"/>
  <c r="I3522"/>
  <c r="P3522" s="1"/>
  <c r="Q2523"/>
  <c r="I3523"/>
  <c r="P3523" s="1"/>
  <c r="Q2524"/>
  <c r="I3524"/>
  <c r="P3524" s="1"/>
  <c r="Q2525"/>
  <c r="I3525"/>
  <c r="P3525" s="1"/>
  <c r="Q2526"/>
  <c r="I3526"/>
  <c r="P3526" s="1"/>
  <c r="Q2527"/>
  <c r="I3527"/>
  <c r="P3527" s="1"/>
  <c r="Q2528"/>
  <c r="I3528"/>
  <c r="P3528" s="1"/>
  <c r="Q2529"/>
  <c r="I3529"/>
  <c r="P3529" s="1"/>
  <c r="Q2530"/>
  <c r="I3530"/>
  <c r="P3530" s="1"/>
  <c r="Q2531"/>
  <c r="I3531"/>
  <c r="P3531" s="1"/>
  <c r="Q2532"/>
  <c r="I3532"/>
  <c r="P3532" s="1"/>
  <c r="Q2533"/>
  <c r="I3533"/>
  <c r="P3533" s="1"/>
  <c r="Q2534"/>
  <c r="I3534"/>
  <c r="P3534" s="1"/>
  <c r="Q2535"/>
  <c r="I3535"/>
  <c r="P3535" s="1"/>
  <c r="Q2536"/>
  <c r="I3536"/>
  <c r="P3536" s="1"/>
  <c r="Q2537"/>
  <c r="I3537"/>
  <c r="P3537" s="1"/>
  <c r="Q2538"/>
  <c r="I3538"/>
  <c r="P3538" s="1"/>
  <c r="Q2539"/>
  <c r="I3539"/>
  <c r="P3539" s="1"/>
  <c r="Q2540"/>
  <c r="I3540"/>
  <c r="P3540" s="1"/>
  <c r="Q2541"/>
  <c r="I3541"/>
  <c r="P3541" s="1"/>
  <c r="Q2542"/>
  <c r="I3542"/>
  <c r="P3542" s="1"/>
  <c r="Q2543"/>
  <c r="I3543"/>
  <c r="P3543" s="1"/>
  <c r="Q2544"/>
  <c r="I3544"/>
  <c r="P3544" s="1"/>
  <c r="Q2545"/>
  <c r="I3545"/>
  <c r="P3545" s="1"/>
  <c r="Q2546"/>
  <c r="I3546"/>
  <c r="P3546" s="1"/>
  <c r="Q2547"/>
  <c r="I3494"/>
  <c r="P3494" s="1"/>
  <c r="Q2495"/>
  <c r="I3685"/>
  <c r="P3685" s="1"/>
  <c r="Q2686"/>
  <c r="I3689"/>
  <c r="P3689" s="1"/>
  <c r="Q2690"/>
  <c r="I3693"/>
  <c r="P3693" s="1"/>
  <c r="Q2694"/>
  <c r="I3697"/>
  <c r="P3697" s="1"/>
  <c r="Q2698"/>
  <c r="I3701"/>
  <c r="P3701" s="1"/>
  <c r="Q2702"/>
  <c r="I3702"/>
  <c r="P3702" s="1"/>
  <c r="Q2703"/>
  <c r="I3703"/>
  <c r="P3703" s="1"/>
  <c r="Q2704"/>
  <c r="I3704"/>
  <c r="P3704" s="1"/>
  <c r="Q2705"/>
  <c r="I3705"/>
  <c r="P3705" s="1"/>
  <c r="Q2706"/>
  <c r="I3706"/>
  <c r="P3706" s="1"/>
  <c r="Q2707"/>
  <c r="I3707"/>
  <c r="P3707" s="1"/>
  <c r="Q2708"/>
  <c r="I3708"/>
  <c r="P3708" s="1"/>
  <c r="Q2709"/>
  <c r="I3709"/>
  <c r="P3709" s="1"/>
  <c r="Q2710"/>
  <c r="I3710"/>
  <c r="P3710" s="1"/>
  <c r="Q2711"/>
  <c r="I3711"/>
  <c r="P3711" s="1"/>
  <c r="Q2712"/>
  <c r="I3712"/>
  <c r="P3712" s="1"/>
  <c r="Q2713"/>
  <c r="I3713"/>
  <c r="P3713" s="1"/>
  <c r="Q2714"/>
  <c r="I3714"/>
  <c r="P3714" s="1"/>
  <c r="Q2715"/>
  <c r="I3715"/>
  <c r="P3715" s="1"/>
  <c r="Q2716"/>
  <c r="I3716"/>
  <c r="P3716" s="1"/>
  <c r="Q2717"/>
  <c r="I3717"/>
  <c r="P3717" s="1"/>
  <c r="Q2718"/>
  <c r="I3718"/>
  <c r="P3718" s="1"/>
  <c r="Q2719"/>
  <c r="I3719"/>
  <c r="P3719" s="1"/>
  <c r="Q2720"/>
  <c r="I3720"/>
  <c r="P3720" s="1"/>
  <c r="Q2721"/>
  <c r="I3721"/>
  <c r="P3721" s="1"/>
  <c r="Q2722"/>
  <c r="I3722"/>
  <c r="P3722" s="1"/>
  <c r="Q2723"/>
  <c r="I3723"/>
  <c r="P3723" s="1"/>
  <c r="Q2724"/>
  <c r="I3724"/>
  <c r="P3724" s="1"/>
  <c r="Q2725"/>
  <c r="I3725"/>
  <c r="P3725" s="1"/>
  <c r="Q2726"/>
  <c r="I3726"/>
  <c r="P3726" s="1"/>
  <c r="Q2727"/>
  <c r="I3727"/>
  <c r="P3727" s="1"/>
  <c r="Q2728"/>
  <c r="I3728"/>
  <c r="P3728" s="1"/>
  <c r="Q2729"/>
  <c r="I3729"/>
  <c r="P3729" s="1"/>
  <c r="Q2730"/>
  <c r="I3730"/>
  <c r="P3730" s="1"/>
  <c r="Q2731"/>
  <c r="I3731"/>
  <c r="P3731" s="1"/>
  <c r="Q2732"/>
  <c r="I3732"/>
  <c r="P3732" s="1"/>
  <c r="Q2733"/>
  <c r="I3733"/>
  <c r="P3733" s="1"/>
  <c r="Q2734"/>
  <c r="I3734"/>
  <c r="P3734" s="1"/>
  <c r="Q2735"/>
  <c r="I3735"/>
  <c r="P3735" s="1"/>
  <c r="Q2736"/>
  <c r="I3736"/>
  <c r="P3736" s="1"/>
  <c r="Q2737"/>
  <c r="I3737"/>
  <c r="P3737" s="1"/>
  <c r="Q2738"/>
  <c r="I3738"/>
  <c r="P3738" s="1"/>
  <c r="Q2739"/>
  <c r="I3739"/>
  <c r="P3739" s="1"/>
  <c r="Q2740"/>
  <c r="I3740"/>
  <c r="P3740" s="1"/>
  <c r="Q2741"/>
  <c r="I3741"/>
  <c r="P3741" s="1"/>
  <c r="Q2742"/>
  <c r="I3742"/>
  <c r="P3742" s="1"/>
  <c r="Q2743"/>
  <c r="I3743"/>
  <c r="P3743" s="1"/>
  <c r="Q2744"/>
  <c r="I3744"/>
  <c r="P3744" s="1"/>
  <c r="Q2745"/>
  <c r="I3745"/>
  <c r="P3745" s="1"/>
  <c r="Q2746"/>
  <c r="I3746"/>
  <c r="P3746" s="1"/>
  <c r="Q2747"/>
  <c r="I3747"/>
  <c r="P3747" s="1"/>
  <c r="Q2748"/>
  <c r="I3748"/>
  <c r="P3748" s="1"/>
  <c r="Q2749"/>
  <c r="I3749"/>
  <c r="P3749" s="1"/>
  <c r="Q2750"/>
  <c r="I3750"/>
  <c r="P3750" s="1"/>
  <c r="Q2751"/>
  <c r="I3751"/>
  <c r="P3751" s="1"/>
  <c r="Q2752"/>
  <c r="I3752"/>
  <c r="P3752" s="1"/>
  <c r="Q2753"/>
  <c r="I3753"/>
  <c r="P3753" s="1"/>
  <c r="Q2754"/>
  <c r="I3754"/>
  <c r="P3754" s="1"/>
  <c r="Q2755"/>
  <c r="I3755"/>
  <c r="P3755" s="1"/>
  <c r="Q2756"/>
  <c r="I3756"/>
  <c r="P3756" s="1"/>
  <c r="Q2757"/>
  <c r="I3757"/>
  <c r="P3757" s="1"/>
  <c r="Q2758"/>
  <c r="I3758"/>
  <c r="P3758" s="1"/>
  <c r="Q2759"/>
  <c r="I3759"/>
  <c r="P3759" s="1"/>
  <c r="Q2760"/>
  <c r="I3760"/>
  <c r="P3760" s="1"/>
  <c r="Q2761"/>
  <c r="I3761"/>
  <c r="P3761" s="1"/>
  <c r="Q2762"/>
  <c r="I3762"/>
  <c r="P3762" s="1"/>
  <c r="Q2763"/>
  <c r="I3763"/>
  <c r="P3763" s="1"/>
  <c r="Q2764"/>
  <c r="I3764"/>
  <c r="P3764" s="1"/>
  <c r="Q2765"/>
  <c r="I3765"/>
  <c r="P3765" s="1"/>
  <c r="Q2766"/>
  <c r="I3766"/>
  <c r="P3766" s="1"/>
  <c r="Q2767"/>
  <c r="I3767"/>
  <c r="P3767" s="1"/>
  <c r="Q2768"/>
  <c r="I3768"/>
  <c r="P3768" s="1"/>
  <c r="Q2769"/>
  <c r="I3769"/>
  <c r="P3769" s="1"/>
  <c r="Q2770"/>
  <c r="I3770"/>
  <c r="P3770" s="1"/>
  <c r="Q2771"/>
  <c r="I3771"/>
  <c r="P3771" s="1"/>
  <c r="Q2772"/>
  <c r="I3772"/>
  <c r="P3772" s="1"/>
  <c r="Q2773"/>
  <c r="I3773"/>
  <c r="P3773" s="1"/>
  <c r="Q2774"/>
  <c r="I3774"/>
  <c r="P3774" s="1"/>
  <c r="Q2775"/>
  <c r="I3775"/>
  <c r="P3775" s="1"/>
  <c r="Q2776"/>
  <c r="I3776"/>
  <c r="P3776" s="1"/>
  <c r="Q2777"/>
  <c r="I3777"/>
  <c r="P3777" s="1"/>
  <c r="Q2778"/>
  <c r="I3778"/>
  <c r="P3778" s="1"/>
  <c r="Q2779"/>
  <c r="I3779"/>
  <c r="P3779" s="1"/>
  <c r="Q2780"/>
  <c r="I3780"/>
  <c r="P3780" s="1"/>
  <c r="Q2781"/>
  <c r="I3781"/>
  <c r="P3781" s="1"/>
  <c r="Q2782"/>
  <c r="I3782"/>
  <c r="P3782" s="1"/>
  <c r="Q2783"/>
  <c r="I3783"/>
  <c r="P3783" s="1"/>
  <c r="Q2784"/>
  <c r="I3784"/>
  <c r="P3784" s="1"/>
  <c r="Q2785"/>
  <c r="I3785"/>
  <c r="P3785" s="1"/>
  <c r="Q2786"/>
  <c r="I3786"/>
  <c r="P3786" s="1"/>
  <c r="Q2787"/>
  <c r="I3787"/>
  <c r="P3787" s="1"/>
  <c r="Q2788"/>
  <c r="I3788"/>
  <c r="P3788" s="1"/>
  <c r="Q2789"/>
  <c r="I3789"/>
  <c r="P3789" s="1"/>
  <c r="Q2790"/>
  <c r="I3790"/>
  <c r="P3790" s="1"/>
  <c r="Q2791"/>
  <c r="I3791"/>
  <c r="P3791" s="1"/>
  <c r="Q2792"/>
  <c r="I3792"/>
  <c r="P3792" s="1"/>
  <c r="Q2793"/>
  <c r="I3793"/>
  <c r="P3793" s="1"/>
  <c r="Q2794"/>
  <c r="I3794"/>
  <c r="P3794" s="1"/>
  <c r="Q2795"/>
  <c r="I3795"/>
  <c r="P3795" s="1"/>
  <c r="Q2796"/>
  <c r="I3796"/>
  <c r="P3796" s="1"/>
  <c r="Q2797"/>
  <c r="I3797"/>
  <c r="P3797" s="1"/>
  <c r="Q2798"/>
  <c r="I3798"/>
  <c r="P3798" s="1"/>
  <c r="Q2799"/>
  <c r="I3799"/>
  <c r="P3799" s="1"/>
  <c r="Q2800"/>
  <c r="I3682"/>
  <c r="P3682" s="1"/>
  <c r="Q2683"/>
  <c r="I3686"/>
  <c r="P3686" s="1"/>
  <c r="Q2687"/>
  <c r="I3690"/>
  <c r="P3690" s="1"/>
  <c r="Q2691"/>
  <c r="I3694"/>
  <c r="P3694" s="1"/>
  <c r="Q2695"/>
  <c r="I3698"/>
  <c r="P3698" s="1"/>
  <c r="Q2699"/>
  <c r="I3425"/>
  <c r="P3425" s="1"/>
  <c r="Q2426"/>
  <c r="I3418"/>
  <c r="P3418" s="1"/>
  <c r="Q2419"/>
  <c r="J3685"/>
  <c r="Q3685" s="1"/>
  <c r="P2686"/>
  <c r="J3689"/>
  <c r="Q3689" s="1"/>
  <c r="P2690"/>
  <c r="J3693"/>
  <c r="Q3693" s="1"/>
  <c r="P2694"/>
  <c r="J3697"/>
  <c r="Q3697" s="1"/>
  <c r="P2698"/>
  <c r="P2242"/>
  <c r="J3241"/>
  <c r="Q3241" s="1"/>
  <c r="P2264"/>
  <c r="J3263"/>
  <c r="Q3263" s="1"/>
  <c r="P2385"/>
  <c r="J3384"/>
  <c r="Q3384" s="1"/>
  <c r="P2420"/>
  <c r="J3419"/>
  <c r="Q3419" s="1"/>
  <c r="P2429"/>
  <c r="J3428"/>
  <c r="Q3428" s="1"/>
  <c r="P2431"/>
  <c r="J3430"/>
  <c r="Q3430" s="1"/>
  <c r="P2433"/>
  <c r="J3432"/>
  <c r="Q3432" s="1"/>
  <c r="P2435"/>
  <c r="J3434"/>
  <c r="Q3434" s="1"/>
  <c r="P2437"/>
  <c r="J3436"/>
  <c r="Q3436" s="1"/>
  <c r="P2439"/>
  <c r="J3438"/>
  <c r="Q3438" s="1"/>
  <c r="P2441"/>
  <c r="J3440"/>
  <c r="Q3440" s="1"/>
  <c r="P2443"/>
  <c r="J3442"/>
  <c r="Q3442" s="1"/>
  <c r="P2584"/>
  <c r="J3583"/>
  <c r="Q3583" s="1"/>
  <c r="P2590"/>
  <c r="J3589"/>
  <c r="Q3589" s="1"/>
  <c r="P2592"/>
  <c r="J3591"/>
  <c r="Q3591" s="1"/>
  <c r="P2598"/>
  <c r="J3597"/>
  <c r="Q3597" s="1"/>
  <c r="P2602"/>
  <c r="J3601"/>
  <c r="Q3601" s="1"/>
  <c r="P2604"/>
  <c r="J3603"/>
  <c r="Q3603" s="1"/>
  <c r="P2606"/>
  <c r="J3605"/>
  <c r="Q3605" s="1"/>
  <c r="P2613"/>
  <c r="J3612"/>
  <c r="Q3612" s="1"/>
  <c r="P2615"/>
  <c r="J3614"/>
  <c r="Q3614" s="1"/>
  <c r="P2617"/>
  <c r="J3616"/>
  <c r="Q3616" s="1"/>
  <c r="P2619"/>
  <c r="J3618"/>
  <c r="Q3618" s="1"/>
  <c r="P2623"/>
  <c r="J3622"/>
  <c r="Q3622" s="1"/>
  <c r="P2716"/>
  <c r="J3715"/>
  <c r="Q3715" s="1"/>
  <c r="P2718"/>
  <c r="J3717"/>
  <c r="Q3717" s="1"/>
  <c r="P2720"/>
  <c r="J3719"/>
  <c r="Q3719" s="1"/>
  <c r="P2727"/>
  <c r="J3726"/>
  <c r="Q3726" s="1"/>
  <c r="P2729"/>
  <c r="J3728"/>
  <c r="Q3728" s="1"/>
  <c r="P2737"/>
  <c r="J3736"/>
  <c r="Q3736" s="1"/>
  <c r="P2742"/>
  <c r="J3741"/>
  <c r="Q3741" s="1"/>
  <c r="P2744"/>
  <c r="J3743"/>
  <c r="Q3743" s="1"/>
  <c r="P2746"/>
  <c r="J3745"/>
  <c r="Q3745" s="1"/>
  <c r="P2748"/>
  <c r="J3747"/>
  <c r="Q3747" s="1"/>
  <c r="P2750"/>
  <c r="J3749"/>
  <c r="Q3749" s="1"/>
  <c r="P2759"/>
  <c r="J3758"/>
  <c r="Q3758" s="1"/>
  <c r="P2769"/>
  <c r="J3768"/>
  <c r="Q3768" s="1"/>
  <c r="P2771"/>
  <c r="J3770"/>
  <c r="Q3770" s="1"/>
  <c r="P2773"/>
  <c r="J3772"/>
  <c r="Q3772" s="1"/>
  <c r="P2775"/>
  <c r="J3774"/>
  <c r="Q3774" s="1"/>
  <c r="P2777"/>
  <c r="J3776"/>
  <c r="Q3776" s="1"/>
  <c r="P2787"/>
  <c r="J3786"/>
  <c r="Q3786" s="1"/>
  <c r="P2308"/>
  <c r="J3307"/>
  <c r="Q3307" s="1"/>
  <c r="P2396"/>
  <c r="J3395"/>
  <c r="Q3395" s="1"/>
  <c r="P2423"/>
  <c r="J3422"/>
  <c r="Q3422" s="1"/>
  <c r="P2458"/>
  <c r="J3457"/>
  <c r="Q3457" s="1"/>
  <c r="P2463"/>
  <c r="J3462"/>
  <c r="Q3462" s="1"/>
  <c r="P2465"/>
  <c r="J3464"/>
  <c r="Q3464" s="1"/>
  <c r="P2467"/>
  <c r="J3466"/>
  <c r="Q3466" s="1"/>
  <c r="P2469"/>
  <c r="J3468"/>
  <c r="Q3468" s="1"/>
  <c r="P2471"/>
  <c r="J3470"/>
  <c r="Q3470" s="1"/>
  <c r="P2474"/>
  <c r="J3473"/>
  <c r="Q3473" s="1"/>
  <c r="P2478"/>
  <c r="J3477"/>
  <c r="Q3477" s="1"/>
  <c r="P2480"/>
  <c r="J3479"/>
  <c r="Q3479" s="1"/>
  <c r="P2492"/>
  <c r="J3491"/>
  <c r="Q3491" s="1"/>
  <c r="P2494"/>
  <c r="J3493"/>
  <c r="Q3493" s="1"/>
  <c r="P2499"/>
  <c r="J3498"/>
  <c r="Q3498" s="1"/>
  <c r="P2501"/>
  <c r="J3500"/>
  <c r="Q3500" s="1"/>
  <c r="P2503"/>
  <c r="J3502"/>
  <c r="Q3502" s="1"/>
  <c r="P2505"/>
  <c r="J3504"/>
  <c r="Q3504" s="1"/>
  <c r="P2509"/>
  <c r="J3508"/>
  <c r="Q3508" s="1"/>
  <c r="P2511"/>
  <c r="J3510"/>
  <c r="Q3510" s="1"/>
  <c r="P2513"/>
  <c r="J3512"/>
  <c r="Q3512" s="1"/>
  <c r="P2515"/>
  <c r="J3514"/>
  <c r="Q3514" s="1"/>
  <c r="P2536"/>
  <c r="J3535"/>
  <c r="Q3535" s="1"/>
  <c r="P2538"/>
  <c r="J3537"/>
  <c r="Q3537" s="1"/>
  <c r="P2543"/>
  <c r="J3542"/>
  <c r="Q3542" s="1"/>
  <c r="P2545"/>
  <c r="J3544"/>
  <c r="Q3544" s="1"/>
  <c r="P2548"/>
  <c r="J3547"/>
  <c r="Q3547" s="1"/>
  <c r="P2550"/>
  <c r="J3549"/>
  <c r="Q3549" s="1"/>
  <c r="P2552"/>
  <c r="J3551"/>
  <c r="Q3551" s="1"/>
  <c r="P2557"/>
  <c r="J3556"/>
  <c r="Q3556" s="1"/>
  <c r="P2559"/>
  <c r="J3558"/>
  <c r="Q3558" s="1"/>
  <c r="P2564"/>
  <c r="J3563"/>
  <c r="Q3563" s="1"/>
  <c r="P2572"/>
  <c r="J3571"/>
  <c r="Q3571" s="1"/>
  <c r="P2574"/>
  <c r="J3573"/>
  <c r="Q3573" s="1"/>
  <c r="P2576"/>
  <c r="J3575"/>
  <c r="Q3575" s="1"/>
  <c r="P2635"/>
  <c r="J3634"/>
  <c r="Q3634" s="1"/>
  <c r="P2637"/>
  <c r="J3636"/>
  <c r="Q3636" s="1"/>
  <c r="P2639"/>
  <c r="J3638"/>
  <c r="Q3638" s="1"/>
  <c r="P2641"/>
  <c r="J3640"/>
  <c r="Q3640" s="1"/>
  <c r="P2644"/>
  <c r="J3643"/>
  <c r="Q3643" s="1"/>
  <c r="P2646"/>
  <c r="J3645"/>
  <c r="Q3645" s="1"/>
  <c r="P2648"/>
  <c r="J3647"/>
  <c r="Q3647" s="1"/>
  <c r="P2651"/>
  <c r="J3650"/>
  <c r="Q3650" s="1"/>
  <c r="P2653"/>
  <c r="J3652"/>
  <c r="Q3652" s="1"/>
  <c r="P2676"/>
  <c r="J3675"/>
  <c r="Q3675" s="1"/>
  <c r="P2680"/>
  <c r="J3679"/>
  <c r="Q3679" s="1"/>
  <c r="P2683"/>
  <c r="J3682"/>
  <c r="Q3682" s="1"/>
  <c r="P2706"/>
  <c r="J3705"/>
  <c r="Q3705" s="1"/>
  <c r="P2792"/>
  <c r="J3791"/>
  <c r="Q3791" s="1"/>
  <c r="P2794"/>
  <c r="J3793"/>
  <c r="Q3793" s="1"/>
  <c r="P2797"/>
  <c r="J3796"/>
  <c r="Q3796" s="1"/>
  <c r="I3547"/>
  <c r="P3547" s="1"/>
  <c r="Q2548"/>
  <c r="I3548"/>
  <c r="P3548" s="1"/>
  <c r="Q2549"/>
  <c r="I3549"/>
  <c r="P3549" s="1"/>
  <c r="Q2550"/>
  <c r="I3550"/>
  <c r="P3550" s="1"/>
  <c r="Q2551"/>
  <c r="I3551"/>
  <c r="P3551" s="1"/>
  <c r="Q2552"/>
  <c r="I3552"/>
  <c r="P3552" s="1"/>
  <c r="Q2553"/>
  <c r="I3553"/>
  <c r="P3553" s="1"/>
  <c r="Q2554"/>
  <c r="I3554"/>
  <c r="P3554" s="1"/>
  <c r="Q2555"/>
  <c r="I3555"/>
  <c r="P3555" s="1"/>
  <c r="Q2556"/>
  <c r="I3556"/>
  <c r="P3556" s="1"/>
  <c r="Q2557"/>
  <c r="I3557"/>
  <c r="P3557" s="1"/>
  <c r="Q2558"/>
  <c r="I3558"/>
  <c r="P3558" s="1"/>
  <c r="Q2559"/>
  <c r="I3559"/>
  <c r="P3559" s="1"/>
  <c r="Q2560"/>
  <c r="I3560"/>
  <c r="P3560" s="1"/>
  <c r="Q2561"/>
  <c r="I3561"/>
  <c r="P3561" s="1"/>
  <c r="Q2562"/>
  <c r="I3562"/>
  <c r="P3562" s="1"/>
  <c r="Q2563"/>
  <c r="I3563"/>
  <c r="P3563" s="1"/>
  <c r="Q2564"/>
  <c r="I3564"/>
  <c r="P3564" s="1"/>
  <c r="Q2565"/>
  <c r="I3565"/>
  <c r="P3565" s="1"/>
  <c r="Q2566"/>
  <c r="I3566"/>
  <c r="P3566" s="1"/>
  <c r="Q2567"/>
  <c r="I3567"/>
  <c r="P3567" s="1"/>
  <c r="Q2568"/>
  <c r="I3568"/>
  <c r="P3568" s="1"/>
  <c r="Q2569"/>
  <c r="I3569"/>
  <c r="P3569" s="1"/>
  <c r="Q2570"/>
  <c r="I3570"/>
  <c r="P3570" s="1"/>
  <c r="Q2571"/>
  <c r="I3571"/>
  <c r="P3571" s="1"/>
  <c r="Q2572"/>
  <c r="I3572"/>
  <c r="P3572" s="1"/>
  <c r="Q2573"/>
  <c r="I3573"/>
  <c r="P3573" s="1"/>
  <c r="Q2574"/>
  <c r="I3574"/>
  <c r="P3574" s="1"/>
  <c r="Q2575"/>
  <c r="I3575"/>
  <c r="P3575" s="1"/>
  <c r="Q2576"/>
  <c r="I3576"/>
  <c r="P3576" s="1"/>
  <c r="Q2577"/>
  <c r="I3577"/>
  <c r="P3577" s="1"/>
  <c r="Q2578"/>
  <c r="I3578"/>
  <c r="P3578" s="1"/>
  <c r="Q2579"/>
  <c r="I3579"/>
  <c r="P3579" s="1"/>
  <c r="Q2580"/>
  <c r="I3580"/>
  <c r="P3580" s="1"/>
  <c r="Q2581"/>
  <c r="I3581"/>
  <c r="P3581" s="1"/>
  <c r="Q2582"/>
  <c r="I3582"/>
  <c r="P3582" s="1"/>
  <c r="Q2583"/>
  <c r="I3583"/>
  <c r="P3583" s="1"/>
  <c r="Q2584"/>
  <c r="I3584"/>
  <c r="P3584" s="1"/>
  <c r="Q2585"/>
  <c r="I3585"/>
  <c r="P3585" s="1"/>
  <c r="Q2586"/>
  <c r="I3586"/>
  <c r="P3586" s="1"/>
  <c r="Q2587"/>
  <c r="I3587"/>
  <c r="P3587" s="1"/>
  <c r="Q2588"/>
  <c r="I3588"/>
  <c r="P3588" s="1"/>
  <c r="Q2589"/>
  <c r="I3589"/>
  <c r="P3589" s="1"/>
  <c r="Q2590"/>
  <c r="I3590"/>
  <c r="P3590" s="1"/>
  <c r="Q2591"/>
  <c r="I3591"/>
  <c r="P3591" s="1"/>
  <c r="Q2592"/>
  <c r="I3592"/>
  <c r="P3592" s="1"/>
  <c r="Q2593"/>
  <c r="I3593"/>
  <c r="P3593" s="1"/>
  <c r="Q2594"/>
  <c r="I3594"/>
  <c r="P3594" s="1"/>
  <c r="Q2595"/>
  <c r="I3595"/>
  <c r="P3595" s="1"/>
  <c r="Q2596"/>
  <c r="I3596"/>
  <c r="P3596" s="1"/>
  <c r="Q2597"/>
  <c r="I3597"/>
  <c r="P3597" s="1"/>
  <c r="Q2598"/>
  <c r="I3598"/>
  <c r="P3598" s="1"/>
  <c r="Q2599"/>
  <c r="I3599"/>
  <c r="P3599" s="1"/>
  <c r="Q2600"/>
  <c r="I3600"/>
  <c r="P3600" s="1"/>
  <c r="Q2601"/>
  <c r="I3601"/>
  <c r="P3601" s="1"/>
  <c r="Q2602"/>
  <c r="I3602"/>
  <c r="P3602" s="1"/>
  <c r="Q2603"/>
  <c r="I3603"/>
  <c r="P3603" s="1"/>
  <c r="Q2604"/>
  <c r="I3604"/>
  <c r="P3604" s="1"/>
  <c r="Q2605"/>
  <c r="I3605"/>
  <c r="P3605" s="1"/>
  <c r="Q2606"/>
  <c r="I3606"/>
  <c r="P3606" s="1"/>
  <c r="Q2607"/>
  <c r="I3607"/>
  <c r="P3607" s="1"/>
  <c r="Q2608"/>
  <c r="I3608"/>
  <c r="P3608" s="1"/>
  <c r="Q2609"/>
  <c r="I3609"/>
  <c r="P3609" s="1"/>
  <c r="Q2610"/>
  <c r="I3610"/>
  <c r="P3610" s="1"/>
  <c r="Q2611"/>
  <c r="I3611"/>
  <c r="P3611" s="1"/>
  <c r="Q2612"/>
  <c r="I3612"/>
  <c r="P3612" s="1"/>
  <c r="Q2613"/>
  <c r="I3613"/>
  <c r="P3613" s="1"/>
  <c r="Q2614"/>
  <c r="I3614"/>
  <c r="P3614" s="1"/>
  <c r="Q2615"/>
  <c r="I3615"/>
  <c r="P3615" s="1"/>
  <c r="Q2616"/>
  <c r="I3616"/>
  <c r="P3616" s="1"/>
  <c r="Q2617"/>
  <c r="I3617"/>
  <c r="P3617" s="1"/>
  <c r="Q2618"/>
  <c r="I3618"/>
  <c r="P3618" s="1"/>
  <c r="Q2619"/>
  <c r="I3619"/>
  <c r="P3619" s="1"/>
  <c r="Q2620"/>
  <c r="I3620"/>
  <c r="P3620" s="1"/>
  <c r="Q2621"/>
  <c r="I3621"/>
  <c r="P3621" s="1"/>
  <c r="Q2622"/>
  <c r="I3622"/>
  <c r="P3622" s="1"/>
  <c r="Q2623"/>
  <c r="I3623"/>
  <c r="P3623" s="1"/>
  <c r="Q2624"/>
  <c r="I3624"/>
  <c r="P3624" s="1"/>
  <c r="Q2625"/>
  <c r="I3625"/>
  <c r="P3625" s="1"/>
  <c r="Q2626"/>
  <c r="I3626"/>
  <c r="P3626" s="1"/>
  <c r="Q2627"/>
  <c r="I3627"/>
  <c r="P3627" s="1"/>
  <c r="Q2628"/>
  <c r="I3628"/>
  <c r="P3628" s="1"/>
  <c r="Q2629"/>
  <c r="I3629"/>
  <c r="P3629" s="1"/>
  <c r="Q2630"/>
  <c r="I3630"/>
  <c r="P3630" s="1"/>
  <c r="Q2631"/>
  <c r="I3631"/>
  <c r="P3631" s="1"/>
  <c r="Q2632"/>
  <c r="I3632"/>
  <c r="P3632" s="1"/>
  <c r="Q2633"/>
  <c r="I3633"/>
  <c r="P3633" s="1"/>
  <c r="Q2634"/>
  <c r="I3634"/>
  <c r="P3634" s="1"/>
  <c r="Q2635"/>
  <c r="I3635"/>
  <c r="P3635" s="1"/>
  <c r="Q2636"/>
  <c r="I3636"/>
  <c r="P3636" s="1"/>
  <c r="Q2637"/>
  <c r="I3637"/>
  <c r="P3637" s="1"/>
  <c r="Q2638"/>
  <c r="I3638"/>
  <c r="P3638" s="1"/>
  <c r="Q2639"/>
  <c r="I3639"/>
  <c r="P3639" s="1"/>
  <c r="Q2640"/>
  <c r="I3640"/>
  <c r="P3640" s="1"/>
  <c r="Q2641"/>
  <c r="I3641"/>
  <c r="P3641" s="1"/>
  <c r="Q2642"/>
  <c r="I3642"/>
  <c r="P3642" s="1"/>
  <c r="Q2643"/>
  <c r="I3643"/>
  <c r="P3643" s="1"/>
  <c r="Q2644"/>
  <c r="I3644"/>
  <c r="P3644" s="1"/>
  <c r="Q2645"/>
  <c r="I3645"/>
  <c r="P3645" s="1"/>
  <c r="Q2646"/>
  <c r="I3646"/>
  <c r="P3646" s="1"/>
  <c r="Q2647"/>
  <c r="I3647"/>
  <c r="P3647" s="1"/>
  <c r="Q2648"/>
  <c r="I3648"/>
  <c r="P3648" s="1"/>
  <c r="Q2649"/>
  <c r="I3649"/>
  <c r="P3649" s="1"/>
  <c r="Q2650"/>
  <c r="I3650"/>
  <c r="P3650" s="1"/>
  <c r="Q2651"/>
  <c r="I3651"/>
  <c r="P3651" s="1"/>
  <c r="Q2652"/>
  <c r="I3652"/>
  <c r="P3652" s="1"/>
  <c r="Q2653"/>
  <c r="I3653"/>
  <c r="P3653" s="1"/>
  <c r="Q2654"/>
  <c r="I3654"/>
  <c r="P3654" s="1"/>
  <c r="Q2655"/>
  <c r="I3655"/>
  <c r="P3655" s="1"/>
  <c r="Q2656"/>
  <c r="I3656"/>
  <c r="P3656" s="1"/>
  <c r="Q2657"/>
  <c r="I3657"/>
  <c r="P3657" s="1"/>
  <c r="Q2658"/>
  <c r="I3658"/>
  <c r="P3658" s="1"/>
  <c r="Q2659"/>
  <c r="I3659"/>
  <c r="P3659" s="1"/>
  <c r="Q2660"/>
  <c r="I3660"/>
  <c r="P3660" s="1"/>
  <c r="Q2661"/>
  <c r="I3661"/>
  <c r="P3661" s="1"/>
  <c r="Q2662"/>
  <c r="I3662"/>
  <c r="P3662" s="1"/>
  <c r="Q2663"/>
  <c r="I3663"/>
  <c r="P3663" s="1"/>
  <c r="Q2664"/>
  <c r="I3664"/>
  <c r="P3664" s="1"/>
  <c r="Q2665"/>
  <c r="I3665"/>
  <c r="P3665" s="1"/>
  <c r="Q2666"/>
  <c r="I3666"/>
  <c r="P3666" s="1"/>
  <c r="Q2667"/>
  <c r="I3667"/>
  <c r="P3667" s="1"/>
  <c r="Q2668"/>
  <c r="I3668"/>
  <c r="P3668" s="1"/>
  <c r="Q2669"/>
  <c r="I3669"/>
  <c r="P3669" s="1"/>
  <c r="Q2670"/>
  <c r="I3670"/>
  <c r="P3670" s="1"/>
  <c r="Q2671"/>
  <c r="I3671"/>
  <c r="P3671" s="1"/>
  <c r="Q2672"/>
  <c r="I3672"/>
  <c r="P3672" s="1"/>
  <c r="Q2673"/>
  <c r="I3673"/>
  <c r="P3673" s="1"/>
  <c r="Q2674"/>
  <c r="I3674"/>
  <c r="P3674" s="1"/>
  <c r="Q2675"/>
  <c r="I3675"/>
  <c r="P3675" s="1"/>
  <c r="Q2676"/>
  <c r="I3676"/>
  <c r="P3676" s="1"/>
  <c r="Q2677"/>
  <c r="I3677"/>
  <c r="P3677" s="1"/>
  <c r="Q2678"/>
  <c r="I3678"/>
  <c r="P3678" s="1"/>
  <c r="Q2679"/>
  <c r="I3679"/>
  <c r="P3679" s="1"/>
  <c r="Q2680"/>
  <c r="I3680"/>
  <c r="P3680" s="1"/>
  <c r="Q2681"/>
  <c r="I3681"/>
  <c r="P3681" s="1"/>
  <c r="Q2682"/>
  <c r="I3683"/>
  <c r="P3683" s="1"/>
  <c r="Q2684"/>
  <c r="I3687"/>
  <c r="P3687" s="1"/>
  <c r="Q2688"/>
  <c r="I3691"/>
  <c r="P3691" s="1"/>
  <c r="Q2692"/>
  <c r="I3695"/>
  <c r="P3695" s="1"/>
  <c r="Q2696"/>
  <c r="I3699"/>
  <c r="P3699" s="1"/>
  <c r="Q2700"/>
  <c r="I3684"/>
  <c r="P3684" s="1"/>
  <c r="Q2685"/>
  <c r="I3688"/>
  <c r="P3688" s="1"/>
  <c r="Q2689"/>
  <c r="I3692"/>
  <c r="P3692" s="1"/>
  <c r="Q2693"/>
  <c r="I3696"/>
  <c r="P3696" s="1"/>
  <c r="Q2697"/>
  <c r="J3495"/>
  <c r="Q3495" s="1"/>
  <c r="P2496"/>
  <c r="J3683"/>
  <c r="Q3683" s="1"/>
  <c r="P2684"/>
  <c r="J3687"/>
  <c r="Q3687" s="1"/>
  <c r="P2688"/>
  <c r="J3691"/>
  <c r="Q3691" s="1"/>
  <c r="P2692"/>
  <c r="J3695"/>
  <c r="Q3695" s="1"/>
  <c r="P2696"/>
  <c r="J3699"/>
  <c r="Q3699" s="1"/>
  <c r="P2700"/>
  <c r="P2253"/>
  <c r="J3252"/>
  <c r="Q3252" s="1"/>
  <c r="P2407"/>
  <c r="J3406"/>
  <c r="Q3406" s="1"/>
  <c r="Q2418"/>
  <c r="I3417"/>
  <c r="P3417" s="1"/>
  <c r="P2430"/>
  <c r="J3429"/>
  <c r="Q3429" s="1"/>
  <c r="P2432"/>
  <c r="J3431"/>
  <c r="Q3431" s="1"/>
  <c r="P2434"/>
  <c r="J3433"/>
  <c r="Q3433" s="1"/>
  <c r="P2436"/>
  <c r="J3435"/>
  <c r="Q3435" s="1"/>
  <c r="P2438"/>
  <c r="J3437"/>
  <c r="Q3437" s="1"/>
  <c r="P2440"/>
  <c r="J3439"/>
  <c r="Q3439" s="1"/>
  <c r="P2442"/>
  <c r="J3441"/>
  <c r="Q3441" s="1"/>
  <c r="P2445"/>
  <c r="J3444"/>
  <c r="Q3444" s="1"/>
  <c r="P2585"/>
  <c r="J3584"/>
  <c r="Q3584" s="1"/>
  <c r="P2591"/>
  <c r="J3590"/>
  <c r="Q3590" s="1"/>
  <c r="P2593"/>
  <c r="J3592"/>
  <c r="Q3592" s="1"/>
  <c r="P2601"/>
  <c r="J3600"/>
  <c r="Q3600" s="1"/>
  <c r="P2603"/>
  <c r="J3602"/>
  <c r="Q3602" s="1"/>
  <c r="P2605"/>
  <c r="J3604"/>
  <c r="Q3604" s="1"/>
  <c r="P2609"/>
  <c r="J3608"/>
  <c r="Q3608" s="1"/>
  <c r="P2614"/>
  <c r="J3613"/>
  <c r="Q3613" s="1"/>
  <c r="P2616"/>
  <c r="J3615"/>
  <c r="Q3615" s="1"/>
  <c r="P2618"/>
  <c r="J3617"/>
  <c r="Q3617" s="1"/>
  <c r="P2622"/>
  <c r="J3621"/>
  <c r="Q3621" s="1"/>
  <c r="P2625"/>
  <c r="J3624"/>
  <c r="Q3624" s="1"/>
  <c r="P2717"/>
  <c r="J3716"/>
  <c r="Q3716" s="1"/>
  <c r="P2719"/>
  <c r="J3718"/>
  <c r="Q3718" s="1"/>
  <c r="P2721"/>
  <c r="J3720"/>
  <c r="Q3720" s="1"/>
  <c r="P2728"/>
  <c r="J3727"/>
  <c r="Q3727" s="1"/>
  <c r="P2730"/>
  <c r="J3729"/>
  <c r="Q3729" s="1"/>
  <c r="P2738"/>
  <c r="J3737"/>
  <c r="Q3737" s="1"/>
  <c r="P2743"/>
  <c r="J3742"/>
  <c r="Q3742" s="1"/>
  <c r="P2745"/>
  <c r="J3744"/>
  <c r="Q3744" s="1"/>
  <c r="P2747"/>
  <c r="J3746"/>
  <c r="Q3746" s="1"/>
  <c r="P2749"/>
  <c r="J3748"/>
  <c r="Q3748" s="1"/>
  <c r="P2751"/>
  <c r="J3750"/>
  <c r="Q3750" s="1"/>
  <c r="P2768"/>
  <c r="J3767"/>
  <c r="Q3767" s="1"/>
  <c r="P2770"/>
  <c r="J3769"/>
  <c r="Q3769" s="1"/>
  <c r="P2772"/>
  <c r="J3771"/>
  <c r="Q3771" s="1"/>
  <c r="P2774"/>
  <c r="J3773"/>
  <c r="Q3773" s="1"/>
  <c r="P2776"/>
  <c r="J3775"/>
  <c r="Q3775" s="1"/>
  <c r="P2779"/>
  <c r="J3778"/>
  <c r="Q3778" s="1"/>
  <c r="P2789"/>
  <c r="J3788"/>
  <c r="Q3788" s="1"/>
  <c r="P2297"/>
  <c r="J3296"/>
  <c r="Q3296" s="1"/>
  <c r="P2319"/>
  <c r="J3318"/>
  <c r="Q3318" s="1"/>
  <c r="P2330"/>
  <c r="J3329"/>
  <c r="Q3329" s="1"/>
  <c r="P2352"/>
  <c r="J3351"/>
  <c r="Q3351" s="1"/>
  <c r="P2422"/>
  <c r="J3421"/>
  <c r="Q3421" s="1"/>
  <c r="P2425"/>
  <c r="J3424"/>
  <c r="Q3424" s="1"/>
  <c r="P2427"/>
  <c r="J3426"/>
  <c r="Q3426" s="1"/>
  <c r="P2460"/>
  <c r="J3459"/>
  <c r="Q3459" s="1"/>
  <c r="P2464"/>
  <c r="J3463"/>
  <c r="Q3463" s="1"/>
  <c r="P2466"/>
  <c r="J3465"/>
  <c r="Q3465" s="1"/>
  <c r="P2468"/>
  <c r="J3467"/>
  <c r="Q3467" s="1"/>
  <c r="P2470"/>
  <c r="J3469"/>
  <c r="Q3469" s="1"/>
  <c r="P2472"/>
  <c r="J3471"/>
  <c r="Q3471" s="1"/>
  <c r="P2476"/>
  <c r="J3475"/>
  <c r="Q3475" s="1"/>
  <c r="P2479"/>
  <c r="J3478"/>
  <c r="Q3478" s="1"/>
  <c r="P2491"/>
  <c r="J3490"/>
  <c r="Q3490" s="1"/>
  <c r="P2493"/>
  <c r="J3492"/>
  <c r="Q3492" s="1"/>
  <c r="P2498"/>
  <c r="J3497"/>
  <c r="Q3497" s="1"/>
  <c r="P2500"/>
  <c r="J3499"/>
  <c r="Q3499" s="1"/>
  <c r="P2502"/>
  <c r="J3501"/>
  <c r="Q3501" s="1"/>
  <c r="P2504"/>
  <c r="J3503"/>
  <c r="Q3503" s="1"/>
  <c r="P2506"/>
  <c r="J3505"/>
  <c r="Q3505" s="1"/>
  <c r="P2510"/>
  <c r="J3509"/>
  <c r="Q3509" s="1"/>
  <c r="P2512"/>
  <c r="J3511"/>
  <c r="Q3511" s="1"/>
  <c r="P2514"/>
  <c r="J3513"/>
  <c r="Q3513" s="1"/>
  <c r="P2529"/>
  <c r="J3528"/>
  <c r="Q3528" s="1"/>
  <c r="P2537"/>
  <c r="J3536"/>
  <c r="Q3536" s="1"/>
  <c r="P2542"/>
  <c r="J3541"/>
  <c r="Q3541" s="1"/>
  <c r="P2544"/>
  <c r="J3543"/>
  <c r="Q3543" s="1"/>
  <c r="P2547"/>
  <c r="J3546"/>
  <c r="Q3546" s="1"/>
  <c r="P2549"/>
  <c r="J3548"/>
  <c r="Q3548" s="1"/>
  <c r="P2551"/>
  <c r="J3550"/>
  <c r="Q3550" s="1"/>
  <c r="P2553"/>
  <c r="J3552"/>
  <c r="Q3552" s="1"/>
  <c r="P2558"/>
  <c r="J3557"/>
  <c r="Q3557" s="1"/>
  <c r="P2563"/>
  <c r="J3562"/>
  <c r="Q3562" s="1"/>
  <c r="P2565"/>
  <c r="J3564"/>
  <c r="Q3564" s="1"/>
  <c r="P2573"/>
  <c r="J3572"/>
  <c r="Q3572" s="1"/>
  <c r="P2575"/>
  <c r="J3574"/>
  <c r="Q3574" s="1"/>
  <c r="P2587"/>
  <c r="J3586"/>
  <c r="Q3586" s="1"/>
  <c r="P2636"/>
  <c r="J3635"/>
  <c r="Q3635" s="1"/>
  <c r="P2638"/>
  <c r="J3637"/>
  <c r="Q3637" s="1"/>
  <c r="P2640"/>
  <c r="J3639"/>
  <c r="Q3639" s="1"/>
  <c r="P2642"/>
  <c r="J3641"/>
  <c r="Q3641" s="1"/>
  <c r="P2645"/>
  <c r="J3644"/>
  <c r="Q3644" s="1"/>
  <c r="P2647"/>
  <c r="J3646"/>
  <c r="Q3646" s="1"/>
  <c r="P2650"/>
  <c r="J3649"/>
  <c r="Q3649" s="1"/>
  <c r="P2652"/>
  <c r="J3651"/>
  <c r="Q3651" s="1"/>
  <c r="P2665"/>
  <c r="J3664"/>
  <c r="Q3664" s="1"/>
  <c r="P2677"/>
  <c r="J3676"/>
  <c r="Q3676" s="1"/>
  <c r="P2682"/>
  <c r="J3681"/>
  <c r="Q3681" s="1"/>
  <c r="P2685"/>
  <c r="J3684"/>
  <c r="Q3684" s="1"/>
  <c r="P2699"/>
  <c r="J3698"/>
  <c r="Q3698" s="1"/>
  <c r="Q2701"/>
  <c r="I3700"/>
  <c r="P3700" s="1"/>
  <c r="P2705"/>
  <c r="J3704"/>
  <c r="Q3704" s="1"/>
  <c r="P2791"/>
  <c r="J3790"/>
  <c r="Q3790" s="1"/>
  <c r="P2793"/>
  <c r="J3792"/>
  <c r="Q3792" s="1"/>
  <c r="P2795"/>
  <c r="J3794"/>
  <c r="Q3794" s="1"/>
  <c r="P2800"/>
  <c r="J3799"/>
  <c r="Q3799" s="1"/>
  <c r="H3" i="3"/>
  <c r="H15" s="1"/>
  <c r="V3"/>
  <c r="V15" s="1"/>
  <c r="C4" i="5"/>
  <c r="B4" i="1" s="1"/>
  <c r="E4" i="5"/>
  <c r="D4" i="1" s="1"/>
  <c r="G4" i="5"/>
  <c r="F4" i="1" s="1"/>
  <c r="K4" i="5"/>
  <c r="M4"/>
  <c r="O4"/>
  <c r="Q4"/>
  <c r="B4"/>
  <c r="A4" i="1" s="1"/>
  <c r="D4" i="5"/>
  <c r="C4" i="1" s="1"/>
  <c r="F4" i="5"/>
  <c r="E4" i="1" s="1"/>
  <c r="H4" i="5"/>
  <c r="L4"/>
  <c r="B3" i="3" s="1"/>
  <c r="B15" s="1"/>
  <c r="N4" i="5"/>
  <c r="P4"/>
  <c r="D2" i="4"/>
  <c r="H2"/>
  <c r="CA24" i="2"/>
  <c r="CB24" s="1"/>
  <c r="CC24"/>
  <c r="CD24" s="1"/>
  <c r="CE24"/>
  <c r="CF24" s="1"/>
  <c r="CG24"/>
  <c r="CH24" s="1"/>
  <c r="CI24"/>
  <c r="CJ24" s="1"/>
  <c r="CK24"/>
  <c r="CL24" s="1"/>
  <c r="CM24"/>
  <c r="CN24" s="1"/>
  <c r="CO24"/>
  <c r="CP24" s="1"/>
  <c r="CA25"/>
  <c r="CB25" s="1"/>
  <c r="CC25"/>
  <c r="CD25" s="1"/>
  <c r="CE25"/>
  <c r="CF25" s="1"/>
  <c r="CG25"/>
  <c r="CH25" s="1"/>
  <c r="CI25"/>
  <c r="CJ25" s="1"/>
  <c r="CK25"/>
  <c r="CL25" s="1"/>
  <c r="CM25"/>
  <c r="CN25" s="1"/>
  <c r="CO25"/>
  <c r="CP25" s="1"/>
  <c r="CA26"/>
  <c r="CB26" s="1"/>
  <c r="CC26"/>
  <c r="CD26" s="1"/>
  <c r="CE26"/>
  <c r="CF26" s="1"/>
  <c r="CG26"/>
  <c r="CH26" s="1"/>
  <c r="CI26"/>
  <c r="CJ26" s="1"/>
  <c r="CK26"/>
  <c r="CL26" s="1"/>
  <c r="CM26"/>
  <c r="CN26" s="1"/>
  <c r="CO26"/>
  <c r="CP26" s="1"/>
  <c r="CA27"/>
  <c r="CB27" s="1"/>
  <c r="CC27"/>
  <c r="CD27" s="1"/>
  <c r="CE27"/>
  <c r="CF27" s="1"/>
  <c r="CG27"/>
  <c r="CH27" s="1"/>
  <c r="CI27"/>
  <c r="CJ27" s="1"/>
  <c r="CK27"/>
  <c r="CL27" s="1"/>
  <c r="CM27"/>
  <c r="CN27" s="1"/>
  <c r="CO27"/>
  <c r="CP27" s="1"/>
  <c r="CA28"/>
  <c r="CB28" s="1"/>
  <c r="CC28"/>
  <c r="CD28" s="1"/>
  <c r="CE28"/>
  <c r="CF28" s="1"/>
  <c r="CG28"/>
  <c r="CH28" s="1"/>
  <c r="CI28"/>
  <c r="CJ28" s="1"/>
  <c r="CK28"/>
  <c r="CL28" s="1"/>
  <c r="CM28"/>
  <c r="CN28" s="1"/>
  <c r="CO28"/>
  <c r="CP28" s="1"/>
  <c r="CA29"/>
  <c r="CB29" s="1"/>
  <c r="CC29"/>
  <c r="CD29" s="1"/>
  <c r="CE29"/>
  <c r="CF29" s="1"/>
  <c r="CG29"/>
  <c r="CH29" s="1"/>
  <c r="CI29"/>
  <c r="CJ29" s="1"/>
  <c r="CK29"/>
  <c r="CL29" s="1"/>
  <c r="CM29"/>
  <c r="CN29" s="1"/>
  <c r="CO29"/>
  <c r="CP29" s="1"/>
  <c r="CA30"/>
  <c r="CB30" s="1"/>
  <c r="CC30"/>
  <c r="CD30" s="1"/>
  <c r="CE30"/>
  <c r="CF30" s="1"/>
  <c r="CG30"/>
  <c r="CH30" s="1"/>
  <c r="CI30"/>
  <c r="CJ30" s="1"/>
  <c r="CK30"/>
  <c r="CL30" s="1"/>
  <c r="CM30"/>
  <c r="CN30" s="1"/>
  <c r="CO30"/>
  <c r="CP30" s="1"/>
  <c r="CA31"/>
  <c r="CB31" s="1"/>
  <c r="CC31"/>
  <c r="CD31" s="1"/>
  <c r="CE31"/>
  <c r="CF31" s="1"/>
  <c r="CG31"/>
  <c r="CH31" s="1"/>
  <c r="CI31"/>
  <c r="CJ31" s="1"/>
  <c r="CK31"/>
  <c r="CL31" s="1"/>
  <c r="CM31"/>
  <c r="CN31" s="1"/>
  <c r="CO31"/>
  <c r="CP31" s="1"/>
  <c r="CA32"/>
  <c r="CB32" s="1"/>
  <c r="CC32"/>
  <c r="CD32" s="1"/>
  <c r="CE32"/>
  <c r="CF32" s="1"/>
  <c r="CG32"/>
  <c r="CH32" s="1"/>
  <c r="CI32"/>
  <c r="CJ32" s="1"/>
  <c r="CK32"/>
  <c r="CL32" s="1"/>
  <c r="CM32"/>
  <c r="CN32" s="1"/>
  <c r="CO32"/>
  <c r="CP32" s="1"/>
  <c r="CA33"/>
  <c r="CB33" s="1"/>
  <c r="CC33"/>
  <c r="CD33" s="1"/>
  <c r="CE33"/>
  <c r="CF33" s="1"/>
  <c r="CG33"/>
  <c r="CH33" s="1"/>
  <c r="CI33"/>
  <c r="CJ33" s="1"/>
  <c r="CK33"/>
  <c r="CL33" s="1"/>
  <c r="CM33"/>
  <c r="CN33" s="1"/>
  <c r="CO33"/>
  <c r="CP33" s="1"/>
  <c r="DF33"/>
  <c r="DG33" s="1"/>
  <c r="DD33"/>
  <c r="DE33" s="1"/>
  <c r="DB33"/>
  <c r="DC33" s="1"/>
  <c r="CZ33"/>
  <c r="DA33" s="1"/>
  <c r="CX33"/>
  <c r="CY33" s="1"/>
  <c r="CV33"/>
  <c r="CW33" s="1"/>
  <c r="CT33"/>
  <c r="CU33" s="1"/>
  <c r="CR33"/>
  <c r="CS33" s="1"/>
  <c r="DF32"/>
  <c r="DG32" s="1"/>
  <c r="DD32"/>
  <c r="DE32" s="1"/>
  <c r="DB32"/>
  <c r="DC32" s="1"/>
  <c r="CZ32"/>
  <c r="DA32" s="1"/>
  <c r="CX32"/>
  <c r="CY32" s="1"/>
  <c r="CV32"/>
  <c r="CW32" s="1"/>
  <c r="CT32"/>
  <c r="CU32" s="1"/>
  <c r="CR32"/>
  <c r="CS32" s="1"/>
  <c r="DF31"/>
  <c r="DG31" s="1"/>
  <c r="DD31"/>
  <c r="DE31" s="1"/>
  <c r="DB31"/>
  <c r="DC31" s="1"/>
  <c r="CZ31"/>
  <c r="DA31" s="1"/>
  <c r="CX31"/>
  <c r="CY31" s="1"/>
  <c r="CV31"/>
  <c r="CW31" s="1"/>
  <c r="CT31"/>
  <c r="CU31" s="1"/>
  <c r="CR31"/>
  <c r="CS31" s="1"/>
  <c r="DF30"/>
  <c r="DG30" s="1"/>
  <c r="DD30"/>
  <c r="DE30" s="1"/>
  <c r="DB30"/>
  <c r="DC30" s="1"/>
  <c r="CZ30"/>
  <c r="DA30" s="1"/>
  <c r="CX30"/>
  <c r="CY30" s="1"/>
  <c r="CV30"/>
  <c r="CW30" s="1"/>
  <c r="CT30"/>
  <c r="CU30" s="1"/>
  <c r="CR30"/>
  <c r="CS30" s="1"/>
  <c r="DF29"/>
  <c r="DG29" s="1"/>
  <c r="DD29"/>
  <c r="DE29" s="1"/>
  <c r="DB29"/>
  <c r="DC29" s="1"/>
  <c r="CZ29"/>
  <c r="DA29" s="1"/>
  <c r="CX29"/>
  <c r="CY29" s="1"/>
  <c r="CV29"/>
  <c r="CW29" s="1"/>
  <c r="CT29"/>
  <c r="CU29" s="1"/>
  <c r="CR29"/>
  <c r="CS29" s="1"/>
  <c r="DF28"/>
  <c r="DG28" s="1"/>
  <c r="DD28"/>
  <c r="DE28" s="1"/>
  <c r="DB28"/>
  <c r="DC28" s="1"/>
  <c r="CZ28"/>
  <c r="DA28" s="1"/>
  <c r="CX28"/>
  <c r="CY28" s="1"/>
  <c r="CV28"/>
  <c r="CW28" s="1"/>
  <c r="CT28"/>
  <c r="CU28" s="1"/>
  <c r="CR28"/>
  <c r="CS28" s="1"/>
  <c r="DF27"/>
  <c r="DG27" s="1"/>
  <c r="DD27"/>
  <c r="DE27" s="1"/>
  <c r="DB27"/>
  <c r="DC27" s="1"/>
  <c r="CZ27"/>
  <c r="DA27" s="1"/>
  <c r="CX27"/>
  <c r="CY27" s="1"/>
  <c r="CV27"/>
  <c r="CW27" s="1"/>
  <c r="CT27"/>
  <c r="CU27" s="1"/>
  <c r="CR27"/>
  <c r="CS27" s="1"/>
  <c r="DF26"/>
  <c r="DG26" s="1"/>
  <c r="DD26"/>
  <c r="DE26" s="1"/>
  <c r="DB26"/>
  <c r="DC26" s="1"/>
  <c r="CZ26"/>
  <c r="DA26" s="1"/>
  <c r="CX26"/>
  <c r="CY26" s="1"/>
  <c r="CV26"/>
  <c r="CW26" s="1"/>
  <c r="CT26"/>
  <c r="CU26" s="1"/>
  <c r="CR26"/>
  <c r="CS26" s="1"/>
  <c r="DF25"/>
  <c r="DG25" s="1"/>
  <c r="DD25"/>
  <c r="DE25" s="1"/>
  <c r="DB25"/>
  <c r="DC25" s="1"/>
  <c r="CZ25"/>
  <c r="DA25" s="1"/>
  <c r="CX25"/>
  <c r="CY25" s="1"/>
  <c r="CV25"/>
  <c r="CW25" s="1"/>
  <c r="CT25"/>
  <c r="CU25" s="1"/>
  <c r="CR25"/>
  <c r="CS25" s="1"/>
  <c r="DF24"/>
  <c r="DG24" s="1"/>
  <c r="DD24"/>
  <c r="DE24" s="1"/>
  <c r="DB24"/>
  <c r="DC24" s="1"/>
  <c r="CZ24"/>
  <c r="DA24" s="1"/>
  <c r="CX24"/>
  <c r="CY24" s="1"/>
  <c r="CV24"/>
  <c r="CW24" s="1"/>
  <c r="CT24"/>
  <c r="CU24" s="1"/>
  <c r="CR24"/>
  <c r="CS24" s="1"/>
  <c r="DW33"/>
  <c r="DX33" s="1"/>
  <c r="DU33"/>
  <c r="DV33" s="1"/>
  <c r="DS33"/>
  <c r="DT33" s="1"/>
  <c r="DQ33"/>
  <c r="DR33" s="1"/>
  <c r="DO33"/>
  <c r="DP33" s="1"/>
  <c r="DM33"/>
  <c r="DN33" s="1"/>
  <c r="DK33"/>
  <c r="DL33" s="1"/>
  <c r="DI33"/>
  <c r="DJ33" s="1"/>
  <c r="DW32"/>
  <c r="DX32" s="1"/>
  <c r="DU32"/>
  <c r="DV32" s="1"/>
  <c r="DS32"/>
  <c r="DT32" s="1"/>
  <c r="DQ32"/>
  <c r="DR32" s="1"/>
  <c r="DO32"/>
  <c r="DP32" s="1"/>
  <c r="DM32"/>
  <c r="DN32" s="1"/>
  <c r="DK32"/>
  <c r="DL32" s="1"/>
  <c r="DI32"/>
  <c r="DJ32" s="1"/>
  <c r="DW31"/>
  <c r="DX31" s="1"/>
  <c r="DU31"/>
  <c r="DV31" s="1"/>
  <c r="DS31"/>
  <c r="DT31" s="1"/>
  <c r="DQ31"/>
  <c r="DR31" s="1"/>
  <c r="DO31"/>
  <c r="DP31" s="1"/>
  <c r="DM31"/>
  <c r="DN31" s="1"/>
  <c r="DK31"/>
  <c r="DL31" s="1"/>
  <c r="DI31"/>
  <c r="DJ31" s="1"/>
  <c r="DW30"/>
  <c r="DX30" s="1"/>
  <c r="DU30"/>
  <c r="DV30" s="1"/>
  <c r="DS30"/>
  <c r="DT30" s="1"/>
  <c r="DQ30"/>
  <c r="DR30" s="1"/>
  <c r="DO30"/>
  <c r="DP30" s="1"/>
  <c r="DM30"/>
  <c r="DN30" s="1"/>
  <c r="DK30"/>
  <c r="DL30" s="1"/>
  <c r="DI30"/>
  <c r="DJ30" s="1"/>
  <c r="DW29"/>
  <c r="DX29" s="1"/>
  <c r="DU29"/>
  <c r="DV29" s="1"/>
  <c r="DS29"/>
  <c r="DT29" s="1"/>
  <c r="DQ29"/>
  <c r="DR29" s="1"/>
  <c r="DO29"/>
  <c r="DP29" s="1"/>
  <c r="DM29"/>
  <c r="DN29" s="1"/>
  <c r="DK29"/>
  <c r="DL29" s="1"/>
  <c r="DI29"/>
  <c r="DJ29" s="1"/>
  <c r="DW28"/>
  <c r="DX28" s="1"/>
  <c r="DU28"/>
  <c r="DV28" s="1"/>
  <c r="DS28"/>
  <c r="DT28" s="1"/>
  <c r="DQ28"/>
  <c r="DR28" s="1"/>
  <c r="DO28"/>
  <c r="DP28" s="1"/>
  <c r="DM28"/>
  <c r="DN28" s="1"/>
  <c r="DK28"/>
  <c r="DL28" s="1"/>
  <c r="DI28"/>
  <c r="DJ28" s="1"/>
  <c r="DW27"/>
  <c r="DX27" s="1"/>
  <c r="DU27"/>
  <c r="DV27" s="1"/>
  <c r="DS27"/>
  <c r="DT27" s="1"/>
  <c r="DQ27"/>
  <c r="DR27" s="1"/>
  <c r="DO27"/>
  <c r="DP27" s="1"/>
  <c r="DM27"/>
  <c r="DN27" s="1"/>
  <c r="DK27"/>
  <c r="DL27" s="1"/>
  <c r="DI27"/>
  <c r="DJ27" s="1"/>
  <c r="DW26"/>
  <c r="DX26" s="1"/>
  <c r="DU26"/>
  <c r="DV26" s="1"/>
  <c r="DS26"/>
  <c r="DT26" s="1"/>
  <c r="DQ26"/>
  <c r="DR26" s="1"/>
  <c r="DO26"/>
  <c r="DP26" s="1"/>
  <c r="DM26"/>
  <c r="DN26" s="1"/>
  <c r="DK26"/>
  <c r="DL26" s="1"/>
  <c r="DI26"/>
  <c r="DJ26" s="1"/>
  <c r="DW25"/>
  <c r="DX25" s="1"/>
  <c r="DU25"/>
  <c r="DV25" s="1"/>
  <c r="DS25"/>
  <c r="DT25" s="1"/>
  <c r="DQ25"/>
  <c r="DR25" s="1"/>
  <c r="DO25"/>
  <c r="DP25" s="1"/>
  <c r="DM25"/>
  <c r="DN25" s="1"/>
  <c r="DK25"/>
  <c r="DL25" s="1"/>
  <c r="DI25"/>
  <c r="DJ25" s="1"/>
  <c r="DW24"/>
  <c r="DX24" s="1"/>
  <c r="DU24"/>
  <c r="DV24" s="1"/>
  <c r="DS24"/>
  <c r="DT24" s="1"/>
  <c r="DQ24"/>
  <c r="DR24" s="1"/>
  <c r="DO24"/>
  <c r="DP24" s="1"/>
  <c r="DM24"/>
  <c r="DN24" s="1"/>
  <c r="DK24"/>
  <c r="DL24" s="1"/>
  <c r="DI24"/>
  <c r="DJ24" s="1"/>
  <c r="A3" i="3"/>
  <c r="A15" s="1"/>
  <c r="B1" i="7" l="1"/>
  <c r="VB3" i="2"/>
  <c r="PR2"/>
  <c r="PY2" s="1"/>
  <c r="QF2" s="1"/>
  <c r="QM2" s="1"/>
  <c r="QT2" s="1"/>
  <c r="RA2" s="1"/>
  <c r="RH2" s="1"/>
  <c r="RO2" s="1"/>
  <c r="RV2" s="1"/>
  <c r="SC2" s="1"/>
  <c r="SJ2" s="1"/>
  <c r="SQ2" s="1"/>
  <c r="SX2" s="1"/>
  <c r="TE2" s="1"/>
  <c r="TL2" s="1"/>
  <c r="TS2" s="1"/>
  <c r="TZ2" s="1"/>
  <c r="UG2" s="1"/>
  <c r="UN2" s="1"/>
  <c r="N3032"/>
  <c r="N2033"/>
  <c r="N3054"/>
  <c r="N2055"/>
  <c r="N3098"/>
  <c r="N2099"/>
  <c r="N3142"/>
  <c r="N2143"/>
  <c r="N3186"/>
  <c r="N2187"/>
  <c r="N3230"/>
  <c r="N2231"/>
  <c r="N3296"/>
  <c r="N2297"/>
  <c r="N3362"/>
  <c r="N2363"/>
  <c r="N3076"/>
  <c r="N2077"/>
  <c r="N3120"/>
  <c r="N2121"/>
  <c r="N3164"/>
  <c r="N2165"/>
  <c r="N3208"/>
  <c r="N2209"/>
  <c r="N3252"/>
  <c r="N2253"/>
  <c r="N3274"/>
  <c r="N2275"/>
  <c r="N3318"/>
  <c r="N2319"/>
  <c r="N3340"/>
  <c r="N2341"/>
  <c r="N3384"/>
  <c r="N2385"/>
  <c r="N3406"/>
  <c r="N2407"/>
  <c r="N3043"/>
  <c r="N2044"/>
  <c r="N3065"/>
  <c r="N2066"/>
  <c r="N3087"/>
  <c r="N2088"/>
  <c r="N3109"/>
  <c r="N2110"/>
  <c r="N3131"/>
  <c r="N2132"/>
  <c r="N3153"/>
  <c r="N2154"/>
  <c r="N3175"/>
  <c r="N2176"/>
  <c r="N3197"/>
  <c r="N2198"/>
  <c r="N3219"/>
  <c r="N2220"/>
  <c r="N3241"/>
  <c r="N2242"/>
  <c r="N3263"/>
  <c r="N2264"/>
  <c r="N3285"/>
  <c r="N2286"/>
  <c r="N3307"/>
  <c r="N2308"/>
  <c r="N3329"/>
  <c r="N2330"/>
  <c r="N3351"/>
  <c r="N2352"/>
  <c r="N3373"/>
  <c r="N2374"/>
  <c r="N3395"/>
  <c r="N2396"/>
  <c r="M3" i="3"/>
  <c r="M15" s="1"/>
  <c r="F3"/>
  <c r="F15" s="1"/>
  <c r="T3"/>
  <c r="T15" s="1"/>
  <c r="U3"/>
  <c r="U15" s="1"/>
  <c r="N3"/>
  <c r="N15" s="1"/>
  <c r="G3"/>
  <c r="G15" s="1"/>
  <c r="J3"/>
  <c r="J15" s="1"/>
  <c r="Q3"/>
  <c r="Q15" s="1"/>
  <c r="C3"/>
  <c r="C15" s="1"/>
  <c r="K3"/>
  <c r="K15" s="1"/>
  <c r="D3"/>
  <c r="D15" s="1"/>
  <c r="R3"/>
  <c r="R15" s="1"/>
  <c r="A2" i="6"/>
  <c r="B2" i="4"/>
  <c r="B3" i="1"/>
  <c r="W3" i="3"/>
  <c r="W15" s="1"/>
  <c r="P3"/>
  <c r="P15" s="1"/>
  <c r="I3"/>
  <c r="I15" s="1"/>
  <c r="S3"/>
  <c r="S15" s="1"/>
  <c r="L3"/>
  <c r="L15" s="1"/>
  <c r="E3"/>
  <c r="E15" s="1"/>
  <c r="E36" i="2"/>
  <c r="F36" s="1"/>
  <c r="VC3" l="1"/>
  <c r="A37"/>
  <c r="C37" s="1"/>
  <c r="C36" s="1"/>
  <c r="C2004"/>
  <c r="J801"/>
  <c r="J800"/>
  <c r="J799"/>
  <c r="J798"/>
  <c r="J797"/>
  <c r="J796"/>
  <c r="J795"/>
  <c r="J794"/>
  <c r="J793"/>
  <c r="J792"/>
  <c r="J791"/>
  <c r="J790"/>
  <c r="J789"/>
  <c r="J788"/>
  <c r="J787"/>
  <c r="J786"/>
  <c r="J785"/>
  <c r="J784"/>
  <c r="J783"/>
  <c r="J782"/>
  <c r="J781"/>
  <c r="J780"/>
  <c r="J779"/>
  <c r="J778"/>
  <c r="J777"/>
  <c r="J776"/>
  <c r="J775"/>
  <c r="J774"/>
  <c r="J773"/>
  <c r="J772"/>
  <c r="J771"/>
  <c r="J770"/>
  <c r="J769"/>
  <c r="J768"/>
  <c r="J767"/>
  <c r="J766"/>
  <c r="J765"/>
  <c r="J764"/>
  <c r="J763"/>
  <c r="J762"/>
  <c r="J761"/>
  <c r="J760"/>
  <c r="J759"/>
  <c r="J758"/>
  <c r="J757"/>
  <c r="J756"/>
  <c r="J755"/>
  <c r="J754"/>
  <c r="J753"/>
  <c r="J752"/>
  <c r="J751"/>
  <c r="J750"/>
  <c r="J749"/>
  <c r="J748"/>
  <c r="J747"/>
  <c r="J746"/>
  <c r="J745"/>
  <c r="J744"/>
  <c r="J743"/>
  <c r="J742"/>
  <c r="J741"/>
  <c r="J740"/>
  <c r="J739"/>
  <c r="J738"/>
  <c r="J737"/>
  <c r="J736"/>
  <c r="J735"/>
  <c r="J734"/>
  <c r="J733"/>
  <c r="J732"/>
  <c r="J731"/>
  <c r="J730"/>
  <c r="J729"/>
  <c r="J728"/>
  <c r="J727"/>
  <c r="J726"/>
  <c r="J725"/>
  <c r="J724"/>
  <c r="J723"/>
  <c r="J722"/>
  <c r="J721"/>
  <c r="J720"/>
  <c r="J719"/>
  <c r="J718"/>
  <c r="J717"/>
  <c r="J716"/>
  <c r="J715"/>
  <c r="J714"/>
  <c r="J713"/>
  <c r="J712"/>
  <c r="J711"/>
  <c r="J710"/>
  <c r="J709"/>
  <c r="J708"/>
  <c r="J707"/>
  <c r="J706"/>
  <c r="J705"/>
  <c r="J704"/>
  <c r="J703"/>
  <c r="J702"/>
  <c r="J701"/>
  <c r="J700"/>
  <c r="J699"/>
  <c r="J698"/>
  <c r="J697"/>
  <c r="J696"/>
  <c r="J695"/>
  <c r="J694"/>
  <c r="J693"/>
  <c r="J692"/>
  <c r="J691"/>
  <c r="J690"/>
  <c r="J689"/>
  <c r="J688"/>
  <c r="J687"/>
  <c r="J686"/>
  <c r="J685"/>
  <c r="J684"/>
  <c r="J683"/>
  <c r="J682"/>
  <c r="J681"/>
  <c r="J680"/>
  <c r="J679"/>
  <c r="J678"/>
  <c r="J677"/>
  <c r="J676"/>
  <c r="J675"/>
  <c r="J674"/>
  <c r="J673"/>
  <c r="J672"/>
  <c r="J671"/>
  <c r="J670"/>
  <c r="J669"/>
  <c r="J668"/>
  <c r="J667"/>
  <c r="J666"/>
  <c r="J665"/>
  <c r="J664"/>
  <c r="J663"/>
  <c r="J662"/>
  <c r="J661"/>
  <c r="J660"/>
  <c r="J659"/>
  <c r="J658"/>
  <c r="J657"/>
  <c r="J656"/>
  <c r="J655"/>
  <c r="J654"/>
  <c r="J653"/>
  <c r="J652"/>
  <c r="J651"/>
  <c r="J650"/>
  <c r="J649"/>
  <c r="J648"/>
  <c r="J647"/>
  <c r="J646"/>
  <c r="J645"/>
  <c r="J644"/>
  <c r="J643"/>
  <c r="J642"/>
  <c r="J641"/>
  <c r="J640"/>
  <c r="J639"/>
  <c r="J638"/>
  <c r="J637"/>
  <c r="J636"/>
  <c r="J635"/>
  <c r="J634"/>
  <c r="J633"/>
  <c r="J632"/>
  <c r="J631"/>
  <c r="J630"/>
  <c r="J629"/>
  <c r="J628"/>
  <c r="J627"/>
  <c r="J626"/>
  <c r="J625"/>
  <c r="J624"/>
  <c r="J623"/>
  <c r="J622"/>
  <c r="J621"/>
  <c r="J620"/>
  <c r="J619"/>
  <c r="J618"/>
  <c r="J617"/>
  <c r="J616"/>
  <c r="J615"/>
  <c r="J614"/>
  <c r="J613"/>
  <c r="J612"/>
  <c r="J611"/>
  <c r="J610"/>
  <c r="J609"/>
  <c r="J608"/>
  <c r="J607"/>
  <c r="J606"/>
  <c r="J605"/>
  <c r="J604"/>
  <c r="J603"/>
  <c r="J602"/>
  <c r="J601"/>
  <c r="J600"/>
  <c r="J599"/>
  <c r="J598"/>
  <c r="J597"/>
  <c r="J596"/>
  <c r="J595"/>
  <c r="J594"/>
  <c r="J593"/>
  <c r="J592"/>
  <c r="J591"/>
  <c r="J590"/>
  <c r="J589"/>
  <c r="J588"/>
  <c r="J587"/>
  <c r="J586"/>
  <c r="J585"/>
  <c r="J584"/>
  <c r="J583"/>
  <c r="J582"/>
  <c r="J581"/>
  <c r="J580"/>
  <c r="J579"/>
  <c r="J578"/>
  <c r="J577"/>
  <c r="J576"/>
  <c r="J575"/>
  <c r="J574"/>
  <c r="J573"/>
  <c r="J572"/>
  <c r="J571"/>
  <c r="J570"/>
  <c r="J569"/>
  <c r="J568"/>
  <c r="J567"/>
  <c r="J566"/>
  <c r="J565"/>
  <c r="J564"/>
  <c r="J563"/>
  <c r="J562"/>
  <c r="J561"/>
  <c r="J560"/>
  <c r="J559"/>
  <c r="J558"/>
  <c r="J557"/>
  <c r="J556"/>
  <c r="J555"/>
  <c r="J554"/>
  <c r="J553"/>
  <c r="J552"/>
  <c r="J551"/>
  <c r="J550"/>
  <c r="J549"/>
  <c r="J548"/>
  <c r="J547"/>
  <c r="J546"/>
  <c r="J545"/>
  <c r="J544"/>
  <c r="J543"/>
  <c r="J542"/>
  <c r="J541"/>
  <c r="J540"/>
  <c r="J539"/>
  <c r="J538"/>
  <c r="J537"/>
  <c r="J536"/>
  <c r="J535"/>
  <c r="J534"/>
  <c r="J533"/>
  <c r="J532"/>
  <c r="J531"/>
  <c r="J530"/>
  <c r="J529"/>
  <c r="J528"/>
  <c r="J527"/>
  <c r="J526"/>
  <c r="J525"/>
  <c r="J524"/>
  <c r="J523"/>
  <c r="J522"/>
  <c r="J521"/>
  <c r="J520"/>
  <c r="J519"/>
  <c r="J518"/>
  <c r="J517"/>
  <c r="J516"/>
  <c r="J515"/>
  <c r="J514"/>
  <c r="J513"/>
  <c r="J512"/>
  <c r="J511"/>
  <c r="J510"/>
  <c r="J509"/>
  <c r="J508"/>
  <c r="J507"/>
  <c r="J506"/>
  <c r="J505"/>
  <c r="J504"/>
  <c r="J503"/>
  <c r="J502"/>
  <c r="J501"/>
  <c r="J500"/>
  <c r="J499"/>
  <c r="J498"/>
  <c r="J497"/>
  <c r="J496"/>
  <c r="J495"/>
  <c r="J494"/>
  <c r="J493"/>
  <c r="J492"/>
  <c r="J491"/>
  <c r="J490"/>
  <c r="J489"/>
  <c r="J488"/>
  <c r="J487"/>
  <c r="J486"/>
  <c r="J485"/>
  <c r="J484"/>
  <c r="J483"/>
  <c r="J482"/>
  <c r="J481"/>
  <c r="J480"/>
  <c r="J479"/>
  <c r="J478"/>
  <c r="J477"/>
  <c r="J476"/>
  <c r="J475"/>
  <c r="J474"/>
  <c r="J473"/>
  <c r="J472"/>
  <c r="J471"/>
  <c r="J470"/>
  <c r="J469"/>
  <c r="J468"/>
  <c r="J467"/>
  <c r="J466"/>
  <c r="J465"/>
  <c r="J464"/>
  <c r="J463"/>
  <c r="J462"/>
  <c r="J461"/>
  <c r="J460"/>
  <c r="J459"/>
  <c r="J458"/>
  <c r="J457"/>
  <c r="J456"/>
  <c r="J455"/>
  <c r="J454"/>
  <c r="J453"/>
  <c r="J452"/>
  <c r="J451"/>
  <c r="J450"/>
  <c r="J449"/>
  <c r="J448"/>
  <c r="J447"/>
  <c r="J446"/>
  <c r="J445"/>
  <c r="J444"/>
  <c r="J443"/>
  <c r="J442"/>
  <c r="J441"/>
  <c r="J440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C2417"/>
  <c r="N2417" s="1"/>
  <c r="C3416"/>
  <c r="N3416" s="1"/>
  <c r="C2412"/>
  <c r="N2412" s="1"/>
  <c r="C3411"/>
  <c r="N3411" s="1"/>
  <c r="C2413"/>
  <c r="N2413" s="1"/>
  <c r="C3412"/>
  <c r="N3412" s="1"/>
  <c r="C2414"/>
  <c r="N2414" s="1"/>
  <c r="C3413"/>
  <c r="N3413" s="1"/>
  <c r="C2415"/>
  <c r="N2415" s="1"/>
  <c r="C3414"/>
  <c r="N3414" s="1"/>
  <c r="C2416"/>
  <c r="N2416" s="1"/>
  <c r="C3415"/>
  <c r="N3415" s="1"/>
  <c r="C2369"/>
  <c r="N2369" s="1"/>
  <c r="C3368"/>
  <c r="N3368" s="1"/>
  <c r="C2370"/>
  <c r="N2370" s="1"/>
  <c r="C3369"/>
  <c r="N3369" s="1"/>
  <c r="C2371"/>
  <c r="N2371" s="1"/>
  <c r="C3370"/>
  <c r="N3370" s="1"/>
  <c r="C2372"/>
  <c r="N2372" s="1"/>
  <c r="C3371"/>
  <c r="N3371" s="1"/>
  <c r="C2373"/>
  <c r="N2373" s="1"/>
  <c r="C3372"/>
  <c r="N3372" s="1"/>
  <c r="C2375"/>
  <c r="N2375" s="1"/>
  <c r="C3374"/>
  <c r="N3374" s="1"/>
  <c r="C2376"/>
  <c r="N2376" s="1"/>
  <c r="C3375"/>
  <c r="N3375" s="1"/>
  <c r="C2377"/>
  <c r="N2377" s="1"/>
  <c r="C3376"/>
  <c r="N3376" s="1"/>
  <c r="C2378"/>
  <c r="N2378" s="1"/>
  <c r="C3377"/>
  <c r="N3377" s="1"/>
  <c r="C2379"/>
  <c r="N2379" s="1"/>
  <c r="C3378"/>
  <c r="N3378" s="1"/>
  <c r="C2380"/>
  <c r="N2380" s="1"/>
  <c r="C3379"/>
  <c r="N3379" s="1"/>
  <c r="C2381"/>
  <c r="N2381" s="1"/>
  <c r="C3380"/>
  <c r="N3380" s="1"/>
  <c r="C2382"/>
  <c r="N2382" s="1"/>
  <c r="C3381"/>
  <c r="N3381" s="1"/>
  <c r="C2383"/>
  <c r="N2383" s="1"/>
  <c r="C3382"/>
  <c r="N3382" s="1"/>
  <c r="C2384"/>
  <c r="N2384" s="1"/>
  <c r="C3383"/>
  <c r="N3383" s="1"/>
  <c r="C2386"/>
  <c r="N2386" s="1"/>
  <c r="C3385"/>
  <c r="N3385" s="1"/>
  <c r="C2387"/>
  <c r="N2387" s="1"/>
  <c r="C3386"/>
  <c r="N3386" s="1"/>
  <c r="C2388"/>
  <c r="N2388" s="1"/>
  <c r="C3387"/>
  <c r="N3387" s="1"/>
  <c r="C2389"/>
  <c r="N2389" s="1"/>
  <c r="C3388"/>
  <c r="N3388" s="1"/>
  <c r="C2390"/>
  <c r="N2390" s="1"/>
  <c r="C3389"/>
  <c r="N3389" s="1"/>
  <c r="C2391"/>
  <c r="N2391" s="1"/>
  <c r="C3390"/>
  <c r="N3390" s="1"/>
  <c r="C2392"/>
  <c r="N2392" s="1"/>
  <c r="C3391"/>
  <c r="N3391" s="1"/>
  <c r="C2393"/>
  <c r="N2393" s="1"/>
  <c r="C3392"/>
  <c r="N3392" s="1"/>
  <c r="C2394"/>
  <c r="N2394" s="1"/>
  <c r="C3393"/>
  <c r="N3393" s="1"/>
  <c r="C2395"/>
  <c r="N2395" s="1"/>
  <c r="C3394"/>
  <c r="N3394" s="1"/>
  <c r="C2397"/>
  <c r="N2397" s="1"/>
  <c r="C3396"/>
  <c r="N3396" s="1"/>
  <c r="C2398"/>
  <c r="N2398" s="1"/>
  <c r="C3397"/>
  <c r="N3397" s="1"/>
  <c r="C2399"/>
  <c r="N2399" s="1"/>
  <c r="C3398"/>
  <c r="N3398" s="1"/>
  <c r="C2400"/>
  <c r="N2400" s="1"/>
  <c r="C3399"/>
  <c r="N3399" s="1"/>
  <c r="C2401"/>
  <c r="N2401" s="1"/>
  <c r="C3400"/>
  <c r="N3400" s="1"/>
  <c r="C2402"/>
  <c r="N2402" s="1"/>
  <c r="C3401"/>
  <c r="N3401" s="1"/>
  <c r="C2403"/>
  <c r="N2403" s="1"/>
  <c r="C3402"/>
  <c r="N3402" s="1"/>
  <c r="C2404"/>
  <c r="N2404" s="1"/>
  <c r="C3403"/>
  <c r="N3403" s="1"/>
  <c r="C2405"/>
  <c r="N2405" s="1"/>
  <c r="C3404"/>
  <c r="N3404" s="1"/>
  <c r="C2406"/>
  <c r="N2406" s="1"/>
  <c r="C3405"/>
  <c r="N3405" s="1"/>
  <c r="C2408"/>
  <c r="N2408" s="1"/>
  <c r="C3407"/>
  <c r="N3407" s="1"/>
  <c r="C2409"/>
  <c r="N2409" s="1"/>
  <c r="C3408"/>
  <c r="N3408" s="1"/>
  <c r="C2410"/>
  <c r="N2410" s="1"/>
  <c r="C3409"/>
  <c r="N3409" s="1"/>
  <c r="C2411"/>
  <c r="N2411" s="1"/>
  <c r="C3410"/>
  <c r="N3410" s="1"/>
  <c r="C2326"/>
  <c r="N2326" s="1"/>
  <c r="C3325"/>
  <c r="N3325" s="1"/>
  <c r="C2327"/>
  <c r="N2327" s="1"/>
  <c r="C3326"/>
  <c r="N3326" s="1"/>
  <c r="C2328"/>
  <c r="N2328" s="1"/>
  <c r="C3327"/>
  <c r="N3327" s="1"/>
  <c r="C2329"/>
  <c r="N2329" s="1"/>
  <c r="C3328"/>
  <c r="N3328" s="1"/>
  <c r="C2331"/>
  <c r="N2331" s="1"/>
  <c r="C3330"/>
  <c r="N3330" s="1"/>
  <c r="C2332"/>
  <c r="N2332" s="1"/>
  <c r="C3331"/>
  <c r="N3331" s="1"/>
  <c r="C2333"/>
  <c r="N2333" s="1"/>
  <c r="C3332"/>
  <c r="N3332" s="1"/>
  <c r="C2334"/>
  <c r="N2334" s="1"/>
  <c r="C3333"/>
  <c r="N3333" s="1"/>
  <c r="C2335"/>
  <c r="N2335" s="1"/>
  <c r="C3334"/>
  <c r="N3334" s="1"/>
  <c r="C2336"/>
  <c r="N2336" s="1"/>
  <c r="C3335"/>
  <c r="N3335" s="1"/>
  <c r="C2337"/>
  <c r="N2337" s="1"/>
  <c r="C3336"/>
  <c r="N3336" s="1"/>
  <c r="C2338"/>
  <c r="N2338" s="1"/>
  <c r="C3337"/>
  <c r="N3337" s="1"/>
  <c r="C2339"/>
  <c r="N2339" s="1"/>
  <c r="C3338"/>
  <c r="N3338" s="1"/>
  <c r="C2340"/>
  <c r="N2340" s="1"/>
  <c r="C3339"/>
  <c r="N3339" s="1"/>
  <c r="C2342"/>
  <c r="N2342" s="1"/>
  <c r="C3341"/>
  <c r="N3341" s="1"/>
  <c r="C2343"/>
  <c r="N2343" s="1"/>
  <c r="C3342"/>
  <c r="N3342" s="1"/>
  <c r="C2344"/>
  <c r="N2344" s="1"/>
  <c r="C3343"/>
  <c r="N3343" s="1"/>
  <c r="C2345"/>
  <c r="N2345" s="1"/>
  <c r="C3344"/>
  <c r="N3344" s="1"/>
  <c r="C2346"/>
  <c r="N2346" s="1"/>
  <c r="C3345"/>
  <c r="N3345" s="1"/>
  <c r="C2347"/>
  <c r="N2347" s="1"/>
  <c r="C3346"/>
  <c r="N3346" s="1"/>
  <c r="C2348"/>
  <c r="N2348" s="1"/>
  <c r="C3347"/>
  <c r="N3347" s="1"/>
  <c r="C2349"/>
  <c r="N2349" s="1"/>
  <c r="C3348"/>
  <c r="N3348" s="1"/>
  <c r="C2350"/>
  <c r="N2350" s="1"/>
  <c r="C3349"/>
  <c r="N3349" s="1"/>
  <c r="C2351"/>
  <c r="N2351" s="1"/>
  <c r="C3350"/>
  <c r="N3350" s="1"/>
  <c r="C2353"/>
  <c r="N2353" s="1"/>
  <c r="C3352"/>
  <c r="N3352" s="1"/>
  <c r="C2354"/>
  <c r="N2354" s="1"/>
  <c r="C3353"/>
  <c r="N3353" s="1"/>
  <c r="C2355"/>
  <c r="N2355" s="1"/>
  <c r="C3354"/>
  <c r="N3354" s="1"/>
  <c r="C2356"/>
  <c r="N2356" s="1"/>
  <c r="C3355"/>
  <c r="N3355" s="1"/>
  <c r="C2357"/>
  <c r="N2357" s="1"/>
  <c r="C3356"/>
  <c r="N3356" s="1"/>
  <c r="C2358"/>
  <c r="N2358" s="1"/>
  <c r="C3357"/>
  <c r="N3357" s="1"/>
  <c r="C2359"/>
  <c r="N2359" s="1"/>
  <c r="C3358"/>
  <c r="N3358" s="1"/>
  <c r="C2360"/>
  <c r="N2360" s="1"/>
  <c r="C3359"/>
  <c r="N3359" s="1"/>
  <c r="C2361"/>
  <c r="N2361" s="1"/>
  <c r="C3360"/>
  <c r="N3360" s="1"/>
  <c r="C2362"/>
  <c r="N2362" s="1"/>
  <c r="C3361"/>
  <c r="N3361" s="1"/>
  <c r="C2364"/>
  <c r="N2364" s="1"/>
  <c r="C3363"/>
  <c r="N3363" s="1"/>
  <c r="C2365"/>
  <c r="N2365" s="1"/>
  <c r="C3364"/>
  <c r="N3364" s="1"/>
  <c r="C2366"/>
  <c r="N2366" s="1"/>
  <c r="C3365"/>
  <c r="N3365" s="1"/>
  <c r="C2367"/>
  <c r="N2367" s="1"/>
  <c r="C3366"/>
  <c r="N3366" s="1"/>
  <c r="C2368"/>
  <c r="N2368" s="1"/>
  <c r="C3367"/>
  <c r="N3367" s="1"/>
  <c r="C2263"/>
  <c r="N2263" s="1"/>
  <c r="C3262"/>
  <c r="N3262" s="1"/>
  <c r="C2265"/>
  <c r="N2265" s="1"/>
  <c r="C3264"/>
  <c r="N3264" s="1"/>
  <c r="C2266"/>
  <c r="N2266" s="1"/>
  <c r="C3265"/>
  <c r="N3265" s="1"/>
  <c r="C2267"/>
  <c r="N2267" s="1"/>
  <c r="C3266"/>
  <c r="N3266" s="1"/>
  <c r="C2268"/>
  <c r="N2268" s="1"/>
  <c r="C3267"/>
  <c r="N3267" s="1"/>
  <c r="C2269"/>
  <c r="N2269" s="1"/>
  <c r="C3268"/>
  <c r="N3268" s="1"/>
  <c r="C2270"/>
  <c r="N2270" s="1"/>
  <c r="C3269"/>
  <c r="N3269" s="1"/>
  <c r="C2271"/>
  <c r="N2271" s="1"/>
  <c r="C3270"/>
  <c r="N3270" s="1"/>
  <c r="C2272"/>
  <c r="N2272" s="1"/>
  <c r="C3271"/>
  <c r="N3271" s="1"/>
  <c r="C2273"/>
  <c r="N2273" s="1"/>
  <c r="C3272"/>
  <c r="N3272" s="1"/>
  <c r="C2274"/>
  <c r="N2274" s="1"/>
  <c r="C3273"/>
  <c r="N3273" s="1"/>
  <c r="C2276"/>
  <c r="N2276" s="1"/>
  <c r="C3275"/>
  <c r="N3275" s="1"/>
  <c r="C2277"/>
  <c r="N2277" s="1"/>
  <c r="C3276"/>
  <c r="N3276" s="1"/>
  <c r="C2278"/>
  <c r="N2278" s="1"/>
  <c r="C3277"/>
  <c r="N3277" s="1"/>
  <c r="C2279"/>
  <c r="N2279" s="1"/>
  <c r="C3278"/>
  <c r="N3278" s="1"/>
  <c r="C2280"/>
  <c r="N2280" s="1"/>
  <c r="C3279"/>
  <c r="N3279" s="1"/>
  <c r="C2281"/>
  <c r="N2281" s="1"/>
  <c r="C3280"/>
  <c r="N3280" s="1"/>
  <c r="C2282"/>
  <c r="N2282" s="1"/>
  <c r="C3281"/>
  <c r="N3281" s="1"/>
  <c r="C2283"/>
  <c r="N2283" s="1"/>
  <c r="C3282"/>
  <c r="N3282" s="1"/>
  <c r="C2284"/>
  <c r="N2284" s="1"/>
  <c r="C3283"/>
  <c r="N3283" s="1"/>
  <c r="C2285"/>
  <c r="N2285" s="1"/>
  <c r="C3284"/>
  <c r="N3284" s="1"/>
  <c r="C2287"/>
  <c r="N2287" s="1"/>
  <c r="C3286"/>
  <c r="N3286" s="1"/>
  <c r="C2288"/>
  <c r="N2288" s="1"/>
  <c r="C3287"/>
  <c r="N3287" s="1"/>
  <c r="C2289"/>
  <c r="N2289" s="1"/>
  <c r="C3288"/>
  <c r="N3288" s="1"/>
  <c r="C2290"/>
  <c r="N2290" s="1"/>
  <c r="C3289"/>
  <c r="N3289" s="1"/>
  <c r="C2291"/>
  <c r="N2291" s="1"/>
  <c r="C3290"/>
  <c r="N3290" s="1"/>
  <c r="C2292"/>
  <c r="N2292" s="1"/>
  <c r="C3291"/>
  <c r="N3291" s="1"/>
  <c r="C2293"/>
  <c r="N2293" s="1"/>
  <c r="C3292"/>
  <c r="N3292" s="1"/>
  <c r="C2294"/>
  <c r="N2294" s="1"/>
  <c r="C3293"/>
  <c r="N3293" s="1"/>
  <c r="C2295"/>
  <c r="N2295" s="1"/>
  <c r="C3294"/>
  <c r="N3294" s="1"/>
  <c r="C2296"/>
  <c r="N2296" s="1"/>
  <c r="C3295"/>
  <c r="N3295" s="1"/>
  <c r="C2298"/>
  <c r="N2298" s="1"/>
  <c r="C3297"/>
  <c r="N3297" s="1"/>
  <c r="C2299"/>
  <c r="N2299" s="1"/>
  <c r="C3298"/>
  <c r="N3298" s="1"/>
  <c r="C2300"/>
  <c r="N2300" s="1"/>
  <c r="C3299"/>
  <c r="N3299" s="1"/>
  <c r="C2301"/>
  <c r="N2301" s="1"/>
  <c r="C3300"/>
  <c r="N3300" s="1"/>
  <c r="C2302"/>
  <c r="N2302" s="1"/>
  <c r="C3301"/>
  <c r="N3301" s="1"/>
  <c r="C2303"/>
  <c r="N2303" s="1"/>
  <c r="C3302"/>
  <c r="N3302" s="1"/>
  <c r="C2304"/>
  <c r="N2304" s="1"/>
  <c r="C3303"/>
  <c r="N3303" s="1"/>
  <c r="C2305"/>
  <c r="N2305" s="1"/>
  <c r="C3304"/>
  <c r="N3304" s="1"/>
  <c r="C2306"/>
  <c r="N2306" s="1"/>
  <c r="C3305"/>
  <c r="N3305" s="1"/>
  <c r="C2307"/>
  <c r="N2307" s="1"/>
  <c r="C3306"/>
  <c r="N3306" s="1"/>
  <c r="C2309"/>
  <c r="N2309" s="1"/>
  <c r="C3308"/>
  <c r="N3308" s="1"/>
  <c r="C2310"/>
  <c r="N2310" s="1"/>
  <c r="C3309"/>
  <c r="N3309" s="1"/>
  <c r="C2311"/>
  <c r="N2311" s="1"/>
  <c r="C3310"/>
  <c r="N3310" s="1"/>
  <c r="C2312"/>
  <c r="N2312" s="1"/>
  <c r="C3311"/>
  <c r="N3311" s="1"/>
  <c r="C2313"/>
  <c r="N2313" s="1"/>
  <c r="C3312"/>
  <c r="N3312" s="1"/>
  <c r="C2314"/>
  <c r="N2314" s="1"/>
  <c r="C3313"/>
  <c r="N3313" s="1"/>
  <c r="C2315"/>
  <c r="N2315" s="1"/>
  <c r="C3314"/>
  <c r="N3314" s="1"/>
  <c r="C2316"/>
  <c r="N2316" s="1"/>
  <c r="C3315"/>
  <c r="N3315" s="1"/>
  <c r="C2317"/>
  <c r="N2317" s="1"/>
  <c r="C3316"/>
  <c r="N3316" s="1"/>
  <c r="C2318"/>
  <c r="N2318" s="1"/>
  <c r="C3317"/>
  <c r="N3317" s="1"/>
  <c r="C2320"/>
  <c r="N2320" s="1"/>
  <c r="C3319"/>
  <c r="N3319" s="1"/>
  <c r="C2321"/>
  <c r="N2321" s="1"/>
  <c r="C3320"/>
  <c r="N3320" s="1"/>
  <c r="C2322"/>
  <c r="N2322" s="1"/>
  <c r="C3321"/>
  <c r="N3321" s="1"/>
  <c r="C2323"/>
  <c r="N2323" s="1"/>
  <c r="C3322"/>
  <c r="N3322" s="1"/>
  <c r="C2324"/>
  <c r="N2324" s="1"/>
  <c r="C3323"/>
  <c r="N3323" s="1"/>
  <c r="C2325"/>
  <c r="N2325" s="1"/>
  <c r="C3324"/>
  <c r="N3324" s="1"/>
  <c r="C2252"/>
  <c r="N2252" s="1"/>
  <c r="C3251"/>
  <c r="N3251" s="1"/>
  <c r="C2254"/>
  <c r="N2254" s="1"/>
  <c r="C3253"/>
  <c r="N3253" s="1"/>
  <c r="C2255"/>
  <c r="N2255" s="1"/>
  <c r="C3254"/>
  <c r="N3254" s="1"/>
  <c r="C2256"/>
  <c r="N2256" s="1"/>
  <c r="C3255"/>
  <c r="N3255" s="1"/>
  <c r="C2257"/>
  <c r="N2257" s="1"/>
  <c r="C3256"/>
  <c r="N3256" s="1"/>
  <c r="C2258"/>
  <c r="N2258" s="1"/>
  <c r="C3257"/>
  <c r="N3257" s="1"/>
  <c r="C2259"/>
  <c r="N2259" s="1"/>
  <c r="C3258"/>
  <c r="N3258" s="1"/>
  <c r="C2260"/>
  <c r="N2260" s="1"/>
  <c r="C3259"/>
  <c r="N3259" s="1"/>
  <c r="C2261"/>
  <c r="N2261" s="1"/>
  <c r="C3260"/>
  <c r="N3260" s="1"/>
  <c r="C2262"/>
  <c r="N2262" s="1"/>
  <c r="C3261"/>
  <c r="N3261" s="1"/>
  <c r="C2240"/>
  <c r="N2240" s="1"/>
  <c r="C3239"/>
  <c r="N3239" s="1"/>
  <c r="C2241"/>
  <c r="N2241" s="1"/>
  <c r="C3240"/>
  <c r="N3240" s="1"/>
  <c r="C2243"/>
  <c r="N2243" s="1"/>
  <c r="C3242"/>
  <c r="N3242" s="1"/>
  <c r="C2244"/>
  <c r="N2244" s="1"/>
  <c r="C3243"/>
  <c r="N3243" s="1"/>
  <c r="C2245"/>
  <c r="N2245" s="1"/>
  <c r="C3244"/>
  <c r="N3244" s="1"/>
  <c r="C2246"/>
  <c r="N2246" s="1"/>
  <c r="C3245"/>
  <c r="N3245" s="1"/>
  <c r="C2247"/>
  <c r="N2247" s="1"/>
  <c r="C3246"/>
  <c r="N3246" s="1"/>
  <c r="C2248"/>
  <c r="N2248" s="1"/>
  <c r="C3247"/>
  <c r="N3247" s="1"/>
  <c r="C2249"/>
  <c r="N2249" s="1"/>
  <c r="C3248"/>
  <c r="N3248" s="1"/>
  <c r="C2250"/>
  <c r="N2250" s="1"/>
  <c r="C3249"/>
  <c r="N3249" s="1"/>
  <c r="C2251"/>
  <c r="N2251" s="1"/>
  <c r="C3250"/>
  <c r="N3250" s="1"/>
  <c r="C2232"/>
  <c r="N2232" s="1"/>
  <c r="C3231"/>
  <c r="N3231" s="1"/>
  <c r="C2233"/>
  <c r="N2233" s="1"/>
  <c r="C3232"/>
  <c r="N3232" s="1"/>
  <c r="C2234"/>
  <c r="N2234" s="1"/>
  <c r="C3233"/>
  <c r="N3233" s="1"/>
  <c r="C2235"/>
  <c r="N2235" s="1"/>
  <c r="C3234"/>
  <c r="N3234" s="1"/>
  <c r="C2236"/>
  <c r="N2236" s="1"/>
  <c r="C3235"/>
  <c r="N3235" s="1"/>
  <c r="C2237"/>
  <c r="N2237" s="1"/>
  <c r="C3236"/>
  <c r="N3236" s="1"/>
  <c r="C2238"/>
  <c r="N2238" s="1"/>
  <c r="C3237"/>
  <c r="N3237" s="1"/>
  <c r="C2239"/>
  <c r="N2239" s="1"/>
  <c r="C3238"/>
  <c r="N3238" s="1"/>
  <c r="C2177"/>
  <c r="N2177" s="1"/>
  <c r="C3176"/>
  <c r="N3176" s="1"/>
  <c r="C2178"/>
  <c r="N2178" s="1"/>
  <c r="C3177"/>
  <c r="N3177" s="1"/>
  <c r="C2179"/>
  <c r="N2179" s="1"/>
  <c r="C3178"/>
  <c r="N3178" s="1"/>
  <c r="C2180"/>
  <c r="N2180" s="1"/>
  <c r="C3179"/>
  <c r="N3179" s="1"/>
  <c r="C2181"/>
  <c r="N2181" s="1"/>
  <c r="C3180"/>
  <c r="N3180" s="1"/>
  <c r="C2182"/>
  <c r="N2182" s="1"/>
  <c r="C3181"/>
  <c r="N3181" s="1"/>
  <c r="C2183"/>
  <c r="N2183" s="1"/>
  <c r="C3182"/>
  <c r="N3182" s="1"/>
  <c r="C2184"/>
  <c r="N2184" s="1"/>
  <c r="C3183"/>
  <c r="N3183" s="1"/>
  <c r="C2185"/>
  <c r="N2185" s="1"/>
  <c r="C3184"/>
  <c r="N3184" s="1"/>
  <c r="C2186"/>
  <c r="N2186" s="1"/>
  <c r="C3185"/>
  <c r="N3185" s="1"/>
  <c r="C2188"/>
  <c r="N2188" s="1"/>
  <c r="C3187"/>
  <c r="N3187" s="1"/>
  <c r="C2189"/>
  <c r="N2189" s="1"/>
  <c r="C3188"/>
  <c r="N3188" s="1"/>
  <c r="C2190"/>
  <c r="N2190" s="1"/>
  <c r="C3189"/>
  <c r="N3189" s="1"/>
  <c r="C2191"/>
  <c r="N2191" s="1"/>
  <c r="C3190"/>
  <c r="N3190" s="1"/>
  <c r="C2192"/>
  <c r="N2192" s="1"/>
  <c r="C3191"/>
  <c r="N3191" s="1"/>
  <c r="C2193"/>
  <c r="N2193" s="1"/>
  <c r="C3192"/>
  <c r="N3192" s="1"/>
  <c r="C2194"/>
  <c r="N2194" s="1"/>
  <c r="C3193"/>
  <c r="N3193" s="1"/>
  <c r="C2195"/>
  <c r="N2195" s="1"/>
  <c r="C3194"/>
  <c r="N3194" s="1"/>
  <c r="C2196"/>
  <c r="N2196" s="1"/>
  <c r="C3195"/>
  <c r="N3195" s="1"/>
  <c r="C2197"/>
  <c r="N2197" s="1"/>
  <c r="C3196"/>
  <c r="N3196" s="1"/>
  <c r="C2199"/>
  <c r="N2199" s="1"/>
  <c r="C3198"/>
  <c r="N3198" s="1"/>
  <c r="C2200"/>
  <c r="N2200" s="1"/>
  <c r="C3199"/>
  <c r="N3199" s="1"/>
  <c r="C2201"/>
  <c r="N2201" s="1"/>
  <c r="C3200"/>
  <c r="N3200" s="1"/>
  <c r="C2202"/>
  <c r="N2202" s="1"/>
  <c r="C3201"/>
  <c r="N3201" s="1"/>
  <c r="C2203"/>
  <c r="N2203" s="1"/>
  <c r="C3202"/>
  <c r="N3202" s="1"/>
  <c r="C2204"/>
  <c r="N2204" s="1"/>
  <c r="C3203"/>
  <c r="N3203" s="1"/>
  <c r="C2205"/>
  <c r="N2205" s="1"/>
  <c r="C3204"/>
  <c r="N3204" s="1"/>
  <c r="C2206"/>
  <c r="N2206" s="1"/>
  <c r="C3205"/>
  <c r="N3205" s="1"/>
  <c r="C2207"/>
  <c r="N2207" s="1"/>
  <c r="C3206"/>
  <c r="N3206" s="1"/>
  <c r="C2208"/>
  <c r="N2208" s="1"/>
  <c r="C3207"/>
  <c r="N3207" s="1"/>
  <c r="C2210"/>
  <c r="N2210" s="1"/>
  <c r="C3209"/>
  <c r="N3209" s="1"/>
  <c r="C2211"/>
  <c r="N2211" s="1"/>
  <c r="C3210"/>
  <c r="N3210" s="1"/>
  <c r="C2212"/>
  <c r="N2212" s="1"/>
  <c r="C3211"/>
  <c r="N3211" s="1"/>
  <c r="C2213"/>
  <c r="N2213" s="1"/>
  <c r="C3212"/>
  <c r="N3212" s="1"/>
  <c r="C2214"/>
  <c r="N2214" s="1"/>
  <c r="C3213"/>
  <c r="N3213" s="1"/>
  <c r="C2215"/>
  <c r="N2215" s="1"/>
  <c r="C3214"/>
  <c r="N3214" s="1"/>
  <c r="C2216"/>
  <c r="N2216" s="1"/>
  <c r="C3215"/>
  <c r="N3215" s="1"/>
  <c r="C2217"/>
  <c r="N2217" s="1"/>
  <c r="C3216"/>
  <c r="N3216" s="1"/>
  <c r="C2218"/>
  <c r="N2218" s="1"/>
  <c r="C3217"/>
  <c r="N3217" s="1"/>
  <c r="C2219"/>
  <c r="N2219" s="1"/>
  <c r="C3218"/>
  <c r="N3218" s="1"/>
  <c r="C2221"/>
  <c r="N2221" s="1"/>
  <c r="C3220"/>
  <c r="N3220" s="1"/>
  <c r="C2222"/>
  <c r="N2222" s="1"/>
  <c r="C3221"/>
  <c r="N3221" s="1"/>
  <c r="C2223"/>
  <c r="N2223" s="1"/>
  <c r="C3222"/>
  <c r="N3222" s="1"/>
  <c r="C2224"/>
  <c r="N2224" s="1"/>
  <c r="C3223"/>
  <c r="N3223" s="1"/>
  <c r="C2225"/>
  <c r="N2225" s="1"/>
  <c r="C3224"/>
  <c r="N3224" s="1"/>
  <c r="C2226"/>
  <c r="N2226" s="1"/>
  <c r="C3225"/>
  <c r="N3225" s="1"/>
  <c r="C2227"/>
  <c r="N2227" s="1"/>
  <c r="C3226"/>
  <c r="N3226" s="1"/>
  <c r="C2228"/>
  <c r="N2228" s="1"/>
  <c r="C3227"/>
  <c r="N3227" s="1"/>
  <c r="C2229"/>
  <c r="N2229" s="1"/>
  <c r="C3228"/>
  <c r="N3228" s="1"/>
  <c r="C2230"/>
  <c r="N2230" s="1"/>
  <c r="C3229"/>
  <c r="N3229" s="1"/>
  <c r="C2111"/>
  <c r="N2111" s="1"/>
  <c r="C3110"/>
  <c r="N3110" s="1"/>
  <c r="C2112"/>
  <c r="N2112" s="1"/>
  <c r="C3111"/>
  <c r="N3111" s="1"/>
  <c r="C2113"/>
  <c r="N2113" s="1"/>
  <c r="C3112"/>
  <c r="N3112" s="1"/>
  <c r="C2114"/>
  <c r="N2114" s="1"/>
  <c r="C3113"/>
  <c r="N3113" s="1"/>
  <c r="C2115"/>
  <c r="N2115" s="1"/>
  <c r="C3114"/>
  <c r="N3114" s="1"/>
  <c r="C2116"/>
  <c r="N2116" s="1"/>
  <c r="C3115"/>
  <c r="N3115" s="1"/>
  <c r="C2117"/>
  <c r="N2117" s="1"/>
  <c r="C3116"/>
  <c r="N3116" s="1"/>
  <c r="C2118"/>
  <c r="N2118" s="1"/>
  <c r="C3117"/>
  <c r="N3117" s="1"/>
  <c r="C2119"/>
  <c r="N2119" s="1"/>
  <c r="C3118"/>
  <c r="N3118" s="1"/>
  <c r="C2120"/>
  <c r="N2120" s="1"/>
  <c r="C3119"/>
  <c r="N3119" s="1"/>
  <c r="C2122"/>
  <c r="N2122" s="1"/>
  <c r="C3121"/>
  <c r="N3121" s="1"/>
  <c r="C2123"/>
  <c r="N2123" s="1"/>
  <c r="C3122"/>
  <c r="N3122" s="1"/>
  <c r="C2124"/>
  <c r="N2124" s="1"/>
  <c r="C3123"/>
  <c r="N3123" s="1"/>
  <c r="C2125"/>
  <c r="N2125" s="1"/>
  <c r="C3124"/>
  <c r="N3124" s="1"/>
  <c r="C2126"/>
  <c r="N2126" s="1"/>
  <c r="C3125"/>
  <c r="N3125" s="1"/>
  <c r="C2127"/>
  <c r="N2127" s="1"/>
  <c r="C3126"/>
  <c r="N3126" s="1"/>
  <c r="C2128"/>
  <c r="N2128" s="1"/>
  <c r="C3127"/>
  <c r="N3127" s="1"/>
  <c r="C2129"/>
  <c r="N2129" s="1"/>
  <c r="C3128"/>
  <c r="N3128" s="1"/>
  <c r="C2130"/>
  <c r="N2130" s="1"/>
  <c r="C3129"/>
  <c r="N3129" s="1"/>
  <c r="C2131"/>
  <c r="N2131" s="1"/>
  <c r="C3130"/>
  <c r="N3130" s="1"/>
  <c r="C2133"/>
  <c r="N2133" s="1"/>
  <c r="C3132"/>
  <c r="N3132" s="1"/>
  <c r="C2134"/>
  <c r="N2134" s="1"/>
  <c r="C3133"/>
  <c r="N3133" s="1"/>
  <c r="C2135"/>
  <c r="N2135" s="1"/>
  <c r="C3134"/>
  <c r="N3134" s="1"/>
  <c r="C2136"/>
  <c r="N2136" s="1"/>
  <c r="C3135"/>
  <c r="N3135" s="1"/>
  <c r="C2137"/>
  <c r="N2137" s="1"/>
  <c r="C3136"/>
  <c r="N3136" s="1"/>
  <c r="C2138"/>
  <c r="N2138" s="1"/>
  <c r="C3137"/>
  <c r="N3137" s="1"/>
  <c r="C2139"/>
  <c r="N2139" s="1"/>
  <c r="C3138"/>
  <c r="N3138" s="1"/>
  <c r="C2140"/>
  <c r="N2140" s="1"/>
  <c r="C3139"/>
  <c r="N3139" s="1"/>
  <c r="C2141"/>
  <c r="N2141" s="1"/>
  <c r="C3140"/>
  <c r="N3140" s="1"/>
  <c r="C2142"/>
  <c r="N2142" s="1"/>
  <c r="C3141"/>
  <c r="N3141" s="1"/>
  <c r="C2144"/>
  <c r="N2144" s="1"/>
  <c r="C3143"/>
  <c r="N3143" s="1"/>
  <c r="C2145"/>
  <c r="N2145" s="1"/>
  <c r="C3144"/>
  <c r="N3144" s="1"/>
  <c r="C2146"/>
  <c r="N2146" s="1"/>
  <c r="C3145"/>
  <c r="N3145" s="1"/>
  <c r="C2147"/>
  <c r="N2147" s="1"/>
  <c r="C3146"/>
  <c r="N3146" s="1"/>
  <c r="C2148"/>
  <c r="N2148" s="1"/>
  <c r="C3147"/>
  <c r="N3147" s="1"/>
  <c r="C2149"/>
  <c r="N2149" s="1"/>
  <c r="C3148"/>
  <c r="N3148" s="1"/>
  <c r="C2150"/>
  <c r="N2150" s="1"/>
  <c r="C3149"/>
  <c r="N3149" s="1"/>
  <c r="C2151"/>
  <c r="N2151" s="1"/>
  <c r="C3150"/>
  <c r="N3150" s="1"/>
  <c r="C2152"/>
  <c r="N2152" s="1"/>
  <c r="C3151"/>
  <c r="N3151" s="1"/>
  <c r="C2153"/>
  <c r="N2153" s="1"/>
  <c r="C3152"/>
  <c r="N3152" s="1"/>
  <c r="C2155"/>
  <c r="N2155" s="1"/>
  <c r="C3154"/>
  <c r="N3154" s="1"/>
  <c r="C2156"/>
  <c r="N2156" s="1"/>
  <c r="C3155"/>
  <c r="N3155" s="1"/>
  <c r="C2157"/>
  <c r="N2157" s="1"/>
  <c r="C3156"/>
  <c r="N3156" s="1"/>
  <c r="C2158"/>
  <c r="N2158" s="1"/>
  <c r="C3157"/>
  <c r="N3157" s="1"/>
  <c r="C2159"/>
  <c r="N2159" s="1"/>
  <c r="C3158"/>
  <c r="N3158" s="1"/>
  <c r="C2160"/>
  <c r="N2160" s="1"/>
  <c r="C3159"/>
  <c r="N3159" s="1"/>
  <c r="C2161"/>
  <c r="N2161" s="1"/>
  <c r="C3160"/>
  <c r="N3160" s="1"/>
  <c r="C2162"/>
  <c r="N2162" s="1"/>
  <c r="C3161"/>
  <c r="N3161" s="1"/>
  <c r="C2163"/>
  <c r="N2163" s="1"/>
  <c r="C3162"/>
  <c r="N3162" s="1"/>
  <c r="C2164"/>
  <c r="N2164" s="1"/>
  <c r="C3163"/>
  <c r="N3163" s="1"/>
  <c r="C2166"/>
  <c r="N2166" s="1"/>
  <c r="C3165"/>
  <c r="N3165" s="1"/>
  <c r="C2167"/>
  <c r="N2167" s="1"/>
  <c r="C3166"/>
  <c r="N3166" s="1"/>
  <c r="C2168"/>
  <c r="N2168" s="1"/>
  <c r="C3167"/>
  <c r="N3167" s="1"/>
  <c r="C2169"/>
  <c r="N2169" s="1"/>
  <c r="C3168"/>
  <c r="N3168" s="1"/>
  <c r="C2170"/>
  <c r="N2170" s="1"/>
  <c r="C3169"/>
  <c r="N3169" s="1"/>
  <c r="C2171"/>
  <c r="N2171" s="1"/>
  <c r="C3170"/>
  <c r="N3170" s="1"/>
  <c r="C2172"/>
  <c r="N2172" s="1"/>
  <c r="C3171"/>
  <c r="N3171" s="1"/>
  <c r="C2173"/>
  <c r="N2173" s="1"/>
  <c r="C3172"/>
  <c r="N3172" s="1"/>
  <c r="C2174"/>
  <c r="N2174" s="1"/>
  <c r="C3173"/>
  <c r="N3173" s="1"/>
  <c r="C2175"/>
  <c r="N2175" s="1"/>
  <c r="C3174"/>
  <c r="N3174" s="1"/>
  <c r="C2041"/>
  <c r="N2041" s="1"/>
  <c r="C3040"/>
  <c r="N3040" s="1"/>
  <c r="C2042"/>
  <c r="N2042" s="1"/>
  <c r="C3041"/>
  <c r="N3041" s="1"/>
  <c r="C2043"/>
  <c r="N2043" s="1"/>
  <c r="C3042"/>
  <c r="N3042" s="1"/>
  <c r="C2045"/>
  <c r="N2045" s="1"/>
  <c r="C3044"/>
  <c r="N3044" s="1"/>
  <c r="C2046"/>
  <c r="N2046" s="1"/>
  <c r="C3045"/>
  <c r="N3045" s="1"/>
  <c r="C2047"/>
  <c r="N2047" s="1"/>
  <c r="C3046"/>
  <c r="N3046" s="1"/>
  <c r="C2048"/>
  <c r="N2048" s="1"/>
  <c r="C3047"/>
  <c r="N3047" s="1"/>
  <c r="C2049"/>
  <c r="N2049" s="1"/>
  <c r="C3048"/>
  <c r="N3048" s="1"/>
  <c r="C2050"/>
  <c r="N2050" s="1"/>
  <c r="C3049"/>
  <c r="N3049" s="1"/>
  <c r="C2051"/>
  <c r="N2051" s="1"/>
  <c r="C3050"/>
  <c r="N3050" s="1"/>
  <c r="C2052"/>
  <c r="N2052" s="1"/>
  <c r="C3051"/>
  <c r="N3051" s="1"/>
  <c r="C2053"/>
  <c r="N2053" s="1"/>
  <c r="C3052"/>
  <c r="N3052" s="1"/>
  <c r="C2054"/>
  <c r="N2054" s="1"/>
  <c r="C3053"/>
  <c r="N3053" s="1"/>
  <c r="C2056"/>
  <c r="N2056" s="1"/>
  <c r="C3055"/>
  <c r="N3055" s="1"/>
  <c r="C2057"/>
  <c r="N2057" s="1"/>
  <c r="C3056"/>
  <c r="N3056" s="1"/>
  <c r="C2058"/>
  <c r="N2058" s="1"/>
  <c r="C3057"/>
  <c r="N3057" s="1"/>
  <c r="C2059"/>
  <c r="N2059" s="1"/>
  <c r="C3058"/>
  <c r="N3058" s="1"/>
  <c r="C2060"/>
  <c r="N2060" s="1"/>
  <c r="C3059"/>
  <c r="N3059" s="1"/>
  <c r="C2061"/>
  <c r="N2061" s="1"/>
  <c r="C3060"/>
  <c r="N3060" s="1"/>
  <c r="C2062"/>
  <c r="N2062" s="1"/>
  <c r="C3061"/>
  <c r="N3061" s="1"/>
  <c r="C2063"/>
  <c r="N2063" s="1"/>
  <c r="C3062"/>
  <c r="N3062" s="1"/>
  <c r="C2064"/>
  <c r="N2064" s="1"/>
  <c r="C3063"/>
  <c r="N3063" s="1"/>
  <c r="C2065"/>
  <c r="N2065" s="1"/>
  <c r="C3064"/>
  <c r="N3064" s="1"/>
  <c r="C2067"/>
  <c r="N2067" s="1"/>
  <c r="C3066"/>
  <c r="N3066" s="1"/>
  <c r="C2068"/>
  <c r="N2068" s="1"/>
  <c r="C3067"/>
  <c r="N3067" s="1"/>
  <c r="C2069"/>
  <c r="N2069" s="1"/>
  <c r="C3068"/>
  <c r="N3068" s="1"/>
  <c r="C2070"/>
  <c r="N2070" s="1"/>
  <c r="C3069"/>
  <c r="N3069" s="1"/>
  <c r="C2071"/>
  <c r="N2071" s="1"/>
  <c r="C3070"/>
  <c r="N3070" s="1"/>
  <c r="C2072"/>
  <c r="N2072" s="1"/>
  <c r="C3071"/>
  <c r="N3071" s="1"/>
  <c r="C2073"/>
  <c r="N2073" s="1"/>
  <c r="C3072"/>
  <c r="N3072" s="1"/>
  <c r="C2074"/>
  <c r="N2074" s="1"/>
  <c r="C3073"/>
  <c r="N3073" s="1"/>
  <c r="C2075"/>
  <c r="N2075" s="1"/>
  <c r="C3074"/>
  <c r="N3074" s="1"/>
  <c r="C2076"/>
  <c r="N2076" s="1"/>
  <c r="C3075"/>
  <c r="N3075" s="1"/>
  <c r="C2078"/>
  <c r="N2078" s="1"/>
  <c r="C3077"/>
  <c r="N3077" s="1"/>
  <c r="C2079"/>
  <c r="N2079" s="1"/>
  <c r="C3078"/>
  <c r="N3078" s="1"/>
  <c r="C2080"/>
  <c r="N2080" s="1"/>
  <c r="C3079"/>
  <c r="N3079" s="1"/>
  <c r="C2081"/>
  <c r="N2081" s="1"/>
  <c r="C3080"/>
  <c r="N3080" s="1"/>
  <c r="C2082"/>
  <c r="N2082" s="1"/>
  <c r="C3081"/>
  <c r="N3081" s="1"/>
  <c r="C2083"/>
  <c r="N2083" s="1"/>
  <c r="C3082"/>
  <c r="N3082" s="1"/>
  <c r="C2084"/>
  <c r="N2084" s="1"/>
  <c r="C3083"/>
  <c r="N3083" s="1"/>
  <c r="C2085"/>
  <c r="N2085" s="1"/>
  <c r="C3084"/>
  <c r="N3084" s="1"/>
  <c r="C2086"/>
  <c r="N2086" s="1"/>
  <c r="C3085"/>
  <c r="N3085" s="1"/>
  <c r="C2087"/>
  <c r="N2087" s="1"/>
  <c r="C3086"/>
  <c r="N3086" s="1"/>
  <c r="C2089"/>
  <c r="N2089" s="1"/>
  <c r="C3088"/>
  <c r="N3088" s="1"/>
  <c r="C2090"/>
  <c r="N2090" s="1"/>
  <c r="C3089"/>
  <c r="N3089" s="1"/>
  <c r="C2091"/>
  <c r="N2091" s="1"/>
  <c r="C3090"/>
  <c r="N3090" s="1"/>
  <c r="C2092"/>
  <c r="N2092" s="1"/>
  <c r="C3091"/>
  <c r="N3091" s="1"/>
  <c r="C2093"/>
  <c r="N2093" s="1"/>
  <c r="C3092"/>
  <c r="N3092" s="1"/>
  <c r="C2094"/>
  <c r="N2094" s="1"/>
  <c r="C3093"/>
  <c r="N3093" s="1"/>
  <c r="C2095"/>
  <c r="N2095" s="1"/>
  <c r="C3094"/>
  <c r="N3094" s="1"/>
  <c r="C2096"/>
  <c r="N2096" s="1"/>
  <c r="C3095"/>
  <c r="N3095" s="1"/>
  <c r="C2097"/>
  <c r="N2097" s="1"/>
  <c r="C3096"/>
  <c r="N3096" s="1"/>
  <c r="C2098"/>
  <c r="N2098" s="1"/>
  <c r="C3097"/>
  <c r="N3097" s="1"/>
  <c r="C2100"/>
  <c r="N2100" s="1"/>
  <c r="C3099"/>
  <c r="N3099" s="1"/>
  <c r="C2101"/>
  <c r="N2101" s="1"/>
  <c r="C3100"/>
  <c r="N3100" s="1"/>
  <c r="C2102"/>
  <c r="N2102" s="1"/>
  <c r="C3101"/>
  <c r="N3101" s="1"/>
  <c r="C2103"/>
  <c r="N2103" s="1"/>
  <c r="C3102"/>
  <c r="N3102" s="1"/>
  <c r="C2104"/>
  <c r="N2104" s="1"/>
  <c r="C3103"/>
  <c r="N3103" s="1"/>
  <c r="C2105"/>
  <c r="N2105" s="1"/>
  <c r="C3104"/>
  <c r="N3104" s="1"/>
  <c r="C2106"/>
  <c r="N2106" s="1"/>
  <c r="C3105"/>
  <c r="N3105" s="1"/>
  <c r="C2107"/>
  <c r="N2107" s="1"/>
  <c r="C3106"/>
  <c r="N3106" s="1"/>
  <c r="C2108"/>
  <c r="N2108" s="1"/>
  <c r="C3107"/>
  <c r="N3107" s="1"/>
  <c r="C2109"/>
  <c r="N2109" s="1"/>
  <c r="C3108"/>
  <c r="N3108" s="1"/>
  <c r="C2023"/>
  <c r="N2023" s="1"/>
  <c r="C3022"/>
  <c r="N3022" s="1"/>
  <c r="C2024"/>
  <c r="N2024" s="1"/>
  <c r="C3023"/>
  <c r="N3023" s="1"/>
  <c r="C2025"/>
  <c r="N2025" s="1"/>
  <c r="C3024"/>
  <c r="N3024" s="1"/>
  <c r="C2026"/>
  <c r="N2026" s="1"/>
  <c r="C3025"/>
  <c r="N3025" s="1"/>
  <c r="C2027"/>
  <c r="N2027" s="1"/>
  <c r="C3026"/>
  <c r="N3026" s="1"/>
  <c r="C2028"/>
  <c r="N2028" s="1"/>
  <c r="C3027"/>
  <c r="N3027" s="1"/>
  <c r="C2029"/>
  <c r="N2029" s="1"/>
  <c r="C3028"/>
  <c r="N3028" s="1"/>
  <c r="C2030"/>
  <c r="N2030" s="1"/>
  <c r="C3029"/>
  <c r="N3029" s="1"/>
  <c r="C2031"/>
  <c r="N2031" s="1"/>
  <c r="C3030"/>
  <c r="N3030" s="1"/>
  <c r="C2032"/>
  <c r="N2032" s="1"/>
  <c r="C3031"/>
  <c r="N3031" s="1"/>
  <c r="C2034"/>
  <c r="N2034" s="1"/>
  <c r="C3033"/>
  <c r="N3033" s="1"/>
  <c r="C2035"/>
  <c r="N2035" s="1"/>
  <c r="C3034"/>
  <c r="N3034" s="1"/>
  <c r="C2036"/>
  <c r="N2036" s="1"/>
  <c r="C3035"/>
  <c r="N3035" s="1"/>
  <c r="C2037"/>
  <c r="N2037" s="1"/>
  <c r="C3036"/>
  <c r="N3036" s="1"/>
  <c r="C2038"/>
  <c r="N2038" s="1"/>
  <c r="C3037"/>
  <c r="N3037" s="1"/>
  <c r="C2039"/>
  <c r="N2039" s="1"/>
  <c r="C3038"/>
  <c r="N3038" s="1"/>
  <c r="C2040"/>
  <c r="N2040" s="1"/>
  <c r="C3039"/>
  <c r="N3039" s="1"/>
  <c r="C2002"/>
  <c r="C3001"/>
  <c r="C2003"/>
  <c r="C3002"/>
  <c r="C3003"/>
  <c r="C2005"/>
  <c r="C3004"/>
  <c r="C2006"/>
  <c r="C3005"/>
  <c r="C2007"/>
  <c r="C3006"/>
  <c r="C2008"/>
  <c r="C3007"/>
  <c r="C2009"/>
  <c r="C3008"/>
  <c r="C2010"/>
  <c r="C3009"/>
  <c r="C2012"/>
  <c r="C3011"/>
  <c r="C2013"/>
  <c r="C3012"/>
  <c r="C2014"/>
  <c r="C3013"/>
  <c r="C2015"/>
  <c r="C3014"/>
  <c r="C2016"/>
  <c r="C3015"/>
  <c r="C2017"/>
  <c r="C3016"/>
  <c r="C2018"/>
  <c r="C3017"/>
  <c r="C2019"/>
  <c r="C3018"/>
  <c r="C2020"/>
  <c r="C3019"/>
  <c r="C2021"/>
  <c r="C3020"/>
  <c r="E5" i="1"/>
  <c r="C3000" i="2" s="1"/>
  <c r="N3000" s="1"/>
  <c r="C5" i="1"/>
  <c r="C2001" i="2" s="1"/>
  <c r="BU18"/>
  <c r="J42"/>
  <c r="O801"/>
  <c r="M801"/>
  <c r="O800"/>
  <c r="M800"/>
  <c r="O799"/>
  <c r="M799"/>
  <c r="O798"/>
  <c r="M798"/>
  <c r="O797"/>
  <c r="M797"/>
  <c r="O796"/>
  <c r="M796"/>
  <c r="O795"/>
  <c r="M795"/>
  <c r="O794"/>
  <c r="M794"/>
  <c r="O793"/>
  <c r="M793"/>
  <c r="O792"/>
  <c r="M792"/>
  <c r="O791"/>
  <c r="M791"/>
  <c r="O790"/>
  <c r="M790"/>
  <c r="O789"/>
  <c r="M789"/>
  <c r="O788"/>
  <c r="M788"/>
  <c r="O787"/>
  <c r="M787"/>
  <c r="O786"/>
  <c r="M786"/>
  <c r="O785"/>
  <c r="M785"/>
  <c r="O784"/>
  <c r="M784"/>
  <c r="O783"/>
  <c r="M783"/>
  <c r="O782"/>
  <c r="M782"/>
  <c r="O781"/>
  <c r="M781"/>
  <c r="O780"/>
  <c r="M780"/>
  <c r="O779"/>
  <c r="M779"/>
  <c r="O778"/>
  <c r="M778"/>
  <c r="O777"/>
  <c r="M777"/>
  <c r="O776"/>
  <c r="M776"/>
  <c r="O775"/>
  <c r="M775"/>
  <c r="O774"/>
  <c r="M774"/>
  <c r="O773"/>
  <c r="M773"/>
  <c r="O772"/>
  <c r="M772"/>
  <c r="O771"/>
  <c r="M771"/>
  <c r="O770"/>
  <c r="M770"/>
  <c r="O769"/>
  <c r="M769"/>
  <c r="O768"/>
  <c r="M768"/>
  <c r="O767"/>
  <c r="M767"/>
  <c r="O766"/>
  <c r="M766"/>
  <c r="O765"/>
  <c r="M765"/>
  <c r="O764"/>
  <c r="M764"/>
  <c r="O763"/>
  <c r="M763"/>
  <c r="O762"/>
  <c r="M762"/>
  <c r="O761"/>
  <c r="M761"/>
  <c r="O760"/>
  <c r="M760"/>
  <c r="O759"/>
  <c r="M759"/>
  <c r="O758"/>
  <c r="M758"/>
  <c r="O757"/>
  <c r="M757"/>
  <c r="O756"/>
  <c r="M756"/>
  <c r="O755"/>
  <c r="M755"/>
  <c r="O754"/>
  <c r="M754"/>
  <c r="O753"/>
  <c r="M753"/>
  <c r="O752"/>
  <c r="M752"/>
  <c r="O751"/>
  <c r="M751"/>
  <c r="O750"/>
  <c r="M750"/>
  <c r="O749"/>
  <c r="M749"/>
  <c r="O748"/>
  <c r="M748"/>
  <c r="O747"/>
  <c r="M747"/>
  <c r="O746"/>
  <c r="M746"/>
  <c r="O745"/>
  <c r="M745"/>
  <c r="O744"/>
  <c r="M744"/>
  <c r="O743"/>
  <c r="M743"/>
  <c r="O742"/>
  <c r="M742"/>
  <c r="O741"/>
  <c r="M741"/>
  <c r="O740"/>
  <c r="M740"/>
  <c r="O739"/>
  <c r="M739"/>
  <c r="O738"/>
  <c r="M738"/>
  <c r="O737"/>
  <c r="M737"/>
  <c r="O736"/>
  <c r="M736"/>
  <c r="O735"/>
  <c r="M735"/>
  <c r="O734"/>
  <c r="M734"/>
  <c r="O733"/>
  <c r="M733"/>
  <c r="O732"/>
  <c r="M732"/>
  <c r="O731"/>
  <c r="M731"/>
  <c r="O730"/>
  <c r="M730"/>
  <c r="O729"/>
  <c r="M729"/>
  <c r="O728"/>
  <c r="M728"/>
  <c r="O727"/>
  <c r="M727"/>
  <c r="O726"/>
  <c r="M726"/>
  <c r="O725"/>
  <c r="M725"/>
  <c r="O724"/>
  <c r="M724"/>
  <c r="O723"/>
  <c r="M723"/>
  <c r="O722"/>
  <c r="M722"/>
  <c r="O721"/>
  <c r="M721"/>
  <c r="O720"/>
  <c r="M720"/>
  <c r="O719"/>
  <c r="M719"/>
  <c r="O718"/>
  <c r="M718"/>
  <c r="O717"/>
  <c r="M717"/>
  <c r="O716"/>
  <c r="M716"/>
  <c r="O715"/>
  <c r="M715"/>
  <c r="O714"/>
  <c r="M714"/>
  <c r="O713"/>
  <c r="M713"/>
  <c r="O712"/>
  <c r="M712"/>
  <c r="O711"/>
  <c r="M711"/>
  <c r="O710"/>
  <c r="M710"/>
  <c r="O709"/>
  <c r="M709"/>
  <c r="O708"/>
  <c r="M708"/>
  <c r="O707"/>
  <c r="M707"/>
  <c r="O706"/>
  <c r="M706"/>
  <c r="O705"/>
  <c r="M705"/>
  <c r="O704"/>
  <c r="M704"/>
  <c r="O703"/>
  <c r="M703"/>
  <c r="O702"/>
  <c r="M702"/>
  <c r="O701"/>
  <c r="M701"/>
  <c r="O700"/>
  <c r="M700"/>
  <c r="O699"/>
  <c r="M699"/>
  <c r="O698"/>
  <c r="M698"/>
  <c r="O697"/>
  <c r="M697"/>
  <c r="O696"/>
  <c r="M696"/>
  <c r="O695"/>
  <c r="M695"/>
  <c r="O694"/>
  <c r="M694"/>
  <c r="O693"/>
  <c r="M693"/>
  <c r="O692"/>
  <c r="M692"/>
  <c r="O691"/>
  <c r="M691"/>
  <c r="O690"/>
  <c r="M690"/>
  <c r="O689"/>
  <c r="M689"/>
  <c r="O688"/>
  <c r="M688"/>
  <c r="O687"/>
  <c r="M687"/>
  <c r="O686"/>
  <c r="M686"/>
  <c r="O685"/>
  <c r="M685"/>
  <c r="O684"/>
  <c r="M684"/>
  <c r="O683"/>
  <c r="M683"/>
  <c r="O682"/>
  <c r="M682"/>
  <c r="O681"/>
  <c r="M681"/>
  <c r="O680"/>
  <c r="M680"/>
  <c r="O679"/>
  <c r="M679"/>
  <c r="O678"/>
  <c r="M678"/>
  <c r="O677"/>
  <c r="M677"/>
  <c r="O676"/>
  <c r="M676"/>
  <c r="O675"/>
  <c r="M675"/>
  <c r="O674"/>
  <c r="M674"/>
  <c r="O673"/>
  <c r="M673"/>
  <c r="O672"/>
  <c r="M672"/>
  <c r="O671"/>
  <c r="M671"/>
  <c r="O670"/>
  <c r="M670"/>
  <c r="O669"/>
  <c r="M669"/>
  <c r="O668"/>
  <c r="M668"/>
  <c r="O667"/>
  <c r="M667"/>
  <c r="O666"/>
  <c r="M666"/>
  <c r="O665"/>
  <c r="M665"/>
  <c r="O664"/>
  <c r="M664"/>
  <c r="O663"/>
  <c r="M663"/>
  <c r="O662"/>
  <c r="M662"/>
  <c r="O661"/>
  <c r="M661"/>
  <c r="O660"/>
  <c r="M660"/>
  <c r="O659"/>
  <c r="M659"/>
  <c r="O658"/>
  <c r="M658"/>
  <c r="O657"/>
  <c r="M657"/>
  <c r="O656"/>
  <c r="M656"/>
  <c r="O655"/>
  <c r="M655"/>
  <c r="O654"/>
  <c r="M654"/>
  <c r="O653"/>
  <c r="M653"/>
  <c r="O652"/>
  <c r="M652"/>
  <c r="O651"/>
  <c r="M651"/>
  <c r="O650"/>
  <c r="M650"/>
  <c r="O649"/>
  <c r="M649"/>
  <c r="O648"/>
  <c r="M648"/>
  <c r="O647"/>
  <c r="M647"/>
  <c r="O646"/>
  <c r="M646"/>
  <c r="O645"/>
  <c r="M645"/>
  <c r="O644"/>
  <c r="M644"/>
  <c r="O643"/>
  <c r="M643"/>
  <c r="O642"/>
  <c r="M642"/>
  <c r="O641"/>
  <c r="M641"/>
  <c r="O640"/>
  <c r="M640"/>
  <c r="O639"/>
  <c r="M639"/>
  <c r="O638"/>
  <c r="M638"/>
  <c r="O637"/>
  <c r="M637"/>
  <c r="O636"/>
  <c r="M636"/>
  <c r="O635"/>
  <c r="M635"/>
  <c r="O634"/>
  <c r="M634"/>
  <c r="O633"/>
  <c r="M633"/>
  <c r="O632"/>
  <c r="M632"/>
  <c r="O631"/>
  <c r="M631"/>
  <c r="O630"/>
  <c r="M630"/>
  <c r="O629"/>
  <c r="M629"/>
  <c r="O628"/>
  <c r="M628"/>
  <c r="O627"/>
  <c r="M627"/>
  <c r="O626"/>
  <c r="M626"/>
  <c r="O625"/>
  <c r="M625"/>
  <c r="O624"/>
  <c r="M624"/>
  <c r="O623"/>
  <c r="M623"/>
  <c r="O622"/>
  <c r="M622"/>
  <c r="O621"/>
  <c r="M621"/>
  <c r="O620"/>
  <c r="M620"/>
  <c r="O619"/>
  <c r="M619"/>
  <c r="O618"/>
  <c r="M618"/>
  <c r="O617"/>
  <c r="M617"/>
  <c r="O616"/>
  <c r="M616"/>
  <c r="O615"/>
  <c r="M615"/>
  <c r="O614"/>
  <c r="M614"/>
  <c r="O613"/>
  <c r="M613"/>
  <c r="O612"/>
  <c r="M612"/>
  <c r="O611"/>
  <c r="M611"/>
  <c r="O610"/>
  <c r="M610"/>
  <c r="O609"/>
  <c r="M609"/>
  <c r="O608"/>
  <c r="M608"/>
  <c r="O607"/>
  <c r="M607"/>
  <c r="O606"/>
  <c r="M606"/>
  <c r="O605"/>
  <c r="M605"/>
  <c r="O604"/>
  <c r="M604"/>
  <c r="O603"/>
  <c r="M603"/>
  <c r="O602"/>
  <c r="M602"/>
  <c r="O601"/>
  <c r="M601"/>
  <c r="O600"/>
  <c r="M600"/>
  <c r="O599"/>
  <c r="M599"/>
  <c r="O598"/>
  <c r="M598"/>
  <c r="O597"/>
  <c r="M597"/>
  <c r="O596"/>
  <c r="M596"/>
  <c r="O595"/>
  <c r="M595"/>
  <c r="O594"/>
  <c r="M594"/>
  <c r="O593"/>
  <c r="M593"/>
  <c r="O592"/>
  <c r="M592"/>
  <c r="O591"/>
  <c r="M591"/>
  <c r="O590"/>
  <c r="M590"/>
  <c r="O589"/>
  <c r="M589"/>
  <c r="O588"/>
  <c r="M588"/>
  <c r="O587"/>
  <c r="M587"/>
  <c r="O586"/>
  <c r="M586"/>
  <c r="O585"/>
  <c r="M585"/>
  <c r="O584"/>
  <c r="M584"/>
  <c r="O583"/>
  <c r="M583"/>
  <c r="O582"/>
  <c r="M582"/>
  <c r="O581"/>
  <c r="M581"/>
  <c r="O580"/>
  <c r="M580"/>
  <c r="O579"/>
  <c r="M579"/>
  <c r="O578"/>
  <c r="M578"/>
  <c r="O577"/>
  <c r="M577"/>
  <c r="O576"/>
  <c r="M576"/>
  <c r="O575"/>
  <c r="M575"/>
  <c r="O574"/>
  <c r="M574"/>
  <c r="O573"/>
  <c r="M573"/>
  <c r="O572"/>
  <c r="M572"/>
  <c r="O571"/>
  <c r="M571"/>
  <c r="O570"/>
  <c r="M570"/>
  <c r="O569"/>
  <c r="M569"/>
  <c r="O568"/>
  <c r="M568"/>
  <c r="O567"/>
  <c r="M567"/>
  <c r="O566"/>
  <c r="M566"/>
  <c r="O565"/>
  <c r="M565"/>
  <c r="O564"/>
  <c r="M564"/>
  <c r="O563"/>
  <c r="M563"/>
  <c r="O562"/>
  <c r="M562"/>
  <c r="O561"/>
  <c r="M561"/>
  <c r="O560"/>
  <c r="M560"/>
  <c r="O559"/>
  <c r="M559"/>
  <c r="O558"/>
  <c r="M558"/>
  <c r="O557"/>
  <c r="M557"/>
  <c r="O556"/>
  <c r="M556"/>
  <c r="O555"/>
  <c r="M555"/>
  <c r="O554"/>
  <c r="M554"/>
  <c r="O553"/>
  <c r="M553"/>
  <c r="O552"/>
  <c r="M552"/>
  <c r="O551"/>
  <c r="M551"/>
  <c r="O550"/>
  <c r="M550"/>
  <c r="O549"/>
  <c r="M549"/>
  <c r="O548"/>
  <c r="M548"/>
  <c r="O547"/>
  <c r="M547"/>
  <c r="O546"/>
  <c r="M546"/>
  <c r="O545"/>
  <c r="M545"/>
  <c r="O544"/>
  <c r="M544"/>
  <c r="O543"/>
  <c r="M543"/>
  <c r="O542"/>
  <c r="M542"/>
  <c r="O541"/>
  <c r="M541"/>
  <c r="O540"/>
  <c r="M540"/>
  <c r="O539"/>
  <c r="M539"/>
  <c r="O538"/>
  <c r="M538"/>
  <c r="O537"/>
  <c r="M537"/>
  <c r="O536"/>
  <c r="M536"/>
  <c r="O535"/>
  <c r="M535"/>
  <c r="O534"/>
  <c r="M534"/>
  <c r="O533"/>
  <c r="M533"/>
  <c r="O532"/>
  <c r="M532"/>
  <c r="O531"/>
  <c r="M531"/>
  <c r="O530"/>
  <c r="M530"/>
  <c r="O529"/>
  <c r="M529"/>
  <c r="O528"/>
  <c r="M528"/>
  <c r="O527"/>
  <c r="M527"/>
  <c r="O526"/>
  <c r="M526"/>
  <c r="O525"/>
  <c r="M525"/>
  <c r="O524"/>
  <c r="M524"/>
  <c r="O523"/>
  <c r="M523"/>
  <c r="O522"/>
  <c r="M522"/>
  <c r="O521"/>
  <c r="M521"/>
  <c r="O520"/>
  <c r="M520"/>
  <c r="O519"/>
  <c r="M519"/>
  <c r="O518"/>
  <c r="M518"/>
  <c r="O517"/>
  <c r="M517"/>
  <c r="O516"/>
  <c r="M516"/>
  <c r="O515"/>
  <c r="M515"/>
  <c r="O514"/>
  <c r="M514"/>
  <c r="O513"/>
  <c r="M513"/>
  <c r="O512"/>
  <c r="M512"/>
  <c r="O511"/>
  <c r="M511"/>
  <c r="O510"/>
  <c r="M510"/>
  <c r="O509"/>
  <c r="M509"/>
  <c r="O508"/>
  <c r="M508"/>
  <c r="O507"/>
  <c r="M507"/>
  <c r="O506"/>
  <c r="M506"/>
  <c r="O505"/>
  <c r="M505"/>
  <c r="O504"/>
  <c r="M504"/>
  <c r="O503"/>
  <c r="M503"/>
  <c r="O502"/>
  <c r="M502"/>
  <c r="O501"/>
  <c r="M501"/>
  <c r="O500"/>
  <c r="M500"/>
  <c r="O499"/>
  <c r="M499"/>
  <c r="O498"/>
  <c r="M498"/>
  <c r="O497"/>
  <c r="M497"/>
  <c r="O496"/>
  <c r="M496"/>
  <c r="O495"/>
  <c r="M495"/>
  <c r="O494"/>
  <c r="M494"/>
  <c r="O493"/>
  <c r="M493"/>
  <c r="O492"/>
  <c r="M492"/>
  <c r="O491"/>
  <c r="M491"/>
  <c r="O490"/>
  <c r="M490"/>
  <c r="O489"/>
  <c r="M489"/>
  <c r="O488"/>
  <c r="M488"/>
  <c r="O487"/>
  <c r="M487"/>
  <c r="O486"/>
  <c r="M486"/>
  <c r="O485"/>
  <c r="M485"/>
  <c r="O484"/>
  <c r="M484"/>
  <c r="O483"/>
  <c r="M483"/>
  <c r="O482"/>
  <c r="M482"/>
  <c r="O481"/>
  <c r="M481"/>
  <c r="O480"/>
  <c r="M480"/>
  <c r="O479"/>
  <c r="M479"/>
  <c r="O478"/>
  <c r="M478"/>
  <c r="O477"/>
  <c r="M477"/>
  <c r="O476"/>
  <c r="M476"/>
  <c r="O475"/>
  <c r="M475"/>
  <c r="O474"/>
  <c r="M474"/>
  <c r="O473"/>
  <c r="M473"/>
  <c r="O472"/>
  <c r="M472"/>
  <c r="O471"/>
  <c r="M471"/>
  <c r="O470"/>
  <c r="M470"/>
  <c r="O469"/>
  <c r="M469"/>
  <c r="O468"/>
  <c r="M468"/>
  <c r="O467"/>
  <c r="M467"/>
  <c r="O466"/>
  <c r="M466"/>
  <c r="O465"/>
  <c r="M465"/>
  <c r="O464"/>
  <c r="M464"/>
  <c r="O463"/>
  <c r="M463"/>
  <c r="O462"/>
  <c r="M462"/>
  <c r="O461"/>
  <c r="M461"/>
  <c r="O460"/>
  <c r="M460"/>
  <c r="O459"/>
  <c r="M459"/>
  <c r="O458"/>
  <c r="M458"/>
  <c r="O457"/>
  <c r="M457"/>
  <c r="O456"/>
  <c r="M456"/>
  <c r="O455"/>
  <c r="M455"/>
  <c r="O454"/>
  <c r="M454"/>
  <c r="O453"/>
  <c r="M453"/>
  <c r="O452"/>
  <c r="M452"/>
  <c r="O451"/>
  <c r="M451"/>
  <c r="O450"/>
  <c r="M450"/>
  <c r="O449"/>
  <c r="M449"/>
  <c r="O448"/>
  <c r="M448"/>
  <c r="O447"/>
  <c r="M447"/>
  <c r="O446"/>
  <c r="M446"/>
  <c r="O445"/>
  <c r="M445"/>
  <c r="O444"/>
  <c r="M444"/>
  <c r="O443"/>
  <c r="M443"/>
  <c r="O442"/>
  <c r="M442"/>
  <c r="O441"/>
  <c r="M441"/>
  <c r="O440"/>
  <c r="M440"/>
  <c r="O439"/>
  <c r="M439"/>
  <c r="O438"/>
  <c r="M438"/>
  <c r="O437"/>
  <c r="M437"/>
  <c r="O436"/>
  <c r="M436"/>
  <c r="O435"/>
  <c r="M435"/>
  <c r="O434"/>
  <c r="M434"/>
  <c r="O433"/>
  <c r="M433"/>
  <c r="O432"/>
  <c r="M432"/>
  <c r="O431"/>
  <c r="M431"/>
  <c r="O430"/>
  <c r="M430"/>
  <c r="O429"/>
  <c r="M429"/>
  <c r="O428"/>
  <c r="M428"/>
  <c r="O427"/>
  <c r="M427"/>
  <c r="O426"/>
  <c r="M426"/>
  <c r="O425"/>
  <c r="M425"/>
  <c r="O424"/>
  <c r="M424"/>
  <c r="O423"/>
  <c r="M423"/>
  <c r="O422"/>
  <c r="M422"/>
  <c r="O421"/>
  <c r="M421"/>
  <c r="O420"/>
  <c r="M420"/>
  <c r="O419"/>
  <c r="M419"/>
  <c r="O418"/>
  <c r="M418"/>
  <c r="O417"/>
  <c r="M417"/>
  <c r="O416"/>
  <c r="M416"/>
  <c r="O415"/>
  <c r="M415"/>
  <c r="O414"/>
  <c r="M414"/>
  <c r="O413"/>
  <c r="M413"/>
  <c r="O412"/>
  <c r="M412"/>
  <c r="O411"/>
  <c r="M411"/>
  <c r="O410"/>
  <c r="M410"/>
  <c r="O409"/>
  <c r="M409"/>
  <c r="O408"/>
  <c r="M408"/>
  <c r="O407"/>
  <c r="M407"/>
  <c r="O406"/>
  <c r="M406"/>
  <c r="O405"/>
  <c r="M405"/>
  <c r="O404"/>
  <c r="M404"/>
  <c r="O403"/>
  <c r="M403"/>
  <c r="O402"/>
  <c r="M402"/>
  <c r="O401"/>
  <c r="M401"/>
  <c r="O400"/>
  <c r="M400"/>
  <c r="O399"/>
  <c r="M399"/>
  <c r="O398"/>
  <c r="M398"/>
  <c r="O397"/>
  <c r="M397"/>
  <c r="O396"/>
  <c r="M396"/>
  <c r="O395"/>
  <c r="M395"/>
  <c r="O394"/>
  <c r="M394"/>
  <c r="O393"/>
  <c r="M393"/>
  <c r="O392"/>
  <c r="M392"/>
  <c r="O391"/>
  <c r="M391"/>
  <c r="O390"/>
  <c r="M390"/>
  <c r="O389"/>
  <c r="M389"/>
  <c r="O388"/>
  <c r="M388"/>
  <c r="O387"/>
  <c r="M387"/>
  <c r="O386"/>
  <c r="M386"/>
  <c r="O385"/>
  <c r="M385"/>
  <c r="O384"/>
  <c r="M384"/>
  <c r="O383"/>
  <c r="M383"/>
  <c r="O382"/>
  <c r="M382"/>
  <c r="O381"/>
  <c r="M381"/>
  <c r="O380"/>
  <c r="M380"/>
  <c r="O379"/>
  <c r="M379"/>
  <c r="O378"/>
  <c r="M378"/>
  <c r="O377"/>
  <c r="M377"/>
  <c r="O376"/>
  <c r="M376"/>
  <c r="O375"/>
  <c r="M375"/>
  <c r="O374"/>
  <c r="M374"/>
  <c r="O373"/>
  <c r="M373"/>
  <c r="O372"/>
  <c r="M372"/>
  <c r="O371"/>
  <c r="M371"/>
  <c r="O370"/>
  <c r="M370"/>
  <c r="O369"/>
  <c r="M369"/>
  <c r="O368"/>
  <c r="M368"/>
  <c r="O367"/>
  <c r="M367"/>
  <c r="O366"/>
  <c r="M366"/>
  <c r="O365"/>
  <c r="M365"/>
  <c r="O364"/>
  <c r="M364"/>
  <c r="O363"/>
  <c r="M363"/>
  <c r="O362"/>
  <c r="M362"/>
  <c r="O361"/>
  <c r="M361"/>
  <c r="O360"/>
  <c r="M360"/>
  <c r="O359"/>
  <c r="M359"/>
  <c r="O358"/>
  <c r="M358"/>
  <c r="O357"/>
  <c r="M357"/>
  <c r="O356"/>
  <c r="M356"/>
  <c r="O355"/>
  <c r="M355"/>
  <c r="O354"/>
  <c r="M354"/>
  <c r="O353"/>
  <c r="M353"/>
  <c r="O352"/>
  <c r="M352"/>
  <c r="O351"/>
  <c r="M351"/>
  <c r="O350"/>
  <c r="M350"/>
  <c r="O349"/>
  <c r="M349"/>
  <c r="O348"/>
  <c r="M348"/>
  <c r="O347"/>
  <c r="M347"/>
  <c r="O346"/>
  <c r="M346"/>
  <c r="O345"/>
  <c r="M345"/>
  <c r="O344"/>
  <c r="M344"/>
  <c r="O343"/>
  <c r="M343"/>
  <c r="O342"/>
  <c r="M342"/>
  <c r="O341"/>
  <c r="M341"/>
  <c r="O340"/>
  <c r="M340"/>
  <c r="O339"/>
  <c r="M339"/>
  <c r="O338"/>
  <c r="M338"/>
  <c r="O337"/>
  <c r="M337"/>
  <c r="O336"/>
  <c r="M336"/>
  <c r="O335"/>
  <c r="M335"/>
  <c r="O334"/>
  <c r="M334"/>
  <c r="O333"/>
  <c r="M333"/>
  <c r="O332"/>
  <c r="M332"/>
  <c r="O331"/>
  <c r="M331"/>
  <c r="O330"/>
  <c r="M330"/>
  <c r="O329"/>
  <c r="M329"/>
  <c r="O328"/>
  <c r="M328"/>
  <c r="O327"/>
  <c r="M327"/>
  <c r="O326"/>
  <c r="M326"/>
  <c r="O325"/>
  <c r="M325"/>
  <c r="O324"/>
  <c r="M324"/>
  <c r="O323"/>
  <c r="M323"/>
  <c r="O322"/>
  <c r="M322"/>
  <c r="O321"/>
  <c r="M321"/>
  <c r="O320"/>
  <c r="M320"/>
  <c r="O319"/>
  <c r="M319"/>
  <c r="O318"/>
  <c r="M318"/>
  <c r="O317"/>
  <c r="M317"/>
  <c r="O316"/>
  <c r="M316"/>
  <c r="O315"/>
  <c r="M315"/>
  <c r="O314"/>
  <c r="M314"/>
  <c r="O313"/>
  <c r="M313"/>
  <c r="O312"/>
  <c r="M312"/>
  <c r="O311"/>
  <c r="M311"/>
  <c r="O310"/>
  <c r="M310"/>
  <c r="O309"/>
  <c r="M309"/>
  <c r="O308"/>
  <c r="M308"/>
  <c r="O307"/>
  <c r="M307"/>
  <c r="O306"/>
  <c r="M306"/>
  <c r="O305"/>
  <c r="M305"/>
  <c r="O304"/>
  <c r="M304"/>
  <c r="O303"/>
  <c r="M303"/>
  <c r="O302"/>
  <c r="M302"/>
  <c r="O301"/>
  <c r="M301"/>
  <c r="O300"/>
  <c r="M300"/>
  <c r="O299"/>
  <c r="M299"/>
  <c r="O298"/>
  <c r="M298"/>
  <c r="O297"/>
  <c r="M297"/>
  <c r="O296"/>
  <c r="M296"/>
  <c r="O295"/>
  <c r="M295"/>
  <c r="O294"/>
  <c r="M294"/>
  <c r="O293"/>
  <c r="M293"/>
  <c r="O292"/>
  <c r="M292"/>
  <c r="O291"/>
  <c r="M291"/>
  <c r="O290"/>
  <c r="M290"/>
  <c r="O289"/>
  <c r="M289"/>
  <c r="O288"/>
  <c r="M288"/>
  <c r="O287"/>
  <c r="M287"/>
  <c r="O286"/>
  <c r="M286"/>
  <c r="O285"/>
  <c r="M285"/>
  <c r="O284"/>
  <c r="M284"/>
  <c r="O283"/>
  <c r="F244" i="1" s="1"/>
  <c r="M283" i="2"/>
  <c r="D244" i="1" s="1"/>
  <c r="O282" i="2"/>
  <c r="F243" i="1" s="1"/>
  <c r="M282" i="2"/>
  <c r="D243" i="1" s="1"/>
  <c r="O281" i="2"/>
  <c r="F242" i="1" s="1"/>
  <c r="M281" i="2"/>
  <c r="D242" i="1" s="1"/>
  <c r="O280" i="2"/>
  <c r="F241" i="1" s="1"/>
  <c r="M280" i="2"/>
  <c r="D241" i="1" s="1"/>
  <c r="O279" i="2"/>
  <c r="F240" i="1" s="1"/>
  <c r="M279" i="2"/>
  <c r="D240" i="1" s="1"/>
  <c r="O278" i="2"/>
  <c r="F239" i="1" s="1"/>
  <c r="M278" i="2"/>
  <c r="D239" i="1" s="1"/>
  <c r="O277" i="2"/>
  <c r="F238" i="1" s="1"/>
  <c r="M277" i="2"/>
  <c r="D238" i="1" s="1"/>
  <c r="O276" i="2"/>
  <c r="F237" i="1" s="1"/>
  <c r="M276" i="2"/>
  <c r="D237" i="1" s="1"/>
  <c r="O275" i="2"/>
  <c r="F236" i="1" s="1"/>
  <c r="M275" i="2"/>
  <c r="D236" i="1" s="1"/>
  <c r="O274" i="2"/>
  <c r="F235" i="1" s="1"/>
  <c r="M274" i="2"/>
  <c r="D235" i="1" s="1"/>
  <c r="O273" i="2"/>
  <c r="F234" i="1" s="1"/>
  <c r="M273" i="2"/>
  <c r="D234" i="1" s="1"/>
  <c r="O272" i="2"/>
  <c r="F233" i="1" s="1"/>
  <c r="M272" i="2"/>
  <c r="D233" i="1" s="1"/>
  <c r="O271" i="2"/>
  <c r="F232" i="1" s="1"/>
  <c r="M271" i="2"/>
  <c r="D232" i="1" s="1"/>
  <c r="O270" i="2"/>
  <c r="F231" i="1" s="1"/>
  <c r="M270" i="2"/>
  <c r="D231" i="1" s="1"/>
  <c r="O269" i="2"/>
  <c r="F230" i="1" s="1"/>
  <c r="M269" i="2"/>
  <c r="D230" i="1" s="1"/>
  <c r="O268" i="2"/>
  <c r="F229" i="1" s="1"/>
  <c r="M268" i="2"/>
  <c r="D229" i="1" s="1"/>
  <c r="O267" i="2"/>
  <c r="F228" i="1" s="1"/>
  <c r="M267" i="2"/>
  <c r="D228" i="1" s="1"/>
  <c r="O266" i="2"/>
  <c r="F227" i="1" s="1"/>
  <c r="M266" i="2"/>
  <c r="D227" i="1" s="1"/>
  <c r="O265" i="2"/>
  <c r="F226" i="1" s="1"/>
  <c r="M265" i="2"/>
  <c r="D226" i="1" s="1"/>
  <c r="O264" i="2"/>
  <c r="F225" i="1" s="1"/>
  <c r="M264" i="2"/>
  <c r="D225" i="1" s="1"/>
  <c r="O263" i="2"/>
  <c r="F224" i="1" s="1"/>
  <c r="M263" i="2"/>
  <c r="D224" i="1" s="1"/>
  <c r="O262" i="2"/>
  <c r="F223" i="1" s="1"/>
  <c r="M262" i="2"/>
  <c r="D223" i="1" s="1"/>
  <c r="O261" i="2"/>
  <c r="F222" i="1" s="1"/>
  <c r="M261" i="2"/>
  <c r="D222" i="1" s="1"/>
  <c r="O260" i="2"/>
  <c r="F221" i="1" s="1"/>
  <c r="M260" i="2"/>
  <c r="D221" i="1" s="1"/>
  <c r="O259" i="2"/>
  <c r="F220" i="1" s="1"/>
  <c r="M259" i="2"/>
  <c r="D220" i="1" s="1"/>
  <c r="O258" i="2"/>
  <c r="F219" i="1" s="1"/>
  <c r="M258" i="2"/>
  <c r="D219" i="1" s="1"/>
  <c r="O257" i="2"/>
  <c r="F218" i="1" s="1"/>
  <c r="M257" i="2"/>
  <c r="D218" i="1" s="1"/>
  <c r="O256" i="2"/>
  <c r="F217" i="1" s="1"/>
  <c r="M256" i="2"/>
  <c r="D217" i="1" s="1"/>
  <c r="O255" i="2"/>
  <c r="F216" i="1" s="1"/>
  <c r="M255" i="2"/>
  <c r="D216" i="1" s="1"/>
  <c r="O254" i="2"/>
  <c r="F215" i="1" s="1"/>
  <c r="M254" i="2"/>
  <c r="D215" i="1" s="1"/>
  <c r="O253" i="2"/>
  <c r="F214" i="1" s="1"/>
  <c r="M253" i="2"/>
  <c r="D214" i="1" s="1"/>
  <c r="O252" i="2"/>
  <c r="F213" i="1" s="1"/>
  <c r="M252" i="2"/>
  <c r="D213" i="1" s="1"/>
  <c r="O251" i="2"/>
  <c r="F212" i="1" s="1"/>
  <c r="M251" i="2"/>
  <c r="D212" i="1" s="1"/>
  <c r="O250" i="2"/>
  <c r="F211" i="1" s="1"/>
  <c r="M250" i="2"/>
  <c r="D211" i="1" s="1"/>
  <c r="O249" i="2"/>
  <c r="F210" i="1" s="1"/>
  <c r="M249" i="2"/>
  <c r="D210" i="1" s="1"/>
  <c r="O248" i="2"/>
  <c r="F209" i="1" s="1"/>
  <c r="M248" i="2"/>
  <c r="D209" i="1" s="1"/>
  <c r="O247" i="2"/>
  <c r="F208" i="1" s="1"/>
  <c r="M247" i="2"/>
  <c r="D208" i="1" s="1"/>
  <c r="O246" i="2"/>
  <c r="F207" i="1" s="1"/>
  <c r="M246" i="2"/>
  <c r="D207" i="1" s="1"/>
  <c r="O245" i="2"/>
  <c r="F206" i="1" s="1"/>
  <c r="M245" i="2"/>
  <c r="D206" i="1" s="1"/>
  <c r="O244" i="2"/>
  <c r="F205" i="1" s="1"/>
  <c r="M244" i="2"/>
  <c r="D205" i="1" s="1"/>
  <c r="O243" i="2"/>
  <c r="F204" i="1" s="1"/>
  <c r="M243" i="2"/>
  <c r="D204" i="1" s="1"/>
  <c r="O242" i="2"/>
  <c r="F203" i="1" s="1"/>
  <c r="M242" i="2"/>
  <c r="D203" i="1" s="1"/>
  <c r="O241" i="2"/>
  <c r="F202" i="1" s="1"/>
  <c r="M241" i="2"/>
  <c r="D202" i="1" s="1"/>
  <c r="O240" i="2"/>
  <c r="F201" i="1" s="1"/>
  <c r="M240" i="2"/>
  <c r="D201" i="1" s="1"/>
  <c r="O239" i="2"/>
  <c r="F200" i="1" s="1"/>
  <c r="M239" i="2"/>
  <c r="D200" i="1" s="1"/>
  <c r="O238" i="2"/>
  <c r="F199" i="1" s="1"/>
  <c r="M238" i="2"/>
  <c r="D199" i="1" s="1"/>
  <c r="O237" i="2"/>
  <c r="F198" i="1" s="1"/>
  <c r="M237" i="2"/>
  <c r="D198" i="1" s="1"/>
  <c r="O236" i="2"/>
  <c r="F197" i="1" s="1"/>
  <c r="M236" i="2"/>
  <c r="D197" i="1" s="1"/>
  <c r="O235" i="2"/>
  <c r="F196" i="1" s="1"/>
  <c r="M235" i="2"/>
  <c r="D196" i="1" s="1"/>
  <c r="O234" i="2"/>
  <c r="F195" i="1" s="1"/>
  <c r="M234" i="2"/>
  <c r="D195" i="1" s="1"/>
  <c r="O233" i="2"/>
  <c r="F194" i="1" s="1"/>
  <c r="M233" i="2"/>
  <c r="D194" i="1" s="1"/>
  <c r="O232" i="2"/>
  <c r="F193" i="1" s="1"/>
  <c r="M232" i="2"/>
  <c r="D193" i="1" s="1"/>
  <c r="O231" i="2"/>
  <c r="F192" i="1" s="1"/>
  <c r="M231" i="2"/>
  <c r="D192" i="1" s="1"/>
  <c r="O230" i="2"/>
  <c r="F191" i="1" s="1"/>
  <c r="M230" i="2"/>
  <c r="D191" i="1" s="1"/>
  <c r="O229" i="2"/>
  <c r="F190" i="1" s="1"/>
  <c r="M229" i="2"/>
  <c r="D190" i="1" s="1"/>
  <c r="O228" i="2"/>
  <c r="F189" i="1" s="1"/>
  <c r="M228" i="2"/>
  <c r="D189" i="1" s="1"/>
  <c r="O227" i="2"/>
  <c r="F188" i="1" s="1"/>
  <c r="M227" i="2"/>
  <c r="D188" i="1" s="1"/>
  <c r="O226" i="2"/>
  <c r="F187" i="1" s="1"/>
  <c r="M226" i="2"/>
  <c r="D187" i="1" s="1"/>
  <c r="O225" i="2"/>
  <c r="F186" i="1" s="1"/>
  <c r="M225" i="2"/>
  <c r="D186" i="1" s="1"/>
  <c r="O224" i="2"/>
  <c r="F185" i="1" s="1"/>
  <c r="M224" i="2"/>
  <c r="D185" i="1" s="1"/>
  <c r="O223" i="2"/>
  <c r="F184" i="1" s="1"/>
  <c r="M223" i="2"/>
  <c r="D184" i="1" s="1"/>
  <c r="O222" i="2"/>
  <c r="F183" i="1" s="1"/>
  <c r="M222" i="2"/>
  <c r="D183" i="1" s="1"/>
  <c r="O221" i="2"/>
  <c r="F182" i="1" s="1"/>
  <c r="M221" i="2"/>
  <c r="D182" i="1" s="1"/>
  <c r="O220" i="2"/>
  <c r="F181" i="1" s="1"/>
  <c r="M220" i="2"/>
  <c r="D181" i="1" s="1"/>
  <c r="O219" i="2"/>
  <c r="F180" i="1" s="1"/>
  <c r="M219" i="2"/>
  <c r="D180" i="1" s="1"/>
  <c r="O218" i="2"/>
  <c r="F179" i="1" s="1"/>
  <c r="M218" i="2"/>
  <c r="D179" i="1" s="1"/>
  <c r="O217" i="2"/>
  <c r="F178" i="1" s="1"/>
  <c r="M217" i="2"/>
  <c r="D178" i="1" s="1"/>
  <c r="O216" i="2"/>
  <c r="F177" i="1" s="1"/>
  <c r="M216" i="2"/>
  <c r="D177" i="1" s="1"/>
  <c r="O215" i="2"/>
  <c r="F176" i="1" s="1"/>
  <c r="M215" i="2"/>
  <c r="D176" i="1" s="1"/>
  <c r="O214" i="2"/>
  <c r="F175" i="1" s="1"/>
  <c r="M214" i="2"/>
  <c r="D175" i="1" s="1"/>
  <c r="O213" i="2"/>
  <c r="F174" i="1" s="1"/>
  <c r="M213" i="2"/>
  <c r="D174" i="1" s="1"/>
  <c r="O212" i="2"/>
  <c r="F173" i="1" s="1"/>
  <c r="M212" i="2"/>
  <c r="D173" i="1" s="1"/>
  <c r="O211" i="2"/>
  <c r="F172" i="1" s="1"/>
  <c r="M211" i="2"/>
  <c r="D172" i="1" s="1"/>
  <c r="O210" i="2"/>
  <c r="F171" i="1" s="1"/>
  <c r="M210" i="2"/>
  <c r="D171" i="1" s="1"/>
  <c r="O209" i="2"/>
  <c r="F170" i="1" s="1"/>
  <c r="M209" i="2"/>
  <c r="D170" i="1" s="1"/>
  <c r="O208" i="2"/>
  <c r="F169" i="1" s="1"/>
  <c r="M208" i="2"/>
  <c r="D169" i="1" s="1"/>
  <c r="O207" i="2"/>
  <c r="F168" i="1" s="1"/>
  <c r="M207" i="2"/>
  <c r="D168" i="1" s="1"/>
  <c r="O206" i="2"/>
  <c r="F167" i="1" s="1"/>
  <c r="M206" i="2"/>
  <c r="D167" i="1" s="1"/>
  <c r="O205" i="2"/>
  <c r="F166" i="1" s="1"/>
  <c r="M205" i="2"/>
  <c r="D166" i="1" s="1"/>
  <c r="O204" i="2"/>
  <c r="F165" i="1" s="1"/>
  <c r="M204" i="2"/>
  <c r="D165" i="1" s="1"/>
  <c r="O203" i="2"/>
  <c r="F164" i="1" s="1"/>
  <c r="M203" i="2"/>
  <c r="D164" i="1" s="1"/>
  <c r="O202" i="2"/>
  <c r="F163" i="1" s="1"/>
  <c r="M202" i="2"/>
  <c r="D163" i="1" s="1"/>
  <c r="O201" i="2"/>
  <c r="F162" i="1" s="1"/>
  <c r="M201" i="2"/>
  <c r="D162" i="1" s="1"/>
  <c r="O200" i="2"/>
  <c r="F161" i="1" s="1"/>
  <c r="M200" i="2"/>
  <c r="D161" i="1" s="1"/>
  <c r="O199" i="2"/>
  <c r="F160" i="1" s="1"/>
  <c r="M199" i="2"/>
  <c r="D160" i="1" s="1"/>
  <c r="O198" i="2"/>
  <c r="F159" i="1" s="1"/>
  <c r="M198" i="2"/>
  <c r="D159" i="1" s="1"/>
  <c r="O197" i="2"/>
  <c r="F158" i="1" s="1"/>
  <c r="M197" i="2"/>
  <c r="D158" i="1" s="1"/>
  <c r="E2154" i="2" s="1"/>
  <c r="O196"/>
  <c r="M196"/>
  <c r="O195"/>
  <c r="M195"/>
  <c r="O194"/>
  <c r="M194"/>
  <c r="O193"/>
  <c r="M193"/>
  <c r="O192"/>
  <c r="M192"/>
  <c r="O191"/>
  <c r="M191"/>
  <c r="O190"/>
  <c r="M190"/>
  <c r="O189"/>
  <c r="M189"/>
  <c r="O188"/>
  <c r="F149" i="1" s="1"/>
  <c r="M188" i="2"/>
  <c r="D149" i="1" s="1"/>
  <c r="O187" i="2"/>
  <c r="F148" i="1" s="1"/>
  <c r="M187" i="2"/>
  <c r="D148" i="1" s="1"/>
  <c r="O186" i="2"/>
  <c r="F147" i="1" s="1"/>
  <c r="M186" i="2"/>
  <c r="D147" i="1" s="1"/>
  <c r="E2143" i="2" s="1"/>
  <c r="O185"/>
  <c r="F146" i="1" s="1"/>
  <c r="M185" i="2"/>
  <c r="D146" i="1" s="1"/>
  <c r="O184" i="2"/>
  <c r="F145" i="1" s="1"/>
  <c r="M184" i="2"/>
  <c r="D145" i="1" s="1"/>
  <c r="O183" i="2"/>
  <c r="F144" i="1" s="1"/>
  <c r="M183" i="2"/>
  <c r="D144" i="1" s="1"/>
  <c r="O182" i="2"/>
  <c r="F143" i="1" s="1"/>
  <c r="M182" i="2"/>
  <c r="D143" i="1" s="1"/>
  <c r="O181" i="2"/>
  <c r="F142" i="1" s="1"/>
  <c r="M181" i="2"/>
  <c r="D142" i="1" s="1"/>
  <c r="O180" i="2"/>
  <c r="F141" i="1" s="1"/>
  <c r="M180" i="2"/>
  <c r="D141" i="1" s="1"/>
  <c r="O179" i="2"/>
  <c r="F140" i="1" s="1"/>
  <c r="M179" i="2"/>
  <c r="D140" i="1" s="1"/>
  <c r="O178" i="2"/>
  <c r="F139" i="1" s="1"/>
  <c r="M178" i="2"/>
  <c r="D139" i="1" s="1"/>
  <c r="O177" i="2"/>
  <c r="F138" i="1" s="1"/>
  <c r="M177" i="2"/>
  <c r="D138" i="1" s="1"/>
  <c r="O176" i="2"/>
  <c r="F137" i="1" s="1"/>
  <c r="M176" i="2"/>
  <c r="D137" i="1" s="1"/>
  <c r="O175" i="2"/>
  <c r="F136" i="1" s="1"/>
  <c r="M175" i="2"/>
  <c r="D136" i="1" s="1"/>
  <c r="E2132" i="2" s="1"/>
  <c r="O174"/>
  <c r="F135" i="1" s="1"/>
  <c r="M174" i="2"/>
  <c r="D135" i="1" s="1"/>
  <c r="O173" i="2"/>
  <c r="F134" i="1" s="1"/>
  <c r="M173" i="2"/>
  <c r="D134" i="1" s="1"/>
  <c r="O172" i="2"/>
  <c r="F133" i="1" s="1"/>
  <c r="M172" i="2"/>
  <c r="D133" i="1" s="1"/>
  <c r="O171" i="2"/>
  <c r="F132" i="1" s="1"/>
  <c r="M171" i="2"/>
  <c r="D132" i="1" s="1"/>
  <c r="O170" i="2"/>
  <c r="F131" i="1" s="1"/>
  <c r="M170" i="2"/>
  <c r="D131" i="1" s="1"/>
  <c r="O169" i="2"/>
  <c r="F130" i="1" s="1"/>
  <c r="M169" i="2"/>
  <c r="D130" i="1" s="1"/>
  <c r="O168" i="2"/>
  <c r="F129" i="1" s="1"/>
  <c r="M168" i="2"/>
  <c r="D129" i="1" s="1"/>
  <c r="O167" i="2"/>
  <c r="F128" i="1" s="1"/>
  <c r="M167" i="2"/>
  <c r="D128" i="1" s="1"/>
  <c r="O166" i="2"/>
  <c r="F127" i="1" s="1"/>
  <c r="M166" i="2"/>
  <c r="D127" i="1" s="1"/>
  <c r="O165" i="2"/>
  <c r="F126" i="1" s="1"/>
  <c r="M165" i="2"/>
  <c r="D126" i="1" s="1"/>
  <c r="O164" i="2"/>
  <c r="F125" i="1" s="1"/>
  <c r="M164" i="2"/>
  <c r="D125" i="1" s="1"/>
  <c r="E2121" i="2" s="1"/>
  <c r="O163"/>
  <c r="F124" i="1" s="1"/>
  <c r="M163" i="2"/>
  <c r="D124" i="1" s="1"/>
  <c r="O162" i="2"/>
  <c r="F123" i="1" s="1"/>
  <c r="M162" i="2"/>
  <c r="D123" i="1" s="1"/>
  <c r="O161" i="2"/>
  <c r="F122" i="1" s="1"/>
  <c r="M161" i="2"/>
  <c r="D122" i="1" s="1"/>
  <c r="O160" i="2"/>
  <c r="F121" i="1" s="1"/>
  <c r="M160" i="2"/>
  <c r="D121" i="1" s="1"/>
  <c r="O159" i="2"/>
  <c r="F120" i="1" s="1"/>
  <c r="M159" i="2"/>
  <c r="D120" i="1" s="1"/>
  <c r="O158" i="2"/>
  <c r="F119" i="1" s="1"/>
  <c r="M158" i="2"/>
  <c r="D119" i="1" s="1"/>
  <c r="O157" i="2"/>
  <c r="F118" i="1" s="1"/>
  <c r="M157" i="2"/>
  <c r="D118" i="1" s="1"/>
  <c r="O156" i="2"/>
  <c r="F117" i="1" s="1"/>
  <c r="M156" i="2"/>
  <c r="D117" i="1" s="1"/>
  <c r="O155" i="2"/>
  <c r="F116" i="1" s="1"/>
  <c r="M155" i="2"/>
  <c r="D116" i="1" s="1"/>
  <c r="O154" i="2"/>
  <c r="F115" i="1" s="1"/>
  <c r="M154" i="2"/>
  <c r="D115" i="1" s="1"/>
  <c r="O153" i="2"/>
  <c r="F114" i="1" s="1"/>
  <c r="M153" i="2"/>
  <c r="D114" i="1" s="1"/>
  <c r="E2110" i="2" s="1"/>
  <c r="O152"/>
  <c r="F113" i="1" s="1"/>
  <c r="M152" i="2"/>
  <c r="D113" i="1" s="1"/>
  <c r="O151" i="2"/>
  <c r="F112" i="1" s="1"/>
  <c r="M151" i="2"/>
  <c r="D112" i="1" s="1"/>
  <c r="O150" i="2"/>
  <c r="F111" i="1" s="1"/>
  <c r="M150" i="2"/>
  <c r="D111" i="1" s="1"/>
  <c r="O149" i="2"/>
  <c r="F110" i="1" s="1"/>
  <c r="M149" i="2"/>
  <c r="D110" i="1" s="1"/>
  <c r="O148" i="2"/>
  <c r="F109" i="1" s="1"/>
  <c r="M148" i="2"/>
  <c r="D109" i="1" s="1"/>
  <c r="O147" i="2"/>
  <c r="F108" i="1" s="1"/>
  <c r="M147" i="2"/>
  <c r="D108" i="1" s="1"/>
  <c r="O146" i="2"/>
  <c r="F107" i="1" s="1"/>
  <c r="M146" i="2"/>
  <c r="D107" i="1" s="1"/>
  <c r="O145" i="2"/>
  <c r="F106" i="1" s="1"/>
  <c r="M145" i="2"/>
  <c r="D106" i="1" s="1"/>
  <c r="O144" i="2"/>
  <c r="F105" i="1" s="1"/>
  <c r="M144" i="2"/>
  <c r="D105" i="1" s="1"/>
  <c r="O143" i="2"/>
  <c r="F104" i="1" s="1"/>
  <c r="M143" i="2"/>
  <c r="D104" i="1" s="1"/>
  <c r="O142" i="2"/>
  <c r="F103" i="1" s="1"/>
  <c r="M142" i="2"/>
  <c r="D103" i="1" s="1"/>
  <c r="E2099" i="2" s="1"/>
  <c r="O141"/>
  <c r="F102" i="1" s="1"/>
  <c r="M141" i="2"/>
  <c r="D102" i="1" s="1"/>
  <c r="O140" i="2"/>
  <c r="F101" i="1" s="1"/>
  <c r="M140" i="2"/>
  <c r="D101" i="1" s="1"/>
  <c r="O139" i="2"/>
  <c r="F100" i="1" s="1"/>
  <c r="M139" i="2"/>
  <c r="D100" i="1" s="1"/>
  <c r="O138" i="2"/>
  <c r="F99" i="1" s="1"/>
  <c r="M138" i="2"/>
  <c r="D99" i="1" s="1"/>
  <c r="O137" i="2"/>
  <c r="F98" i="1" s="1"/>
  <c r="M137" i="2"/>
  <c r="D98" i="1" s="1"/>
  <c r="O136" i="2"/>
  <c r="F97" i="1" s="1"/>
  <c r="M136" i="2"/>
  <c r="D97" i="1" s="1"/>
  <c r="O135" i="2"/>
  <c r="F96" i="1" s="1"/>
  <c r="M135" i="2"/>
  <c r="D96" i="1" s="1"/>
  <c r="O134" i="2"/>
  <c r="F95" i="1" s="1"/>
  <c r="M134" i="2"/>
  <c r="D95" i="1" s="1"/>
  <c r="O133" i="2"/>
  <c r="F94" i="1" s="1"/>
  <c r="M133" i="2"/>
  <c r="D94" i="1" s="1"/>
  <c r="O132" i="2"/>
  <c r="F93" i="1" s="1"/>
  <c r="M132" i="2"/>
  <c r="D93" i="1" s="1"/>
  <c r="O131" i="2"/>
  <c r="F92" i="1" s="1"/>
  <c r="M131" i="2"/>
  <c r="D92" i="1" s="1"/>
  <c r="E2088" i="2" s="1"/>
  <c r="O130"/>
  <c r="F91" i="1" s="1"/>
  <c r="M130" i="2"/>
  <c r="D91" i="1" s="1"/>
  <c r="O129" i="2"/>
  <c r="F90" i="1" s="1"/>
  <c r="M129" i="2"/>
  <c r="D90" i="1" s="1"/>
  <c r="O128" i="2"/>
  <c r="F89" i="1" s="1"/>
  <c r="M128" i="2"/>
  <c r="D89" i="1" s="1"/>
  <c r="O127" i="2"/>
  <c r="F88" i="1" s="1"/>
  <c r="M127" i="2"/>
  <c r="D88" i="1" s="1"/>
  <c r="O126" i="2"/>
  <c r="F87" i="1" s="1"/>
  <c r="M126" i="2"/>
  <c r="D87" i="1" s="1"/>
  <c r="O125" i="2"/>
  <c r="F86" i="1" s="1"/>
  <c r="M125" i="2"/>
  <c r="D86" i="1" s="1"/>
  <c r="O124" i="2"/>
  <c r="F85" i="1" s="1"/>
  <c r="M124" i="2"/>
  <c r="D85" i="1" s="1"/>
  <c r="O123" i="2"/>
  <c r="F84" i="1" s="1"/>
  <c r="M123" i="2"/>
  <c r="D84" i="1" s="1"/>
  <c r="O122" i="2"/>
  <c r="F83" i="1" s="1"/>
  <c r="M122" i="2"/>
  <c r="D83" i="1" s="1"/>
  <c r="O121" i="2"/>
  <c r="F82" i="1" s="1"/>
  <c r="M121" i="2"/>
  <c r="D82" i="1" s="1"/>
  <c r="O120" i="2"/>
  <c r="F81" i="1" s="1"/>
  <c r="M120" i="2"/>
  <c r="D81" i="1" s="1"/>
  <c r="E2077" i="2" s="1"/>
  <c r="O119"/>
  <c r="F80" i="1" s="1"/>
  <c r="M119" i="2"/>
  <c r="D80" i="1" s="1"/>
  <c r="O118" i="2"/>
  <c r="F79" i="1" s="1"/>
  <c r="M118" i="2"/>
  <c r="D79" i="1" s="1"/>
  <c r="O117" i="2"/>
  <c r="F78" i="1" s="1"/>
  <c r="M117" i="2"/>
  <c r="D78" i="1" s="1"/>
  <c r="O116" i="2"/>
  <c r="F77" i="1" s="1"/>
  <c r="M116" i="2"/>
  <c r="D77" i="1" s="1"/>
  <c r="O115" i="2"/>
  <c r="F76" i="1" s="1"/>
  <c r="M115" i="2"/>
  <c r="D76" i="1" s="1"/>
  <c r="O114" i="2"/>
  <c r="F75" i="1" s="1"/>
  <c r="M114" i="2"/>
  <c r="D75" i="1" s="1"/>
  <c r="O113" i="2"/>
  <c r="F74" i="1" s="1"/>
  <c r="M113" i="2"/>
  <c r="D74" i="1" s="1"/>
  <c r="O112" i="2"/>
  <c r="F73" i="1" s="1"/>
  <c r="M112" i="2"/>
  <c r="D73" i="1" s="1"/>
  <c r="O111" i="2"/>
  <c r="F72" i="1" s="1"/>
  <c r="M111" i="2"/>
  <c r="D72" i="1" s="1"/>
  <c r="O110" i="2"/>
  <c r="F71" i="1" s="1"/>
  <c r="M110" i="2"/>
  <c r="D71" i="1" s="1"/>
  <c r="O109" i="2"/>
  <c r="F70" i="1" s="1"/>
  <c r="M109" i="2"/>
  <c r="D70" i="1" s="1"/>
  <c r="E2066" i="2" s="1"/>
  <c r="O108"/>
  <c r="F69" i="1" s="1"/>
  <c r="M108" i="2"/>
  <c r="D69" i="1" s="1"/>
  <c r="O107" i="2"/>
  <c r="F68" i="1" s="1"/>
  <c r="M107" i="2"/>
  <c r="D68" i="1" s="1"/>
  <c r="O106" i="2"/>
  <c r="F67" i="1" s="1"/>
  <c r="M106" i="2"/>
  <c r="D67" i="1" s="1"/>
  <c r="O105" i="2"/>
  <c r="F66" i="1" s="1"/>
  <c r="M105" i="2"/>
  <c r="D66" i="1" s="1"/>
  <c r="O104" i="2"/>
  <c r="F65" i="1" s="1"/>
  <c r="M104" i="2"/>
  <c r="D65" i="1" s="1"/>
  <c r="O103" i="2"/>
  <c r="F64" i="1" s="1"/>
  <c r="M103" i="2"/>
  <c r="D64" i="1" s="1"/>
  <c r="O102" i="2"/>
  <c r="F63" i="1" s="1"/>
  <c r="M102" i="2"/>
  <c r="D63" i="1" s="1"/>
  <c r="O101" i="2"/>
  <c r="F62" i="1" s="1"/>
  <c r="M101" i="2"/>
  <c r="D62" i="1" s="1"/>
  <c r="O100" i="2"/>
  <c r="F61" i="1" s="1"/>
  <c r="M100" i="2"/>
  <c r="D61" i="1" s="1"/>
  <c r="O99" i="2"/>
  <c r="F60" i="1" s="1"/>
  <c r="M99" i="2"/>
  <c r="D60" i="1" s="1"/>
  <c r="O98" i="2"/>
  <c r="F59" i="1" s="1"/>
  <c r="M98" i="2"/>
  <c r="D59" i="1" s="1"/>
  <c r="E2055" i="2" s="1"/>
  <c r="O97"/>
  <c r="F58" i="1" s="1"/>
  <c r="M97" i="2"/>
  <c r="D58" i="1" s="1"/>
  <c r="O96" i="2"/>
  <c r="F57" i="1" s="1"/>
  <c r="M96" i="2"/>
  <c r="D57" i="1" s="1"/>
  <c r="O95" i="2"/>
  <c r="F56" i="1" s="1"/>
  <c r="M95" i="2"/>
  <c r="D56" i="1" s="1"/>
  <c r="O94" i="2"/>
  <c r="F55" i="1" s="1"/>
  <c r="M94" i="2"/>
  <c r="D55" i="1" s="1"/>
  <c r="O93" i="2"/>
  <c r="F54" i="1" s="1"/>
  <c r="M93" i="2"/>
  <c r="D54" i="1" s="1"/>
  <c r="O92" i="2"/>
  <c r="F53" i="1" s="1"/>
  <c r="M92" i="2"/>
  <c r="D53" i="1" s="1"/>
  <c r="O91" i="2"/>
  <c r="F52" i="1" s="1"/>
  <c r="M91" i="2"/>
  <c r="D52" i="1" s="1"/>
  <c r="O90" i="2"/>
  <c r="F51" i="1" s="1"/>
  <c r="M90" i="2"/>
  <c r="D51" i="1" s="1"/>
  <c r="O89" i="2"/>
  <c r="F50" i="1" s="1"/>
  <c r="M89" i="2"/>
  <c r="D50" i="1" s="1"/>
  <c r="O88" i="2"/>
  <c r="F49" i="1" s="1"/>
  <c r="M88" i="2"/>
  <c r="D49" i="1" s="1"/>
  <c r="O87" i="2"/>
  <c r="F48" i="1" s="1"/>
  <c r="M87" i="2"/>
  <c r="D48" i="1" s="1"/>
  <c r="E2044" i="2" s="1"/>
  <c r="O86"/>
  <c r="F47" i="1" s="1"/>
  <c r="M86" i="2"/>
  <c r="D47" i="1" s="1"/>
  <c r="O85" i="2"/>
  <c r="F46" i="1" s="1"/>
  <c r="M85" i="2"/>
  <c r="D46" i="1" s="1"/>
  <c r="O84" i="2"/>
  <c r="F45" i="1" s="1"/>
  <c r="M84" i="2"/>
  <c r="D45" i="1" s="1"/>
  <c r="O83" i="2"/>
  <c r="F44" i="1" s="1"/>
  <c r="M83" i="2"/>
  <c r="D44" i="1" s="1"/>
  <c r="O82" i="2"/>
  <c r="F43" i="1" s="1"/>
  <c r="M82" i="2"/>
  <c r="D43" i="1" s="1"/>
  <c r="O81" i="2"/>
  <c r="F42" i="1" s="1"/>
  <c r="M81" i="2"/>
  <c r="D42" i="1" s="1"/>
  <c r="O80" i="2"/>
  <c r="F41" i="1" s="1"/>
  <c r="M80" i="2"/>
  <c r="D41" i="1" s="1"/>
  <c r="O79" i="2"/>
  <c r="F40" i="1" s="1"/>
  <c r="M79" i="2"/>
  <c r="D40" i="1" s="1"/>
  <c r="O78" i="2"/>
  <c r="F39" i="1" s="1"/>
  <c r="M78" i="2"/>
  <c r="D39" i="1" s="1"/>
  <c r="O77" i="2"/>
  <c r="F38" i="1" s="1"/>
  <c r="M77" i="2"/>
  <c r="D38" i="1" s="1"/>
  <c r="O76" i="2"/>
  <c r="F37" i="1" s="1"/>
  <c r="M76" i="2"/>
  <c r="D37" i="1" s="1"/>
  <c r="E2033" i="2" s="1"/>
  <c r="O75"/>
  <c r="F36" i="1" s="1"/>
  <c r="M75" i="2"/>
  <c r="D36" i="1" s="1"/>
  <c r="O74" i="2"/>
  <c r="F35" i="1" s="1"/>
  <c r="M74" i="2"/>
  <c r="D35" i="1" s="1"/>
  <c r="O73" i="2"/>
  <c r="F34" i="1" s="1"/>
  <c r="M73" i="2"/>
  <c r="D34" i="1" s="1"/>
  <c r="O72" i="2"/>
  <c r="F33" i="1" s="1"/>
  <c r="M72" i="2"/>
  <c r="D33" i="1" s="1"/>
  <c r="O71" i="2"/>
  <c r="F32" i="1" s="1"/>
  <c r="M71" i="2"/>
  <c r="D32" i="1" s="1"/>
  <c r="O70" i="2"/>
  <c r="F31" i="1" s="1"/>
  <c r="M70" i="2"/>
  <c r="D31" i="1" s="1"/>
  <c r="O69" i="2"/>
  <c r="F30" i="1" s="1"/>
  <c r="M69" i="2"/>
  <c r="D30" i="1" s="1"/>
  <c r="O68" i="2"/>
  <c r="F29" i="1" s="1"/>
  <c r="M68" i="2"/>
  <c r="D29" i="1" s="1"/>
  <c r="O67" i="2"/>
  <c r="F28" i="1" s="1"/>
  <c r="M67" i="2"/>
  <c r="D28" i="1" s="1"/>
  <c r="O66" i="2"/>
  <c r="F27" i="1" s="1"/>
  <c r="M66" i="2"/>
  <c r="D27" i="1" s="1"/>
  <c r="O65" i="2"/>
  <c r="F26" i="1" s="1"/>
  <c r="M65" i="2"/>
  <c r="D26" i="1" s="1"/>
  <c r="E2022" i="2" s="1"/>
  <c r="O64"/>
  <c r="F25" i="1" s="1"/>
  <c r="M64" i="2"/>
  <c r="D25" i="1" s="1"/>
  <c r="O63" i="2"/>
  <c r="F24" i="1" s="1"/>
  <c r="M63" i="2"/>
  <c r="D24" i="1" s="1"/>
  <c r="O62" i="2"/>
  <c r="F23" i="1" s="1"/>
  <c r="M62" i="2"/>
  <c r="D23" i="1" s="1"/>
  <c r="O61" i="2"/>
  <c r="F22" i="1" s="1"/>
  <c r="M61" i="2"/>
  <c r="D22" i="1" s="1"/>
  <c r="O60" i="2"/>
  <c r="F21" i="1" s="1"/>
  <c r="M60" i="2"/>
  <c r="D21" i="1" s="1"/>
  <c r="O59" i="2"/>
  <c r="F20" i="1" s="1"/>
  <c r="M59" i="2"/>
  <c r="D20" i="1" s="1"/>
  <c r="O58" i="2"/>
  <c r="F19" i="1" s="1"/>
  <c r="M58" i="2"/>
  <c r="D19" i="1" s="1"/>
  <c r="O57" i="2"/>
  <c r="F18" i="1" s="1"/>
  <c r="M57" i="2"/>
  <c r="D18" i="1" s="1"/>
  <c r="O56" i="2"/>
  <c r="F17" i="1" s="1"/>
  <c r="M56" i="2"/>
  <c r="D17" i="1" s="1"/>
  <c r="O55" i="2"/>
  <c r="F16" i="1" s="1"/>
  <c r="M55" i="2"/>
  <c r="D16" i="1" s="1"/>
  <c r="O54" i="2"/>
  <c r="F15" i="1" s="1"/>
  <c r="M54" i="2"/>
  <c r="D15" i="1" s="1"/>
  <c r="E2011" i="2" s="1"/>
  <c r="O53"/>
  <c r="F14" i="1" s="1"/>
  <c r="M53" i="2"/>
  <c r="D14" i="1" s="1"/>
  <c r="O52" i="2"/>
  <c r="F13" i="1" s="1"/>
  <c r="M52" i="2"/>
  <c r="D13" i="1" s="1"/>
  <c r="O51" i="2"/>
  <c r="F12" i="1" s="1"/>
  <c r="M51" i="2"/>
  <c r="D12" i="1" s="1"/>
  <c r="O50" i="2"/>
  <c r="F11" i="1" s="1"/>
  <c r="M50" i="2"/>
  <c r="D11" i="1" s="1"/>
  <c r="O49" i="2"/>
  <c r="F10" i="1" s="1"/>
  <c r="M49" i="2"/>
  <c r="D10" i="1" s="1"/>
  <c r="O48" i="2"/>
  <c r="M48"/>
  <c r="O47"/>
  <c r="M47"/>
  <c r="O46"/>
  <c r="M46"/>
  <c r="O45"/>
  <c r="M45"/>
  <c r="O44"/>
  <c r="F5" i="1" s="1"/>
  <c r="M44" i="2"/>
  <c r="D5" i="1" s="1"/>
  <c r="E2220" i="2" l="1"/>
  <c r="D2220" s="1"/>
  <c r="O2220" s="1"/>
  <c r="E2231"/>
  <c r="E2198"/>
  <c r="D2198" s="1"/>
  <c r="O2198" s="1"/>
  <c r="E2209"/>
  <c r="E2165"/>
  <c r="G2165" s="1"/>
  <c r="E2176"/>
  <c r="E3175" s="1"/>
  <c r="E2187"/>
  <c r="D2187" s="1"/>
  <c r="O2187" s="1"/>
  <c r="E3032"/>
  <c r="I2033"/>
  <c r="J2033"/>
  <c r="K2033"/>
  <c r="D2033"/>
  <c r="O2033" s="1"/>
  <c r="I2044"/>
  <c r="D2044"/>
  <c r="O2044" s="1"/>
  <c r="J2044"/>
  <c r="G2044"/>
  <c r="E3043"/>
  <c r="H2044"/>
  <c r="L2044"/>
  <c r="F2044"/>
  <c r="D2055"/>
  <c r="O2055" s="1"/>
  <c r="E3054"/>
  <c r="I2055"/>
  <c r="K2055"/>
  <c r="J2055"/>
  <c r="F2055"/>
  <c r="G2055"/>
  <c r="H2055"/>
  <c r="D2066"/>
  <c r="O2066" s="1"/>
  <c r="H2066"/>
  <c r="E3065"/>
  <c r="I2066"/>
  <c r="K2066" s="1"/>
  <c r="G2066"/>
  <c r="J2066"/>
  <c r="F2066"/>
  <c r="I2077"/>
  <c r="E3076"/>
  <c r="J2077"/>
  <c r="D2077"/>
  <c r="O2077" s="1"/>
  <c r="K2077"/>
  <c r="H2077"/>
  <c r="D2088"/>
  <c r="O2088" s="1"/>
  <c r="I2088"/>
  <c r="H2088"/>
  <c r="E3087"/>
  <c r="G2088"/>
  <c r="J2088"/>
  <c r="F2088"/>
  <c r="D2099"/>
  <c r="O2099" s="1"/>
  <c r="E3098"/>
  <c r="J2099"/>
  <c r="I2099"/>
  <c r="H2099"/>
  <c r="D2110"/>
  <c r="O2110" s="1"/>
  <c r="I2110"/>
  <c r="G2110"/>
  <c r="H2110"/>
  <c r="E3109"/>
  <c r="J2110"/>
  <c r="F2110"/>
  <c r="D2121"/>
  <c r="O2121" s="1"/>
  <c r="E3120"/>
  <c r="I2121"/>
  <c r="J2121"/>
  <c r="F2121"/>
  <c r="E3131"/>
  <c r="D2132"/>
  <c r="O2132" s="1"/>
  <c r="H2132"/>
  <c r="I2132"/>
  <c r="J2132"/>
  <c r="F2132"/>
  <c r="E3142"/>
  <c r="I2143"/>
  <c r="D2143"/>
  <c r="O2143" s="1"/>
  <c r="J2143"/>
  <c r="G2143"/>
  <c r="E3010"/>
  <c r="I2011"/>
  <c r="K2011" s="1"/>
  <c r="J2011"/>
  <c r="D2011"/>
  <c r="O2011" s="1"/>
  <c r="L2011"/>
  <c r="G2011"/>
  <c r="I2022"/>
  <c r="K2022" s="1"/>
  <c r="D2022"/>
  <c r="O2022" s="1"/>
  <c r="E3021"/>
  <c r="J2022"/>
  <c r="G2022"/>
  <c r="D2154"/>
  <c r="O2154" s="1"/>
  <c r="E3153"/>
  <c r="J2154"/>
  <c r="I2154"/>
  <c r="G2154"/>
  <c r="F2154"/>
  <c r="D2165"/>
  <c r="O2165" s="1"/>
  <c r="H2165"/>
  <c r="K2165"/>
  <c r="J2165"/>
  <c r="L2165" s="1"/>
  <c r="D2176"/>
  <c r="O2176" s="1"/>
  <c r="F2176"/>
  <c r="J2176"/>
  <c r="L2176" s="1"/>
  <c r="H2176"/>
  <c r="J2187"/>
  <c r="E3186"/>
  <c r="L2187"/>
  <c r="I2198"/>
  <c r="J2198"/>
  <c r="E3197"/>
  <c r="L2198"/>
  <c r="D2209"/>
  <c r="O2209" s="1"/>
  <c r="E3208"/>
  <c r="G2209"/>
  <c r="J2209"/>
  <c r="F2209"/>
  <c r="I2209"/>
  <c r="K2209"/>
  <c r="L2209"/>
  <c r="H2209"/>
  <c r="G2220"/>
  <c r="F2220"/>
  <c r="I2220"/>
  <c r="K2220" s="1"/>
  <c r="H2220"/>
  <c r="D2231"/>
  <c r="O2231" s="1"/>
  <c r="I2231"/>
  <c r="K2231" s="1"/>
  <c r="J2231"/>
  <c r="L2231" s="1"/>
  <c r="E3230"/>
  <c r="H2231"/>
  <c r="N2001"/>
  <c r="N2003"/>
  <c r="N3003"/>
  <c r="N3020"/>
  <c r="N3019"/>
  <c r="N3018"/>
  <c r="N3017"/>
  <c r="N3016"/>
  <c r="N3015"/>
  <c r="N3014"/>
  <c r="N3013"/>
  <c r="N3012"/>
  <c r="N3011"/>
  <c r="N3009"/>
  <c r="N3008"/>
  <c r="N3007"/>
  <c r="N3006"/>
  <c r="N3005"/>
  <c r="N3004"/>
  <c r="N3002"/>
  <c r="E2001"/>
  <c r="J2001" s="1"/>
  <c r="E2002"/>
  <c r="J2002" s="1"/>
  <c r="L2002" s="1"/>
  <c r="E2003"/>
  <c r="E2004"/>
  <c r="J2004" s="1"/>
  <c r="L2004" s="1"/>
  <c r="E2005"/>
  <c r="E2006"/>
  <c r="J2006" s="1"/>
  <c r="L2006" s="1"/>
  <c r="E2008"/>
  <c r="J2008" s="1"/>
  <c r="L2008" s="1"/>
  <c r="E2009"/>
  <c r="J2009" s="1"/>
  <c r="L2009" s="1"/>
  <c r="E2010"/>
  <c r="E2012"/>
  <c r="E3011" s="1"/>
  <c r="E2013"/>
  <c r="J2013" s="1"/>
  <c r="L2013" s="1"/>
  <c r="E2014"/>
  <c r="E3013" s="1"/>
  <c r="E2015"/>
  <c r="E2016"/>
  <c r="E3015" s="1"/>
  <c r="E2017"/>
  <c r="J2017" s="1"/>
  <c r="L2017" s="1"/>
  <c r="E2018"/>
  <c r="E3017" s="1"/>
  <c r="E2019"/>
  <c r="E2020"/>
  <c r="D2020" s="1"/>
  <c r="E2021"/>
  <c r="J2021" s="1"/>
  <c r="L2021" s="1"/>
  <c r="E2023"/>
  <c r="J2023" s="1"/>
  <c r="L2023" s="1"/>
  <c r="E2024"/>
  <c r="I2024" s="1"/>
  <c r="K2024" s="1"/>
  <c r="E2025"/>
  <c r="J2025" s="1"/>
  <c r="L2025" s="1"/>
  <c r="E2026"/>
  <c r="I2026" s="1"/>
  <c r="K2026" s="1"/>
  <c r="E2027"/>
  <c r="J2027" s="1"/>
  <c r="L2027" s="1"/>
  <c r="E2028"/>
  <c r="I2028" s="1"/>
  <c r="K2028" s="1"/>
  <c r="E2029"/>
  <c r="J2029" s="1"/>
  <c r="L2029" s="1"/>
  <c r="E2030"/>
  <c r="I2030" s="1"/>
  <c r="K2030" s="1"/>
  <c r="E2031"/>
  <c r="J2031" s="1"/>
  <c r="L2031" s="1"/>
  <c r="E2032"/>
  <c r="I2032" s="1"/>
  <c r="K2032" s="1"/>
  <c r="E2034"/>
  <c r="J2034" s="1"/>
  <c r="L2034" s="1"/>
  <c r="E2035"/>
  <c r="I2035" s="1"/>
  <c r="K2035" s="1"/>
  <c r="E2036"/>
  <c r="J2036" s="1"/>
  <c r="L2036" s="1"/>
  <c r="E2037"/>
  <c r="I2037" s="1"/>
  <c r="K2037" s="1"/>
  <c r="E2038"/>
  <c r="J2038" s="1"/>
  <c r="L2038" s="1"/>
  <c r="E2039"/>
  <c r="I2039" s="1"/>
  <c r="K2039" s="1"/>
  <c r="E2040"/>
  <c r="J2040" s="1"/>
  <c r="L2040" s="1"/>
  <c r="E2041"/>
  <c r="I2041" s="1"/>
  <c r="K2041" s="1"/>
  <c r="E2042"/>
  <c r="J2042" s="1"/>
  <c r="L2042" s="1"/>
  <c r="E2043"/>
  <c r="I2043" s="1"/>
  <c r="K2043" s="1"/>
  <c r="E2045"/>
  <c r="J2045" s="1"/>
  <c r="L2045" s="1"/>
  <c r="E2046"/>
  <c r="I2046" s="1"/>
  <c r="K2046" s="1"/>
  <c r="E2047"/>
  <c r="J2047" s="1"/>
  <c r="L2047" s="1"/>
  <c r="E2048"/>
  <c r="I2048" s="1"/>
  <c r="K2048" s="1"/>
  <c r="E2049"/>
  <c r="J2049" s="1"/>
  <c r="L2049" s="1"/>
  <c r="E2050"/>
  <c r="I2050" s="1"/>
  <c r="K2050" s="1"/>
  <c r="E2051"/>
  <c r="J2051" s="1"/>
  <c r="L2051" s="1"/>
  <c r="E2052"/>
  <c r="I2052" s="1"/>
  <c r="K2052" s="1"/>
  <c r="E2053"/>
  <c r="J2053" s="1"/>
  <c r="L2053" s="1"/>
  <c r="E2054"/>
  <c r="I2054" s="1"/>
  <c r="K2054" s="1"/>
  <c r="E2056"/>
  <c r="J2056" s="1"/>
  <c r="L2056" s="1"/>
  <c r="E2057"/>
  <c r="I2057" s="1"/>
  <c r="K2057" s="1"/>
  <c r="E2058"/>
  <c r="J2058" s="1"/>
  <c r="L2058" s="1"/>
  <c r="E2059"/>
  <c r="I2059" s="1"/>
  <c r="K2059" s="1"/>
  <c r="E2060"/>
  <c r="J2060" s="1"/>
  <c r="L2060" s="1"/>
  <c r="E2061"/>
  <c r="I2061" s="1"/>
  <c r="K2061" s="1"/>
  <c r="E2062"/>
  <c r="J2062" s="1"/>
  <c r="L2062" s="1"/>
  <c r="E2063"/>
  <c r="I2063" s="1"/>
  <c r="K2063" s="1"/>
  <c r="E2064"/>
  <c r="J2064" s="1"/>
  <c r="L2064" s="1"/>
  <c r="E2065"/>
  <c r="I2065" s="1"/>
  <c r="K2065" s="1"/>
  <c r="E2067"/>
  <c r="J2067" s="1"/>
  <c r="L2067" s="1"/>
  <c r="E2068"/>
  <c r="I2068" s="1"/>
  <c r="K2068" s="1"/>
  <c r="E2069"/>
  <c r="J2069" s="1"/>
  <c r="L2069" s="1"/>
  <c r="E2070"/>
  <c r="I2070" s="1"/>
  <c r="K2070" s="1"/>
  <c r="E2071"/>
  <c r="J2071" s="1"/>
  <c r="L2071" s="1"/>
  <c r="E2072"/>
  <c r="I2072" s="1"/>
  <c r="K2072" s="1"/>
  <c r="E2073"/>
  <c r="J2073" s="1"/>
  <c r="L2073" s="1"/>
  <c r="E2074"/>
  <c r="I2074" s="1"/>
  <c r="K2074" s="1"/>
  <c r="E2075"/>
  <c r="J2075" s="1"/>
  <c r="L2075" s="1"/>
  <c r="E2076"/>
  <c r="I2076" s="1"/>
  <c r="K2076" s="1"/>
  <c r="E2078"/>
  <c r="J2078" s="1"/>
  <c r="L2078" s="1"/>
  <c r="E2079"/>
  <c r="I2079" s="1"/>
  <c r="K2079" s="1"/>
  <c r="E2080"/>
  <c r="J2080" s="1"/>
  <c r="L2080" s="1"/>
  <c r="E2081"/>
  <c r="I2081" s="1"/>
  <c r="K2081" s="1"/>
  <c r="E2082"/>
  <c r="J2082" s="1"/>
  <c r="L2082" s="1"/>
  <c r="E2083"/>
  <c r="I2083" s="1"/>
  <c r="K2083" s="1"/>
  <c r="E2084"/>
  <c r="J2084" s="1"/>
  <c r="L2084" s="1"/>
  <c r="E2085"/>
  <c r="I2085" s="1"/>
  <c r="K2085" s="1"/>
  <c r="E2086"/>
  <c r="J2086" s="1"/>
  <c r="L2086" s="1"/>
  <c r="E2087"/>
  <c r="I2087" s="1"/>
  <c r="K2087" s="1"/>
  <c r="E2089"/>
  <c r="J2089" s="1"/>
  <c r="L2089" s="1"/>
  <c r="E2090"/>
  <c r="I2090" s="1"/>
  <c r="K2090" s="1"/>
  <c r="E2091"/>
  <c r="J2091" s="1"/>
  <c r="L2091" s="1"/>
  <c r="E2092"/>
  <c r="I2092" s="1"/>
  <c r="K2092" s="1"/>
  <c r="E2093"/>
  <c r="J2093" s="1"/>
  <c r="L2093" s="1"/>
  <c r="E2094"/>
  <c r="I2094" s="1"/>
  <c r="K2094" s="1"/>
  <c r="E2095"/>
  <c r="J2095" s="1"/>
  <c r="L2095" s="1"/>
  <c r="E2096"/>
  <c r="I2096" s="1"/>
  <c r="K2096" s="1"/>
  <c r="E2097"/>
  <c r="J2097" s="1"/>
  <c r="L2097" s="1"/>
  <c r="E2098"/>
  <c r="I2098" s="1"/>
  <c r="K2098" s="1"/>
  <c r="E2100"/>
  <c r="J2100" s="1"/>
  <c r="L2100" s="1"/>
  <c r="E2101"/>
  <c r="I2101" s="1"/>
  <c r="K2101" s="1"/>
  <c r="E2102"/>
  <c r="J2102" s="1"/>
  <c r="L2102" s="1"/>
  <c r="E2103"/>
  <c r="I2103" s="1"/>
  <c r="K2103" s="1"/>
  <c r="E2104"/>
  <c r="J2104" s="1"/>
  <c r="L2104" s="1"/>
  <c r="E2105"/>
  <c r="I2105" s="1"/>
  <c r="K2105" s="1"/>
  <c r="E2106"/>
  <c r="J2106" s="1"/>
  <c r="L2106" s="1"/>
  <c r="E2107"/>
  <c r="I2107" s="1"/>
  <c r="K2107" s="1"/>
  <c r="E2108"/>
  <c r="J2108" s="1"/>
  <c r="L2108" s="1"/>
  <c r="E2109"/>
  <c r="I2109" s="1"/>
  <c r="K2109" s="1"/>
  <c r="E2111"/>
  <c r="J2111" s="1"/>
  <c r="L2111" s="1"/>
  <c r="E2112"/>
  <c r="I2112" s="1"/>
  <c r="K2112" s="1"/>
  <c r="E2113"/>
  <c r="J2113" s="1"/>
  <c r="L2113" s="1"/>
  <c r="E2114"/>
  <c r="I2114" s="1"/>
  <c r="K2114" s="1"/>
  <c r="E2115"/>
  <c r="J2115" s="1"/>
  <c r="L2115" s="1"/>
  <c r="E2116"/>
  <c r="I2116" s="1"/>
  <c r="K2116" s="1"/>
  <c r="E2117"/>
  <c r="J2117" s="1"/>
  <c r="L2117" s="1"/>
  <c r="E2118"/>
  <c r="I2118" s="1"/>
  <c r="K2118" s="1"/>
  <c r="E2119"/>
  <c r="J2119" s="1"/>
  <c r="L2119" s="1"/>
  <c r="E2120"/>
  <c r="I2120" s="1"/>
  <c r="K2120" s="1"/>
  <c r="E2122"/>
  <c r="J2122" s="1"/>
  <c r="L2122" s="1"/>
  <c r="E2123"/>
  <c r="I2123" s="1"/>
  <c r="K2123" s="1"/>
  <c r="E2124"/>
  <c r="J2124" s="1"/>
  <c r="L2124" s="1"/>
  <c r="E2125"/>
  <c r="I2125" s="1"/>
  <c r="K2125" s="1"/>
  <c r="E2126"/>
  <c r="J2126" s="1"/>
  <c r="L2126" s="1"/>
  <c r="E2127"/>
  <c r="E2128"/>
  <c r="J2128" s="1"/>
  <c r="L2128" s="1"/>
  <c r="E2129"/>
  <c r="D2129" s="1"/>
  <c r="O2129" s="1"/>
  <c r="E2130"/>
  <c r="J2130" s="1"/>
  <c r="L2130" s="1"/>
  <c r="E2131"/>
  <c r="D2131" s="1"/>
  <c r="O2131" s="1"/>
  <c r="E2133"/>
  <c r="J2133" s="1"/>
  <c r="L2133" s="1"/>
  <c r="E2134"/>
  <c r="D2134" s="1"/>
  <c r="E2135"/>
  <c r="J2135" s="1"/>
  <c r="L2135" s="1"/>
  <c r="E2136"/>
  <c r="D2136" s="1"/>
  <c r="E2137"/>
  <c r="J2137" s="1"/>
  <c r="L2137" s="1"/>
  <c r="E2138"/>
  <c r="I2138" s="1"/>
  <c r="K2138" s="1"/>
  <c r="E2139"/>
  <c r="J2139" s="1"/>
  <c r="L2139" s="1"/>
  <c r="E2140"/>
  <c r="I2140" s="1"/>
  <c r="K2140" s="1"/>
  <c r="E2141"/>
  <c r="J2141" s="1"/>
  <c r="L2141" s="1"/>
  <c r="E2142"/>
  <c r="I2142" s="1"/>
  <c r="K2142" s="1"/>
  <c r="E2144"/>
  <c r="J2144" s="1"/>
  <c r="L2144" s="1"/>
  <c r="E2145"/>
  <c r="I2145" s="1"/>
  <c r="K2145" s="1"/>
  <c r="E2146"/>
  <c r="J2146" s="1"/>
  <c r="L2146" s="1"/>
  <c r="E2147"/>
  <c r="I2147" s="1"/>
  <c r="K2147" s="1"/>
  <c r="E2148"/>
  <c r="J2148" s="1"/>
  <c r="L2148" s="1"/>
  <c r="E2149"/>
  <c r="I2149" s="1"/>
  <c r="K2149" s="1"/>
  <c r="E2150"/>
  <c r="J2150" s="1"/>
  <c r="L2150" s="1"/>
  <c r="E2151"/>
  <c r="I2151" s="1"/>
  <c r="K2151" s="1"/>
  <c r="E2152"/>
  <c r="J2152" s="1"/>
  <c r="L2152" s="1"/>
  <c r="E2153"/>
  <c r="E2155"/>
  <c r="J2155" s="1"/>
  <c r="L2155" s="1"/>
  <c r="E2156"/>
  <c r="I2156" s="1"/>
  <c r="K2156" s="1"/>
  <c r="E2157"/>
  <c r="J2157" s="1"/>
  <c r="L2157" s="1"/>
  <c r="E2158"/>
  <c r="I2158" s="1"/>
  <c r="K2158" s="1"/>
  <c r="E2159"/>
  <c r="J2159" s="1"/>
  <c r="L2159" s="1"/>
  <c r="E2160"/>
  <c r="I2160" s="1"/>
  <c r="K2160" s="1"/>
  <c r="E2161"/>
  <c r="J2161" s="1"/>
  <c r="L2161" s="1"/>
  <c r="E2162"/>
  <c r="I2162" s="1"/>
  <c r="K2162" s="1"/>
  <c r="E2163"/>
  <c r="J2163" s="1"/>
  <c r="L2163" s="1"/>
  <c r="E2164"/>
  <c r="I2164" s="1"/>
  <c r="K2164" s="1"/>
  <c r="E2166"/>
  <c r="J2166" s="1"/>
  <c r="L2166" s="1"/>
  <c r="E2167"/>
  <c r="I2167" s="1"/>
  <c r="K2167" s="1"/>
  <c r="E2168"/>
  <c r="J2168" s="1"/>
  <c r="L2168" s="1"/>
  <c r="E2169"/>
  <c r="I2169" s="1"/>
  <c r="K2169" s="1"/>
  <c r="E2170"/>
  <c r="J2170" s="1"/>
  <c r="L2170" s="1"/>
  <c r="E2171"/>
  <c r="I2171" s="1"/>
  <c r="K2171" s="1"/>
  <c r="E2172"/>
  <c r="J2172" s="1"/>
  <c r="L2172" s="1"/>
  <c r="E2173"/>
  <c r="I2173" s="1"/>
  <c r="K2173" s="1"/>
  <c r="E2174"/>
  <c r="J2174" s="1"/>
  <c r="L2174" s="1"/>
  <c r="E2175"/>
  <c r="I2175" s="1"/>
  <c r="K2175" s="1"/>
  <c r="E2177"/>
  <c r="E2178"/>
  <c r="I2178" s="1"/>
  <c r="K2178" s="1"/>
  <c r="E2179"/>
  <c r="E3178" s="1"/>
  <c r="E2180"/>
  <c r="I2180" s="1"/>
  <c r="K2180" s="1"/>
  <c r="E2181"/>
  <c r="E3180" s="1"/>
  <c r="E2182"/>
  <c r="I2182" s="1"/>
  <c r="K2182" s="1"/>
  <c r="E2183"/>
  <c r="E3182" s="1"/>
  <c r="E2184"/>
  <c r="I2184" s="1"/>
  <c r="K2184" s="1"/>
  <c r="E2185"/>
  <c r="E3184" s="1"/>
  <c r="E2186"/>
  <c r="E2188"/>
  <c r="I2188" s="1"/>
  <c r="K2188" s="1"/>
  <c r="E2189"/>
  <c r="D2189" s="1"/>
  <c r="E2190"/>
  <c r="I2190" s="1"/>
  <c r="K2190" s="1"/>
  <c r="E2191"/>
  <c r="D2191" s="1"/>
  <c r="H2191" s="1"/>
  <c r="E2192"/>
  <c r="I2192" s="1"/>
  <c r="K2192" s="1"/>
  <c r="E2193"/>
  <c r="D2193" s="1"/>
  <c r="E2194"/>
  <c r="I2194" s="1"/>
  <c r="K2194" s="1"/>
  <c r="E2195"/>
  <c r="D2195" s="1"/>
  <c r="H2195" s="1"/>
  <c r="E2196"/>
  <c r="I2196" s="1"/>
  <c r="K2196" s="1"/>
  <c r="E2197"/>
  <c r="D2197" s="1"/>
  <c r="E2199"/>
  <c r="I2199" s="1"/>
  <c r="K2199" s="1"/>
  <c r="E2200"/>
  <c r="D2200" s="1"/>
  <c r="H2200" s="1"/>
  <c r="E2201"/>
  <c r="I2201" s="1"/>
  <c r="K2201" s="1"/>
  <c r="E2202"/>
  <c r="D2202" s="1"/>
  <c r="E2203"/>
  <c r="I2203" s="1"/>
  <c r="K2203" s="1"/>
  <c r="E2204"/>
  <c r="D2204" s="1"/>
  <c r="H2204" s="1"/>
  <c r="E2205"/>
  <c r="I2205" s="1"/>
  <c r="K2205" s="1"/>
  <c r="E2206"/>
  <c r="D2206" s="1"/>
  <c r="E2207"/>
  <c r="I2207" s="1"/>
  <c r="K2207" s="1"/>
  <c r="E2208"/>
  <c r="D2208" s="1"/>
  <c r="H2208" s="1"/>
  <c r="E2210"/>
  <c r="I2210" s="1"/>
  <c r="K2210" s="1"/>
  <c r="E2211"/>
  <c r="D2211" s="1"/>
  <c r="E2212"/>
  <c r="I2212" s="1"/>
  <c r="K2212" s="1"/>
  <c r="E2213"/>
  <c r="D2213" s="1"/>
  <c r="H2213" s="1"/>
  <c r="E2214"/>
  <c r="I2214" s="1"/>
  <c r="K2214" s="1"/>
  <c r="E2215"/>
  <c r="D2215" s="1"/>
  <c r="E2216"/>
  <c r="I2216" s="1"/>
  <c r="K2216" s="1"/>
  <c r="E2217"/>
  <c r="D2217" s="1"/>
  <c r="H2217" s="1"/>
  <c r="E2218"/>
  <c r="I2218" s="1"/>
  <c r="K2218" s="1"/>
  <c r="E2219"/>
  <c r="D2219" s="1"/>
  <c r="E2221"/>
  <c r="I2221" s="1"/>
  <c r="K2221" s="1"/>
  <c r="E2222"/>
  <c r="D2222" s="1"/>
  <c r="H2222" s="1"/>
  <c r="E2223"/>
  <c r="I2223" s="1"/>
  <c r="K2223" s="1"/>
  <c r="E2224"/>
  <c r="D2224" s="1"/>
  <c r="E2225"/>
  <c r="I2225" s="1"/>
  <c r="K2225" s="1"/>
  <c r="E2226"/>
  <c r="D2226" s="1"/>
  <c r="H2226" s="1"/>
  <c r="E2227"/>
  <c r="I2227" s="1"/>
  <c r="K2227" s="1"/>
  <c r="E2228"/>
  <c r="D2228" s="1"/>
  <c r="E2229"/>
  <c r="I2229" s="1"/>
  <c r="K2229" s="1"/>
  <c r="E2230"/>
  <c r="D2230" s="1"/>
  <c r="H2230" s="1"/>
  <c r="E2232"/>
  <c r="I2232" s="1"/>
  <c r="K2232" s="1"/>
  <c r="E2233"/>
  <c r="D2233" s="1"/>
  <c r="E2234"/>
  <c r="I2234" s="1"/>
  <c r="K2234" s="1"/>
  <c r="E2235"/>
  <c r="D2235" s="1"/>
  <c r="H2235" s="1"/>
  <c r="E2236"/>
  <c r="I2236" s="1"/>
  <c r="K2236" s="1"/>
  <c r="E2237"/>
  <c r="D2237" s="1"/>
  <c r="E2238"/>
  <c r="I2238" s="1"/>
  <c r="K2238" s="1"/>
  <c r="E2239"/>
  <c r="D2239" s="1"/>
  <c r="H2239" s="1"/>
  <c r="E2240"/>
  <c r="I2240" s="1"/>
  <c r="K2240" s="1"/>
  <c r="E2241"/>
  <c r="D2241" s="1"/>
  <c r="E2243"/>
  <c r="I2243" s="1"/>
  <c r="K2243" s="1"/>
  <c r="E2244"/>
  <c r="D2244" s="1"/>
  <c r="O2244" s="1"/>
  <c r="E2245"/>
  <c r="I2245" s="1"/>
  <c r="K2245" s="1"/>
  <c r="E2246"/>
  <c r="D2246" s="1"/>
  <c r="O2246" s="1"/>
  <c r="E2247"/>
  <c r="I2247" s="1"/>
  <c r="K2247" s="1"/>
  <c r="E2248"/>
  <c r="D2248" s="1"/>
  <c r="O2248" s="1"/>
  <c r="E2249"/>
  <c r="I2249" s="1"/>
  <c r="K2249" s="1"/>
  <c r="E2250"/>
  <c r="D2250" s="1"/>
  <c r="O2250" s="1"/>
  <c r="E2251"/>
  <c r="I2251" s="1"/>
  <c r="K2251" s="1"/>
  <c r="E2252"/>
  <c r="D2252" s="1"/>
  <c r="O2252" s="1"/>
  <c r="E2254"/>
  <c r="I2254" s="1"/>
  <c r="K2254" s="1"/>
  <c r="E2255"/>
  <c r="D2255" s="1"/>
  <c r="O2255" s="1"/>
  <c r="E2256"/>
  <c r="I2256" s="1"/>
  <c r="K2256" s="1"/>
  <c r="E2257"/>
  <c r="D2257" s="1"/>
  <c r="O2257" s="1"/>
  <c r="E2258"/>
  <c r="I2258" s="1"/>
  <c r="K2258" s="1"/>
  <c r="E2259"/>
  <c r="D2259" s="1"/>
  <c r="O2259" s="1"/>
  <c r="E2260"/>
  <c r="I2260" s="1"/>
  <c r="K2260" s="1"/>
  <c r="E2261"/>
  <c r="D2261" s="1"/>
  <c r="O2261" s="1"/>
  <c r="E2262"/>
  <c r="I2262" s="1"/>
  <c r="K2262" s="1"/>
  <c r="E2263"/>
  <c r="D2263" s="1"/>
  <c r="O2263" s="1"/>
  <c r="E2265"/>
  <c r="I2265" s="1"/>
  <c r="K2265" s="1"/>
  <c r="E2266"/>
  <c r="D2266" s="1"/>
  <c r="O2266" s="1"/>
  <c r="E2267"/>
  <c r="I2267" s="1"/>
  <c r="K2267" s="1"/>
  <c r="E2268"/>
  <c r="D2268" s="1"/>
  <c r="O2268" s="1"/>
  <c r="E2269"/>
  <c r="I2269" s="1"/>
  <c r="K2269" s="1"/>
  <c r="E2270"/>
  <c r="D2270" s="1"/>
  <c r="O2270" s="1"/>
  <c r="E2271"/>
  <c r="I2271" s="1"/>
  <c r="K2271" s="1"/>
  <c r="E2272"/>
  <c r="D2272" s="1"/>
  <c r="O2272" s="1"/>
  <c r="E2273"/>
  <c r="D2273" s="1"/>
  <c r="O2273" s="1"/>
  <c r="E2274"/>
  <c r="D2274" s="1"/>
  <c r="O2274" s="1"/>
  <c r="E2276"/>
  <c r="D2276" s="1"/>
  <c r="O2276" s="1"/>
  <c r="E2277"/>
  <c r="D2277" s="1"/>
  <c r="O2277" s="1"/>
  <c r="E2278"/>
  <c r="D2278" s="1"/>
  <c r="O2278" s="1"/>
  <c r="E2279"/>
  <c r="D2279" s="1"/>
  <c r="O2279" s="1"/>
  <c r="E2280"/>
  <c r="D2280" s="1"/>
  <c r="O2280" s="1"/>
  <c r="E2281"/>
  <c r="D2281" s="1"/>
  <c r="O2281" s="1"/>
  <c r="E2282"/>
  <c r="I2282" s="1"/>
  <c r="K2282" s="1"/>
  <c r="E2283"/>
  <c r="D2283" s="1"/>
  <c r="O2283" s="1"/>
  <c r="E2284"/>
  <c r="I2284" s="1"/>
  <c r="K2284" s="1"/>
  <c r="E2285"/>
  <c r="D2285" s="1"/>
  <c r="O2285" s="1"/>
  <c r="E2287"/>
  <c r="D2287" s="1"/>
  <c r="O2287" s="1"/>
  <c r="E2288"/>
  <c r="J2288" s="1"/>
  <c r="L2288" s="1"/>
  <c r="E2289"/>
  <c r="D2289" s="1"/>
  <c r="O2289" s="1"/>
  <c r="E2290"/>
  <c r="J2290" s="1"/>
  <c r="L2290" s="1"/>
  <c r="E2291"/>
  <c r="D2291" s="1"/>
  <c r="O2291" s="1"/>
  <c r="E2292"/>
  <c r="J2292" s="1"/>
  <c r="L2292" s="1"/>
  <c r="E2293"/>
  <c r="J2293" s="1"/>
  <c r="L2293" s="1"/>
  <c r="E2294"/>
  <c r="D2294" s="1"/>
  <c r="O2294" s="1"/>
  <c r="E2295"/>
  <c r="J2295" s="1"/>
  <c r="L2295" s="1"/>
  <c r="E2296"/>
  <c r="D2296" s="1"/>
  <c r="O2296" s="1"/>
  <c r="E2298"/>
  <c r="J2298" s="1"/>
  <c r="L2298" s="1"/>
  <c r="E2299"/>
  <c r="D2299" s="1"/>
  <c r="O2299" s="1"/>
  <c r="E2300"/>
  <c r="J2300" s="1"/>
  <c r="L2300" s="1"/>
  <c r="E2301"/>
  <c r="D2301" s="1"/>
  <c r="O2301" s="1"/>
  <c r="E2302"/>
  <c r="J2302" s="1"/>
  <c r="L2302" s="1"/>
  <c r="E2303"/>
  <c r="D2303" s="1"/>
  <c r="O2303" s="1"/>
  <c r="E2304"/>
  <c r="J2304" s="1"/>
  <c r="L2304" s="1"/>
  <c r="E2305"/>
  <c r="D2305" s="1"/>
  <c r="O2305" s="1"/>
  <c r="E2306"/>
  <c r="J2306" s="1"/>
  <c r="L2306" s="1"/>
  <c r="E2307"/>
  <c r="D2307" s="1"/>
  <c r="O2307" s="1"/>
  <c r="E2309"/>
  <c r="J2309" s="1"/>
  <c r="L2309" s="1"/>
  <c r="E2310"/>
  <c r="D2310" s="1"/>
  <c r="O2310" s="1"/>
  <c r="E2311"/>
  <c r="J2311" s="1"/>
  <c r="L2311" s="1"/>
  <c r="E2312"/>
  <c r="D2312" s="1"/>
  <c r="O2312" s="1"/>
  <c r="E2313"/>
  <c r="J2313" s="1"/>
  <c r="L2313" s="1"/>
  <c r="E2314"/>
  <c r="D2314" s="1"/>
  <c r="O2314" s="1"/>
  <c r="E2315"/>
  <c r="J2315" s="1"/>
  <c r="L2315" s="1"/>
  <c r="E2316"/>
  <c r="D2316" s="1"/>
  <c r="O2316" s="1"/>
  <c r="E2317"/>
  <c r="J2317" s="1"/>
  <c r="L2317" s="1"/>
  <c r="E2318"/>
  <c r="D2318" s="1"/>
  <c r="O2318" s="1"/>
  <c r="E2320"/>
  <c r="J2320" s="1"/>
  <c r="L2320" s="1"/>
  <c r="E2321"/>
  <c r="D2321" s="1"/>
  <c r="O2321" s="1"/>
  <c r="E2322"/>
  <c r="J2322" s="1"/>
  <c r="L2322" s="1"/>
  <c r="E2323"/>
  <c r="D2323" s="1"/>
  <c r="O2323" s="1"/>
  <c r="E2324"/>
  <c r="J2324" s="1"/>
  <c r="L2324" s="1"/>
  <c r="E2325"/>
  <c r="D2325" s="1"/>
  <c r="O2325" s="1"/>
  <c r="E2326"/>
  <c r="J2326" s="1"/>
  <c r="L2326" s="1"/>
  <c r="E2327"/>
  <c r="D2327" s="1"/>
  <c r="O2327" s="1"/>
  <c r="E2328"/>
  <c r="J2328" s="1"/>
  <c r="L2328" s="1"/>
  <c r="E2329"/>
  <c r="D2329" s="1"/>
  <c r="O2329" s="1"/>
  <c r="E2331"/>
  <c r="J2331" s="1"/>
  <c r="L2331" s="1"/>
  <c r="E2332"/>
  <c r="D2332" s="1"/>
  <c r="O2332" s="1"/>
  <c r="E2333"/>
  <c r="J2333" s="1"/>
  <c r="L2333" s="1"/>
  <c r="E2334"/>
  <c r="D2334" s="1"/>
  <c r="O2334" s="1"/>
  <c r="E2335"/>
  <c r="J2335" s="1"/>
  <c r="L2335" s="1"/>
  <c r="E2336"/>
  <c r="D2336" s="1"/>
  <c r="O2336" s="1"/>
  <c r="E2337"/>
  <c r="J2337" s="1"/>
  <c r="L2337" s="1"/>
  <c r="E2338"/>
  <c r="D2338" s="1"/>
  <c r="O2338" s="1"/>
  <c r="E2339"/>
  <c r="J2339" s="1"/>
  <c r="L2339" s="1"/>
  <c r="E2340"/>
  <c r="D2340" s="1"/>
  <c r="O2340" s="1"/>
  <c r="E2342"/>
  <c r="J2342" s="1"/>
  <c r="L2342" s="1"/>
  <c r="E2343"/>
  <c r="D2343" s="1"/>
  <c r="O2343" s="1"/>
  <c r="E2344"/>
  <c r="J2344" s="1"/>
  <c r="L2344" s="1"/>
  <c r="E2345"/>
  <c r="D2345" s="1"/>
  <c r="O2345" s="1"/>
  <c r="E2346"/>
  <c r="J2346" s="1"/>
  <c r="L2346" s="1"/>
  <c r="E2347"/>
  <c r="D2347" s="1"/>
  <c r="O2347" s="1"/>
  <c r="E2348"/>
  <c r="J2348" s="1"/>
  <c r="L2348" s="1"/>
  <c r="E2349"/>
  <c r="D2349" s="1"/>
  <c r="O2349" s="1"/>
  <c r="E2350"/>
  <c r="J2350" s="1"/>
  <c r="L2350" s="1"/>
  <c r="E2351"/>
  <c r="D2351" s="1"/>
  <c r="O2351" s="1"/>
  <c r="E2353"/>
  <c r="J2353" s="1"/>
  <c r="L2353" s="1"/>
  <c r="E2354"/>
  <c r="D2354" s="1"/>
  <c r="O2354" s="1"/>
  <c r="E2355"/>
  <c r="J2355" s="1"/>
  <c r="L2355" s="1"/>
  <c r="E2356"/>
  <c r="D2356" s="1"/>
  <c r="O2356" s="1"/>
  <c r="E2357"/>
  <c r="J2357" s="1"/>
  <c r="L2357" s="1"/>
  <c r="E2358"/>
  <c r="D2358" s="1"/>
  <c r="O2358" s="1"/>
  <c r="E2359"/>
  <c r="J2359" s="1"/>
  <c r="L2359" s="1"/>
  <c r="E2360"/>
  <c r="D2360" s="1"/>
  <c r="O2360" s="1"/>
  <c r="E2361"/>
  <c r="J2361" s="1"/>
  <c r="L2361" s="1"/>
  <c r="E2362"/>
  <c r="D2362" s="1"/>
  <c r="O2362" s="1"/>
  <c r="E2364"/>
  <c r="J2364" s="1"/>
  <c r="L2364" s="1"/>
  <c r="E2365"/>
  <c r="D2365" s="1"/>
  <c r="O2365" s="1"/>
  <c r="E2366"/>
  <c r="J2366" s="1"/>
  <c r="L2366" s="1"/>
  <c r="E2367"/>
  <c r="D2367" s="1"/>
  <c r="O2367" s="1"/>
  <c r="E2368"/>
  <c r="J2368" s="1"/>
  <c r="L2368" s="1"/>
  <c r="E2369"/>
  <c r="D2369" s="1"/>
  <c r="O2369" s="1"/>
  <c r="E2370"/>
  <c r="J2370" s="1"/>
  <c r="L2370" s="1"/>
  <c r="E2371"/>
  <c r="D2371" s="1"/>
  <c r="O2371" s="1"/>
  <c r="E2372"/>
  <c r="J2372" s="1"/>
  <c r="L2372" s="1"/>
  <c r="E2373"/>
  <c r="D2373" s="1"/>
  <c r="O2373" s="1"/>
  <c r="E2375"/>
  <c r="J2375" s="1"/>
  <c r="L2375" s="1"/>
  <c r="E2376"/>
  <c r="D2376" s="1"/>
  <c r="O2376" s="1"/>
  <c r="E2377"/>
  <c r="J2377" s="1"/>
  <c r="L2377" s="1"/>
  <c r="E2378"/>
  <c r="D2378" s="1"/>
  <c r="O2378" s="1"/>
  <c r="E2379"/>
  <c r="J2379" s="1"/>
  <c r="L2379" s="1"/>
  <c r="E2380"/>
  <c r="D2380" s="1"/>
  <c r="O2380" s="1"/>
  <c r="E2381"/>
  <c r="J2381" s="1"/>
  <c r="L2381" s="1"/>
  <c r="E2382"/>
  <c r="D2382" s="1"/>
  <c r="O2382" s="1"/>
  <c r="E2383"/>
  <c r="J2383" s="1"/>
  <c r="L2383" s="1"/>
  <c r="E2384"/>
  <c r="D2384" s="1"/>
  <c r="O2384" s="1"/>
  <c r="E2386"/>
  <c r="J2386" s="1"/>
  <c r="L2386" s="1"/>
  <c r="E2387"/>
  <c r="D2387" s="1"/>
  <c r="O2387" s="1"/>
  <c r="E2388"/>
  <c r="J2388" s="1"/>
  <c r="L2388" s="1"/>
  <c r="E2389"/>
  <c r="D2389" s="1"/>
  <c r="O2389" s="1"/>
  <c r="E2390"/>
  <c r="J2390" s="1"/>
  <c r="L2390" s="1"/>
  <c r="E2391"/>
  <c r="D2391" s="1"/>
  <c r="O2391" s="1"/>
  <c r="E2392"/>
  <c r="J2392" s="1"/>
  <c r="L2392" s="1"/>
  <c r="E2393"/>
  <c r="D2393" s="1"/>
  <c r="O2393" s="1"/>
  <c r="E2394"/>
  <c r="J2394" s="1"/>
  <c r="L2394" s="1"/>
  <c r="E2395"/>
  <c r="D2395" s="1"/>
  <c r="O2395" s="1"/>
  <c r="E2397"/>
  <c r="J2397" s="1"/>
  <c r="L2397" s="1"/>
  <c r="E2398"/>
  <c r="D2398" s="1"/>
  <c r="O2398" s="1"/>
  <c r="E2399"/>
  <c r="J2399" s="1"/>
  <c r="L2399" s="1"/>
  <c r="E2400"/>
  <c r="D2400" s="1"/>
  <c r="O2400" s="1"/>
  <c r="E2401"/>
  <c r="J2401" s="1"/>
  <c r="L2401" s="1"/>
  <c r="E2402"/>
  <c r="D2402" s="1"/>
  <c r="O2402" s="1"/>
  <c r="E2403"/>
  <c r="J2403" s="1"/>
  <c r="L2403" s="1"/>
  <c r="E2404"/>
  <c r="D2404" s="1"/>
  <c r="O2404" s="1"/>
  <c r="E2405"/>
  <c r="J2405" s="1"/>
  <c r="L2405" s="1"/>
  <c r="E2406"/>
  <c r="D2406" s="1"/>
  <c r="O2406" s="1"/>
  <c r="E2408"/>
  <c r="J2408" s="1"/>
  <c r="L2408" s="1"/>
  <c r="E2409"/>
  <c r="D2409" s="1"/>
  <c r="O2409" s="1"/>
  <c r="E2410"/>
  <c r="J2410" s="1"/>
  <c r="L2410" s="1"/>
  <c r="E2411"/>
  <c r="J2411" s="1"/>
  <c r="L2411" s="1"/>
  <c r="E2412"/>
  <c r="J2412" s="1"/>
  <c r="L2412" s="1"/>
  <c r="E2413"/>
  <c r="J2413" s="1"/>
  <c r="L2413" s="1"/>
  <c r="E2414"/>
  <c r="J2414" s="1"/>
  <c r="L2414" s="1"/>
  <c r="E2415"/>
  <c r="J2415" s="1"/>
  <c r="L2415" s="1"/>
  <c r="E2416"/>
  <c r="J2416" s="1"/>
  <c r="L2416" s="1"/>
  <c r="E2417"/>
  <c r="J2417" s="1"/>
  <c r="L2417" s="1"/>
  <c r="VD3"/>
  <c r="D2127"/>
  <c r="H2127" s="1"/>
  <c r="I2153"/>
  <c r="K2153" s="1"/>
  <c r="E3328"/>
  <c r="D2410"/>
  <c r="O2410" s="1"/>
  <c r="E2007"/>
  <c r="J1" i="1"/>
  <c r="K1"/>
  <c r="C38" i="2"/>
  <c r="G36"/>
  <c r="L1" i="1" s="1"/>
  <c r="F2011" i="2" l="1"/>
  <c r="G2132"/>
  <c r="H2154"/>
  <c r="F2022"/>
  <c r="H2022"/>
  <c r="H2121"/>
  <c r="L2220"/>
  <c r="E3219"/>
  <c r="J2220"/>
  <c r="Q2220" s="1"/>
  <c r="H2198"/>
  <c r="K2198"/>
  <c r="F2198"/>
  <c r="G2198"/>
  <c r="I2187"/>
  <c r="K2187" s="1"/>
  <c r="F2165"/>
  <c r="I2165"/>
  <c r="E3164"/>
  <c r="D3164" s="1"/>
  <c r="O3164" s="1"/>
  <c r="F2231"/>
  <c r="G2231"/>
  <c r="H2187"/>
  <c r="G2187"/>
  <c r="F2187"/>
  <c r="G2176"/>
  <c r="I2176"/>
  <c r="K2176" s="1"/>
  <c r="Q2022"/>
  <c r="I3021"/>
  <c r="P3021" s="1"/>
  <c r="D3010"/>
  <c r="O3010" s="1"/>
  <c r="G3010"/>
  <c r="F3010"/>
  <c r="K2143"/>
  <c r="J3142"/>
  <c r="Q3142" s="1"/>
  <c r="P2143"/>
  <c r="K2132"/>
  <c r="J3131"/>
  <c r="Q3131" s="1"/>
  <c r="P2132"/>
  <c r="D3131"/>
  <c r="O3131" s="1"/>
  <c r="F3131"/>
  <c r="G3131"/>
  <c r="H3131"/>
  <c r="L3131"/>
  <c r="J3120"/>
  <c r="Q3120" s="1"/>
  <c r="P2121"/>
  <c r="L2110"/>
  <c r="Q2110"/>
  <c r="I3109"/>
  <c r="P3109" s="1"/>
  <c r="K2110"/>
  <c r="J3109"/>
  <c r="Q3109" s="1"/>
  <c r="P2110"/>
  <c r="K2099"/>
  <c r="J3098"/>
  <c r="Q3098" s="1"/>
  <c r="P2099"/>
  <c r="L2099"/>
  <c r="Q2099"/>
  <c r="I3098"/>
  <c r="P3098" s="1"/>
  <c r="L2088"/>
  <c r="Q2088"/>
  <c r="I3087"/>
  <c r="P3087" s="1"/>
  <c r="D3087"/>
  <c r="O3087" s="1"/>
  <c r="G3087"/>
  <c r="F3087"/>
  <c r="K3087"/>
  <c r="K2088"/>
  <c r="J3087"/>
  <c r="Q3087" s="1"/>
  <c r="P2088"/>
  <c r="L2077"/>
  <c r="Q2077"/>
  <c r="I3076"/>
  <c r="P3076" s="1"/>
  <c r="G3076"/>
  <c r="F3076"/>
  <c r="D3076"/>
  <c r="O3076" s="1"/>
  <c r="K3076"/>
  <c r="D3054"/>
  <c r="O3054" s="1"/>
  <c r="F3054"/>
  <c r="G3054"/>
  <c r="H3054"/>
  <c r="D3043"/>
  <c r="O3043" s="1"/>
  <c r="G3043"/>
  <c r="H3043"/>
  <c r="F3043"/>
  <c r="Q2044"/>
  <c r="I3043"/>
  <c r="P3043" s="1"/>
  <c r="J3043"/>
  <c r="Q3043" s="1"/>
  <c r="P2044"/>
  <c r="D3032"/>
  <c r="O3032" s="1"/>
  <c r="G3032"/>
  <c r="F3032"/>
  <c r="D3021"/>
  <c r="O3021" s="1"/>
  <c r="G3021"/>
  <c r="F3021"/>
  <c r="K3021"/>
  <c r="J3021"/>
  <c r="Q3021" s="1"/>
  <c r="P2022"/>
  <c r="Q2011"/>
  <c r="I3010"/>
  <c r="P3010" s="1"/>
  <c r="P2011"/>
  <c r="J3010"/>
  <c r="Q3010" s="1"/>
  <c r="L2143"/>
  <c r="I3142"/>
  <c r="P3142" s="1"/>
  <c r="Q2143"/>
  <c r="F3142"/>
  <c r="D3142"/>
  <c r="O3142" s="1"/>
  <c r="G3142"/>
  <c r="H3142"/>
  <c r="L3142"/>
  <c r="L2132"/>
  <c r="Q2132"/>
  <c r="I3131"/>
  <c r="P3131" s="1"/>
  <c r="L2121"/>
  <c r="Q2121"/>
  <c r="I3120"/>
  <c r="P3120" s="1"/>
  <c r="D3120"/>
  <c r="O3120" s="1"/>
  <c r="G3120"/>
  <c r="H3120"/>
  <c r="L3120"/>
  <c r="F3120"/>
  <c r="K3120"/>
  <c r="D3109"/>
  <c r="O3109" s="1"/>
  <c r="G3109"/>
  <c r="H3109"/>
  <c r="F3109"/>
  <c r="L3109"/>
  <c r="K3109"/>
  <c r="D3098"/>
  <c r="O3098" s="1"/>
  <c r="G3098"/>
  <c r="F3098"/>
  <c r="K3098"/>
  <c r="L3098"/>
  <c r="P2077"/>
  <c r="J3076"/>
  <c r="Q3076" s="1"/>
  <c r="L2066"/>
  <c r="Q2066"/>
  <c r="I3065"/>
  <c r="P3065" s="1"/>
  <c r="J3065"/>
  <c r="Q3065" s="1"/>
  <c r="P2066"/>
  <c r="D3065"/>
  <c r="O3065" s="1"/>
  <c r="G3065"/>
  <c r="F3065"/>
  <c r="K3065"/>
  <c r="L2055"/>
  <c r="Q2055"/>
  <c r="I3054"/>
  <c r="P3054" s="1"/>
  <c r="P2055"/>
  <c r="J3054"/>
  <c r="Q3054" s="1"/>
  <c r="L2033"/>
  <c r="Q2033"/>
  <c r="I3032"/>
  <c r="P3032" s="1"/>
  <c r="P2033"/>
  <c r="J3032"/>
  <c r="Q3032" s="1"/>
  <c r="L2022"/>
  <c r="G2033"/>
  <c r="F2033"/>
  <c r="H2011"/>
  <c r="H2143"/>
  <c r="F2143"/>
  <c r="K2121"/>
  <c r="G2121"/>
  <c r="G2099"/>
  <c r="F2099"/>
  <c r="F2077"/>
  <c r="G2077"/>
  <c r="K2044"/>
  <c r="H2033"/>
  <c r="H3230"/>
  <c r="F3230"/>
  <c r="D3230"/>
  <c r="O3230" s="1"/>
  <c r="L3230"/>
  <c r="G3230"/>
  <c r="I3230"/>
  <c r="P3230" s="1"/>
  <c r="Q2231"/>
  <c r="P2231"/>
  <c r="J3230"/>
  <c r="Q3230" s="1"/>
  <c r="J3219"/>
  <c r="Q3219" s="1"/>
  <c r="P2220"/>
  <c r="D3197"/>
  <c r="O3197" s="1"/>
  <c r="F3197"/>
  <c r="G3197"/>
  <c r="H3197"/>
  <c r="I3197"/>
  <c r="P3197" s="1"/>
  <c r="Q2198"/>
  <c r="P2198"/>
  <c r="J3197"/>
  <c r="Q3197" s="1"/>
  <c r="G3186"/>
  <c r="F3186"/>
  <c r="D3186"/>
  <c r="O3186" s="1"/>
  <c r="P2176"/>
  <c r="J3175"/>
  <c r="Q3175" s="1"/>
  <c r="D3175"/>
  <c r="O3175" s="1"/>
  <c r="G3175"/>
  <c r="F3175"/>
  <c r="L3175"/>
  <c r="P2165"/>
  <c r="J3164"/>
  <c r="Q3164" s="1"/>
  <c r="G3164"/>
  <c r="F3164"/>
  <c r="K2154"/>
  <c r="P2154"/>
  <c r="J3153"/>
  <c r="Q3153" s="1"/>
  <c r="D3153"/>
  <c r="O3153" s="1"/>
  <c r="G3153"/>
  <c r="H3153"/>
  <c r="F3153"/>
  <c r="H3219"/>
  <c r="G3219"/>
  <c r="K3219"/>
  <c r="D3219"/>
  <c r="O3219" s="1"/>
  <c r="F3219"/>
  <c r="I3219"/>
  <c r="P3219" s="1"/>
  <c r="P2209"/>
  <c r="J3208"/>
  <c r="Q3208" s="1"/>
  <c r="I3208"/>
  <c r="P3208" s="1"/>
  <c r="Q2209"/>
  <c r="D3208"/>
  <c r="O3208" s="1"/>
  <c r="K3208"/>
  <c r="F3208"/>
  <c r="L3208"/>
  <c r="G3208"/>
  <c r="P2187"/>
  <c r="J3186"/>
  <c r="Q3186" s="1"/>
  <c r="I3186"/>
  <c r="P3186" s="1"/>
  <c r="Q2187"/>
  <c r="Q2176"/>
  <c r="I3175"/>
  <c r="P3175" s="1"/>
  <c r="I3164"/>
  <c r="P3164" s="1"/>
  <c r="Q2165"/>
  <c r="L2154"/>
  <c r="Q2154"/>
  <c r="I3153"/>
  <c r="P3153" s="1"/>
  <c r="R14"/>
  <c r="R13"/>
  <c r="R15"/>
  <c r="R17"/>
  <c r="R19"/>
  <c r="R12"/>
  <c r="R16"/>
  <c r="R18"/>
  <c r="E3399"/>
  <c r="E3293"/>
  <c r="E3364"/>
  <c r="E3311"/>
  <c r="E3381"/>
  <c r="E3346"/>
  <c r="D2411"/>
  <c r="O2411" s="1"/>
  <c r="E3408"/>
  <c r="E3390"/>
  <c r="E3372"/>
  <c r="E3355"/>
  <c r="E3337"/>
  <c r="E3320"/>
  <c r="E3302"/>
  <c r="D2415"/>
  <c r="O2415" s="1"/>
  <c r="E3403"/>
  <c r="E3394"/>
  <c r="E3386"/>
  <c r="E3377"/>
  <c r="E3368"/>
  <c r="E3359"/>
  <c r="E3350"/>
  <c r="E3342"/>
  <c r="E3333"/>
  <c r="E3324"/>
  <c r="E3315"/>
  <c r="E3306"/>
  <c r="E3298"/>
  <c r="D2417"/>
  <c r="O2417" s="1"/>
  <c r="D2413"/>
  <c r="O2413" s="1"/>
  <c r="E3405"/>
  <c r="E3401"/>
  <c r="E3397"/>
  <c r="E3392"/>
  <c r="E3388"/>
  <c r="E3383"/>
  <c r="E3379"/>
  <c r="E3375"/>
  <c r="E3370"/>
  <c r="E3366"/>
  <c r="E3361"/>
  <c r="E3357"/>
  <c r="E3353"/>
  <c r="E3348"/>
  <c r="E3344"/>
  <c r="E3339"/>
  <c r="E3335"/>
  <c r="E3331"/>
  <c r="E3326"/>
  <c r="E3322"/>
  <c r="E3317"/>
  <c r="E3313"/>
  <c r="E3309"/>
  <c r="E3304"/>
  <c r="E3300"/>
  <c r="E3295"/>
  <c r="I2417"/>
  <c r="I2415"/>
  <c r="K2415" s="1"/>
  <c r="I2413"/>
  <c r="I2411"/>
  <c r="K2411" s="1"/>
  <c r="J2409"/>
  <c r="J2406"/>
  <c r="L2406" s="1"/>
  <c r="J2404"/>
  <c r="J2402"/>
  <c r="L2402" s="1"/>
  <c r="J2400"/>
  <c r="J2398"/>
  <c r="L2398" s="1"/>
  <c r="J2395"/>
  <c r="J2393"/>
  <c r="L2393" s="1"/>
  <c r="J2391"/>
  <c r="J2389"/>
  <c r="L2389" s="1"/>
  <c r="J2387"/>
  <c r="J2384"/>
  <c r="L2384" s="1"/>
  <c r="J2382"/>
  <c r="J2380"/>
  <c r="L2380" s="1"/>
  <c r="J2378"/>
  <c r="J2376"/>
  <c r="L2376" s="1"/>
  <c r="J2373"/>
  <c r="J2371"/>
  <c r="L2371" s="1"/>
  <c r="J2369"/>
  <c r="J2367"/>
  <c r="L2367" s="1"/>
  <c r="J2365"/>
  <c r="J2362"/>
  <c r="L2362" s="1"/>
  <c r="J2360"/>
  <c r="J2358"/>
  <c r="L2358" s="1"/>
  <c r="J2356"/>
  <c r="J2354"/>
  <c r="L2354" s="1"/>
  <c r="J2351"/>
  <c r="J2349"/>
  <c r="L2349" s="1"/>
  <c r="J2347"/>
  <c r="J2345"/>
  <c r="L2345" s="1"/>
  <c r="J2343"/>
  <c r="J2340"/>
  <c r="L2340" s="1"/>
  <c r="J2338"/>
  <c r="J2336"/>
  <c r="L2336" s="1"/>
  <c r="J2334"/>
  <c r="J2332"/>
  <c r="L2332" s="1"/>
  <c r="J2329"/>
  <c r="J2327"/>
  <c r="L2327" s="1"/>
  <c r="J2325"/>
  <c r="J2323"/>
  <c r="L2323" s="1"/>
  <c r="J2321"/>
  <c r="J2318"/>
  <c r="L2318" s="1"/>
  <c r="J2316"/>
  <c r="J2314"/>
  <c r="L2314" s="1"/>
  <c r="J2312"/>
  <c r="J2310"/>
  <c r="L2310" s="1"/>
  <c r="J2307"/>
  <c r="J2305"/>
  <c r="L2305" s="1"/>
  <c r="J2303"/>
  <c r="J2301"/>
  <c r="L2301" s="1"/>
  <c r="J2299"/>
  <c r="J2296"/>
  <c r="L2296" s="1"/>
  <c r="J2294"/>
  <c r="I2001"/>
  <c r="D2292"/>
  <c r="O2292" s="1"/>
  <c r="I2292"/>
  <c r="K2292" s="1"/>
  <c r="D2290"/>
  <c r="O2290" s="1"/>
  <c r="I2290"/>
  <c r="K2290" s="1"/>
  <c r="D2288"/>
  <c r="O2288" s="1"/>
  <c r="I2288"/>
  <c r="K2288" s="1"/>
  <c r="I2285"/>
  <c r="J2285"/>
  <c r="L2285" s="1"/>
  <c r="I2283"/>
  <c r="J2283"/>
  <c r="L2283" s="1"/>
  <c r="I2281"/>
  <c r="J2281"/>
  <c r="L2281" s="1"/>
  <c r="I2279"/>
  <c r="J2279"/>
  <c r="L2279" s="1"/>
  <c r="I2277"/>
  <c r="J2277"/>
  <c r="L2277" s="1"/>
  <c r="I2274"/>
  <c r="J2274"/>
  <c r="L2274" s="1"/>
  <c r="I2272"/>
  <c r="J2272"/>
  <c r="L2272" s="1"/>
  <c r="I2270"/>
  <c r="J2270"/>
  <c r="L2270" s="1"/>
  <c r="I2268"/>
  <c r="J2268"/>
  <c r="L2268" s="1"/>
  <c r="I2266"/>
  <c r="J2266"/>
  <c r="L2266" s="1"/>
  <c r="I2263"/>
  <c r="J2263"/>
  <c r="L2263" s="1"/>
  <c r="I2261"/>
  <c r="J2261"/>
  <c r="L2261" s="1"/>
  <c r="I2259"/>
  <c r="J2259"/>
  <c r="L2259" s="1"/>
  <c r="I2257"/>
  <c r="J2257"/>
  <c r="L2257" s="1"/>
  <c r="I2255"/>
  <c r="J2255"/>
  <c r="L2255" s="1"/>
  <c r="I2252"/>
  <c r="J2252"/>
  <c r="L2252" s="1"/>
  <c r="I2250"/>
  <c r="J2250"/>
  <c r="L2250" s="1"/>
  <c r="I2248"/>
  <c r="J2248"/>
  <c r="L2248" s="1"/>
  <c r="I2246"/>
  <c r="J2246"/>
  <c r="L2246" s="1"/>
  <c r="I2244"/>
  <c r="J2244"/>
  <c r="L2244" s="1"/>
  <c r="I2241"/>
  <c r="J2241"/>
  <c r="Q2241" s="1"/>
  <c r="I2239"/>
  <c r="J3238" s="1"/>
  <c r="Q3238" s="1"/>
  <c r="J2239"/>
  <c r="Q2239" s="1"/>
  <c r="I2237"/>
  <c r="J3236" s="1"/>
  <c r="Q3236" s="1"/>
  <c r="J2237"/>
  <c r="Q2237" s="1"/>
  <c r="I2235"/>
  <c r="J3234" s="1"/>
  <c r="Q3234" s="1"/>
  <c r="J2235"/>
  <c r="Q2235" s="1"/>
  <c r="I2233"/>
  <c r="J3232" s="1"/>
  <c r="Q3232" s="1"/>
  <c r="J2233"/>
  <c r="Q2233" s="1"/>
  <c r="I2230"/>
  <c r="J3229" s="1"/>
  <c r="Q3229" s="1"/>
  <c r="J2230"/>
  <c r="Q2230" s="1"/>
  <c r="I2228"/>
  <c r="J3227" s="1"/>
  <c r="J2228"/>
  <c r="I3227" s="1"/>
  <c r="I2226"/>
  <c r="J3225" s="1"/>
  <c r="Q3225" s="1"/>
  <c r="J2226"/>
  <c r="Q2226" s="1"/>
  <c r="I2224"/>
  <c r="J3223" s="1"/>
  <c r="Q3223" s="1"/>
  <c r="J2224"/>
  <c r="I2222"/>
  <c r="J3221" s="1"/>
  <c r="Q3221" s="1"/>
  <c r="J2222"/>
  <c r="Q2222" s="1"/>
  <c r="I2219"/>
  <c r="J3218" s="1"/>
  <c r="Q3218" s="1"/>
  <c r="J2219"/>
  <c r="Q2219" s="1"/>
  <c r="I2217"/>
  <c r="J3216" s="1"/>
  <c r="Q3216" s="1"/>
  <c r="J2217"/>
  <c r="Q2217" s="1"/>
  <c r="I2215"/>
  <c r="J3214" s="1"/>
  <c r="Q3214" s="1"/>
  <c r="J2215"/>
  <c r="Q2215" s="1"/>
  <c r="I2213"/>
  <c r="J3212" s="1"/>
  <c r="Q3212" s="1"/>
  <c r="J2213"/>
  <c r="Q2213" s="1"/>
  <c r="I2211"/>
  <c r="J3210" s="1"/>
  <c r="Q3210" s="1"/>
  <c r="J2211"/>
  <c r="Q2211" s="1"/>
  <c r="I2208"/>
  <c r="J3207" s="1"/>
  <c r="Q3207" s="1"/>
  <c r="J2208"/>
  <c r="Q2208" s="1"/>
  <c r="I2206"/>
  <c r="J3205" s="1"/>
  <c r="Q3205" s="1"/>
  <c r="J2206"/>
  <c r="I2204"/>
  <c r="J3203" s="1"/>
  <c r="Q3203" s="1"/>
  <c r="J2204"/>
  <c r="Q2204" s="1"/>
  <c r="I2202"/>
  <c r="J3201" s="1"/>
  <c r="Q3201" s="1"/>
  <c r="J2202"/>
  <c r="Q2202" s="1"/>
  <c r="I2200"/>
  <c r="J3199" s="1"/>
  <c r="Q3199" s="1"/>
  <c r="J2200"/>
  <c r="Q2200" s="1"/>
  <c r="I2197"/>
  <c r="J3196" s="1"/>
  <c r="Q3196" s="1"/>
  <c r="J2197"/>
  <c r="Q2197" s="1"/>
  <c r="I2195"/>
  <c r="J3194" s="1"/>
  <c r="Q3194" s="1"/>
  <c r="J2195"/>
  <c r="Q2195" s="1"/>
  <c r="I2193"/>
  <c r="J3192" s="1"/>
  <c r="Q3192" s="1"/>
  <c r="J2193"/>
  <c r="Q2193" s="1"/>
  <c r="I2191"/>
  <c r="J3190" s="1"/>
  <c r="Q3190" s="1"/>
  <c r="J2191"/>
  <c r="Q2191" s="1"/>
  <c r="I2189"/>
  <c r="J3188" s="1"/>
  <c r="Q3188" s="1"/>
  <c r="J2189"/>
  <c r="I2186"/>
  <c r="J2186"/>
  <c r="Q2186" s="1"/>
  <c r="J2184"/>
  <c r="I3183" s="1"/>
  <c r="P3183" s="1"/>
  <c r="E3183"/>
  <c r="G3183" s="1"/>
  <c r="J2182"/>
  <c r="I3181" s="1"/>
  <c r="P3181" s="1"/>
  <c r="E3181"/>
  <c r="G3181" s="1"/>
  <c r="J2180"/>
  <c r="I3179" s="1"/>
  <c r="P3179" s="1"/>
  <c r="E3179"/>
  <c r="G3179" s="1"/>
  <c r="J2178"/>
  <c r="I3177" s="1"/>
  <c r="P3177" s="1"/>
  <c r="E3177"/>
  <c r="G3177" s="1"/>
  <c r="J2175"/>
  <c r="I3174" s="1"/>
  <c r="P3174" s="1"/>
  <c r="E3174"/>
  <c r="G3174" s="1"/>
  <c r="J2173"/>
  <c r="I3172" s="1"/>
  <c r="P3172" s="1"/>
  <c r="E3172"/>
  <c r="G3172" s="1"/>
  <c r="J2171"/>
  <c r="I3170" s="1"/>
  <c r="P3170" s="1"/>
  <c r="E3170"/>
  <c r="G3170" s="1"/>
  <c r="J2169"/>
  <c r="I3168" s="1"/>
  <c r="P3168" s="1"/>
  <c r="E3168"/>
  <c r="G3168" s="1"/>
  <c r="J2167"/>
  <c r="E3166"/>
  <c r="G3166" s="1"/>
  <c r="J2164"/>
  <c r="I3163" s="1"/>
  <c r="P3163" s="1"/>
  <c r="E3163"/>
  <c r="G3163" s="1"/>
  <c r="J2162"/>
  <c r="I3161" s="1"/>
  <c r="P3161" s="1"/>
  <c r="E3161"/>
  <c r="G3161" s="1"/>
  <c r="J2160"/>
  <c r="I3159" s="1"/>
  <c r="P3159" s="1"/>
  <c r="E3159"/>
  <c r="G3159" s="1"/>
  <c r="J2158"/>
  <c r="I3157" s="1"/>
  <c r="P3157" s="1"/>
  <c r="E3157"/>
  <c r="G3157" s="1"/>
  <c r="J2156"/>
  <c r="I3155" s="1"/>
  <c r="P3155" s="1"/>
  <c r="E3155"/>
  <c r="G3155" s="1"/>
  <c r="J2153"/>
  <c r="I3152" s="1"/>
  <c r="P3152" s="1"/>
  <c r="E3152"/>
  <c r="J2151"/>
  <c r="I3150" s="1"/>
  <c r="P3150" s="1"/>
  <c r="E3150"/>
  <c r="D3150" s="1"/>
  <c r="O3150" s="1"/>
  <c r="J2149"/>
  <c r="E3148"/>
  <c r="D3148" s="1"/>
  <c r="O3148" s="1"/>
  <c r="J2147"/>
  <c r="I3146" s="1"/>
  <c r="P3146" s="1"/>
  <c r="E3146"/>
  <c r="D3146" s="1"/>
  <c r="O3146" s="1"/>
  <c r="J2145"/>
  <c r="Q2145" s="1"/>
  <c r="E3144"/>
  <c r="D3144" s="1"/>
  <c r="O3144" s="1"/>
  <c r="J2142"/>
  <c r="Q2142" s="1"/>
  <c r="E3141"/>
  <c r="D3141" s="1"/>
  <c r="O3141" s="1"/>
  <c r="J2140"/>
  <c r="Q2140" s="1"/>
  <c r="E3139"/>
  <c r="D3139" s="1"/>
  <c r="O3139" s="1"/>
  <c r="J2138"/>
  <c r="Q2138" s="1"/>
  <c r="E3137"/>
  <c r="J2136"/>
  <c r="I3135" s="1"/>
  <c r="E3135"/>
  <c r="D3135" s="1"/>
  <c r="O3135" s="1"/>
  <c r="J2134"/>
  <c r="E3133"/>
  <c r="D3133" s="1"/>
  <c r="O3133" s="1"/>
  <c r="J2131"/>
  <c r="I3130" s="1"/>
  <c r="E3130"/>
  <c r="D3130" s="1"/>
  <c r="O3130" s="1"/>
  <c r="J2129"/>
  <c r="Q2129" s="1"/>
  <c r="E3128"/>
  <c r="D3128" s="1"/>
  <c r="O3128" s="1"/>
  <c r="J2127"/>
  <c r="I3126" s="1"/>
  <c r="E3126"/>
  <c r="J2125"/>
  <c r="Q2125" s="1"/>
  <c r="E3124"/>
  <c r="J2123"/>
  <c r="Q2123" s="1"/>
  <c r="E3122"/>
  <c r="D3122" s="1"/>
  <c r="O3122" s="1"/>
  <c r="J2120"/>
  <c r="Q2120" s="1"/>
  <c r="E3119"/>
  <c r="F3119" s="1"/>
  <c r="J2118"/>
  <c r="Q2118" s="1"/>
  <c r="E3117"/>
  <c r="D3117" s="1"/>
  <c r="O3117" s="1"/>
  <c r="J2116"/>
  <c r="Q2116" s="1"/>
  <c r="E3115"/>
  <c r="J2114"/>
  <c r="Q2114" s="1"/>
  <c r="E3113"/>
  <c r="D3113" s="1"/>
  <c r="O3113" s="1"/>
  <c r="J2112"/>
  <c r="Q2112" s="1"/>
  <c r="E3111"/>
  <c r="F3111" s="1"/>
  <c r="J2109"/>
  <c r="E3108"/>
  <c r="D3108" s="1"/>
  <c r="O3108" s="1"/>
  <c r="J2107"/>
  <c r="Q2107" s="1"/>
  <c r="E3106"/>
  <c r="J2105"/>
  <c r="Q2105" s="1"/>
  <c r="E3104"/>
  <c r="D3104" s="1"/>
  <c r="O3104" s="1"/>
  <c r="J2103"/>
  <c r="Q2103" s="1"/>
  <c r="E3102"/>
  <c r="F3102" s="1"/>
  <c r="J2101"/>
  <c r="Q2101" s="1"/>
  <c r="E3100"/>
  <c r="D3100" s="1"/>
  <c r="O3100" s="1"/>
  <c r="J2098"/>
  <c r="Q2098" s="1"/>
  <c r="E3097"/>
  <c r="J2096"/>
  <c r="Q2096" s="1"/>
  <c r="E3095"/>
  <c r="G3095" s="1"/>
  <c r="J2094"/>
  <c r="E3093"/>
  <c r="F3093" s="1"/>
  <c r="J2092"/>
  <c r="E3091"/>
  <c r="G3091" s="1"/>
  <c r="J2090"/>
  <c r="Q2090" s="1"/>
  <c r="E3089"/>
  <c r="J2087"/>
  <c r="Q2087" s="1"/>
  <c r="E3086"/>
  <c r="G3086" s="1"/>
  <c r="J2085"/>
  <c r="Q2085" s="1"/>
  <c r="E3084"/>
  <c r="F3084" s="1"/>
  <c r="J2083"/>
  <c r="Q2083" s="1"/>
  <c r="E3082"/>
  <c r="G3082" s="1"/>
  <c r="J2081"/>
  <c r="Q2081" s="1"/>
  <c r="E3080"/>
  <c r="J2079"/>
  <c r="Q2079" s="1"/>
  <c r="E3078"/>
  <c r="G3078" s="1"/>
  <c r="J2076"/>
  <c r="Q2076" s="1"/>
  <c r="E3075"/>
  <c r="F3075" s="1"/>
  <c r="J2074"/>
  <c r="E3073"/>
  <c r="G3073" s="1"/>
  <c r="J2072"/>
  <c r="Q2072" s="1"/>
  <c r="E3071"/>
  <c r="J2070"/>
  <c r="Q2070" s="1"/>
  <c r="E3069"/>
  <c r="G3069" s="1"/>
  <c r="J2068"/>
  <c r="Q2068" s="1"/>
  <c r="E3067"/>
  <c r="F3067" s="1"/>
  <c r="J2065"/>
  <c r="Q2065" s="1"/>
  <c r="E3064"/>
  <c r="G3064" s="1"/>
  <c r="J2063"/>
  <c r="Q2063" s="1"/>
  <c r="E3062"/>
  <c r="J2061"/>
  <c r="Q2061" s="1"/>
  <c r="E3060"/>
  <c r="G3060" s="1"/>
  <c r="J2059"/>
  <c r="E3058"/>
  <c r="F3058" s="1"/>
  <c r="J2057"/>
  <c r="E3056"/>
  <c r="G3056" s="1"/>
  <c r="J2054"/>
  <c r="Q2054" s="1"/>
  <c r="E3053"/>
  <c r="F3053" s="1"/>
  <c r="J2052"/>
  <c r="Q2052" s="1"/>
  <c r="E3051"/>
  <c r="G3051" s="1"/>
  <c r="J2050"/>
  <c r="Q2050" s="1"/>
  <c r="E3049"/>
  <c r="F3049" s="1"/>
  <c r="J2048"/>
  <c r="Q2048" s="1"/>
  <c r="E3047"/>
  <c r="G3047" s="1"/>
  <c r="J2046"/>
  <c r="Q2046" s="1"/>
  <c r="E3045"/>
  <c r="J2043"/>
  <c r="Q2043" s="1"/>
  <c r="E3042"/>
  <c r="G3042" s="1"/>
  <c r="J2041"/>
  <c r="Q2041" s="1"/>
  <c r="E3040"/>
  <c r="D3040" s="1"/>
  <c r="O3040" s="1"/>
  <c r="J2039"/>
  <c r="E3038"/>
  <c r="G3038" s="1"/>
  <c r="J2037"/>
  <c r="Q2037" s="1"/>
  <c r="E3036"/>
  <c r="D3036" s="1"/>
  <c r="O3036" s="1"/>
  <c r="J2035"/>
  <c r="Q2035" s="1"/>
  <c r="E3034"/>
  <c r="G3034" s="1"/>
  <c r="J2032"/>
  <c r="Q2032" s="1"/>
  <c r="E3031"/>
  <c r="D3031" s="1"/>
  <c r="O3031" s="1"/>
  <c r="J2030"/>
  <c r="Q2030" s="1"/>
  <c r="E3029"/>
  <c r="G3029" s="1"/>
  <c r="J2028"/>
  <c r="Q2028" s="1"/>
  <c r="E3027"/>
  <c r="D3027" s="1"/>
  <c r="O3027" s="1"/>
  <c r="J2026"/>
  <c r="Q2026" s="1"/>
  <c r="E3025"/>
  <c r="G3025" s="1"/>
  <c r="J2024"/>
  <c r="Q2024" s="1"/>
  <c r="E3023"/>
  <c r="G3023" s="1"/>
  <c r="D2021"/>
  <c r="E3020"/>
  <c r="D2019"/>
  <c r="G2019" s="1"/>
  <c r="E3018"/>
  <c r="D2017"/>
  <c r="G2017" s="1"/>
  <c r="E3016"/>
  <c r="D2015"/>
  <c r="E3014"/>
  <c r="D3014" s="1"/>
  <c r="O3014" s="1"/>
  <c r="D2013"/>
  <c r="E3012"/>
  <c r="G3012" s="1"/>
  <c r="D2010"/>
  <c r="G2010" s="1"/>
  <c r="E3009"/>
  <c r="D2008"/>
  <c r="E3007"/>
  <c r="D2005"/>
  <c r="G2005" s="1"/>
  <c r="E3004"/>
  <c r="G3004" s="1"/>
  <c r="J2003"/>
  <c r="I2003"/>
  <c r="E3416"/>
  <c r="E3414"/>
  <c r="E3412"/>
  <c r="E3410"/>
  <c r="I2409"/>
  <c r="I2406"/>
  <c r="K2406" s="1"/>
  <c r="I2404"/>
  <c r="I2402"/>
  <c r="K2402" s="1"/>
  <c r="I2400"/>
  <c r="I2398"/>
  <c r="K2398" s="1"/>
  <c r="I2395"/>
  <c r="I2393"/>
  <c r="K2393" s="1"/>
  <c r="I2391"/>
  <c r="I2389"/>
  <c r="K2389" s="1"/>
  <c r="I2387"/>
  <c r="I2384"/>
  <c r="K2384" s="1"/>
  <c r="I2382"/>
  <c r="I2380"/>
  <c r="K2380" s="1"/>
  <c r="I2378"/>
  <c r="I2376"/>
  <c r="K2376" s="1"/>
  <c r="I2373"/>
  <c r="I2371"/>
  <c r="K2371" s="1"/>
  <c r="I2369"/>
  <c r="I2367"/>
  <c r="K2367" s="1"/>
  <c r="I2365"/>
  <c r="I2362"/>
  <c r="K2362" s="1"/>
  <c r="I2360"/>
  <c r="I2358"/>
  <c r="K2358" s="1"/>
  <c r="I2356"/>
  <c r="I2354"/>
  <c r="K2354" s="1"/>
  <c r="I2351"/>
  <c r="I2349"/>
  <c r="K2349" s="1"/>
  <c r="I2347"/>
  <c r="I2345"/>
  <c r="K2345" s="1"/>
  <c r="I2343"/>
  <c r="I2340"/>
  <c r="K2340" s="1"/>
  <c r="I2338"/>
  <c r="I2336"/>
  <c r="K2336" s="1"/>
  <c r="I2334"/>
  <c r="I2332"/>
  <c r="K2332" s="1"/>
  <c r="I2329"/>
  <c r="I2327"/>
  <c r="K2327" s="1"/>
  <c r="I2325"/>
  <c r="I2323"/>
  <c r="K2323" s="1"/>
  <c r="I2321"/>
  <c r="I2318"/>
  <c r="K2318" s="1"/>
  <c r="I2316"/>
  <c r="I2314"/>
  <c r="K2314" s="1"/>
  <c r="I2312"/>
  <c r="I2310"/>
  <c r="K2310" s="1"/>
  <c r="I2307"/>
  <c r="I2305"/>
  <c r="K2305" s="1"/>
  <c r="I2303"/>
  <c r="I2301"/>
  <c r="K2301" s="1"/>
  <c r="I2299"/>
  <c r="I2296"/>
  <c r="K2296" s="1"/>
  <c r="I2294"/>
  <c r="E3291"/>
  <c r="E3289"/>
  <c r="E3287"/>
  <c r="E3284"/>
  <c r="E3282"/>
  <c r="E3280"/>
  <c r="E3278"/>
  <c r="E3276"/>
  <c r="E3273"/>
  <c r="E3271"/>
  <c r="E3269"/>
  <c r="E3267"/>
  <c r="E3265"/>
  <c r="E3262"/>
  <c r="E3260"/>
  <c r="E3258"/>
  <c r="E3256"/>
  <c r="E3254"/>
  <c r="E3251"/>
  <c r="E3249"/>
  <c r="E3247"/>
  <c r="E3245"/>
  <c r="E3243"/>
  <c r="E3240"/>
  <c r="E3238"/>
  <c r="E3236"/>
  <c r="G3236" s="1"/>
  <c r="E3234"/>
  <c r="E3232"/>
  <c r="E3229"/>
  <c r="E3227"/>
  <c r="D3227" s="1"/>
  <c r="E3225"/>
  <c r="G3225" s="1"/>
  <c r="E3223"/>
  <c r="E3221"/>
  <c r="G3221" s="1"/>
  <c r="E3218"/>
  <c r="F3218" s="1"/>
  <c r="E3216"/>
  <c r="E3214"/>
  <c r="F3214" s="1"/>
  <c r="E3212"/>
  <c r="E3210"/>
  <c r="F3210" s="1"/>
  <c r="E3207"/>
  <c r="G3207" s="1"/>
  <c r="E3205"/>
  <c r="F3205" s="1"/>
  <c r="E3203"/>
  <c r="G3203" s="1"/>
  <c r="E3201"/>
  <c r="F3201" s="1"/>
  <c r="E3199"/>
  <c r="E3196"/>
  <c r="F3196" s="1"/>
  <c r="E3194"/>
  <c r="E3192"/>
  <c r="F3192" s="1"/>
  <c r="E3190"/>
  <c r="G3190" s="1"/>
  <c r="E3188"/>
  <c r="F3188" s="1"/>
  <c r="E3185"/>
  <c r="G3185" s="1"/>
  <c r="D2186"/>
  <c r="D2184"/>
  <c r="O2184" s="1"/>
  <c r="D2182"/>
  <c r="O2182" s="1"/>
  <c r="D2180"/>
  <c r="O2180" s="1"/>
  <c r="D2178"/>
  <c r="O2178" s="1"/>
  <c r="D2175"/>
  <c r="H2175" s="1"/>
  <c r="D2173"/>
  <c r="O2173" s="1"/>
  <c r="D2171"/>
  <c r="D2169"/>
  <c r="O2169" s="1"/>
  <c r="D2167"/>
  <c r="H2167" s="1"/>
  <c r="D2164"/>
  <c r="O2164" s="1"/>
  <c r="D2162"/>
  <c r="D2160"/>
  <c r="O2160" s="1"/>
  <c r="D2158"/>
  <c r="H2158" s="1"/>
  <c r="D2156"/>
  <c r="O2156" s="1"/>
  <c r="D2153"/>
  <c r="G2153" s="1"/>
  <c r="D2151"/>
  <c r="O2151" s="1"/>
  <c r="D2149"/>
  <c r="D2147"/>
  <c r="G2147" s="1"/>
  <c r="D2145"/>
  <c r="D2142"/>
  <c r="F2142" s="1"/>
  <c r="D2140"/>
  <c r="G2140" s="1"/>
  <c r="D2138"/>
  <c r="G2138" s="1"/>
  <c r="D2125"/>
  <c r="H2125" s="1"/>
  <c r="D2123"/>
  <c r="F2123" s="1"/>
  <c r="D2120"/>
  <c r="D2118"/>
  <c r="H2118" s="1"/>
  <c r="D2116"/>
  <c r="D2114"/>
  <c r="H2114" s="1"/>
  <c r="D2112"/>
  <c r="O2112" s="1"/>
  <c r="D2109"/>
  <c r="D2107"/>
  <c r="D2105"/>
  <c r="D2103"/>
  <c r="D2101"/>
  <c r="H2101" s="1"/>
  <c r="D2098"/>
  <c r="D2096"/>
  <c r="F2096" s="1"/>
  <c r="D2094"/>
  <c r="O2094" s="1"/>
  <c r="D2092"/>
  <c r="G2092" s="1"/>
  <c r="D2090"/>
  <c r="H2090" s="1"/>
  <c r="D2087"/>
  <c r="H2087" s="1"/>
  <c r="D2085"/>
  <c r="D2083"/>
  <c r="F2083" s="1"/>
  <c r="D2081"/>
  <c r="D2079"/>
  <c r="F2079" s="1"/>
  <c r="D2076"/>
  <c r="D2074"/>
  <c r="D2072"/>
  <c r="G2072" s="1"/>
  <c r="D2070"/>
  <c r="O2070" s="1"/>
  <c r="D2068"/>
  <c r="F2068" s="1"/>
  <c r="D2065"/>
  <c r="F2065" s="1"/>
  <c r="D2063"/>
  <c r="D2061"/>
  <c r="F2061" s="1"/>
  <c r="D2059"/>
  <c r="D2057"/>
  <c r="D2054"/>
  <c r="D2052"/>
  <c r="O2052" s="1"/>
  <c r="D2050"/>
  <c r="O2050" s="1"/>
  <c r="D2048"/>
  <c r="G2048" s="1"/>
  <c r="D2046"/>
  <c r="D2043"/>
  <c r="G2043" s="1"/>
  <c r="D2041"/>
  <c r="F2041" s="1"/>
  <c r="D2039"/>
  <c r="F2039" s="1"/>
  <c r="D2037"/>
  <c r="D2035"/>
  <c r="G2035" s="1"/>
  <c r="D2032"/>
  <c r="D2030"/>
  <c r="H2030" s="1"/>
  <c r="D2028"/>
  <c r="O2028" s="1"/>
  <c r="D2026"/>
  <c r="D2024"/>
  <c r="J2019"/>
  <c r="J2015"/>
  <c r="J2010"/>
  <c r="I3009" s="1"/>
  <c r="J2005"/>
  <c r="I2136"/>
  <c r="P2136" s="1"/>
  <c r="I2134"/>
  <c r="P2134" s="1"/>
  <c r="I2131"/>
  <c r="P2131" s="1"/>
  <c r="I2129"/>
  <c r="P2129" s="1"/>
  <c r="I2127"/>
  <c r="P2127" s="1"/>
  <c r="N3010"/>
  <c r="N2011"/>
  <c r="N3021"/>
  <c r="N2022"/>
  <c r="N2005"/>
  <c r="N2006"/>
  <c r="N2007"/>
  <c r="N2008"/>
  <c r="N2009"/>
  <c r="N2010"/>
  <c r="N2012"/>
  <c r="N2013"/>
  <c r="N2014"/>
  <c r="N2015"/>
  <c r="N2016"/>
  <c r="N2017"/>
  <c r="N2018"/>
  <c r="N2019"/>
  <c r="N2020"/>
  <c r="N2021"/>
  <c r="N2004"/>
  <c r="G2292"/>
  <c r="H2292"/>
  <c r="D2339"/>
  <c r="O2339" s="1"/>
  <c r="F2292"/>
  <c r="G2290"/>
  <c r="H2290"/>
  <c r="J2221"/>
  <c r="I3220" s="1"/>
  <c r="P3220" s="1"/>
  <c r="E3151"/>
  <c r="D3151" s="1"/>
  <c r="O3151" s="1"/>
  <c r="D2375"/>
  <c r="O2375" s="1"/>
  <c r="D2304"/>
  <c r="O2304" s="1"/>
  <c r="D2282"/>
  <c r="O2282" s="1"/>
  <c r="E3081"/>
  <c r="G3081" s="1"/>
  <c r="D2392"/>
  <c r="O2392" s="1"/>
  <c r="D2357"/>
  <c r="O2357" s="1"/>
  <c r="D2322"/>
  <c r="O2322" s="1"/>
  <c r="J2256"/>
  <c r="L2256" s="1"/>
  <c r="E3116"/>
  <c r="E3046"/>
  <c r="D2401"/>
  <c r="O2401" s="1"/>
  <c r="D2383"/>
  <c r="O2383" s="1"/>
  <c r="D2366"/>
  <c r="O2366" s="1"/>
  <c r="D2348"/>
  <c r="O2348" s="1"/>
  <c r="D2331"/>
  <c r="O2331" s="1"/>
  <c r="D2313"/>
  <c r="O2313" s="1"/>
  <c r="D2295"/>
  <c r="O2295" s="1"/>
  <c r="H2291"/>
  <c r="J2273"/>
  <c r="J2238"/>
  <c r="J2203"/>
  <c r="I3202" s="1"/>
  <c r="P3202" s="1"/>
  <c r="E3169"/>
  <c r="E3134"/>
  <c r="D3134" s="1"/>
  <c r="O3134" s="1"/>
  <c r="E3099"/>
  <c r="E3063"/>
  <c r="D3063" s="1"/>
  <c r="O3063" s="1"/>
  <c r="E3028"/>
  <c r="D2414"/>
  <c r="O2414" s="1"/>
  <c r="D2405"/>
  <c r="O2405" s="1"/>
  <c r="D2397"/>
  <c r="O2397" s="1"/>
  <c r="D2388"/>
  <c r="O2388" s="1"/>
  <c r="D2379"/>
  <c r="O2379" s="1"/>
  <c r="D2370"/>
  <c r="O2370" s="1"/>
  <c r="D2361"/>
  <c r="O2361" s="1"/>
  <c r="D2353"/>
  <c r="O2353" s="1"/>
  <c r="D2344"/>
  <c r="O2344" s="1"/>
  <c r="D2335"/>
  <c r="O2335" s="1"/>
  <c r="D2326"/>
  <c r="O2326" s="1"/>
  <c r="D2317"/>
  <c r="O2317" s="1"/>
  <c r="D2309"/>
  <c r="O2309" s="1"/>
  <c r="D2300"/>
  <c r="O2300" s="1"/>
  <c r="J2287"/>
  <c r="J2278"/>
  <c r="L2278" s="1"/>
  <c r="J2265"/>
  <c r="J2247"/>
  <c r="L2247" s="1"/>
  <c r="J2229"/>
  <c r="I3228" s="1"/>
  <c r="P3228" s="1"/>
  <c r="J2212"/>
  <c r="Q2212" s="1"/>
  <c r="J2194"/>
  <c r="I3193" s="1"/>
  <c r="P3193" s="1"/>
  <c r="J2179"/>
  <c r="E3160"/>
  <c r="F3160" s="1"/>
  <c r="E3143"/>
  <c r="E3125"/>
  <c r="D3125" s="1"/>
  <c r="O3125" s="1"/>
  <c r="E3107"/>
  <c r="E3090"/>
  <c r="G3090" s="1"/>
  <c r="E3072"/>
  <c r="G3072" s="1"/>
  <c r="E3055"/>
  <c r="D3055" s="1"/>
  <c r="O3055" s="1"/>
  <c r="E3037"/>
  <c r="D2416"/>
  <c r="O2416" s="1"/>
  <c r="D2412"/>
  <c r="O2412" s="1"/>
  <c r="D2408"/>
  <c r="O2408" s="1"/>
  <c r="D2403"/>
  <c r="O2403" s="1"/>
  <c r="D2399"/>
  <c r="O2399" s="1"/>
  <c r="D2394"/>
  <c r="O2394" s="1"/>
  <c r="D2390"/>
  <c r="O2390" s="1"/>
  <c r="D2386"/>
  <c r="O2386" s="1"/>
  <c r="D2381"/>
  <c r="O2381" s="1"/>
  <c r="D2377"/>
  <c r="O2377" s="1"/>
  <c r="D2372"/>
  <c r="O2372" s="1"/>
  <c r="D2368"/>
  <c r="O2368" s="1"/>
  <c r="D2364"/>
  <c r="O2364" s="1"/>
  <c r="D2359"/>
  <c r="O2359" s="1"/>
  <c r="D2355"/>
  <c r="O2355" s="1"/>
  <c r="D2350"/>
  <c r="O2350" s="1"/>
  <c r="D2346"/>
  <c r="O2346" s="1"/>
  <c r="D2342"/>
  <c r="O2342" s="1"/>
  <c r="D2337"/>
  <c r="O2337" s="1"/>
  <c r="D2333"/>
  <c r="O2333" s="1"/>
  <c r="D2328"/>
  <c r="O2328" s="1"/>
  <c r="D2324"/>
  <c r="O2324" s="1"/>
  <c r="D2320"/>
  <c r="O2320" s="1"/>
  <c r="D2315"/>
  <c r="O2315" s="1"/>
  <c r="D2311"/>
  <c r="O2311" s="1"/>
  <c r="D2306"/>
  <c r="O2306" s="1"/>
  <c r="D2302"/>
  <c r="O2302" s="1"/>
  <c r="D2298"/>
  <c r="O2298" s="1"/>
  <c r="D2293"/>
  <c r="O2293" s="1"/>
  <c r="E3290"/>
  <c r="J2289"/>
  <c r="D2284"/>
  <c r="O2284" s="1"/>
  <c r="H2280"/>
  <c r="J2276"/>
  <c r="L2276" s="1"/>
  <c r="J2269"/>
  <c r="J2260"/>
  <c r="L2260" s="1"/>
  <c r="J2251"/>
  <c r="J2243"/>
  <c r="L2243" s="1"/>
  <c r="J2234"/>
  <c r="I3233" s="1"/>
  <c r="P3233" s="1"/>
  <c r="J2225"/>
  <c r="Q2225" s="1"/>
  <c r="J2216"/>
  <c r="I3215" s="1"/>
  <c r="P3215" s="1"/>
  <c r="J2207"/>
  <c r="Q2207" s="1"/>
  <c r="J2199"/>
  <c r="I3198" s="1"/>
  <c r="P3198" s="1"/>
  <c r="J2190"/>
  <c r="Q2190" s="1"/>
  <c r="J2183"/>
  <c r="I3182" s="1"/>
  <c r="P3182" s="1"/>
  <c r="E3173"/>
  <c r="E3165"/>
  <c r="D3165" s="1"/>
  <c r="O3165" s="1"/>
  <c r="E3156"/>
  <c r="F3156" s="1"/>
  <c r="E3147"/>
  <c r="D3147" s="1"/>
  <c r="O3147" s="1"/>
  <c r="E3138"/>
  <c r="F3138" s="1"/>
  <c r="E3129"/>
  <c r="D3129" s="1"/>
  <c r="O3129" s="1"/>
  <c r="E3121"/>
  <c r="E3112"/>
  <c r="F3112" s="1"/>
  <c r="E3103"/>
  <c r="G3103" s="1"/>
  <c r="E3094"/>
  <c r="E3085"/>
  <c r="E3077"/>
  <c r="E3068"/>
  <c r="E3059"/>
  <c r="F3059" s="1"/>
  <c r="E3050"/>
  <c r="E3041"/>
  <c r="G3041" s="1"/>
  <c r="E3033"/>
  <c r="E3024"/>
  <c r="D3024" s="1"/>
  <c r="O3024" s="1"/>
  <c r="E3008"/>
  <c r="D3008" s="1"/>
  <c r="O3008" s="1"/>
  <c r="I2416"/>
  <c r="I2414"/>
  <c r="K2414" s="1"/>
  <c r="I2412"/>
  <c r="I2410"/>
  <c r="K2410" s="1"/>
  <c r="I2408"/>
  <c r="I2405"/>
  <c r="K2405" s="1"/>
  <c r="I2403"/>
  <c r="I2401"/>
  <c r="K2401" s="1"/>
  <c r="I2399"/>
  <c r="I2397"/>
  <c r="K2397" s="1"/>
  <c r="I2394"/>
  <c r="I2392"/>
  <c r="K2392" s="1"/>
  <c r="I2390"/>
  <c r="I2388"/>
  <c r="K2388" s="1"/>
  <c r="I2386"/>
  <c r="I2383"/>
  <c r="K2383" s="1"/>
  <c r="I2381"/>
  <c r="I2379"/>
  <c r="K2379" s="1"/>
  <c r="I2377"/>
  <c r="I2375"/>
  <c r="K2375" s="1"/>
  <c r="I2372"/>
  <c r="I2370"/>
  <c r="K2370" s="1"/>
  <c r="I2368"/>
  <c r="I2366"/>
  <c r="K2366" s="1"/>
  <c r="I2364"/>
  <c r="I2361"/>
  <c r="K2361" s="1"/>
  <c r="I2359"/>
  <c r="I2357"/>
  <c r="K2357" s="1"/>
  <c r="I2355"/>
  <c r="I2353"/>
  <c r="K2353" s="1"/>
  <c r="I2350"/>
  <c r="I2348"/>
  <c r="K2348" s="1"/>
  <c r="I2346"/>
  <c r="I2344"/>
  <c r="K2344" s="1"/>
  <c r="I2342"/>
  <c r="I2339"/>
  <c r="K2339" s="1"/>
  <c r="I2337"/>
  <c r="I2335"/>
  <c r="K2335" s="1"/>
  <c r="I2333"/>
  <c r="I2331"/>
  <c r="K2331" s="1"/>
  <c r="I2328"/>
  <c r="I2326"/>
  <c r="K2326" s="1"/>
  <c r="I2324"/>
  <c r="I2322"/>
  <c r="K2322" s="1"/>
  <c r="I2320"/>
  <c r="I2317"/>
  <c r="K2317" s="1"/>
  <c r="I2315"/>
  <c r="I2313"/>
  <c r="K2313" s="1"/>
  <c r="I2311"/>
  <c r="I2309"/>
  <c r="K2309" s="1"/>
  <c r="I2306"/>
  <c r="I2304"/>
  <c r="K2304" s="1"/>
  <c r="I2302"/>
  <c r="I2300"/>
  <c r="K2300" s="1"/>
  <c r="I2298"/>
  <c r="I2295"/>
  <c r="K2295" s="1"/>
  <c r="I2293"/>
  <c r="E3288"/>
  <c r="E3286"/>
  <c r="E3283"/>
  <c r="E3281"/>
  <c r="E3279"/>
  <c r="I2280"/>
  <c r="I2278"/>
  <c r="K2278" s="1"/>
  <c r="I2276"/>
  <c r="J2271"/>
  <c r="L2271" s="1"/>
  <c r="J2267"/>
  <c r="J2262"/>
  <c r="L2262" s="1"/>
  <c r="J2258"/>
  <c r="J2254"/>
  <c r="L2254" s="1"/>
  <c r="J2249"/>
  <c r="J2245"/>
  <c r="L2245" s="1"/>
  <c r="J2240"/>
  <c r="J2236"/>
  <c r="J2232"/>
  <c r="I3231" s="1"/>
  <c r="P3231" s="1"/>
  <c r="J2227"/>
  <c r="J2223"/>
  <c r="I3222" s="1"/>
  <c r="P3222" s="1"/>
  <c r="J2218"/>
  <c r="I3217" s="1"/>
  <c r="P3217" s="1"/>
  <c r="J2214"/>
  <c r="J2210"/>
  <c r="Q2210" s="1"/>
  <c r="J2205"/>
  <c r="I3204" s="1"/>
  <c r="P3204" s="1"/>
  <c r="J2201"/>
  <c r="I3200" s="1"/>
  <c r="P3200" s="1"/>
  <c r="J2196"/>
  <c r="I3195" s="1"/>
  <c r="P3195" s="1"/>
  <c r="J2192"/>
  <c r="I3191" s="1"/>
  <c r="P3191" s="1"/>
  <c r="J2188"/>
  <c r="I3187" s="1"/>
  <c r="P3187" s="1"/>
  <c r="J2185"/>
  <c r="I3184" s="1"/>
  <c r="P3184" s="1"/>
  <c r="J2181"/>
  <c r="I3180" s="1"/>
  <c r="P3180" s="1"/>
  <c r="E3171"/>
  <c r="G3171" s="1"/>
  <c r="E3167"/>
  <c r="D3167" s="1"/>
  <c r="O3167" s="1"/>
  <c r="E3162"/>
  <c r="E3158"/>
  <c r="D3158" s="1"/>
  <c r="O3158" s="1"/>
  <c r="E3154"/>
  <c r="E3149"/>
  <c r="D3149" s="1"/>
  <c r="O3149" s="1"/>
  <c r="E3145"/>
  <c r="F3145" s="1"/>
  <c r="E3140"/>
  <c r="G3140" s="1"/>
  <c r="E3136"/>
  <c r="E3132"/>
  <c r="F3132" s="1"/>
  <c r="E3127"/>
  <c r="F3127" s="1"/>
  <c r="E3123"/>
  <c r="F3123" s="1"/>
  <c r="E3118"/>
  <c r="D3118" s="1"/>
  <c r="O3118" s="1"/>
  <c r="E3114"/>
  <c r="D3114" s="1"/>
  <c r="O3114" s="1"/>
  <c r="E3110"/>
  <c r="G3110" s="1"/>
  <c r="E3105"/>
  <c r="G3105" s="1"/>
  <c r="E3101"/>
  <c r="D3101" s="1"/>
  <c r="O3101" s="1"/>
  <c r="E3096"/>
  <c r="G3096" s="1"/>
  <c r="E3092"/>
  <c r="D3092" s="1"/>
  <c r="O3092" s="1"/>
  <c r="E3088"/>
  <c r="G3088" s="1"/>
  <c r="E3083"/>
  <c r="G3083" s="1"/>
  <c r="E3079"/>
  <c r="G3079" s="1"/>
  <c r="E3074"/>
  <c r="G3074" s="1"/>
  <c r="E3070"/>
  <c r="G3070" s="1"/>
  <c r="E3066"/>
  <c r="D3066" s="1"/>
  <c r="O3066" s="1"/>
  <c r="E3061"/>
  <c r="G3061" s="1"/>
  <c r="E3057"/>
  <c r="D3057" s="1"/>
  <c r="O3057" s="1"/>
  <c r="E3052"/>
  <c r="G3052" s="1"/>
  <c r="E3048"/>
  <c r="G3048" s="1"/>
  <c r="E3044"/>
  <c r="G3044" s="1"/>
  <c r="E3039"/>
  <c r="G3039" s="1"/>
  <c r="E3035"/>
  <c r="G3035" s="1"/>
  <c r="E3030"/>
  <c r="D3030" s="1"/>
  <c r="O3030" s="1"/>
  <c r="E3026"/>
  <c r="E3022"/>
  <c r="D3022" s="1"/>
  <c r="O3022" s="1"/>
  <c r="E3003"/>
  <c r="D3003" s="1"/>
  <c r="O3003" s="1"/>
  <c r="E3005"/>
  <c r="E3001"/>
  <c r="I2010"/>
  <c r="I2008"/>
  <c r="I2005"/>
  <c r="K2005" s="1"/>
  <c r="D2003"/>
  <c r="D2001"/>
  <c r="I2021"/>
  <c r="I2019"/>
  <c r="I2017"/>
  <c r="P2017" s="1"/>
  <c r="I2015"/>
  <c r="I2013"/>
  <c r="E3415"/>
  <c r="E3413"/>
  <c r="E3411"/>
  <c r="E3409"/>
  <c r="E3407"/>
  <c r="E3404"/>
  <c r="E3402"/>
  <c r="E3400"/>
  <c r="E3398"/>
  <c r="E3396"/>
  <c r="E3393"/>
  <c r="E3391"/>
  <c r="E3389"/>
  <c r="E3387"/>
  <c r="E3385"/>
  <c r="E3382"/>
  <c r="E3380"/>
  <c r="E3378"/>
  <c r="E3376"/>
  <c r="E3374"/>
  <c r="E3371"/>
  <c r="E3369"/>
  <c r="E3367"/>
  <c r="E3365"/>
  <c r="E3363"/>
  <c r="E3360"/>
  <c r="E3358"/>
  <c r="E3356"/>
  <c r="E3354"/>
  <c r="E3352"/>
  <c r="E3349"/>
  <c r="E3347"/>
  <c r="E3345"/>
  <c r="E3343"/>
  <c r="E3341"/>
  <c r="E3338"/>
  <c r="E3336"/>
  <c r="E3334"/>
  <c r="E3332"/>
  <c r="E3330"/>
  <c r="E3327"/>
  <c r="E3325"/>
  <c r="E3323"/>
  <c r="E3321"/>
  <c r="E3319"/>
  <c r="E3316"/>
  <c r="E3314"/>
  <c r="E3312"/>
  <c r="E3310"/>
  <c r="E3308"/>
  <c r="E3305"/>
  <c r="E3303"/>
  <c r="E3301"/>
  <c r="E3299"/>
  <c r="E3297"/>
  <c r="E3294"/>
  <c r="E3292"/>
  <c r="I2291"/>
  <c r="J2291"/>
  <c r="L2291" s="1"/>
  <c r="I2289"/>
  <c r="K2289" s="1"/>
  <c r="I2287"/>
  <c r="K2287" s="1"/>
  <c r="J2284"/>
  <c r="J2282"/>
  <c r="L2282" s="1"/>
  <c r="J2280"/>
  <c r="E3277"/>
  <c r="E3275"/>
  <c r="E3272"/>
  <c r="I2273"/>
  <c r="E3176"/>
  <c r="D2271"/>
  <c r="O2271" s="1"/>
  <c r="E3270"/>
  <c r="D2269"/>
  <c r="O2269" s="1"/>
  <c r="E3268"/>
  <c r="D2267"/>
  <c r="O2267" s="1"/>
  <c r="E3266"/>
  <c r="D2265"/>
  <c r="O2265" s="1"/>
  <c r="E3264"/>
  <c r="D2262"/>
  <c r="O2262" s="1"/>
  <c r="E3261"/>
  <c r="D2260"/>
  <c r="O2260" s="1"/>
  <c r="E3259"/>
  <c r="D2258"/>
  <c r="O2258" s="1"/>
  <c r="E3257"/>
  <c r="D2256"/>
  <c r="O2256" s="1"/>
  <c r="E3255"/>
  <c r="D2254"/>
  <c r="O2254" s="1"/>
  <c r="E3253"/>
  <c r="D2251"/>
  <c r="O2251" s="1"/>
  <c r="E3250"/>
  <c r="D2249"/>
  <c r="O2249" s="1"/>
  <c r="E3248"/>
  <c r="D2247"/>
  <c r="O2247" s="1"/>
  <c r="E3246"/>
  <c r="D2245"/>
  <c r="O2245" s="1"/>
  <c r="E3244"/>
  <c r="D2243"/>
  <c r="E3242"/>
  <c r="D2240"/>
  <c r="O2240" s="1"/>
  <c r="E3239"/>
  <c r="D3239" s="1"/>
  <c r="O3239" s="1"/>
  <c r="D2238"/>
  <c r="O2238" s="1"/>
  <c r="E3237"/>
  <c r="D2236"/>
  <c r="H2236" s="1"/>
  <c r="E3235"/>
  <c r="D3235" s="1"/>
  <c r="O3235" s="1"/>
  <c r="D2234"/>
  <c r="E3233"/>
  <c r="D2232"/>
  <c r="O2232" s="1"/>
  <c r="E3231"/>
  <c r="D3231" s="1"/>
  <c r="O3231" s="1"/>
  <c r="D2229"/>
  <c r="E3228"/>
  <c r="D2227"/>
  <c r="H2227" s="1"/>
  <c r="E3226"/>
  <c r="D3226" s="1"/>
  <c r="O3226" s="1"/>
  <c r="D2225"/>
  <c r="E3224"/>
  <c r="D2223"/>
  <c r="O2223" s="1"/>
  <c r="E3222"/>
  <c r="D3222" s="1"/>
  <c r="O3222" s="1"/>
  <c r="D2221"/>
  <c r="O2221" s="1"/>
  <c r="E3220"/>
  <c r="D2218"/>
  <c r="H2218" s="1"/>
  <c r="E3217"/>
  <c r="D3217" s="1"/>
  <c r="O3217" s="1"/>
  <c r="D2216"/>
  <c r="E3215"/>
  <c r="D2214"/>
  <c r="O2214" s="1"/>
  <c r="E3213"/>
  <c r="D3213" s="1"/>
  <c r="O3213" s="1"/>
  <c r="D2212"/>
  <c r="O2212" s="1"/>
  <c r="E3211"/>
  <c r="D2210"/>
  <c r="H2210" s="1"/>
  <c r="E3209"/>
  <c r="D3209" s="1"/>
  <c r="O3209" s="1"/>
  <c r="D2207"/>
  <c r="E3206"/>
  <c r="D2205"/>
  <c r="O2205" s="1"/>
  <c r="E3204"/>
  <c r="D3204" s="1"/>
  <c r="O3204" s="1"/>
  <c r="D2203"/>
  <c r="O2203" s="1"/>
  <c r="E3202"/>
  <c r="D2201"/>
  <c r="H2201" s="1"/>
  <c r="E3200"/>
  <c r="D3200" s="1"/>
  <c r="O3200" s="1"/>
  <c r="D2199"/>
  <c r="E3198"/>
  <c r="D2196"/>
  <c r="O2196" s="1"/>
  <c r="E3195"/>
  <c r="G3195" s="1"/>
  <c r="D2194"/>
  <c r="O2194" s="1"/>
  <c r="E3193"/>
  <c r="D2192"/>
  <c r="H2192" s="1"/>
  <c r="E3191"/>
  <c r="D2190"/>
  <c r="E3189"/>
  <c r="F3189" s="1"/>
  <c r="D2188"/>
  <c r="O2188" s="1"/>
  <c r="E3187"/>
  <c r="D2185"/>
  <c r="O2185" s="1"/>
  <c r="I2185"/>
  <c r="P2185" s="1"/>
  <c r="D2183"/>
  <c r="I2183"/>
  <c r="P2183" s="1"/>
  <c r="D2181"/>
  <c r="O2181" s="1"/>
  <c r="I2181"/>
  <c r="P2181" s="1"/>
  <c r="D2179"/>
  <c r="O2179" s="1"/>
  <c r="I2179"/>
  <c r="P2179" s="1"/>
  <c r="D2177"/>
  <c r="O2177" s="1"/>
  <c r="J2177"/>
  <c r="I2177"/>
  <c r="J3176" s="1"/>
  <c r="Q3176" s="1"/>
  <c r="D2174"/>
  <c r="O2174" s="1"/>
  <c r="I2174"/>
  <c r="J3173" s="1"/>
  <c r="Q3173" s="1"/>
  <c r="D2172"/>
  <c r="O2172" s="1"/>
  <c r="I2172"/>
  <c r="J3171" s="1"/>
  <c r="Q3171" s="1"/>
  <c r="D2170"/>
  <c r="H2170" s="1"/>
  <c r="I2170"/>
  <c r="J3169" s="1"/>
  <c r="Q3169" s="1"/>
  <c r="D2168"/>
  <c r="O2168" s="1"/>
  <c r="I2168"/>
  <c r="J3167" s="1"/>
  <c r="Q3167" s="1"/>
  <c r="D2166"/>
  <c r="O2166" s="1"/>
  <c r="I2166"/>
  <c r="J3165" s="1"/>
  <c r="Q3165" s="1"/>
  <c r="D2163"/>
  <c r="O2163" s="1"/>
  <c r="I2163"/>
  <c r="J3162" s="1"/>
  <c r="Q3162" s="1"/>
  <c r="D2161"/>
  <c r="H2161" s="1"/>
  <c r="I2161"/>
  <c r="J3160" s="1"/>
  <c r="Q3160" s="1"/>
  <c r="D2159"/>
  <c r="O2159" s="1"/>
  <c r="I2159"/>
  <c r="J3158" s="1"/>
  <c r="Q3158" s="1"/>
  <c r="D2157"/>
  <c r="O2157" s="1"/>
  <c r="I2157"/>
  <c r="J3156" s="1"/>
  <c r="Q3156" s="1"/>
  <c r="D2155"/>
  <c r="O2155" s="1"/>
  <c r="I2155"/>
  <c r="J3154" s="1"/>
  <c r="Q3154" s="1"/>
  <c r="D2152"/>
  <c r="O2152" s="1"/>
  <c r="I2152"/>
  <c r="J3151" s="1"/>
  <c r="Q3151" s="1"/>
  <c r="D2150"/>
  <c r="F2150" s="1"/>
  <c r="I2150"/>
  <c r="J3149" s="1"/>
  <c r="Q3149" s="1"/>
  <c r="D2148"/>
  <c r="H2148" s="1"/>
  <c r="I2148"/>
  <c r="J3147" s="1"/>
  <c r="Q3147" s="1"/>
  <c r="D2146"/>
  <c r="I2146"/>
  <c r="P2146" s="1"/>
  <c r="D2144"/>
  <c r="O2144" s="1"/>
  <c r="I2144"/>
  <c r="D2141"/>
  <c r="O2141" s="1"/>
  <c r="I2141"/>
  <c r="P2141" s="1"/>
  <c r="D2139"/>
  <c r="H2139" s="1"/>
  <c r="I2139"/>
  <c r="D2137"/>
  <c r="O2137" s="1"/>
  <c r="I2137"/>
  <c r="P2137" s="1"/>
  <c r="D2135"/>
  <c r="G2135" s="1"/>
  <c r="I2135"/>
  <c r="P2135" s="1"/>
  <c r="D2133"/>
  <c r="H2133" s="1"/>
  <c r="I2133"/>
  <c r="P2133" s="1"/>
  <c r="D2130"/>
  <c r="F2130" s="1"/>
  <c r="I2130"/>
  <c r="P2130" s="1"/>
  <c r="D2128"/>
  <c r="O2128" s="1"/>
  <c r="I2128"/>
  <c r="D2126"/>
  <c r="I2126"/>
  <c r="D2124"/>
  <c r="O2124" s="1"/>
  <c r="I2124"/>
  <c r="K2124" s="1"/>
  <c r="D2122"/>
  <c r="I2122"/>
  <c r="D2119"/>
  <c r="H2119" s="1"/>
  <c r="I2119"/>
  <c r="D2117"/>
  <c r="O2117" s="1"/>
  <c r="I2117"/>
  <c r="P2117" s="1"/>
  <c r="D2115"/>
  <c r="F2115" s="1"/>
  <c r="I2115"/>
  <c r="D2113"/>
  <c r="O2113" s="1"/>
  <c r="I2113"/>
  <c r="P2113" s="1"/>
  <c r="D2111"/>
  <c r="I2111"/>
  <c r="D2108"/>
  <c r="I2108"/>
  <c r="P2108" s="1"/>
  <c r="D2106"/>
  <c r="I2106"/>
  <c r="K2106" s="1"/>
  <c r="D2104"/>
  <c r="O2104" s="1"/>
  <c r="I2104"/>
  <c r="D2102"/>
  <c r="I2102"/>
  <c r="D2100"/>
  <c r="F2100" s="1"/>
  <c r="I2100"/>
  <c r="P2100" s="1"/>
  <c r="D2097"/>
  <c r="F2097" s="1"/>
  <c r="I2097"/>
  <c r="D2095"/>
  <c r="I2095"/>
  <c r="P2095" s="1"/>
  <c r="D2093"/>
  <c r="H2093" s="1"/>
  <c r="I2093"/>
  <c r="D2091"/>
  <c r="I2091"/>
  <c r="P2091" s="1"/>
  <c r="D2089"/>
  <c r="O2089" s="1"/>
  <c r="I2089"/>
  <c r="K2089" s="1"/>
  <c r="D2086"/>
  <c r="I2086"/>
  <c r="D2084"/>
  <c r="H2084" s="1"/>
  <c r="I2084"/>
  <c r="D2082"/>
  <c r="O2082" s="1"/>
  <c r="I2082"/>
  <c r="P2082" s="1"/>
  <c r="D2080"/>
  <c r="F2080" s="1"/>
  <c r="I2080"/>
  <c r="D2078"/>
  <c r="O2078" s="1"/>
  <c r="I2078"/>
  <c r="P2078" s="1"/>
  <c r="D2075"/>
  <c r="I2075"/>
  <c r="D2073"/>
  <c r="H2073" s="1"/>
  <c r="I2073"/>
  <c r="P2073" s="1"/>
  <c r="D2071"/>
  <c r="O2071" s="1"/>
  <c r="I2071"/>
  <c r="K2071" s="1"/>
  <c r="D2069"/>
  <c r="I2069"/>
  <c r="D2067"/>
  <c r="F2067" s="1"/>
  <c r="I2067"/>
  <c r="D2064"/>
  <c r="I2064"/>
  <c r="P2064" s="1"/>
  <c r="D2062"/>
  <c r="I2062"/>
  <c r="D2060"/>
  <c r="I2060"/>
  <c r="P2060" s="1"/>
  <c r="D2058"/>
  <c r="I2058"/>
  <c r="D2056"/>
  <c r="I2056"/>
  <c r="P2056" s="1"/>
  <c r="D2053"/>
  <c r="I2053"/>
  <c r="K2053" s="1"/>
  <c r="D2051"/>
  <c r="I2051"/>
  <c r="D2049"/>
  <c r="I2049"/>
  <c r="D2047"/>
  <c r="F2047" s="1"/>
  <c r="I2047"/>
  <c r="D2045"/>
  <c r="O2045" s="1"/>
  <c r="I2045"/>
  <c r="P2045" s="1"/>
  <c r="D2042"/>
  <c r="I2042"/>
  <c r="D2040"/>
  <c r="I2040"/>
  <c r="P2040" s="1"/>
  <c r="D2038"/>
  <c r="G2038" s="1"/>
  <c r="I2038"/>
  <c r="K2038" s="1"/>
  <c r="D2036"/>
  <c r="I2036"/>
  <c r="P2036" s="1"/>
  <c r="D2034"/>
  <c r="I2034"/>
  <c r="D2031"/>
  <c r="I2031"/>
  <c r="P2031" s="1"/>
  <c r="D2029"/>
  <c r="I2029"/>
  <c r="D2027"/>
  <c r="G2027" s="1"/>
  <c r="I2027"/>
  <c r="P2027" s="1"/>
  <c r="D2025"/>
  <c r="I2025"/>
  <c r="D2023"/>
  <c r="G2023" s="1"/>
  <c r="I2023"/>
  <c r="P2023" s="1"/>
  <c r="D2018"/>
  <c r="O2018" s="1"/>
  <c r="J2018"/>
  <c r="D2016"/>
  <c r="O2016" s="1"/>
  <c r="J2016"/>
  <c r="D2014"/>
  <c r="J2014"/>
  <c r="Q2014" s="1"/>
  <c r="D2012"/>
  <c r="F2012" s="1"/>
  <c r="J2012"/>
  <c r="L2012" s="1"/>
  <c r="D2009"/>
  <c r="I2009"/>
  <c r="D2006"/>
  <c r="I2006"/>
  <c r="D2004"/>
  <c r="I2004"/>
  <c r="K2004" s="1"/>
  <c r="D2002"/>
  <c r="I2002"/>
  <c r="E3019"/>
  <c r="J2020"/>
  <c r="L2020" s="1"/>
  <c r="I2020"/>
  <c r="K2020" s="1"/>
  <c r="I2018"/>
  <c r="P2018" s="1"/>
  <c r="I2016"/>
  <c r="K2016" s="1"/>
  <c r="I2014"/>
  <c r="P2014" s="1"/>
  <c r="I2012"/>
  <c r="K2012" s="1"/>
  <c r="E3002"/>
  <c r="E3000"/>
  <c r="G3000" s="1"/>
  <c r="H2019"/>
  <c r="G2370"/>
  <c r="G2175"/>
  <c r="G2173"/>
  <c r="H2173"/>
  <c r="G2169"/>
  <c r="H2169"/>
  <c r="G2160"/>
  <c r="H2160"/>
  <c r="H2076"/>
  <c r="H2369"/>
  <c r="H2368"/>
  <c r="H2366"/>
  <c r="H2361"/>
  <c r="H2353"/>
  <c r="G2345"/>
  <c r="H2345"/>
  <c r="G2327"/>
  <c r="H2327"/>
  <c r="H2246"/>
  <c r="G2131"/>
  <c r="H2131"/>
  <c r="H2405"/>
  <c r="F2327"/>
  <c r="H2326"/>
  <c r="G2325"/>
  <c r="H2325"/>
  <c r="G2323"/>
  <c r="H2323"/>
  <c r="G2318"/>
  <c r="H2318"/>
  <c r="G2310"/>
  <c r="H2310"/>
  <c r="H2263"/>
  <c r="F2405"/>
  <c r="H2404"/>
  <c r="G2403"/>
  <c r="G2401"/>
  <c r="G2397"/>
  <c r="G2388"/>
  <c r="F2345"/>
  <c r="G2343"/>
  <c r="H2343"/>
  <c r="G2340"/>
  <c r="H2340"/>
  <c r="G2336"/>
  <c r="H2336"/>
  <c r="F2310"/>
  <c r="G2307"/>
  <c r="H2307"/>
  <c r="G2305"/>
  <c r="H2305"/>
  <c r="G2301"/>
  <c r="H2301"/>
  <c r="H2271"/>
  <c r="H2255"/>
  <c r="G2185"/>
  <c r="F2160"/>
  <c r="H2159"/>
  <c r="G2156"/>
  <c r="H2156"/>
  <c r="G2151"/>
  <c r="H2151"/>
  <c r="F2131"/>
  <c r="H2129"/>
  <c r="G2127"/>
  <c r="G2414"/>
  <c r="F2388"/>
  <c r="H2387"/>
  <c r="G2386"/>
  <c r="G2383"/>
  <c r="G2379"/>
  <c r="G2351"/>
  <c r="H2351"/>
  <c r="G2349"/>
  <c r="H2349"/>
  <c r="F2336"/>
  <c r="G2334"/>
  <c r="H2334"/>
  <c r="G2332"/>
  <c r="H2332"/>
  <c r="F2318"/>
  <c r="G2316"/>
  <c r="H2316"/>
  <c r="G2314"/>
  <c r="H2314"/>
  <c r="F2301"/>
  <c r="G2299"/>
  <c r="H2299"/>
  <c r="G2296"/>
  <c r="H2296"/>
  <c r="H2288"/>
  <c r="H2276"/>
  <c r="H2267"/>
  <c r="H2259"/>
  <c r="H2250"/>
  <c r="H2184"/>
  <c r="G2181"/>
  <c r="F2169"/>
  <c r="G2167"/>
  <c r="G2164"/>
  <c r="H2164"/>
  <c r="F2151"/>
  <c r="F2028"/>
  <c r="G2015"/>
  <c r="H2104"/>
  <c r="H2413"/>
  <c r="G2412"/>
  <c r="G2410"/>
  <c r="H2410"/>
  <c r="H2395"/>
  <c r="H2394"/>
  <c r="H2392"/>
  <c r="H2378"/>
  <c r="H2377"/>
  <c r="H2375"/>
  <c r="H2360"/>
  <c r="H2359"/>
  <c r="H2357"/>
  <c r="F2349"/>
  <c r="H2348"/>
  <c r="G2347"/>
  <c r="H2347"/>
  <c r="F2340"/>
  <c r="H2339"/>
  <c r="G2338"/>
  <c r="H2338"/>
  <c r="F2332"/>
  <c r="H2331"/>
  <c r="G2329"/>
  <c r="H2329"/>
  <c r="F2323"/>
  <c r="H2322"/>
  <c r="G2321"/>
  <c r="H2321"/>
  <c r="F2314"/>
  <c r="H2313"/>
  <c r="G2312"/>
  <c r="H2312"/>
  <c r="F2305"/>
  <c r="H2304"/>
  <c r="G2303"/>
  <c r="H2303"/>
  <c r="F2296"/>
  <c r="H2295"/>
  <c r="G2294"/>
  <c r="H2294"/>
  <c r="H2278"/>
  <c r="H2273"/>
  <c r="H2269"/>
  <c r="H2261"/>
  <c r="H2257"/>
  <c r="H2252"/>
  <c r="H2248"/>
  <c r="H2244"/>
  <c r="F2173"/>
  <c r="F2164"/>
  <c r="F2156"/>
  <c r="O2241"/>
  <c r="G2241"/>
  <c r="F2241"/>
  <c r="H2240"/>
  <c r="O2237"/>
  <c r="G2237"/>
  <c r="F2237"/>
  <c r="O2233"/>
  <c r="G2233"/>
  <c r="F2233"/>
  <c r="H2232"/>
  <c r="O2228"/>
  <c r="G2228"/>
  <c r="F2228"/>
  <c r="O2224"/>
  <c r="G2224"/>
  <c r="F2224"/>
  <c r="H2223"/>
  <c r="O2219"/>
  <c r="G2219"/>
  <c r="F2219"/>
  <c r="O2215"/>
  <c r="G2215"/>
  <c r="F2215"/>
  <c r="H2214"/>
  <c r="O2211"/>
  <c r="G2211"/>
  <c r="F2211"/>
  <c r="O2206"/>
  <c r="G2206"/>
  <c r="F2206"/>
  <c r="H2205"/>
  <c r="O2202"/>
  <c r="G2202"/>
  <c r="F2202"/>
  <c r="O2197"/>
  <c r="G2197"/>
  <c r="F2197"/>
  <c r="H2196"/>
  <c r="O2193"/>
  <c r="G2193"/>
  <c r="F2193"/>
  <c r="O2189"/>
  <c r="G2189"/>
  <c r="F2189"/>
  <c r="H2188"/>
  <c r="F2179"/>
  <c r="H2178"/>
  <c r="F2118"/>
  <c r="O2116"/>
  <c r="F2101"/>
  <c r="O2098"/>
  <c r="O2136"/>
  <c r="F2136"/>
  <c r="O2134"/>
  <c r="H2134"/>
  <c r="O2020"/>
  <c r="F2020"/>
  <c r="O2239"/>
  <c r="G2239"/>
  <c r="F2239"/>
  <c r="H2238"/>
  <c r="O2235"/>
  <c r="G2235"/>
  <c r="F2235"/>
  <c r="O2230"/>
  <c r="G2230"/>
  <c r="F2230"/>
  <c r="H2229"/>
  <c r="O2226"/>
  <c r="G2226"/>
  <c r="F2226"/>
  <c r="O2222"/>
  <c r="G2222"/>
  <c r="F2222"/>
  <c r="H2221"/>
  <c r="O2217"/>
  <c r="G2217"/>
  <c r="F2217"/>
  <c r="O2213"/>
  <c r="G2213"/>
  <c r="F2213"/>
  <c r="H2212"/>
  <c r="O2208"/>
  <c r="G2208"/>
  <c r="F2208"/>
  <c r="O2204"/>
  <c r="G2204"/>
  <c r="F2204"/>
  <c r="H2203"/>
  <c r="O2200"/>
  <c r="G2200"/>
  <c r="F2200"/>
  <c r="O2195"/>
  <c r="G2195"/>
  <c r="F2195"/>
  <c r="H2194"/>
  <c r="O2191"/>
  <c r="G2191"/>
  <c r="F2191"/>
  <c r="H2182"/>
  <c r="F2175"/>
  <c r="H2174"/>
  <c r="F2167"/>
  <c r="H2166"/>
  <c r="F2158"/>
  <c r="H2157"/>
  <c r="O2127"/>
  <c r="F2127"/>
  <c r="H2417"/>
  <c r="G2416"/>
  <c r="F2410"/>
  <c r="H2409"/>
  <c r="G2408"/>
  <c r="F2401"/>
  <c r="H2400"/>
  <c r="G2399"/>
  <c r="F2392"/>
  <c r="H2391"/>
  <c r="G2390"/>
  <c r="H2382"/>
  <c r="G2381"/>
  <c r="F2375"/>
  <c r="H2373"/>
  <c r="G2372"/>
  <c r="F2366"/>
  <c r="H2365"/>
  <c r="G2364"/>
  <c r="F2357"/>
  <c r="H2356"/>
  <c r="G2355"/>
  <c r="F2351"/>
  <c r="H2350"/>
  <c r="F2347"/>
  <c r="F2343"/>
  <c r="F2338"/>
  <c r="F2334"/>
  <c r="H2333"/>
  <c r="F2329"/>
  <c r="F2325"/>
  <c r="F2321"/>
  <c r="F2316"/>
  <c r="H2315"/>
  <c r="F2312"/>
  <c r="F2307"/>
  <c r="F2303"/>
  <c r="F2299"/>
  <c r="H2298"/>
  <c r="F2294"/>
  <c r="F2290"/>
  <c r="H2289"/>
  <c r="G2288"/>
  <c r="F2288"/>
  <c r="H2285"/>
  <c r="G2284"/>
  <c r="H2283"/>
  <c r="F2282"/>
  <c r="H2281"/>
  <c r="F2280"/>
  <c r="G2280"/>
  <c r="H2279"/>
  <c r="F2278"/>
  <c r="G2278"/>
  <c r="H2277"/>
  <c r="F2276"/>
  <c r="G2276"/>
  <c r="H2274"/>
  <c r="F2273"/>
  <c r="G2273"/>
  <c r="H2272"/>
  <c r="G2271"/>
  <c r="H2270"/>
  <c r="F2269"/>
  <c r="H2268"/>
  <c r="G2267"/>
  <c r="H2266"/>
  <c r="F2265"/>
  <c r="F2263"/>
  <c r="G2263"/>
  <c r="H2262"/>
  <c r="F2261"/>
  <c r="G2261"/>
  <c r="F2259"/>
  <c r="G2259"/>
  <c r="H2258"/>
  <c r="F2257"/>
  <c r="G2257"/>
  <c r="F2255"/>
  <c r="G2255"/>
  <c r="H2254"/>
  <c r="F2252"/>
  <c r="G2252"/>
  <c r="F2250"/>
  <c r="G2250"/>
  <c r="H2249"/>
  <c r="F2248"/>
  <c r="G2248"/>
  <c r="F2246"/>
  <c r="G2246"/>
  <c r="H2245"/>
  <c r="F2244"/>
  <c r="G2244"/>
  <c r="H2241"/>
  <c r="H2237"/>
  <c r="H2233"/>
  <c r="H2228"/>
  <c r="H2224"/>
  <c r="H2219"/>
  <c r="H2215"/>
  <c r="H2211"/>
  <c r="H2206"/>
  <c r="H2202"/>
  <c r="H2197"/>
  <c r="H2193"/>
  <c r="H2189"/>
  <c r="G2179"/>
  <c r="G2171"/>
  <c r="G2162"/>
  <c r="G2136"/>
  <c r="H2136"/>
  <c r="G2020"/>
  <c r="H2020"/>
  <c r="F2416"/>
  <c r="H2415"/>
  <c r="F2412"/>
  <c r="H2411"/>
  <c r="F2408"/>
  <c r="H2406"/>
  <c r="F2403"/>
  <c r="H2402"/>
  <c r="F2399"/>
  <c r="H2398"/>
  <c r="F2394"/>
  <c r="H2393"/>
  <c r="F2390"/>
  <c r="H2389"/>
  <c r="F2386"/>
  <c r="H2384"/>
  <c r="F2381"/>
  <c r="H2380"/>
  <c r="F2377"/>
  <c r="H2376"/>
  <c r="F2372"/>
  <c r="H2371"/>
  <c r="F2368"/>
  <c r="H2367"/>
  <c r="F2364"/>
  <c r="H2362"/>
  <c r="F2359"/>
  <c r="H2358"/>
  <c r="F2355"/>
  <c r="H2354"/>
  <c r="H2287"/>
  <c r="G2417"/>
  <c r="F2417"/>
  <c r="G2415"/>
  <c r="F2415"/>
  <c r="G2413"/>
  <c r="F2413"/>
  <c r="G2411"/>
  <c r="F2411"/>
  <c r="G2409"/>
  <c r="F2409"/>
  <c r="G2406"/>
  <c r="F2406"/>
  <c r="G2404"/>
  <c r="F2404"/>
  <c r="G2402"/>
  <c r="F2402"/>
  <c r="G2400"/>
  <c r="F2400"/>
  <c r="G2398"/>
  <c r="F2398"/>
  <c r="G2395"/>
  <c r="F2395"/>
  <c r="G2393"/>
  <c r="F2393"/>
  <c r="G2391"/>
  <c r="F2391"/>
  <c r="G2389"/>
  <c r="F2389"/>
  <c r="G2387"/>
  <c r="F2387"/>
  <c r="G2384"/>
  <c r="F2384"/>
  <c r="G2382"/>
  <c r="F2382"/>
  <c r="G2380"/>
  <c r="F2380"/>
  <c r="G2378"/>
  <c r="F2378"/>
  <c r="G2376"/>
  <c r="F2376"/>
  <c r="G2373"/>
  <c r="F2373"/>
  <c r="G2371"/>
  <c r="F2371"/>
  <c r="G2369"/>
  <c r="F2369"/>
  <c r="G2367"/>
  <c r="F2367"/>
  <c r="G2365"/>
  <c r="F2365"/>
  <c r="G2362"/>
  <c r="F2362"/>
  <c r="G2360"/>
  <c r="F2360"/>
  <c r="G2358"/>
  <c r="F2358"/>
  <c r="G2356"/>
  <c r="F2356"/>
  <c r="G2354"/>
  <c r="F2354"/>
  <c r="G2350"/>
  <c r="G2348"/>
  <c r="F2346"/>
  <c r="F2344"/>
  <c r="G2342"/>
  <c r="F2339"/>
  <c r="F2337"/>
  <c r="G2335"/>
  <c r="G2333"/>
  <c r="F2331"/>
  <c r="F2328"/>
  <c r="F2326"/>
  <c r="F2324"/>
  <c r="F2322"/>
  <c r="F2320"/>
  <c r="F2317"/>
  <c r="F2315"/>
  <c r="F2313"/>
  <c r="F2311"/>
  <c r="F2309"/>
  <c r="F2306"/>
  <c r="F2304"/>
  <c r="F2302"/>
  <c r="G2300"/>
  <c r="G2298"/>
  <c r="F2295"/>
  <c r="F2293"/>
  <c r="G2291"/>
  <c r="F2291"/>
  <c r="G2289"/>
  <c r="F2289"/>
  <c r="G2287"/>
  <c r="F2287"/>
  <c r="F2285"/>
  <c r="G2285"/>
  <c r="F2283"/>
  <c r="G2283"/>
  <c r="F2281"/>
  <c r="G2281"/>
  <c r="F2279"/>
  <c r="G2279"/>
  <c r="F2277"/>
  <c r="G2277"/>
  <c r="F2274"/>
  <c r="G2274"/>
  <c r="F2272"/>
  <c r="G2272"/>
  <c r="F2270"/>
  <c r="G2270"/>
  <c r="F2268"/>
  <c r="G2268"/>
  <c r="F2266"/>
  <c r="G2266"/>
  <c r="G2262"/>
  <c r="G2260"/>
  <c r="G2258"/>
  <c r="G2256"/>
  <c r="G2254"/>
  <c r="G2251"/>
  <c r="G2249"/>
  <c r="G2247"/>
  <c r="G2245"/>
  <c r="G2243"/>
  <c r="G2240"/>
  <c r="G2238"/>
  <c r="G2236"/>
  <c r="G2234"/>
  <c r="G2232"/>
  <c r="G2229"/>
  <c r="G2227"/>
  <c r="G2225"/>
  <c r="G2223"/>
  <c r="G2221"/>
  <c r="G2218"/>
  <c r="G2216"/>
  <c r="G2214"/>
  <c r="G2212"/>
  <c r="G2210"/>
  <c r="G2207"/>
  <c r="G2205"/>
  <c r="G2203"/>
  <c r="G2201"/>
  <c r="G2199"/>
  <c r="G2196"/>
  <c r="G2194"/>
  <c r="G2192"/>
  <c r="G2190"/>
  <c r="G2188"/>
  <c r="H2186"/>
  <c r="G2186"/>
  <c r="G2184"/>
  <c r="F2184"/>
  <c r="G2182"/>
  <c r="F2182"/>
  <c r="G2180"/>
  <c r="F2180"/>
  <c r="G2178"/>
  <c r="F2178"/>
  <c r="F2174"/>
  <c r="F2172"/>
  <c r="F2170"/>
  <c r="F2168"/>
  <c r="F2166"/>
  <c r="F2163"/>
  <c r="F2161"/>
  <c r="F2159"/>
  <c r="F2157"/>
  <c r="F2133"/>
  <c r="G2134"/>
  <c r="F2134"/>
  <c r="G2129"/>
  <c r="F2129"/>
  <c r="F2074"/>
  <c r="F2057"/>
  <c r="F2026"/>
  <c r="F2008"/>
  <c r="VE3"/>
  <c r="I3416"/>
  <c r="P3416" s="1"/>
  <c r="Q2417"/>
  <c r="P2416"/>
  <c r="I3414"/>
  <c r="P3414" s="1"/>
  <c r="Q2415"/>
  <c r="J3413"/>
  <c r="Q3413" s="1"/>
  <c r="I3412"/>
  <c r="P3412" s="1"/>
  <c r="Q2413"/>
  <c r="J3411"/>
  <c r="Q3411" s="1"/>
  <c r="I3410"/>
  <c r="P3410" s="1"/>
  <c r="Q2411"/>
  <c r="J3409"/>
  <c r="Q3409" s="1"/>
  <c r="Q2409"/>
  <c r="P2408"/>
  <c r="I3405"/>
  <c r="P3405" s="1"/>
  <c r="Q2406"/>
  <c r="J3404"/>
  <c r="Q3404" s="1"/>
  <c r="I3403"/>
  <c r="P3403" s="1"/>
  <c r="J3402"/>
  <c r="Q3402" s="1"/>
  <c r="I3401"/>
  <c r="P3401" s="1"/>
  <c r="Q2402"/>
  <c r="J3400"/>
  <c r="Q3400" s="1"/>
  <c r="Q2400"/>
  <c r="P2399"/>
  <c r="I3397"/>
  <c r="P3397" s="1"/>
  <c r="Q2398"/>
  <c r="J3396"/>
  <c r="Q3396" s="1"/>
  <c r="I3394"/>
  <c r="P3394" s="1"/>
  <c r="J3393"/>
  <c r="Q3393" s="1"/>
  <c r="I3392"/>
  <c r="P3392" s="1"/>
  <c r="Q2393"/>
  <c r="J3391"/>
  <c r="Q3391" s="1"/>
  <c r="Q2391"/>
  <c r="P2390"/>
  <c r="I3388"/>
  <c r="P3388" s="1"/>
  <c r="Q2389"/>
  <c r="J3387"/>
  <c r="Q3387" s="1"/>
  <c r="I3386"/>
  <c r="P3386" s="1"/>
  <c r="J3385"/>
  <c r="Q3385" s="1"/>
  <c r="I3383"/>
  <c r="P3383" s="1"/>
  <c r="Q2384"/>
  <c r="J3382"/>
  <c r="Q3382" s="1"/>
  <c r="Q2382"/>
  <c r="P2381"/>
  <c r="I3379"/>
  <c r="P3379" s="1"/>
  <c r="Q2380"/>
  <c r="J3378"/>
  <c r="Q3378" s="1"/>
  <c r="I3377"/>
  <c r="P3377" s="1"/>
  <c r="J3376"/>
  <c r="Q3376" s="1"/>
  <c r="I3375"/>
  <c r="P3375" s="1"/>
  <c r="Q2376"/>
  <c r="J3374"/>
  <c r="Q3374" s="1"/>
  <c r="Q2373"/>
  <c r="P2372"/>
  <c r="I3370"/>
  <c r="P3370" s="1"/>
  <c r="Q2371"/>
  <c r="J3369"/>
  <c r="Q3369" s="1"/>
  <c r="I3368"/>
  <c r="P3368" s="1"/>
  <c r="J3367"/>
  <c r="Q3367" s="1"/>
  <c r="I3366"/>
  <c r="P3366" s="1"/>
  <c r="Q2367"/>
  <c r="J3365"/>
  <c r="Q3365" s="1"/>
  <c r="Q2365"/>
  <c r="P2364"/>
  <c r="I3361"/>
  <c r="P3361" s="1"/>
  <c r="Q2362"/>
  <c r="J3360"/>
  <c r="Q3360" s="1"/>
  <c r="I3359"/>
  <c r="P3359" s="1"/>
  <c r="J3358"/>
  <c r="Q3358" s="1"/>
  <c r="I3357"/>
  <c r="P3357" s="1"/>
  <c r="Q2358"/>
  <c r="J3356"/>
  <c r="Q3356" s="1"/>
  <c r="Q2356"/>
  <c r="P2355"/>
  <c r="I3353"/>
  <c r="P3353" s="1"/>
  <c r="Q2354"/>
  <c r="J3352"/>
  <c r="Q3352" s="1"/>
  <c r="I3350"/>
  <c r="P3350" s="1"/>
  <c r="J3349"/>
  <c r="Q3349" s="1"/>
  <c r="I3348"/>
  <c r="P3348" s="1"/>
  <c r="Q2349"/>
  <c r="J3347"/>
  <c r="Q3347" s="1"/>
  <c r="Q2347"/>
  <c r="P2346"/>
  <c r="I3344"/>
  <c r="P3344" s="1"/>
  <c r="Q2345"/>
  <c r="J3343"/>
  <c r="Q3343" s="1"/>
  <c r="I3342"/>
  <c r="P3342" s="1"/>
  <c r="J3341"/>
  <c r="Q3341" s="1"/>
  <c r="I3339"/>
  <c r="P3339" s="1"/>
  <c r="Q2340"/>
  <c r="J3338"/>
  <c r="Q3338" s="1"/>
  <c r="Q2338"/>
  <c r="P2337"/>
  <c r="I3335"/>
  <c r="P3335" s="1"/>
  <c r="Q2336"/>
  <c r="J3334"/>
  <c r="Q3334" s="1"/>
  <c r="I3333"/>
  <c r="P3333" s="1"/>
  <c r="J3332"/>
  <c r="Q3332" s="1"/>
  <c r="I3331"/>
  <c r="P3331" s="1"/>
  <c r="Q2332"/>
  <c r="J3330"/>
  <c r="Q3330" s="1"/>
  <c r="Q2329"/>
  <c r="P2328"/>
  <c r="I3326"/>
  <c r="P3326" s="1"/>
  <c r="Q2327"/>
  <c r="J3325"/>
  <c r="Q3325" s="1"/>
  <c r="I3324"/>
  <c r="P3324" s="1"/>
  <c r="J3323"/>
  <c r="Q3323" s="1"/>
  <c r="I3322"/>
  <c r="P3322" s="1"/>
  <c r="Q2323"/>
  <c r="J3321"/>
  <c r="Q3321" s="1"/>
  <c r="Q2321"/>
  <c r="P2320"/>
  <c r="I3317"/>
  <c r="P3317" s="1"/>
  <c r="Q2318"/>
  <c r="J3316"/>
  <c r="Q3316" s="1"/>
  <c r="I3315"/>
  <c r="P3315" s="1"/>
  <c r="J3314"/>
  <c r="Q3314" s="1"/>
  <c r="I3313"/>
  <c r="P3313" s="1"/>
  <c r="Q2314"/>
  <c r="J3312"/>
  <c r="Q3312" s="1"/>
  <c r="Q2312"/>
  <c r="P2311"/>
  <c r="I3309"/>
  <c r="P3309" s="1"/>
  <c r="Q2310"/>
  <c r="J3308"/>
  <c r="Q3308" s="1"/>
  <c r="I3306"/>
  <c r="P3306" s="1"/>
  <c r="J3305"/>
  <c r="Q3305" s="1"/>
  <c r="I3304"/>
  <c r="P3304" s="1"/>
  <c r="Q2305"/>
  <c r="J3303"/>
  <c r="Q3303" s="1"/>
  <c r="Q2303"/>
  <c r="P2302"/>
  <c r="I3300"/>
  <c r="P3300" s="1"/>
  <c r="Q2301"/>
  <c r="J3299"/>
  <c r="Q3299" s="1"/>
  <c r="I3298"/>
  <c r="P3298" s="1"/>
  <c r="J3297"/>
  <c r="Q3297" s="1"/>
  <c r="I3295"/>
  <c r="P3295" s="1"/>
  <c r="Q2296"/>
  <c r="J3294"/>
  <c r="Q3294" s="1"/>
  <c r="Q2294"/>
  <c r="P2293"/>
  <c r="I3291"/>
  <c r="P3291" s="1"/>
  <c r="Q2292"/>
  <c r="I3289"/>
  <c r="P3289" s="1"/>
  <c r="Q2290"/>
  <c r="J3288"/>
  <c r="Q3288" s="1"/>
  <c r="J3287"/>
  <c r="Q3287" s="1"/>
  <c r="P2288"/>
  <c r="I3287"/>
  <c r="P3287" s="1"/>
  <c r="Q2288"/>
  <c r="P2285"/>
  <c r="I3121"/>
  <c r="P3121" s="1"/>
  <c r="Q2122"/>
  <c r="I3116"/>
  <c r="P3116" s="1"/>
  <c r="Q2117"/>
  <c r="I3112"/>
  <c r="P3112" s="1"/>
  <c r="Q2113"/>
  <c r="I3107"/>
  <c r="P3107" s="1"/>
  <c r="Q2108"/>
  <c r="I3103"/>
  <c r="P3103" s="1"/>
  <c r="Q2104"/>
  <c r="I3099"/>
  <c r="P3099" s="1"/>
  <c r="Q2100"/>
  <c r="I3094"/>
  <c r="P3094" s="1"/>
  <c r="Q2095"/>
  <c r="I3090"/>
  <c r="P3090" s="1"/>
  <c r="Q2091"/>
  <c r="I3085"/>
  <c r="P3085" s="1"/>
  <c r="Q2086"/>
  <c r="I3081"/>
  <c r="P3081" s="1"/>
  <c r="Q2082"/>
  <c r="I3077"/>
  <c r="P3077" s="1"/>
  <c r="Q2078"/>
  <c r="I3072"/>
  <c r="Q2073"/>
  <c r="I3068"/>
  <c r="P3068" s="1"/>
  <c r="Q2069"/>
  <c r="I3063"/>
  <c r="P3063" s="1"/>
  <c r="Q2064"/>
  <c r="I3059"/>
  <c r="P3059" s="1"/>
  <c r="Q2060"/>
  <c r="I3055"/>
  <c r="P3055" s="1"/>
  <c r="Q2056"/>
  <c r="I3050"/>
  <c r="P3050" s="1"/>
  <c r="Q2051"/>
  <c r="I3046"/>
  <c r="P3046" s="1"/>
  <c r="Q2047"/>
  <c r="I3041"/>
  <c r="P3041" s="1"/>
  <c r="Q2042"/>
  <c r="I3037"/>
  <c r="P3037" s="1"/>
  <c r="Q2038"/>
  <c r="I3033"/>
  <c r="P3033" s="1"/>
  <c r="Q2034"/>
  <c r="I3028"/>
  <c r="P3028" s="1"/>
  <c r="Q2029"/>
  <c r="I3024"/>
  <c r="P3024" s="1"/>
  <c r="Q2025"/>
  <c r="I3005"/>
  <c r="P3005" s="1"/>
  <c r="Q2006"/>
  <c r="I3001"/>
  <c r="Q2002"/>
  <c r="P2417"/>
  <c r="I3415"/>
  <c r="P3415" s="1"/>
  <c r="Q2416"/>
  <c r="J3414"/>
  <c r="Q3414" s="1"/>
  <c r="P2415"/>
  <c r="I3413"/>
  <c r="P3413" s="1"/>
  <c r="Q2414"/>
  <c r="P2413"/>
  <c r="I3411"/>
  <c r="P3411" s="1"/>
  <c r="Q2412"/>
  <c r="J3410"/>
  <c r="Q3410" s="1"/>
  <c r="P2411"/>
  <c r="I3409"/>
  <c r="P3409" s="1"/>
  <c r="Q2410"/>
  <c r="P2409"/>
  <c r="I3407"/>
  <c r="P3407" s="1"/>
  <c r="Q2408"/>
  <c r="J3405"/>
  <c r="Q3405" s="1"/>
  <c r="P2406"/>
  <c r="I3404"/>
  <c r="P3404" s="1"/>
  <c r="Q2405"/>
  <c r="P2404"/>
  <c r="I3402"/>
  <c r="P3402" s="1"/>
  <c r="Q2403"/>
  <c r="J3401"/>
  <c r="Q3401" s="1"/>
  <c r="P2402"/>
  <c r="I3400"/>
  <c r="P3400" s="1"/>
  <c r="Q2401"/>
  <c r="P2400"/>
  <c r="I3398"/>
  <c r="P3398" s="1"/>
  <c r="Q2399"/>
  <c r="J3397"/>
  <c r="Q3397" s="1"/>
  <c r="P2398"/>
  <c r="I3396"/>
  <c r="P3396" s="1"/>
  <c r="Q2397"/>
  <c r="P2395"/>
  <c r="I3393"/>
  <c r="P3393" s="1"/>
  <c r="Q2394"/>
  <c r="J3392"/>
  <c r="Q3392" s="1"/>
  <c r="P2393"/>
  <c r="I3391"/>
  <c r="P3391" s="1"/>
  <c r="Q2392"/>
  <c r="P2391"/>
  <c r="I3389"/>
  <c r="P3389" s="1"/>
  <c r="Q2390"/>
  <c r="J3388"/>
  <c r="Q3388" s="1"/>
  <c r="P2389"/>
  <c r="I3387"/>
  <c r="P3387" s="1"/>
  <c r="Q2388"/>
  <c r="P2387"/>
  <c r="I3385"/>
  <c r="P3385" s="1"/>
  <c r="Q2386"/>
  <c r="J3383"/>
  <c r="Q3383" s="1"/>
  <c r="P2384"/>
  <c r="I3382"/>
  <c r="P3382" s="1"/>
  <c r="Q2383"/>
  <c r="P2382"/>
  <c r="I3380"/>
  <c r="P3380" s="1"/>
  <c r="Q2381"/>
  <c r="J3379"/>
  <c r="Q3379" s="1"/>
  <c r="P2380"/>
  <c r="I3378"/>
  <c r="P3378" s="1"/>
  <c r="Q2379"/>
  <c r="P2378"/>
  <c r="I3376"/>
  <c r="P3376" s="1"/>
  <c r="Q2377"/>
  <c r="J3375"/>
  <c r="Q3375" s="1"/>
  <c r="P2376"/>
  <c r="I3374"/>
  <c r="P3374" s="1"/>
  <c r="Q2375"/>
  <c r="P2373"/>
  <c r="I3371"/>
  <c r="P3371" s="1"/>
  <c r="Q2372"/>
  <c r="J3370"/>
  <c r="Q3370" s="1"/>
  <c r="P2371"/>
  <c r="I3369"/>
  <c r="P3369" s="1"/>
  <c r="Q2370"/>
  <c r="P2369"/>
  <c r="I3367"/>
  <c r="P3367" s="1"/>
  <c r="Q2368"/>
  <c r="J3366"/>
  <c r="Q3366" s="1"/>
  <c r="P2367"/>
  <c r="I3365"/>
  <c r="P3365" s="1"/>
  <c r="Q2366"/>
  <c r="P2365"/>
  <c r="I3363"/>
  <c r="P3363" s="1"/>
  <c r="Q2364"/>
  <c r="J3361"/>
  <c r="Q3361" s="1"/>
  <c r="P2362"/>
  <c r="I3360"/>
  <c r="P3360" s="1"/>
  <c r="Q2361"/>
  <c r="P2360"/>
  <c r="I3358"/>
  <c r="P3358" s="1"/>
  <c r="Q2359"/>
  <c r="J3357"/>
  <c r="Q3357" s="1"/>
  <c r="P2358"/>
  <c r="I3356"/>
  <c r="P3356" s="1"/>
  <c r="Q2357"/>
  <c r="P2356"/>
  <c r="I3354"/>
  <c r="P3354" s="1"/>
  <c r="Q2355"/>
  <c r="J3353"/>
  <c r="Q3353" s="1"/>
  <c r="P2354"/>
  <c r="I3352"/>
  <c r="P3352" s="1"/>
  <c r="Q2353"/>
  <c r="P2351"/>
  <c r="I3349"/>
  <c r="P3349" s="1"/>
  <c r="Q2350"/>
  <c r="J3348"/>
  <c r="P2349"/>
  <c r="I3347"/>
  <c r="P3347" s="1"/>
  <c r="Q2348"/>
  <c r="P2347"/>
  <c r="I3345"/>
  <c r="P3345" s="1"/>
  <c r="Q2346"/>
  <c r="J3344"/>
  <c r="Q3344" s="1"/>
  <c r="P2345"/>
  <c r="I3343"/>
  <c r="P3343" s="1"/>
  <c r="Q2344"/>
  <c r="P2343"/>
  <c r="I3341"/>
  <c r="P3341" s="1"/>
  <c r="Q2342"/>
  <c r="J3339"/>
  <c r="Q3339" s="1"/>
  <c r="P2340"/>
  <c r="I3338"/>
  <c r="P3338" s="1"/>
  <c r="Q2339"/>
  <c r="P2338"/>
  <c r="I3336"/>
  <c r="P3336" s="1"/>
  <c r="Q2337"/>
  <c r="J3335"/>
  <c r="Q3335" s="1"/>
  <c r="P2336"/>
  <c r="I3334"/>
  <c r="P3334" s="1"/>
  <c r="Q2335"/>
  <c r="P2334"/>
  <c r="I3332"/>
  <c r="P3332" s="1"/>
  <c r="Q2333"/>
  <c r="J3331"/>
  <c r="Q3331" s="1"/>
  <c r="P2332"/>
  <c r="I3330"/>
  <c r="P3330" s="1"/>
  <c r="Q2331"/>
  <c r="P2329"/>
  <c r="I3327"/>
  <c r="P3327" s="1"/>
  <c r="Q2328"/>
  <c r="J3326"/>
  <c r="Q3326" s="1"/>
  <c r="P2327"/>
  <c r="I3325"/>
  <c r="P3325" s="1"/>
  <c r="Q2326"/>
  <c r="P2325"/>
  <c r="I3323"/>
  <c r="P3323" s="1"/>
  <c r="Q2324"/>
  <c r="J3322"/>
  <c r="Q3322" s="1"/>
  <c r="P2323"/>
  <c r="I3321"/>
  <c r="P3321" s="1"/>
  <c r="Q2322"/>
  <c r="P2321"/>
  <c r="I3319"/>
  <c r="P3319" s="1"/>
  <c r="Q2320"/>
  <c r="J3317"/>
  <c r="Q3317" s="1"/>
  <c r="P2318"/>
  <c r="I3316"/>
  <c r="P3316" s="1"/>
  <c r="Q2317"/>
  <c r="P2316"/>
  <c r="I3314"/>
  <c r="P3314" s="1"/>
  <c r="Q2315"/>
  <c r="J3313"/>
  <c r="Q3313" s="1"/>
  <c r="P2314"/>
  <c r="I3312"/>
  <c r="P3312" s="1"/>
  <c r="Q2313"/>
  <c r="P2312"/>
  <c r="I3310"/>
  <c r="P3310" s="1"/>
  <c r="Q2311"/>
  <c r="J3309"/>
  <c r="Q3309" s="1"/>
  <c r="P2310"/>
  <c r="I3308"/>
  <c r="P3308" s="1"/>
  <c r="Q2309"/>
  <c r="P2307"/>
  <c r="I3305"/>
  <c r="P3305" s="1"/>
  <c r="Q2306"/>
  <c r="J3304"/>
  <c r="Q3304" s="1"/>
  <c r="P2305"/>
  <c r="I3303"/>
  <c r="P3303" s="1"/>
  <c r="Q2304"/>
  <c r="P2303"/>
  <c r="I3301"/>
  <c r="P3301" s="1"/>
  <c r="Q2302"/>
  <c r="J3300"/>
  <c r="Q3300" s="1"/>
  <c r="P2301"/>
  <c r="I3299"/>
  <c r="P3299" s="1"/>
  <c r="Q2300"/>
  <c r="P2299"/>
  <c r="I3297"/>
  <c r="P3297" s="1"/>
  <c r="Q2298"/>
  <c r="J3295"/>
  <c r="Q3295" s="1"/>
  <c r="P2296"/>
  <c r="I3294"/>
  <c r="P3294" s="1"/>
  <c r="Q2295"/>
  <c r="P2294"/>
  <c r="I3292"/>
  <c r="P3292" s="1"/>
  <c r="Q2293"/>
  <c r="J3291"/>
  <c r="Q3291" s="1"/>
  <c r="P2292"/>
  <c r="I3290"/>
  <c r="P3290" s="1"/>
  <c r="J3289"/>
  <c r="Q3289" s="1"/>
  <c r="P2290"/>
  <c r="I3288"/>
  <c r="P3288" s="1"/>
  <c r="J3286"/>
  <c r="Q3286" s="1"/>
  <c r="Q2287"/>
  <c r="I3284"/>
  <c r="P3284" s="1"/>
  <c r="Q2285"/>
  <c r="J3283"/>
  <c r="Q3283" s="1"/>
  <c r="P2284"/>
  <c r="I3282"/>
  <c r="P3282" s="1"/>
  <c r="Q2283"/>
  <c r="J3281"/>
  <c r="Q3281" s="1"/>
  <c r="P2282"/>
  <c r="I3280"/>
  <c r="P3280" s="1"/>
  <c r="Q2281"/>
  <c r="P2280"/>
  <c r="I3278"/>
  <c r="P3278" s="1"/>
  <c r="Q2279"/>
  <c r="J3277"/>
  <c r="Q3277" s="1"/>
  <c r="I3276"/>
  <c r="P3276" s="1"/>
  <c r="Q2277"/>
  <c r="J3275"/>
  <c r="Q3275" s="1"/>
  <c r="I3273"/>
  <c r="P3273" s="1"/>
  <c r="Q2274"/>
  <c r="J3272"/>
  <c r="Q3272" s="1"/>
  <c r="I3271"/>
  <c r="P3271" s="1"/>
  <c r="Q2272"/>
  <c r="J3270"/>
  <c r="Q3270" s="1"/>
  <c r="P2271"/>
  <c r="I3269"/>
  <c r="P3269" s="1"/>
  <c r="Q2270"/>
  <c r="J3268"/>
  <c r="Q3268" s="1"/>
  <c r="P2269"/>
  <c r="I3267"/>
  <c r="P3267" s="1"/>
  <c r="Q2268"/>
  <c r="J3266"/>
  <c r="Q3266" s="1"/>
  <c r="P2267"/>
  <c r="I3265"/>
  <c r="P3265" s="1"/>
  <c r="Q2266"/>
  <c r="J3264"/>
  <c r="Q3264" s="1"/>
  <c r="P2265"/>
  <c r="I3262"/>
  <c r="P3262" s="1"/>
  <c r="Q2263"/>
  <c r="J3261"/>
  <c r="Q3261" s="1"/>
  <c r="P2262"/>
  <c r="I3260"/>
  <c r="P3260" s="1"/>
  <c r="Q2261"/>
  <c r="J3259"/>
  <c r="Q3259" s="1"/>
  <c r="P2260"/>
  <c r="I3258"/>
  <c r="P3258" s="1"/>
  <c r="Q2259"/>
  <c r="J3257"/>
  <c r="Q3257" s="1"/>
  <c r="P2258"/>
  <c r="I3256"/>
  <c r="P3256" s="1"/>
  <c r="Q2257"/>
  <c r="J3255"/>
  <c r="Q3255" s="1"/>
  <c r="P2256"/>
  <c r="I3254"/>
  <c r="Q2255"/>
  <c r="J3253"/>
  <c r="Q3253" s="1"/>
  <c r="P2254"/>
  <c r="I3251"/>
  <c r="P3251" s="1"/>
  <c r="Q2252"/>
  <c r="J3250"/>
  <c r="Q3250" s="1"/>
  <c r="P2251"/>
  <c r="I3249"/>
  <c r="P3249" s="1"/>
  <c r="Q2250"/>
  <c r="J3248"/>
  <c r="Q3248" s="1"/>
  <c r="P2249"/>
  <c r="I3247"/>
  <c r="P3247" s="1"/>
  <c r="Q2248"/>
  <c r="J3246"/>
  <c r="Q3246" s="1"/>
  <c r="P2247"/>
  <c r="I3245"/>
  <c r="P3245" s="1"/>
  <c r="Q2246"/>
  <c r="J3244"/>
  <c r="Q3244" s="1"/>
  <c r="P2245"/>
  <c r="I3243"/>
  <c r="P3243" s="1"/>
  <c r="Q2244"/>
  <c r="J3242"/>
  <c r="Q3242" s="1"/>
  <c r="P2243"/>
  <c r="J3239"/>
  <c r="Q3239" s="1"/>
  <c r="P2240"/>
  <c r="J3237"/>
  <c r="Q3237" s="1"/>
  <c r="P2238"/>
  <c r="J3235"/>
  <c r="Q3235" s="1"/>
  <c r="P2236"/>
  <c r="J3233"/>
  <c r="Q3233" s="1"/>
  <c r="P2234"/>
  <c r="J3231"/>
  <c r="Q3231" s="1"/>
  <c r="P2232"/>
  <c r="J3228"/>
  <c r="Q3228" s="1"/>
  <c r="P2229"/>
  <c r="J3226"/>
  <c r="Q3226" s="1"/>
  <c r="P2227"/>
  <c r="J3224"/>
  <c r="Q3224" s="1"/>
  <c r="P2225"/>
  <c r="Q2224"/>
  <c r="J3222"/>
  <c r="Q3222" s="1"/>
  <c r="P2223"/>
  <c r="J3220"/>
  <c r="Q3220" s="1"/>
  <c r="P2221"/>
  <c r="J3217"/>
  <c r="Q3217" s="1"/>
  <c r="P2218"/>
  <c r="J3215"/>
  <c r="Q3215" s="1"/>
  <c r="P2216"/>
  <c r="J3213"/>
  <c r="Q3213" s="1"/>
  <c r="P2214"/>
  <c r="J3211"/>
  <c r="Q3211" s="1"/>
  <c r="P2212"/>
  <c r="J3209"/>
  <c r="Q3209" s="1"/>
  <c r="P2210"/>
  <c r="J3206"/>
  <c r="Q3206" s="1"/>
  <c r="P2207"/>
  <c r="Q2206"/>
  <c r="J3204"/>
  <c r="Q3204" s="1"/>
  <c r="P2205"/>
  <c r="J3202"/>
  <c r="Q3202" s="1"/>
  <c r="P2203"/>
  <c r="J3200"/>
  <c r="Q3200" s="1"/>
  <c r="P2201"/>
  <c r="J3198"/>
  <c r="Q3198" s="1"/>
  <c r="P2199"/>
  <c r="J3195"/>
  <c r="Q3195" s="1"/>
  <c r="P2196"/>
  <c r="J3193"/>
  <c r="Q3193" s="1"/>
  <c r="P2194"/>
  <c r="J3191"/>
  <c r="Q3191" s="1"/>
  <c r="P2192"/>
  <c r="J3189"/>
  <c r="Q3189" s="1"/>
  <c r="P2190"/>
  <c r="Q2189"/>
  <c r="J3187"/>
  <c r="Q3187" s="1"/>
  <c r="P2188"/>
  <c r="J3185"/>
  <c r="Q3185" s="1"/>
  <c r="J3183"/>
  <c r="Q3183" s="1"/>
  <c r="P2184"/>
  <c r="J3181"/>
  <c r="Q3181" s="1"/>
  <c r="P2182"/>
  <c r="J3179"/>
  <c r="Q3179" s="1"/>
  <c r="P2180"/>
  <c r="I3178"/>
  <c r="P3178" s="1"/>
  <c r="J3177"/>
  <c r="Q3177" s="1"/>
  <c r="P2178"/>
  <c r="J3174"/>
  <c r="Q3174" s="1"/>
  <c r="P2175"/>
  <c r="I3173"/>
  <c r="P3173" s="1"/>
  <c r="Q2174"/>
  <c r="J3172"/>
  <c r="Q3172" s="1"/>
  <c r="P2173"/>
  <c r="I3171"/>
  <c r="P3171" s="1"/>
  <c r="Q2172"/>
  <c r="J3170"/>
  <c r="P2171"/>
  <c r="I3169"/>
  <c r="P3169" s="1"/>
  <c r="Q2170"/>
  <c r="J3168"/>
  <c r="Q3168" s="1"/>
  <c r="P2169"/>
  <c r="I3167"/>
  <c r="P3167" s="1"/>
  <c r="Q2168"/>
  <c r="J3166"/>
  <c r="Q3166" s="1"/>
  <c r="P2167"/>
  <c r="I3165"/>
  <c r="P3165" s="1"/>
  <c r="Q2166"/>
  <c r="J3163"/>
  <c r="Q3163" s="1"/>
  <c r="P2164"/>
  <c r="I3162"/>
  <c r="P3162" s="1"/>
  <c r="Q2163"/>
  <c r="J3161"/>
  <c r="Q3161" s="1"/>
  <c r="P2162"/>
  <c r="I3160"/>
  <c r="P3160" s="1"/>
  <c r="Q2161"/>
  <c r="J3159"/>
  <c r="Q3159" s="1"/>
  <c r="P2160"/>
  <c r="I3158"/>
  <c r="P3158" s="1"/>
  <c r="Q2159"/>
  <c r="J3157"/>
  <c r="Q3157" s="1"/>
  <c r="P2158"/>
  <c r="I3156"/>
  <c r="P3156" s="1"/>
  <c r="Q2157"/>
  <c r="J3155"/>
  <c r="Q3155" s="1"/>
  <c r="P2156"/>
  <c r="I3154"/>
  <c r="P3154" s="1"/>
  <c r="Q2155"/>
  <c r="J3152"/>
  <c r="Q3152" s="1"/>
  <c r="P2153"/>
  <c r="I3151"/>
  <c r="P3151" s="1"/>
  <c r="Q2152"/>
  <c r="J3150"/>
  <c r="Q3150" s="1"/>
  <c r="P2151"/>
  <c r="I3149"/>
  <c r="P3149" s="1"/>
  <c r="Q2150"/>
  <c r="J3148"/>
  <c r="Q3148" s="1"/>
  <c r="P2149"/>
  <c r="I3147"/>
  <c r="P3147" s="1"/>
  <c r="Q2148"/>
  <c r="J3146"/>
  <c r="Q3146" s="1"/>
  <c r="P2147"/>
  <c r="I3145"/>
  <c r="P3145" s="1"/>
  <c r="Q2146"/>
  <c r="J3144"/>
  <c r="Q3144" s="1"/>
  <c r="P2145"/>
  <c r="I3143"/>
  <c r="P3143" s="1"/>
  <c r="Q2144"/>
  <c r="J3141"/>
  <c r="Q3141" s="1"/>
  <c r="P2142"/>
  <c r="I3140"/>
  <c r="P3140" s="1"/>
  <c r="Q2141"/>
  <c r="J3139"/>
  <c r="Q3139" s="1"/>
  <c r="P2140"/>
  <c r="I3138"/>
  <c r="P3138" s="1"/>
  <c r="Q2139"/>
  <c r="J3137"/>
  <c r="Q3137" s="1"/>
  <c r="P2138"/>
  <c r="I3136"/>
  <c r="P3136" s="1"/>
  <c r="Q2137"/>
  <c r="I3132"/>
  <c r="P3132" s="1"/>
  <c r="Q2133"/>
  <c r="I3127"/>
  <c r="Q2128"/>
  <c r="P2126"/>
  <c r="J3122"/>
  <c r="Q3122" s="1"/>
  <c r="P2123"/>
  <c r="J3117"/>
  <c r="Q3117" s="1"/>
  <c r="P2118"/>
  <c r="J3113"/>
  <c r="Q3113" s="1"/>
  <c r="P2114"/>
  <c r="J3108"/>
  <c r="Q3108" s="1"/>
  <c r="P2109"/>
  <c r="J3104"/>
  <c r="Q3104" s="1"/>
  <c r="P2105"/>
  <c r="J3100"/>
  <c r="Q3100" s="1"/>
  <c r="P2101"/>
  <c r="J3095"/>
  <c r="Q3095" s="1"/>
  <c r="P2096"/>
  <c r="Q2094"/>
  <c r="J3091"/>
  <c r="Q3091" s="1"/>
  <c r="P2092"/>
  <c r="J3086"/>
  <c r="Q3086" s="1"/>
  <c r="P2087"/>
  <c r="J3082"/>
  <c r="Q3082" s="1"/>
  <c r="P2083"/>
  <c r="J3078"/>
  <c r="Q3078" s="1"/>
  <c r="P2079"/>
  <c r="J3073"/>
  <c r="Q3073" s="1"/>
  <c r="P2074"/>
  <c r="J3069"/>
  <c r="Q3069" s="1"/>
  <c r="P2070"/>
  <c r="J3064"/>
  <c r="P2065"/>
  <c r="J3060"/>
  <c r="Q3060" s="1"/>
  <c r="P2061"/>
  <c r="Q2059"/>
  <c r="J3056"/>
  <c r="Q3056" s="1"/>
  <c r="P2057"/>
  <c r="J3051"/>
  <c r="Q3051" s="1"/>
  <c r="P2052"/>
  <c r="J3049"/>
  <c r="P2050"/>
  <c r="J3045"/>
  <c r="Q3045" s="1"/>
  <c r="P2046"/>
  <c r="J3040"/>
  <c r="P2041"/>
  <c r="J3036"/>
  <c r="Q3036" s="1"/>
  <c r="P2037"/>
  <c r="J3031"/>
  <c r="P2032"/>
  <c r="J3027"/>
  <c r="Q3027" s="1"/>
  <c r="P2028"/>
  <c r="J3023"/>
  <c r="P2024"/>
  <c r="I3018"/>
  <c r="J3004"/>
  <c r="Q3004" s="1"/>
  <c r="I3000"/>
  <c r="P3000" s="1"/>
  <c r="Q2001"/>
  <c r="I3283"/>
  <c r="P3283" s="1"/>
  <c r="J3282"/>
  <c r="Q3282" s="1"/>
  <c r="I3281"/>
  <c r="P3281" s="1"/>
  <c r="Q2282"/>
  <c r="J3280"/>
  <c r="Q3280" s="1"/>
  <c r="I3279"/>
  <c r="P3279" s="1"/>
  <c r="J3278"/>
  <c r="Q3278" s="1"/>
  <c r="I3277"/>
  <c r="P3277" s="1"/>
  <c r="Q2278"/>
  <c r="J3276"/>
  <c r="Q3276" s="1"/>
  <c r="I3275"/>
  <c r="P3275" s="1"/>
  <c r="Q2276"/>
  <c r="J3273"/>
  <c r="Q3273" s="1"/>
  <c r="I3272"/>
  <c r="P3272" s="1"/>
  <c r="J3271"/>
  <c r="Q3271" s="1"/>
  <c r="I3270"/>
  <c r="P3270" s="1"/>
  <c r="Q2271"/>
  <c r="J3269"/>
  <c r="Q3269" s="1"/>
  <c r="I3268"/>
  <c r="P3268" s="1"/>
  <c r="J3267"/>
  <c r="Q3267" s="1"/>
  <c r="I3266"/>
  <c r="P3266" s="1"/>
  <c r="J3265"/>
  <c r="Q3265" s="1"/>
  <c r="I3264"/>
  <c r="P3264" s="1"/>
  <c r="J3262"/>
  <c r="Q3262" s="1"/>
  <c r="I3261"/>
  <c r="P3261" s="1"/>
  <c r="Q2262"/>
  <c r="J3260"/>
  <c r="Q3260" s="1"/>
  <c r="I3259"/>
  <c r="P3259" s="1"/>
  <c r="Q2260"/>
  <c r="J3258"/>
  <c r="Q3258" s="1"/>
  <c r="I3257"/>
  <c r="P3257" s="1"/>
  <c r="J3256"/>
  <c r="Q3256" s="1"/>
  <c r="I3255"/>
  <c r="P3255" s="1"/>
  <c r="Q2256"/>
  <c r="J3254"/>
  <c r="Q3254" s="1"/>
  <c r="I3253"/>
  <c r="P3253" s="1"/>
  <c r="Q2254"/>
  <c r="J3251"/>
  <c r="Q3251" s="1"/>
  <c r="I3250"/>
  <c r="P3250" s="1"/>
  <c r="J3249"/>
  <c r="Q3249" s="1"/>
  <c r="I3248"/>
  <c r="P3248" s="1"/>
  <c r="J3247"/>
  <c r="Q3247" s="1"/>
  <c r="I3246"/>
  <c r="P3246" s="1"/>
  <c r="Q2247"/>
  <c r="J3245"/>
  <c r="Q3245" s="1"/>
  <c r="I3244"/>
  <c r="P3244" s="1"/>
  <c r="Q2245"/>
  <c r="J3243"/>
  <c r="Q3243" s="1"/>
  <c r="I3242"/>
  <c r="P3242" s="1"/>
  <c r="Q2243"/>
  <c r="J3240"/>
  <c r="Q3240" s="1"/>
  <c r="I3239"/>
  <c r="P3239" s="1"/>
  <c r="Q2238"/>
  <c r="I3235"/>
  <c r="P3235" s="1"/>
  <c r="Q2227"/>
  <c r="I3213"/>
  <c r="P3213" s="1"/>
  <c r="I3166"/>
  <c r="P3166" s="1"/>
  <c r="I3148"/>
  <c r="P3148" s="1"/>
  <c r="P2144"/>
  <c r="P2139"/>
  <c r="I3134"/>
  <c r="P3134" s="1"/>
  <c r="Q2135"/>
  <c r="I3129"/>
  <c r="P3129" s="1"/>
  <c r="Q2130"/>
  <c r="P2128"/>
  <c r="I3125"/>
  <c r="P3125" s="1"/>
  <c r="Q2126"/>
  <c r="J3124"/>
  <c r="Q3124" s="1"/>
  <c r="P2125"/>
  <c r="J3119"/>
  <c r="Q3119" s="1"/>
  <c r="P2120"/>
  <c r="J3115"/>
  <c r="Q3115" s="1"/>
  <c r="P2116"/>
  <c r="J3111"/>
  <c r="Q3111" s="1"/>
  <c r="P2112"/>
  <c r="Q2109"/>
  <c r="J3106"/>
  <c r="Q3106" s="1"/>
  <c r="P2107"/>
  <c r="J3102"/>
  <c r="Q3102" s="1"/>
  <c r="P2103"/>
  <c r="J3097"/>
  <c r="Q3097" s="1"/>
  <c r="P2098"/>
  <c r="J3093"/>
  <c r="Q3093" s="1"/>
  <c r="P2094"/>
  <c r="Q2092"/>
  <c r="J3089"/>
  <c r="Q3089" s="1"/>
  <c r="P2090"/>
  <c r="J3084"/>
  <c r="Q3084" s="1"/>
  <c r="P2085"/>
  <c r="J3080"/>
  <c r="Q3080" s="1"/>
  <c r="P2081"/>
  <c r="J3075"/>
  <c r="Q3075" s="1"/>
  <c r="P2076"/>
  <c r="Q2074"/>
  <c r="J3071"/>
  <c r="Q3071" s="1"/>
  <c r="P2072"/>
  <c r="J3067"/>
  <c r="Q3067" s="1"/>
  <c r="P2068"/>
  <c r="J3062"/>
  <c r="Q3062" s="1"/>
  <c r="P2063"/>
  <c r="J3058"/>
  <c r="Q3058" s="1"/>
  <c r="P2059"/>
  <c r="Q2057"/>
  <c r="J3053"/>
  <c r="Q3053" s="1"/>
  <c r="P2054"/>
  <c r="J3047"/>
  <c r="Q3047" s="1"/>
  <c r="P2048"/>
  <c r="J3042"/>
  <c r="Q3042" s="1"/>
  <c r="P2043"/>
  <c r="J3038"/>
  <c r="Q3038" s="1"/>
  <c r="P2039"/>
  <c r="Q2039"/>
  <c r="J3034"/>
  <c r="Q3034" s="1"/>
  <c r="P2035"/>
  <c r="J3029"/>
  <c r="Q3029" s="1"/>
  <c r="P2030"/>
  <c r="J3025"/>
  <c r="Q3025" s="1"/>
  <c r="P2026"/>
  <c r="P2021"/>
  <c r="I3020"/>
  <c r="Q2021"/>
  <c r="I3016"/>
  <c r="Q2017"/>
  <c r="I3012"/>
  <c r="P3012" s="1"/>
  <c r="Q2013"/>
  <c r="I3007"/>
  <c r="P3007" s="1"/>
  <c r="Q2008"/>
  <c r="Q2134"/>
  <c r="I3123"/>
  <c r="P3123" s="1"/>
  <c r="Q2124"/>
  <c r="P2122"/>
  <c r="I3118"/>
  <c r="P3118" s="1"/>
  <c r="Q2119"/>
  <c r="I3114"/>
  <c r="P3114" s="1"/>
  <c r="Q2115"/>
  <c r="I3110"/>
  <c r="P3110" s="1"/>
  <c r="Q2111"/>
  <c r="I3105"/>
  <c r="P3105" s="1"/>
  <c r="Q2106"/>
  <c r="P2104"/>
  <c r="I3101"/>
  <c r="P3101" s="1"/>
  <c r="Q2102"/>
  <c r="I3096"/>
  <c r="P3096" s="1"/>
  <c r="Q2097"/>
  <c r="I3092"/>
  <c r="P3092" s="1"/>
  <c r="Q2093"/>
  <c r="I3088"/>
  <c r="P3088" s="1"/>
  <c r="Q2089"/>
  <c r="P2086"/>
  <c r="I3083"/>
  <c r="P3083" s="1"/>
  <c r="Q2084"/>
  <c r="I3079"/>
  <c r="P3079" s="1"/>
  <c r="Q2080"/>
  <c r="I3074"/>
  <c r="P3074" s="1"/>
  <c r="Q2075"/>
  <c r="I3070"/>
  <c r="P3070" s="1"/>
  <c r="Q2071"/>
  <c r="P2069"/>
  <c r="I3066"/>
  <c r="P3066" s="1"/>
  <c r="Q2067"/>
  <c r="I3061"/>
  <c r="P3061" s="1"/>
  <c r="Q2062"/>
  <c r="I3057"/>
  <c r="P3057" s="1"/>
  <c r="Q2058"/>
  <c r="I3052"/>
  <c r="P3052" s="1"/>
  <c r="Q2053"/>
  <c r="P2049"/>
  <c r="I3048"/>
  <c r="P3048" s="1"/>
  <c r="Q2049"/>
  <c r="I3044"/>
  <c r="P3044" s="1"/>
  <c r="Q2045"/>
  <c r="I3039"/>
  <c r="P3039" s="1"/>
  <c r="Q2040"/>
  <c r="I3035"/>
  <c r="P3035" s="1"/>
  <c r="Q2036"/>
  <c r="I3030"/>
  <c r="P3030" s="1"/>
  <c r="Q2031"/>
  <c r="I3026"/>
  <c r="Q2027"/>
  <c r="I3022"/>
  <c r="P3022" s="1"/>
  <c r="Q2023"/>
  <c r="Q2018"/>
  <c r="I3008"/>
  <c r="P3008" s="1"/>
  <c r="Q2009"/>
  <c r="I3003"/>
  <c r="P3003" s="1"/>
  <c r="Q2004"/>
  <c r="G3416"/>
  <c r="D3416"/>
  <c r="O3416" s="1"/>
  <c r="F3416"/>
  <c r="H3416"/>
  <c r="G3414"/>
  <c r="D3414"/>
  <c r="O3414" s="1"/>
  <c r="F3414"/>
  <c r="H3414"/>
  <c r="G3412"/>
  <c r="D3412"/>
  <c r="O3412" s="1"/>
  <c r="F3412"/>
  <c r="H3412"/>
  <c r="G3410"/>
  <c r="D3410"/>
  <c r="O3410" s="1"/>
  <c r="F3410"/>
  <c r="H3410"/>
  <c r="G3408"/>
  <c r="D3408"/>
  <c r="O3408" s="1"/>
  <c r="F3408"/>
  <c r="H3408"/>
  <c r="G3405"/>
  <c r="D3405"/>
  <c r="O3405" s="1"/>
  <c r="F3405"/>
  <c r="H3405"/>
  <c r="G3403"/>
  <c r="D3403"/>
  <c r="O3403" s="1"/>
  <c r="F3403"/>
  <c r="H3403"/>
  <c r="G3401"/>
  <c r="D3401"/>
  <c r="O3401" s="1"/>
  <c r="F3401"/>
  <c r="H3401"/>
  <c r="G3399"/>
  <c r="D3399"/>
  <c r="O3399" s="1"/>
  <c r="F3399"/>
  <c r="H3399"/>
  <c r="G3397"/>
  <c r="D3397"/>
  <c r="O3397" s="1"/>
  <c r="F3397"/>
  <c r="H3397"/>
  <c r="G3394"/>
  <c r="D3394"/>
  <c r="O3394" s="1"/>
  <c r="F3394"/>
  <c r="H3394"/>
  <c r="G3392"/>
  <c r="D3392"/>
  <c r="O3392" s="1"/>
  <c r="F3392"/>
  <c r="H3392"/>
  <c r="G3390"/>
  <c r="D3390"/>
  <c r="O3390" s="1"/>
  <c r="F3390"/>
  <c r="H3390"/>
  <c r="G3388"/>
  <c r="D3388"/>
  <c r="O3388" s="1"/>
  <c r="F3388"/>
  <c r="H3388"/>
  <c r="G3386"/>
  <c r="D3386"/>
  <c r="O3386" s="1"/>
  <c r="F3386"/>
  <c r="H3386"/>
  <c r="G3383"/>
  <c r="D3383"/>
  <c r="O3383" s="1"/>
  <c r="F3383"/>
  <c r="H3383"/>
  <c r="G3381"/>
  <c r="D3381"/>
  <c r="O3381" s="1"/>
  <c r="F3381"/>
  <c r="H3381"/>
  <c r="G3379"/>
  <c r="D3379"/>
  <c r="O3379" s="1"/>
  <c r="F3379"/>
  <c r="H3379"/>
  <c r="G3377"/>
  <c r="D3377"/>
  <c r="O3377" s="1"/>
  <c r="F3377"/>
  <c r="H3377"/>
  <c r="G3375"/>
  <c r="D3375"/>
  <c r="O3375" s="1"/>
  <c r="F3375"/>
  <c r="H3375"/>
  <c r="G3372"/>
  <c r="D3372"/>
  <c r="O3372" s="1"/>
  <c r="F3372"/>
  <c r="H3372"/>
  <c r="G3370"/>
  <c r="D3370"/>
  <c r="O3370" s="1"/>
  <c r="F3370"/>
  <c r="H3370"/>
  <c r="G3368"/>
  <c r="D3368"/>
  <c r="O3368" s="1"/>
  <c r="F3368"/>
  <c r="H3368"/>
  <c r="G3366"/>
  <c r="D3366"/>
  <c r="O3366" s="1"/>
  <c r="F3366"/>
  <c r="H3366"/>
  <c r="G3364"/>
  <c r="D3364"/>
  <c r="O3364" s="1"/>
  <c r="F3364"/>
  <c r="H3364"/>
  <c r="G3361"/>
  <c r="D3361"/>
  <c r="O3361" s="1"/>
  <c r="F3361"/>
  <c r="H3361"/>
  <c r="G3359"/>
  <c r="D3359"/>
  <c r="O3359" s="1"/>
  <c r="F3359"/>
  <c r="H3359"/>
  <c r="G3357"/>
  <c r="D3357"/>
  <c r="O3357" s="1"/>
  <c r="F3357"/>
  <c r="H3357"/>
  <c r="G3355"/>
  <c r="D3355"/>
  <c r="O3355" s="1"/>
  <c r="F3355"/>
  <c r="H3355"/>
  <c r="G3353"/>
  <c r="D3353"/>
  <c r="O3353" s="1"/>
  <c r="F3353"/>
  <c r="H3353"/>
  <c r="G3350"/>
  <c r="D3350"/>
  <c r="O3350" s="1"/>
  <c r="F3350"/>
  <c r="H3350"/>
  <c r="G3348"/>
  <c r="D3348"/>
  <c r="O3348" s="1"/>
  <c r="F3348"/>
  <c r="H3348"/>
  <c r="G3346"/>
  <c r="D3346"/>
  <c r="O3346" s="1"/>
  <c r="F3346"/>
  <c r="H3346"/>
  <c r="G3344"/>
  <c r="D3344"/>
  <c r="O3344" s="1"/>
  <c r="F3344"/>
  <c r="H3344"/>
  <c r="G3342"/>
  <c r="D3342"/>
  <c r="O3342" s="1"/>
  <c r="F3342"/>
  <c r="H3342"/>
  <c r="G3339"/>
  <c r="D3339"/>
  <c r="O3339" s="1"/>
  <c r="F3339"/>
  <c r="H3339"/>
  <c r="G3337"/>
  <c r="D3337"/>
  <c r="O3337" s="1"/>
  <c r="F3337"/>
  <c r="H3337"/>
  <c r="G3335"/>
  <c r="D3335"/>
  <c r="O3335" s="1"/>
  <c r="F3335"/>
  <c r="H3335"/>
  <c r="G3333"/>
  <c r="D3333"/>
  <c r="O3333" s="1"/>
  <c r="F3333"/>
  <c r="H3333"/>
  <c r="G3331"/>
  <c r="D3331"/>
  <c r="O3331" s="1"/>
  <c r="F3331"/>
  <c r="H3331"/>
  <c r="G3328"/>
  <c r="D3328"/>
  <c r="O3328" s="1"/>
  <c r="F3328"/>
  <c r="H3328"/>
  <c r="G3326"/>
  <c r="D3326"/>
  <c r="O3326" s="1"/>
  <c r="F3326"/>
  <c r="H3326"/>
  <c r="G3324"/>
  <c r="D3324"/>
  <c r="O3324" s="1"/>
  <c r="F3324"/>
  <c r="H3324"/>
  <c r="G3322"/>
  <c r="D3322"/>
  <c r="O3322" s="1"/>
  <c r="F3322"/>
  <c r="H3322"/>
  <c r="G3320"/>
  <c r="D3320"/>
  <c r="O3320" s="1"/>
  <c r="F3320"/>
  <c r="H3320"/>
  <c r="G3317"/>
  <c r="D3317"/>
  <c r="O3317" s="1"/>
  <c r="F3317"/>
  <c r="H3317"/>
  <c r="G3315"/>
  <c r="D3315"/>
  <c r="O3315" s="1"/>
  <c r="F3315"/>
  <c r="H3315"/>
  <c r="G3313"/>
  <c r="D3313"/>
  <c r="O3313" s="1"/>
  <c r="F3313"/>
  <c r="H3313"/>
  <c r="G3311"/>
  <c r="D3311"/>
  <c r="O3311" s="1"/>
  <c r="F3311"/>
  <c r="H3311"/>
  <c r="G3309"/>
  <c r="D3309"/>
  <c r="O3309" s="1"/>
  <c r="F3309"/>
  <c r="H3309"/>
  <c r="G3306"/>
  <c r="D3306"/>
  <c r="O3306" s="1"/>
  <c r="F3306"/>
  <c r="H3306"/>
  <c r="G3304"/>
  <c r="D3304"/>
  <c r="O3304" s="1"/>
  <c r="F3304"/>
  <c r="H3304"/>
  <c r="G3302"/>
  <c r="D3302"/>
  <c r="O3302" s="1"/>
  <c r="F3302"/>
  <c r="H3302"/>
  <c r="G3300"/>
  <c r="D3300"/>
  <c r="O3300" s="1"/>
  <c r="F3300"/>
  <c r="H3300"/>
  <c r="G3298"/>
  <c r="D3298"/>
  <c r="O3298" s="1"/>
  <c r="F3298"/>
  <c r="H3298"/>
  <c r="G3295"/>
  <c r="D3295"/>
  <c r="O3295" s="1"/>
  <c r="F3295"/>
  <c r="H3295"/>
  <c r="G3293"/>
  <c r="D3293"/>
  <c r="O3293" s="1"/>
  <c r="F3293"/>
  <c r="H3293"/>
  <c r="G3291"/>
  <c r="D3291"/>
  <c r="O3291" s="1"/>
  <c r="F3291"/>
  <c r="H3291"/>
  <c r="G3289"/>
  <c r="D3289"/>
  <c r="O3289" s="1"/>
  <c r="F3289"/>
  <c r="H3289"/>
  <c r="G3287"/>
  <c r="D3287"/>
  <c r="O3287" s="1"/>
  <c r="F3287"/>
  <c r="H3287"/>
  <c r="G3284"/>
  <c r="D3284"/>
  <c r="O3284" s="1"/>
  <c r="F3284"/>
  <c r="H3284"/>
  <c r="G3282"/>
  <c r="D3282"/>
  <c r="O3282" s="1"/>
  <c r="F3282"/>
  <c r="H3282"/>
  <c r="G3280"/>
  <c r="D3280"/>
  <c r="O3280" s="1"/>
  <c r="F3280"/>
  <c r="H3280"/>
  <c r="G3278"/>
  <c r="D3278"/>
  <c r="O3278" s="1"/>
  <c r="F3278"/>
  <c r="H3278"/>
  <c r="G3276"/>
  <c r="D3276"/>
  <c r="O3276" s="1"/>
  <c r="F3276"/>
  <c r="H3276"/>
  <c r="G3273"/>
  <c r="D3273"/>
  <c r="O3273" s="1"/>
  <c r="F3273"/>
  <c r="H3273"/>
  <c r="G3271"/>
  <c r="D3271"/>
  <c r="O3271" s="1"/>
  <c r="F3271"/>
  <c r="H3271"/>
  <c r="G3269"/>
  <c r="D3269"/>
  <c r="O3269" s="1"/>
  <c r="F3269"/>
  <c r="H3269"/>
  <c r="G3267"/>
  <c r="D3267"/>
  <c r="O3267" s="1"/>
  <c r="F3267"/>
  <c r="H3267"/>
  <c r="G3265"/>
  <c r="D3265"/>
  <c r="O3265" s="1"/>
  <c r="F3265"/>
  <c r="H3265"/>
  <c r="G3262"/>
  <c r="D3262"/>
  <c r="O3262" s="1"/>
  <c r="F3262"/>
  <c r="H3262"/>
  <c r="G3260"/>
  <c r="D3260"/>
  <c r="O3260" s="1"/>
  <c r="F3260"/>
  <c r="H3260"/>
  <c r="G3258"/>
  <c r="D3258"/>
  <c r="O3258" s="1"/>
  <c r="F3258"/>
  <c r="H3258"/>
  <c r="G3256"/>
  <c r="D3256"/>
  <c r="O3256" s="1"/>
  <c r="F3256"/>
  <c r="H3256"/>
  <c r="G3254"/>
  <c r="D3254"/>
  <c r="O3254" s="1"/>
  <c r="F3254"/>
  <c r="H3254"/>
  <c r="G3251"/>
  <c r="D3251"/>
  <c r="O3251" s="1"/>
  <c r="F3251"/>
  <c r="H3251"/>
  <c r="G3249"/>
  <c r="D3249"/>
  <c r="O3249" s="1"/>
  <c r="F3249"/>
  <c r="H3249"/>
  <c r="G3247"/>
  <c r="D3247"/>
  <c r="O3247" s="1"/>
  <c r="F3247"/>
  <c r="H3247"/>
  <c r="G3245"/>
  <c r="D3245"/>
  <c r="O3245" s="1"/>
  <c r="F3245"/>
  <c r="H3245"/>
  <c r="G3243"/>
  <c r="D3243"/>
  <c r="O3243" s="1"/>
  <c r="F3243"/>
  <c r="H3243"/>
  <c r="G3240"/>
  <c r="D3240"/>
  <c r="O3240" s="1"/>
  <c r="F3240"/>
  <c r="H3240"/>
  <c r="D3236"/>
  <c r="O3236" s="1"/>
  <c r="D3229"/>
  <c r="O3229" s="1"/>
  <c r="F3225"/>
  <c r="D3212"/>
  <c r="O3212" s="1"/>
  <c r="G3210"/>
  <c r="F3207"/>
  <c r="G3201"/>
  <c r="D3194"/>
  <c r="O3194" s="1"/>
  <c r="G3192"/>
  <c r="F3190"/>
  <c r="F3179"/>
  <c r="F3170"/>
  <c r="F3161"/>
  <c r="F3152"/>
  <c r="D3137"/>
  <c r="O3137" s="1"/>
  <c r="F3095"/>
  <c r="F3078"/>
  <c r="F3060"/>
  <c r="F3025"/>
  <c r="H3130"/>
  <c r="F3116"/>
  <c r="G3107"/>
  <c r="G3099"/>
  <c r="F3094"/>
  <c r="G3085"/>
  <c r="F3077"/>
  <c r="G3068"/>
  <c r="G3063"/>
  <c r="G3055"/>
  <c r="G3015"/>
  <c r="D3015"/>
  <c r="O3015" s="1"/>
  <c r="F3015"/>
  <c r="H3015"/>
  <c r="G3011"/>
  <c r="D3011"/>
  <c r="O3011" s="1"/>
  <c r="F3011"/>
  <c r="H3011"/>
  <c r="D2007"/>
  <c r="J2007"/>
  <c r="I2007"/>
  <c r="E3006"/>
  <c r="AD13" s="1"/>
  <c r="G3415"/>
  <c r="D3415"/>
  <c r="O3415" s="1"/>
  <c r="F3415"/>
  <c r="H3415"/>
  <c r="G3413"/>
  <c r="D3413"/>
  <c r="O3413" s="1"/>
  <c r="F3413"/>
  <c r="H3413"/>
  <c r="G3411"/>
  <c r="D3411"/>
  <c r="O3411" s="1"/>
  <c r="F3411"/>
  <c r="H3411"/>
  <c r="G3409"/>
  <c r="D3409"/>
  <c r="O3409" s="1"/>
  <c r="F3409"/>
  <c r="H3409"/>
  <c r="L3409"/>
  <c r="G3407"/>
  <c r="D3407"/>
  <c r="O3407" s="1"/>
  <c r="F3407"/>
  <c r="H3407"/>
  <c r="G3404"/>
  <c r="D3404"/>
  <c r="O3404" s="1"/>
  <c r="F3404"/>
  <c r="H3404"/>
  <c r="G3402"/>
  <c r="D3402"/>
  <c r="O3402" s="1"/>
  <c r="F3402"/>
  <c r="H3402"/>
  <c r="G3400"/>
  <c r="D3400"/>
  <c r="O3400" s="1"/>
  <c r="F3400"/>
  <c r="H3400"/>
  <c r="L3400"/>
  <c r="G3398"/>
  <c r="D3398"/>
  <c r="O3398" s="1"/>
  <c r="F3398"/>
  <c r="H3398"/>
  <c r="G3396"/>
  <c r="D3396"/>
  <c r="O3396" s="1"/>
  <c r="F3396"/>
  <c r="H3396"/>
  <c r="G3393"/>
  <c r="D3393"/>
  <c r="O3393" s="1"/>
  <c r="F3393"/>
  <c r="H3393"/>
  <c r="G3391"/>
  <c r="D3391"/>
  <c r="O3391" s="1"/>
  <c r="F3391"/>
  <c r="H3391"/>
  <c r="L3391"/>
  <c r="G3389"/>
  <c r="D3389"/>
  <c r="O3389" s="1"/>
  <c r="F3389"/>
  <c r="H3389"/>
  <c r="G3387"/>
  <c r="D3387"/>
  <c r="O3387" s="1"/>
  <c r="F3387"/>
  <c r="H3387"/>
  <c r="G3385"/>
  <c r="D3385"/>
  <c r="O3385" s="1"/>
  <c r="F3385"/>
  <c r="H3385"/>
  <c r="G3382"/>
  <c r="D3382"/>
  <c r="O3382" s="1"/>
  <c r="F3382"/>
  <c r="H3382"/>
  <c r="L3382"/>
  <c r="G3380"/>
  <c r="D3380"/>
  <c r="O3380" s="1"/>
  <c r="F3380"/>
  <c r="H3380"/>
  <c r="G3378"/>
  <c r="D3378"/>
  <c r="O3378" s="1"/>
  <c r="F3378"/>
  <c r="H3378"/>
  <c r="G3376"/>
  <c r="D3376"/>
  <c r="O3376" s="1"/>
  <c r="F3376"/>
  <c r="H3376"/>
  <c r="G3374"/>
  <c r="D3374"/>
  <c r="O3374" s="1"/>
  <c r="F3374"/>
  <c r="H3374"/>
  <c r="L3374"/>
  <c r="G3371"/>
  <c r="D3371"/>
  <c r="O3371" s="1"/>
  <c r="F3371"/>
  <c r="H3371"/>
  <c r="G3369"/>
  <c r="D3369"/>
  <c r="O3369" s="1"/>
  <c r="F3369"/>
  <c r="H3369"/>
  <c r="G3367"/>
  <c r="D3367"/>
  <c r="O3367" s="1"/>
  <c r="F3367"/>
  <c r="H3367"/>
  <c r="G3365"/>
  <c r="D3365"/>
  <c r="O3365" s="1"/>
  <c r="F3365"/>
  <c r="H3365"/>
  <c r="L3365"/>
  <c r="G3363"/>
  <c r="D3363"/>
  <c r="O3363" s="1"/>
  <c r="F3363"/>
  <c r="H3363"/>
  <c r="G3360"/>
  <c r="D3360"/>
  <c r="O3360" s="1"/>
  <c r="F3360"/>
  <c r="H3360"/>
  <c r="G3358"/>
  <c r="D3358"/>
  <c r="O3358" s="1"/>
  <c r="F3358"/>
  <c r="H3358"/>
  <c r="G3356"/>
  <c r="D3356"/>
  <c r="O3356" s="1"/>
  <c r="F3356"/>
  <c r="H3356"/>
  <c r="L3356"/>
  <c r="G3354"/>
  <c r="D3354"/>
  <c r="O3354" s="1"/>
  <c r="F3354"/>
  <c r="H3354"/>
  <c r="G3352"/>
  <c r="D3352"/>
  <c r="O3352" s="1"/>
  <c r="F3352"/>
  <c r="H3352"/>
  <c r="G3349"/>
  <c r="D3349"/>
  <c r="O3349" s="1"/>
  <c r="F3349"/>
  <c r="H3349"/>
  <c r="G3347"/>
  <c r="D3347"/>
  <c r="O3347" s="1"/>
  <c r="F3347"/>
  <c r="H3347"/>
  <c r="L3347"/>
  <c r="G3345"/>
  <c r="D3345"/>
  <c r="O3345" s="1"/>
  <c r="F3345"/>
  <c r="H3345"/>
  <c r="G3343"/>
  <c r="D3343"/>
  <c r="O3343" s="1"/>
  <c r="F3343"/>
  <c r="H3343"/>
  <c r="G3341"/>
  <c r="D3341"/>
  <c r="O3341" s="1"/>
  <c r="F3341"/>
  <c r="H3341"/>
  <c r="G3338"/>
  <c r="D3338"/>
  <c r="O3338" s="1"/>
  <c r="F3338"/>
  <c r="H3338"/>
  <c r="L3338"/>
  <c r="G3336"/>
  <c r="D3336"/>
  <c r="O3336" s="1"/>
  <c r="F3336"/>
  <c r="H3336"/>
  <c r="G3334"/>
  <c r="D3334"/>
  <c r="O3334" s="1"/>
  <c r="F3334"/>
  <c r="H3334"/>
  <c r="G3332"/>
  <c r="D3332"/>
  <c r="O3332" s="1"/>
  <c r="F3332"/>
  <c r="H3332"/>
  <c r="G3330"/>
  <c r="D3330"/>
  <c r="O3330" s="1"/>
  <c r="F3330"/>
  <c r="H3330"/>
  <c r="L3330"/>
  <c r="G3327"/>
  <c r="D3327"/>
  <c r="O3327" s="1"/>
  <c r="F3327"/>
  <c r="H3327"/>
  <c r="G3325"/>
  <c r="D3325"/>
  <c r="O3325" s="1"/>
  <c r="F3325"/>
  <c r="H3325"/>
  <c r="G3323"/>
  <c r="D3323"/>
  <c r="O3323" s="1"/>
  <c r="F3323"/>
  <c r="H3323"/>
  <c r="G3321"/>
  <c r="D3321"/>
  <c r="O3321" s="1"/>
  <c r="F3321"/>
  <c r="H3321"/>
  <c r="L3321"/>
  <c r="G3319"/>
  <c r="D3319"/>
  <c r="O3319" s="1"/>
  <c r="F3319"/>
  <c r="H3319"/>
  <c r="G3316"/>
  <c r="D3316"/>
  <c r="O3316" s="1"/>
  <c r="F3316"/>
  <c r="H3316"/>
  <c r="G3314"/>
  <c r="D3314"/>
  <c r="O3314" s="1"/>
  <c r="F3314"/>
  <c r="H3314"/>
  <c r="G3312"/>
  <c r="D3312"/>
  <c r="O3312" s="1"/>
  <c r="F3312"/>
  <c r="H3312"/>
  <c r="L3312"/>
  <c r="G3310"/>
  <c r="D3310"/>
  <c r="O3310" s="1"/>
  <c r="F3310"/>
  <c r="H3310"/>
  <c r="G3308"/>
  <c r="D3308"/>
  <c r="O3308" s="1"/>
  <c r="F3308"/>
  <c r="H3308"/>
  <c r="G3305"/>
  <c r="D3305"/>
  <c r="O3305" s="1"/>
  <c r="F3305"/>
  <c r="H3305"/>
  <c r="G3303"/>
  <c r="D3303"/>
  <c r="O3303" s="1"/>
  <c r="F3303"/>
  <c r="H3303"/>
  <c r="L3303"/>
  <c r="G3301"/>
  <c r="D3301"/>
  <c r="O3301" s="1"/>
  <c r="F3301"/>
  <c r="H3301"/>
  <c r="G3299"/>
  <c r="D3299"/>
  <c r="O3299" s="1"/>
  <c r="F3299"/>
  <c r="H3299"/>
  <c r="G3297"/>
  <c r="D3297"/>
  <c r="O3297" s="1"/>
  <c r="F3297"/>
  <c r="H3297"/>
  <c r="G3294"/>
  <c r="D3294"/>
  <c r="O3294" s="1"/>
  <c r="F3294"/>
  <c r="H3294"/>
  <c r="L3294"/>
  <c r="G3292"/>
  <c r="D3292"/>
  <c r="O3292" s="1"/>
  <c r="F3292"/>
  <c r="H3292"/>
  <c r="G3290"/>
  <c r="D3290"/>
  <c r="O3290" s="1"/>
  <c r="F3290"/>
  <c r="H3290"/>
  <c r="G3288"/>
  <c r="D3288"/>
  <c r="O3288" s="1"/>
  <c r="F3288"/>
  <c r="H3288"/>
  <c r="G3286"/>
  <c r="D3286"/>
  <c r="O3286" s="1"/>
  <c r="F3286"/>
  <c r="H3286"/>
  <c r="G3283"/>
  <c r="D3283"/>
  <c r="O3283" s="1"/>
  <c r="F3283"/>
  <c r="H3283"/>
  <c r="G3281"/>
  <c r="D3281"/>
  <c r="O3281" s="1"/>
  <c r="F3281"/>
  <c r="H3281"/>
  <c r="G3279"/>
  <c r="D3279"/>
  <c r="O3279" s="1"/>
  <c r="F3279"/>
  <c r="H3279"/>
  <c r="G3277"/>
  <c r="D3277"/>
  <c r="O3277" s="1"/>
  <c r="F3277"/>
  <c r="H3277"/>
  <c r="G3275"/>
  <c r="D3275"/>
  <c r="O3275" s="1"/>
  <c r="F3275"/>
  <c r="H3275"/>
  <c r="G3272"/>
  <c r="D3272"/>
  <c r="O3272" s="1"/>
  <c r="F3272"/>
  <c r="H3272"/>
  <c r="G3270"/>
  <c r="D3270"/>
  <c r="O3270" s="1"/>
  <c r="F3270"/>
  <c r="H3270"/>
  <c r="G3268"/>
  <c r="D3268"/>
  <c r="O3268" s="1"/>
  <c r="F3268"/>
  <c r="H3268"/>
  <c r="G3266"/>
  <c r="D3266"/>
  <c r="O3266" s="1"/>
  <c r="F3266"/>
  <c r="H3266"/>
  <c r="G3264"/>
  <c r="D3264"/>
  <c r="O3264" s="1"/>
  <c r="F3264"/>
  <c r="H3264"/>
  <c r="G3261"/>
  <c r="D3261"/>
  <c r="O3261" s="1"/>
  <c r="F3261"/>
  <c r="H3261"/>
  <c r="G3259"/>
  <c r="D3259"/>
  <c r="O3259" s="1"/>
  <c r="F3259"/>
  <c r="H3259"/>
  <c r="G3257"/>
  <c r="D3257"/>
  <c r="O3257" s="1"/>
  <c r="F3257"/>
  <c r="H3257"/>
  <c r="G3255"/>
  <c r="D3255"/>
  <c r="O3255" s="1"/>
  <c r="F3255"/>
  <c r="H3255"/>
  <c r="G3253"/>
  <c r="D3253"/>
  <c r="O3253" s="1"/>
  <c r="F3253"/>
  <c r="H3253"/>
  <c r="G3250"/>
  <c r="D3250"/>
  <c r="O3250" s="1"/>
  <c r="F3250"/>
  <c r="H3250"/>
  <c r="G3248"/>
  <c r="D3248"/>
  <c r="O3248" s="1"/>
  <c r="F3248"/>
  <c r="H3248"/>
  <c r="G3246"/>
  <c r="D3246"/>
  <c r="O3246" s="1"/>
  <c r="F3246"/>
  <c r="H3246"/>
  <c r="G3244"/>
  <c r="D3244"/>
  <c r="O3244" s="1"/>
  <c r="F3244"/>
  <c r="H3244"/>
  <c r="G3242"/>
  <c r="D3242"/>
  <c r="O3242" s="1"/>
  <c r="F3242"/>
  <c r="H3242"/>
  <c r="D3237"/>
  <c r="O3237" s="1"/>
  <c r="D3233"/>
  <c r="O3233" s="1"/>
  <c r="D3228"/>
  <c r="O3228" s="1"/>
  <c r="D3224"/>
  <c r="O3224" s="1"/>
  <c r="D3220"/>
  <c r="O3220" s="1"/>
  <c r="D3215"/>
  <c r="O3215" s="1"/>
  <c r="D3211"/>
  <c r="O3211" s="1"/>
  <c r="D3206"/>
  <c r="O3206" s="1"/>
  <c r="D3202"/>
  <c r="O3202" s="1"/>
  <c r="G3198"/>
  <c r="L3195"/>
  <c r="F3187"/>
  <c r="G3184"/>
  <c r="K3184"/>
  <c r="D3184"/>
  <c r="O3184" s="1"/>
  <c r="F3184"/>
  <c r="H3184"/>
  <c r="G3182"/>
  <c r="D3182"/>
  <c r="O3182" s="1"/>
  <c r="F3182"/>
  <c r="H3182"/>
  <c r="G3180"/>
  <c r="K3180"/>
  <c r="D3180"/>
  <c r="O3180" s="1"/>
  <c r="F3180"/>
  <c r="H3180"/>
  <c r="G3178"/>
  <c r="D3178"/>
  <c r="O3178" s="1"/>
  <c r="F3178"/>
  <c r="H3178"/>
  <c r="G3173"/>
  <c r="G3167"/>
  <c r="F3162"/>
  <c r="H3158"/>
  <c r="D3154"/>
  <c r="O3154" s="1"/>
  <c r="G3149"/>
  <c r="F3143"/>
  <c r="F3136"/>
  <c r="F3124"/>
  <c r="F3115"/>
  <c r="F3106"/>
  <c r="F3097"/>
  <c r="F3089"/>
  <c r="F3080"/>
  <c r="F3071"/>
  <c r="F3062"/>
  <c r="F3045"/>
  <c r="G3031"/>
  <c r="G3027"/>
  <c r="L3027"/>
  <c r="F3014"/>
  <c r="G3133"/>
  <c r="G3128"/>
  <c r="G3118"/>
  <c r="G3114"/>
  <c r="D3105"/>
  <c r="O3105" s="1"/>
  <c r="G3101"/>
  <c r="G3092"/>
  <c r="D3088"/>
  <c r="O3088" s="1"/>
  <c r="D3070"/>
  <c r="O3070" s="1"/>
  <c r="G3057"/>
  <c r="D3052"/>
  <c r="O3052" s="1"/>
  <c r="D3035"/>
  <c r="O3035" s="1"/>
  <c r="G3030"/>
  <c r="G3022"/>
  <c r="G3017"/>
  <c r="D3017"/>
  <c r="O3017" s="1"/>
  <c r="F3017"/>
  <c r="H3017"/>
  <c r="G3013"/>
  <c r="D3013"/>
  <c r="O3013" s="1"/>
  <c r="F3013"/>
  <c r="H3013"/>
  <c r="G3008"/>
  <c r="L2001"/>
  <c r="R6"/>
  <c r="R8"/>
  <c r="R10"/>
  <c r="R11"/>
  <c r="R4"/>
  <c r="R9"/>
  <c r="R7"/>
  <c r="R5"/>
  <c r="G15" i="1"/>
  <c r="G224"/>
  <c r="G202"/>
  <c r="G180"/>
  <c r="G158"/>
  <c r="G136"/>
  <c r="G114"/>
  <c r="G92"/>
  <c r="G70"/>
  <c r="G48"/>
  <c r="G26"/>
  <c r="G235"/>
  <c r="G213"/>
  <c r="G191"/>
  <c r="G169"/>
  <c r="G147"/>
  <c r="G125"/>
  <c r="G103"/>
  <c r="G81"/>
  <c r="G59"/>
  <c r="G37"/>
  <c r="HJ27" i="2"/>
  <c r="H36"/>
  <c r="M1" i="1" s="1"/>
  <c r="HJ26" i="2"/>
  <c r="HJ30"/>
  <c r="HJ25"/>
  <c r="HJ29"/>
  <c r="HJ33"/>
  <c r="HN32"/>
  <c r="L3065" l="1"/>
  <c r="K3142"/>
  <c r="H3021"/>
  <c r="K3153"/>
  <c r="H3065"/>
  <c r="H3087"/>
  <c r="H3236"/>
  <c r="L3164"/>
  <c r="H3212"/>
  <c r="H3229"/>
  <c r="H3227"/>
  <c r="L3219"/>
  <c r="K3230"/>
  <c r="L3197"/>
  <c r="K3197"/>
  <c r="H3194"/>
  <c r="H3208"/>
  <c r="H3164"/>
  <c r="K3175"/>
  <c r="H3175"/>
  <c r="L3186"/>
  <c r="H3186"/>
  <c r="K3164"/>
  <c r="K3186"/>
  <c r="K3032"/>
  <c r="H3032"/>
  <c r="K3043"/>
  <c r="L3043"/>
  <c r="L3054"/>
  <c r="H3076"/>
  <c r="L3087"/>
  <c r="K3131"/>
  <c r="L3010"/>
  <c r="H3098"/>
  <c r="L3021"/>
  <c r="L3032"/>
  <c r="K3054"/>
  <c r="L3076"/>
  <c r="K3010"/>
  <c r="H3010"/>
  <c r="G3160"/>
  <c r="H3165"/>
  <c r="F3236"/>
  <c r="L3153"/>
  <c r="F17"/>
  <c r="X16"/>
  <c r="F11"/>
  <c r="G3066"/>
  <c r="G3036"/>
  <c r="F3042"/>
  <c r="AD18"/>
  <c r="AD16"/>
  <c r="X13"/>
  <c r="F15"/>
  <c r="F12"/>
  <c r="K2007"/>
  <c r="W17"/>
  <c r="P3026"/>
  <c r="P3001"/>
  <c r="K2002"/>
  <c r="W19"/>
  <c r="W18"/>
  <c r="K2029"/>
  <c r="W16"/>
  <c r="P2013"/>
  <c r="W15"/>
  <c r="W13"/>
  <c r="V14"/>
  <c r="K2008"/>
  <c r="W12"/>
  <c r="X15"/>
  <c r="X18"/>
  <c r="X12"/>
  <c r="O2007"/>
  <c r="V17"/>
  <c r="CR17" s="1"/>
  <c r="CS17" s="1"/>
  <c r="P3018"/>
  <c r="G3026"/>
  <c r="AD14"/>
  <c r="P3009"/>
  <c r="L2003"/>
  <c r="X14"/>
  <c r="H2008"/>
  <c r="V12"/>
  <c r="CR12" s="1"/>
  <c r="CS12" s="1"/>
  <c r="G2013"/>
  <c r="V15"/>
  <c r="CR15" s="1"/>
  <c r="CS15" s="1"/>
  <c r="G2021"/>
  <c r="V13"/>
  <c r="CR13" s="1"/>
  <c r="CS13" s="1"/>
  <c r="L2007"/>
  <c r="X17"/>
  <c r="P3016"/>
  <c r="P3020"/>
  <c r="O2002"/>
  <c r="V19"/>
  <c r="O2009"/>
  <c r="V18"/>
  <c r="CR18" s="1"/>
  <c r="CS18" s="1"/>
  <c r="V16"/>
  <c r="K2003"/>
  <c r="W14"/>
  <c r="G3009"/>
  <c r="AD19"/>
  <c r="G3016"/>
  <c r="AD17"/>
  <c r="G3018"/>
  <c r="AD12"/>
  <c r="G3020"/>
  <c r="AD15"/>
  <c r="P2029"/>
  <c r="F2005"/>
  <c r="F2021"/>
  <c r="F2010"/>
  <c r="X19"/>
  <c r="CZ19" s="1"/>
  <c r="DA19" s="1"/>
  <c r="F18"/>
  <c r="F16"/>
  <c r="F14"/>
  <c r="F19"/>
  <c r="F13"/>
  <c r="F3022"/>
  <c r="F3030"/>
  <c r="D3039"/>
  <c r="D3048"/>
  <c r="F3057"/>
  <c r="F3066"/>
  <c r="D3074"/>
  <c r="D3083"/>
  <c r="F3092"/>
  <c r="F3101"/>
  <c r="D3110"/>
  <c r="F3118"/>
  <c r="F3128"/>
  <c r="F3133"/>
  <c r="D3004"/>
  <c r="O3004" s="1"/>
  <c r="D3018"/>
  <c r="D3023"/>
  <c r="F3027"/>
  <c r="F3031"/>
  <c r="F3036"/>
  <c r="F3040"/>
  <c r="F3034"/>
  <c r="F3051"/>
  <c r="F3069"/>
  <c r="F3086"/>
  <c r="F3157"/>
  <c r="F3166"/>
  <c r="F3174"/>
  <c r="F3183"/>
  <c r="D3238"/>
  <c r="O3238" s="1"/>
  <c r="F2112"/>
  <c r="F2155"/>
  <c r="O2047"/>
  <c r="F2137"/>
  <c r="O2133"/>
  <c r="G3019"/>
  <c r="F3019"/>
  <c r="O2031"/>
  <c r="G2031"/>
  <c r="O2036"/>
  <c r="H2036"/>
  <c r="H2049"/>
  <c r="F2049"/>
  <c r="O2056"/>
  <c r="G2056"/>
  <c r="O2058"/>
  <c r="F2058"/>
  <c r="O2073"/>
  <c r="F2073"/>
  <c r="O2106"/>
  <c r="H2106"/>
  <c r="O2146"/>
  <c r="F2146"/>
  <c r="L2177"/>
  <c r="I3176"/>
  <c r="P3176" s="1"/>
  <c r="D3187"/>
  <c r="O3187" s="1"/>
  <c r="H3187"/>
  <c r="D3189"/>
  <c r="O3189" s="1"/>
  <c r="H3189"/>
  <c r="G3191"/>
  <c r="F3191"/>
  <c r="L3191"/>
  <c r="G3193"/>
  <c r="F3193"/>
  <c r="D3195"/>
  <c r="O3195" s="1"/>
  <c r="D3198"/>
  <c r="O3198" s="1"/>
  <c r="G3200"/>
  <c r="F3200"/>
  <c r="L3200"/>
  <c r="G3202"/>
  <c r="F3202"/>
  <c r="G3204"/>
  <c r="F3204"/>
  <c r="G3206"/>
  <c r="F3206"/>
  <c r="G3209"/>
  <c r="F3209"/>
  <c r="G3211"/>
  <c r="F3211"/>
  <c r="G3213"/>
  <c r="F3213"/>
  <c r="G3215"/>
  <c r="F3215"/>
  <c r="G3217"/>
  <c r="F3217"/>
  <c r="G3220"/>
  <c r="F3220"/>
  <c r="G3222"/>
  <c r="F3222"/>
  <c r="G3224"/>
  <c r="F3224"/>
  <c r="G3226"/>
  <c r="F3226"/>
  <c r="G3228"/>
  <c r="F3228"/>
  <c r="G3231"/>
  <c r="F3231"/>
  <c r="G3233"/>
  <c r="F3233"/>
  <c r="G3235"/>
  <c r="F3235"/>
  <c r="G3237"/>
  <c r="F3237"/>
  <c r="G3239"/>
  <c r="F3239"/>
  <c r="G3176"/>
  <c r="D3176"/>
  <c r="O3176" s="1"/>
  <c r="O2001"/>
  <c r="H2001"/>
  <c r="G2001"/>
  <c r="G3005"/>
  <c r="K3005"/>
  <c r="D3127"/>
  <c r="O3127" s="1"/>
  <c r="D3136"/>
  <c r="O3136" s="1"/>
  <c r="D3145"/>
  <c r="O3145" s="1"/>
  <c r="K3154"/>
  <c r="F3154"/>
  <c r="G3162"/>
  <c r="D3162"/>
  <c r="O3162" s="1"/>
  <c r="H3162"/>
  <c r="K3171"/>
  <c r="F3171"/>
  <c r="G3033"/>
  <c r="F3033"/>
  <c r="G3050"/>
  <c r="F3050"/>
  <c r="K3068"/>
  <c r="F3068"/>
  <c r="D3085"/>
  <c r="O3085" s="1"/>
  <c r="D3103"/>
  <c r="O3103" s="1"/>
  <c r="G3121"/>
  <c r="F3121"/>
  <c r="D3138"/>
  <c r="O3138" s="1"/>
  <c r="D3156"/>
  <c r="O3156" s="1"/>
  <c r="D3173"/>
  <c r="O3173" s="1"/>
  <c r="G3037"/>
  <c r="F3037"/>
  <c r="D3072"/>
  <c r="O3072" s="1"/>
  <c r="K3107"/>
  <c r="F3107"/>
  <c r="D3143"/>
  <c r="O3143" s="1"/>
  <c r="G3028"/>
  <c r="F3028"/>
  <c r="K3099"/>
  <c r="F3099"/>
  <c r="G3169"/>
  <c r="F3169"/>
  <c r="G3046"/>
  <c r="F3046"/>
  <c r="K3081"/>
  <c r="F3081"/>
  <c r="G3151"/>
  <c r="F3151"/>
  <c r="L2015"/>
  <c r="I3014"/>
  <c r="P3014" s="1"/>
  <c r="O2059"/>
  <c r="H2059"/>
  <c r="F2059"/>
  <c r="F2063"/>
  <c r="O2063"/>
  <c r="G2063"/>
  <c r="O2103"/>
  <c r="F2103"/>
  <c r="O2120"/>
  <c r="F2120"/>
  <c r="G3007"/>
  <c r="D3007"/>
  <c r="O3007" s="1"/>
  <c r="D3045"/>
  <c r="O3045" s="1"/>
  <c r="D3049"/>
  <c r="O3049" s="1"/>
  <c r="D3053"/>
  <c r="O3053" s="1"/>
  <c r="D3058"/>
  <c r="O3058" s="1"/>
  <c r="D3062"/>
  <c r="O3062" s="1"/>
  <c r="D3067"/>
  <c r="O3067" s="1"/>
  <c r="D3071"/>
  <c r="O3071" s="1"/>
  <c r="D3075"/>
  <c r="O3075" s="1"/>
  <c r="D3080"/>
  <c r="O3080" s="1"/>
  <c r="D3084"/>
  <c r="O3084" s="1"/>
  <c r="D3089"/>
  <c r="O3089" s="1"/>
  <c r="D3093"/>
  <c r="O3093" s="1"/>
  <c r="D3097"/>
  <c r="O3097" s="1"/>
  <c r="D3102"/>
  <c r="O3102" s="1"/>
  <c r="D3106"/>
  <c r="O3106" s="1"/>
  <c r="D3111"/>
  <c r="O3111" s="1"/>
  <c r="D3115"/>
  <c r="O3115" s="1"/>
  <c r="D3119"/>
  <c r="O3119" s="1"/>
  <c r="D3124"/>
  <c r="O3124" s="1"/>
  <c r="G3126"/>
  <c r="F3126"/>
  <c r="G3152"/>
  <c r="L3152"/>
  <c r="F3008"/>
  <c r="H3022"/>
  <c r="H3030"/>
  <c r="F3039"/>
  <c r="F3048"/>
  <c r="H3057"/>
  <c r="H3066"/>
  <c r="F3074"/>
  <c r="F3083"/>
  <c r="H3092"/>
  <c r="H3101"/>
  <c r="F3110"/>
  <c r="H3118"/>
  <c r="H3128"/>
  <c r="H3133"/>
  <c r="D3000"/>
  <c r="O3000" s="1"/>
  <c r="D3009"/>
  <c r="G3014"/>
  <c r="F3023"/>
  <c r="H3027"/>
  <c r="H3031"/>
  <c r="H3036"/>
  <c r="H3040"/>
  <c r="G3040"/>
  <c r="G3045"/>
  <c r="G3049"/>
  <c r="G3053"/>
  <c r="G3058"/>
  <c r="G3062"/>
  <c r="G3067"/>
  <c r="G3071"/>
  <c r="G3075"/>
  <c r="G3080"/>
  <c r="G3084"/>
  <c r="G3089"/>
  <c r="G3093"/>
  <c r="G3097"/>
  <c r="G3102"/>
  <c r="G3106"/>
  <c r="G3111"/>
  <c r="G3115"/>
  <c r="G3119"/>
  <c r="G3124"/>
  <c r="G3127"/>
  <c r="G3136"/>
  <c r="G3138"/>
  <c r="G3143"/>
  <c r="G3145"/>
  <c r="H3151"/>
  <c r="H3154"/>
  <c r="G3154"/>
  <c r="G3156"/>
  <c r="K3162"/>
  <c r="D3169"/>
  <c r="O3169" s="1"/>
  <c r="D3171"/>
  <c r="F3173"/>
  <c r="F3176"/>
  <c r="L3187"/>
  <c r="G3187"/>
  <c r="G3189"/>
  <c r="D3191"/>
  <c r="D3193"/>
  <c r="O3193" s="1"/>
  <c r="F3195"/>
  <c r="F3198"/>
  <c r="H3200"/>
  <c r="H3202"/>
  <c r="H3204"/>
  <c r="H3206"/>
  <c r="H3209"/>
  <c r="H3211"/>
  <c r="H3213"/>
  <c r="H3215"/>
  <c r="H3217"/>
  <c r="H3220"/>
  <c r="H3222"/>
  <c r="H3224"/>
  <c r="H3226"/>
  <c r="H3228"/>
  <c r="H3231"/>
  <c r="H3233"/>
  <c r="H3235"/>
  <c r="H3237"/>
  <c r="H3239"/>
  <c r="F3005"/>
  <c r="D3019"/>
  <c r="D3028"/>
  <c r="D3033"/>
  <c r="D3037"/>
  <c r="D3046"/>
  <c r="D3050"/>
  <c r="D3068"/>
  <c r="F3072"/>
  <c r="D3081"/>
  <c r="F3085"/>
  <c r="D3099"/>
  <c r="F3103"/>
  <c r="D3107"/>
  <c r="O3107" s="1"/>
  <c r="D3121"/>
  <c r="D3126"/>
  <c r="F3020"/>
  <c r="F3029"/>
  <c r="F3038"/>
  <c r="F3047"/>
  <c r="F3056"/>
  <c r="F3064"/>
  <c r="F3073"/>
  <c r="F3082"/>
  <c r="F3091"/>
  <c r="F3155"/>
  <c r="F3159"/>
  <c r="F3163"/>
  <c r="F3168"/>
  <c r="F3172"/>
  <c r="F3177"/>
  <c r="F3181"/>
  <c r="F3185"/>
  <c r="D3199"/>
  <c r="O3199" s="1"/>
  <c r="F3203"/>
  <c r="D3216"/>
  <c r="O3216" s="1"/>
  <c r="F3221"/>
  <c r="D3234"/>
  <c r="O3234" s="1"/>
  <c r="J3002"/>
  <c r="Q2228"/>
  <c r="F2050"/>
  <c r="F2094"/>
  <c r="F2128"/>
  <c r="G2067"/>
  <c r="O2170"/>
  <c r="H2094"/>
  <c r="H3135"/>
  <c r="F2036"/>
  <c r="F2089"/>
  <c r="F2106"/>
  <c r="F2124"/>
  <c r="F2141"/>
  <c r="H2045"/>
  <c r="G2100"/>
  <c r="H2058"/>
  <c r="H2089"/>
  <c r="H2124"/>
  <c r="G2045"/>
  <c r="O2067"/>
  <c r="O2100"/>
  <c r="O2161"/>
  <c r="H2031"/>
  <c r="H2071"/>
  <c r="F2113"/>
  <c r="H2113"/>
  <c r="H2028"/>
  <c r="G2078"/>
  <c r="H3144"/>
  <c r="H3148"/>
  <c r="H3150"/>
  <c r="H3141"/>
  <c r="H3100"/>
  <c r="H3104"/>
  <c r="H3108"/>
  <c r="H3113"/>
  <c r="H3117"/>
  <c r="H3122"/>
  <c r="H3137"/>
  <c r="H3139"/>
  <c r="H3146"/>
  <c r="O2004"/>
  <c r="F2004"/>
  <c r="O2006"/>
  <c r="F2006"/>
  <c r="O2012"/>
  <c r="H2012"/>
  <c r="O2014"/>
  <c r="F2014"/>
  <c r="O2023"/>
  <c r="H2023"/>
  <c r="O2025"/>
  <c r="G2025"/>
  <c r="O2027"/>
  <c r="H2027"/>
  <c r="O2029"/>
  <c r="G2029"/>
  <c r="F2029"/>
  <c r="O2034"/>
  <c r="G2034"/>
  <c r="O2038"/>
  <c r="H2038"/>
  <c r="O2040"/>
  <c r="F2040"/>
  <c r="H2040"/>
  <c r="O2042"/>
  <c r="G2042"/>
  <c r="H2047"/>
  <c r="G2047"/>
  <c r="O2051"/>
  <c r="H2051"/>
  <c r="F2053"/>
  <c r="O2053"/>
  <c r="G2053"/>
  <c r="H2060"/>
  <c r="F2060"/>
  <c r="O2062"/>
  <c r="H2062"/>
  <c r="F2062"/>
  <c r="O2064"/>
  <c r="G2064"/>
  <c r="O2069"/>
  <c r="H2069"/>
  <c r="F2069"/>
  <c r="H2075"/>
  <c r="G2075"/>
  <c r="F2075"/>
  <c r="H2080"/>
  <c r="O2080"/>
  <c r="F2082"/>
  <c r="G2082"/>
  <c r="O2084"/>
  <c r="F2084"/>
  <c r="O2086"/>
  <c r="G2086"/>
  <c r="H2091"/>
  <c r="F2091"/>
  <c r="O2093"/>
  <c r="F2093"/>
  <c r="O2095"/>
  <c r="H2095"/>
  <c r="H2097"/>
  <c r="O2097"/>
  <c r="O2102"/>
  <c r="H2102"/>
  <c r="F2102"/>
  <c r="H2108"/>
  <c r="G2108"/>
  <c r="F2108"/>
  <c r="O2111"/>
  <c r="F2111"/>
  <c r="H2115"/>
  <c r="O2115"/>
  <c r="F2117"/>
  <c r="G2117"/>
  <c r="O2119"/>
  <c r="F2119"/>
  <c r="O2122"/>
  <c r="H2122"/>
  <c r="H2126"/>
  <c r="G2126"/>
  <c r="F2126"/>
  <c r="O2130"/>
  <c r="H2130"/>
  <c r="F2135"/>
  <c r="O2135"/>
  <c r="O2139"/>
  <c r="F2139"/>
  <c r="H2144"/>
  <c r="F2144"/>
  <c r="O2148"/>
  <c r="F2148"/>
  <c r="O2150"/>
  <c r="H2150"/>
  <c r="H2152"/>
  <c r="F2152"/>
  <c r="K2179"/>
  <c r="J3178"/>
  <c r="Q3178" s="1"/>
  <c r="K2181"/>
  <c r="J3180"/>
  <c r="Q3180" s="1"/>
  <c r="K2183"/>
  <c r="J3182"/>
  <c r="Q3182" s="1"/>
  <c r="K2185"/>
  <c r="J3184"/>
  <c r="Q3184" s="1"/>
  <c r="K2015"/>
  <c r="J3014"/>
  <c r="Q3014" s="1"/>
  <c r="K2019"/>
  <c r="J3018"/>
  <c r="K2010"/>
  <c r="J3009"/>
  <c r="L3009" s="1"/>
  <c r="L2185"/>
  <c r="Q2185"/>
  <c r="L2192"/>
  <c r="Q2192"/>
  <c r="L2201"/>
  <c r="Q2201"/>
  <c r="L2210"/>
  <c r="I3209"/>
  <c r="P3209" s="1"/>
  <c r="L2218"/>
  <c r="Q2218"/>
  <c r="L2227"/>
  <c r="I3226"/>
  <c r="P3226" s="1"/>
  <c r="L2236"/>
  <c r="Q2236"/>
  <c r="L2190"/>
  <c r="I3189"/>
  <c r="P3189" s="1"/>
  <c r="L2207"/>
  <c r="I3206"/>
  <c r="P3206" s="1"/>
  <c r="L2225"/>
  <c r="I3224"/>
  <c r="P3224" s="1"/>
  <c r="L2179"/>
  <c r="Q2179"/>
  <c r="L2212"/>
  <c r="I3211"/>
  <c r="P3211" s="1"/>
  <c r="L2238"/>
  <c r="I3237"/>
  <c r="P3237" s="1"/>
  <c r="K2129"/>
  <c r="J3128"/>
  <c r="Q3128" s="1"/>
  <c r="K2134"/>
  <c r="J3133"/>
  <c r="L2005"/>
  <c r="I3004"/>
  <c r="P3004" s="1"/>
  <c r="O2024"/>
  <c r="H2024"/>
  <c r="O2032"/>
  <c r="H2032"/>
  <c r="O2037"/>
  <c r="H2037"/>
  <c r="F2037"/>
  <c r="H2041"/>
  <c r="O2041"/>
  <c r="O2046"/>
  <c r="H2046"/>
  <c r="F2046"/>
  <c r="O2054"/>
  <c r="H2054"/>
  <c r="F2054"/>
  <c r="O2068"/>
  <c r="H2068"/>
  <c r="H2072"/>
  <c r="F2072"/>
  <c r="O2076"/>
  <c r="F2076"/>
  <c r="F2081"/>
  <c r="O2081"/>
  <c r="G2081"/>
  <c r="O2085"/>
  <c r="G2085"/>
  <c r="F2085"/>
  <c r="O2090"/>
  <c r="F2090"/>
  <c r="H2098"/>
  <c r="F2098"/>
  <c r="O2107"/>
  <c r="H2107"/>
  <c r="F2107"/>
  <c r="H2116"/>
  <c r="F2116"/>
  <c r="O2125"/>
  <c r="F2125"/>
  <c r="H2140"/>
  <c r="F2140"/>
  <c r="F2145"/>
  <c r="O2145"/>
  <c r="G2145"/>
  <c r="H2149"/>
  <c r="F2149"/>
  <c r="F2153"/>
  <c r="O2153"/>
  <c r="F2162"/>
  <c r="O2162"/>
  <c r="F2171"/>
  <c r="O2171"/>
  <c r="D3185"/>
  <c r="O3185" s="1"/>
  <c r="D3190"/>
  <c r="O3190" s="1"/>
  <c r="H3190"/>
  <c r="G3194"/>
  <c r="F3194"/>
  <c r="G3199"/>
  <c r="F3199"/>
  <c r="D3203"/>
  <c r="O3203" s="1"/>
  <c r="H3203"/>
  <c r="D3207"/>
  <c r="O3207" s="1"/>
  <c r="H3207"/>
  <c r="G3212"/>
  <c r="F3212"/>
  <c r="G3216"/>
  <c r="F3216"/>
  <c r="D3221"/>
  <c r="O3221" s="1"/>
  <c r="D3225"/>
  <c r="O3225" s="1"/>
  <c r="G3229"/>
  <c r="F3229"/>
  <c r="G3234"/>
  <c r="F3234"/>
  <c r="G3238"/>
  <c r="F3238"/>
  <c r="D3012"/>
  <c r="O3012" s="1"/>
  <c r="F3012"/>
  <c r="D3016"/>
  <c r="H3016" s="1"/>
  <c r="F3016"/>
  <c r="D3020"/>
  <c r="D3025"/>
  <c r="O3025" s="1"/>
  <c r="D3029"/>
  <c r="O3029" s="1"/>
  <c r="D3034"/>
  <c r="O3034" s="1"/>
  <c r="D3038"/>
  <c r="O3038" s="1"/>
  <c r="D3042"/>
  <c r="O3042" s="1"/>
  <c r="D3047"/>
  <c r="O3047" s="1"/>
  <c r="D3051"/>
  <c r="O3051" s="1"/>
  <c r="D3056"/>
  <c r="O3056" s="1"/>
  <c r="D3060"/>
  <c r="O3060" s="1"/>
  <c r="D3064"/>
  <c r="O3064" s="1"/>
  <c r="D3069"/>
  <c r="O3069" s="1"/>
  <c r="D3073"/>
  <c r="O3073" s="1"/>
  <c r="D3078"/>
  <c r="O3078" s="1"/>
  <c r="D3082"/>
  <c r="O3082" s="1"/>
  <c r="D3086"/>
  <c r="O3086" s="1"/>
  <c r="D3091"/>
  <c r="O3091" s="1"/>
  <c r="D3095"/>
  <c r="O3095" s="1"/>
  <c r="G3100"/>
  <c r="F3100"/>
  <c r="L3100"/>
  <c r="G3104"/>
  <c r="F3104"/>
  <c r="G3108"/>
  <c r="F3108"/>
  <c r="G3113"/>
  <c r="F3113"/>
  <c r="G3117"/>
  <c r="F3117"/>
  <c r="G3122"/>
  <c r="F3122"/>
  <c r="G3130"/>
  <c r="F3130"/>
  <c r="G3135"/>
  <c r="F3135"/>
  <c r="G3137"/>
  <c r="F3137"/>
  <c r="G3139"/>
  <c r="F3139"/>
  <c r="G3141"/>
  <c r="F3141"/>
  <c r="G3144"/>
  <c r="F3144"/>
  <c r="G3146"/>
  <c r="F3146"/>
  <c r="G3148"/>
  <c r="F3148"/>
  <c r="G3150"/>
  <c r="F3150"/>
  <c r="D3152"/>
  <c r="O3152" s="1"/>
  <c r="D3155"/>
  <c r="O3155" s="1"/>
  <c r="D3157"/>
  <c r="O3157" s="1"/>
  <c r="D3159"/>
  <c r="O3159" s="1"/>
  <c r="D3161"/>
  <c r="O3161" s="1"/>
  <c r="D3163"/>
  <c r="O3163" s="1"/>
  <c r="D3166"/>
  <c r="O3166" s="1"/>
  <c r="D3168"/>
  <c r="O3168" s="1"/>
  <c r="D3170"/>
  <c r="O3170" s="1"/>
  <c r="D3172"/>
  <c r="O3172" s="1"/>
  <c r="D3174"/>
  <c r="O3174" s="1"/>
  <c r="D3177"/>
  <c r="O3177" s="1"/>
  <c r="D3179"/>
  <c r="O3179" s="1"/>
  <c r="D3181"/>
  <c r="O3181" s="1"/>
  <c r="D3183"/>
  <c r="O3183" s="1"/>
  <c r="L2186"/>
  <c r="I3185"/>
  <c r="P3185" s="1"/>
  <c r="L2189"/>
  <c r="I3188"/>
  <c r="P3188" s="1"/>
  <c r="L2191"/>
  <c r="I3190"/>
  <c r="P3190" s="1"/>
  <c r="L2193"/>
  <c r="I3192"/>
  <c r="P3192" s="1"/>
  <c r="L2195"/>
  <c r="I3194"/>
  <c r="P3194" s="1"/>
  <c r="L2197"/>
  <c r="I3196"/>
  <c r="P3196" s="1"/>
  <c r="L2200"/>
  <c r="I3199"/>
  <c r="P3199" s="1"/>
  <c r="L2202"/>
  <c r="I3201"/>
  <c r="K3201" s="1"/>
  <c r="L2204"/>
  <c r="I3203"/>
  <c r="P3203" s="1"/>
  <c r="L2206"/>
  <c r="I3205"/>
  <c r="P3205" s="1"/>
  <c r="L2208"/>
  <c r="I3207"/>
  <c r="P3207" s="1"/>
  <c r="L2211"/>
  <c r="I3210"/>
  <c r="P3210" s="1"/>
  <c r="L2213"/>
  <c r="I3212"/>
  <c r="P3212" s="1"/>
  <c r="L2215"/>
  <c r="I3214"/>
  <c r="P3214" s="1"/>
  <c r="L2217"/>
  <c r="I3216"/>
  <c r="P3216" s="1"/>
  <c r="L2219"/>
  <c r="I3218"/>
  <c r="L2222"/>
  <c r="I3221"/>
  <c r="P3221" s="1"/>
  <c r="L2224"/>
  <c r="I3223"/>
  <c r="P3223" s="1"/>
  <c r="L2226"/>
  <c r="I3225"/>
  <c r="P3225" s="1"/>
  <c r="L2230"/>
  <c r="I3229"/>
  <c r="P3229" s="1"/>
  <c r="L2233"/>
  <c r="I3232"/>
  <c r="P3232" s="1"/>
  <c r="L2235"/>
  <c r="I3234"/>
  <c r="P3234" s="1"/>
  <c r="L2237"/>
  <c r="I3236"/>
  <c r="P3236" s="1"/>
  <c r="L2239"/>
  <c r="I3238"/>
  <c r="P3238" s="1"/>
  <c r="L2241"/>
  <c r="I3240"/>
  <c r="P3240" s="1"/>
  <c r="K2001"/>
  <c r="J3000"/>
  <c r="Q3000" s="1"/>
  <c r="L3045"/>
  <c r="D3026"/>
  <c r="D3044"/>
  <c r="O3044" s="1"/>
  <c r="D3061"/>
  <c r="O3061" s="1"/>
  <c r="D3079"/>
  <c r="O3079" s="1"/>
  <c r="D3096"/>
  <c r="O3096" s="1"/>
  <c r="H3114"/>
  <c r="G3123"/>
  <c r="L3036"/>
  <c r="G3132"/>
  <c r="K3136"/>
  <c r="D3140"/>
  <c r="O3140" s="1"/>
  <c r="K3145"/>
  <c r="H3149"/>
  <c r="G3158"/>
  <c r="H3167"/>
  <c r="G3024"/>
  <c r="K3033"/>
  <c r="D3041"/>
  <c r="O3041" s="1"/>
  <c r="K3059"/>
  <c r="K3085"/>
  <c r="D3090"/>
  <c r="O3090" s="1"/>
  <c r="K3103"/>
  <c r="G3188"/>
  <c r="G3196"/>
  <c r="G3205"/>
  <c r="G3214"/>
  <c r="D3223"/>
  <c r="O3223" s="1"/>
  <c r="D3232"/>
  <c r="O3232" s="1"/>
  <c r="P2106"/>
  <c r="H2039"/>
  <c r="F2147"/>
  <c r="G2096"/>
  <c r="K3077"/>
  <c r="K3094"/>
  <c r="K3112"/>
  <c r="K3116"/>
  <c r="H3026"/>
  <c r="H3035"/>
  <c r="H3052"/>
  <c r="H3070"/>
  <c r="H3088"/>
  <c r="H3105"/>
  <c r="P3130"/>
  <c r="K3130"/>
  <c r="HJ28"/>
  <c r="HJ31"/>
  <c r="G3003"/>
  <c r="F3026"/>
  <c r="F3035"/>
  <c r="F3044"/>
  <c r="F3052"/>
  <c r="F3061"/>
  <c r="F3070"/>
  <c r="F3079"/>
  <c r="F3088"/>
  <c r="F3096"/>
  <c r="F3105"/>
  <c r="F3114"/>
  <c r="K3050"/>
  <c r="P2071"/>
  <c r="F2013"/>
  <c r="F2030"/>
  <c r="F2070"/>
  <c r="F2087"/>
  <c r="O2048"/>
  <c r="F2092"/>
  <c r="F2114"/>
  <c r="H3147"/>
  <c r="H3063"/>
  <c r="H3125"/>
  <c r="H3129"/>
  <c r="H3134"/>
  <c r="H3140"/>
  <c r="Q3023"/>
  <c r="L3023"/>
  <c r="Q3040"/>
  <c r="L3040"/>
  <c r="P3127"/>
  <c r="K3127"/>
  <c r="P3072"/>
  <c r="K3072"/>
  <c r="D3002"/>
  <c r="G3002"/>
  <c r="K2014"/>
  <c r="J3013"/>
  <c r="Q3013" s="1"/>
  <c r="K2018"/>
  <c r="J3017"/>
  <c r="Q3017" s="1"/>
  <c r="K2009"/>
  <c r="J3008"/>
  <c r="Q3008" s="1"/>
  <c r="L2014"/>
  <c r="I3013"/>
  <c r="P3013" s="1"/>
  <c r="L2018"/>
  <c r="I3017"/>
  <c r="P3017" s="1"/>
  <c r="K2023"/>
  <c r="J3022"/>
  <c r="Q3022" s="1"/>
  <c r="K2027"/>
  <c r="J3026"/>
  <c r="K2031"/>
  <c r="J3030"/>
  <c r="Q3030" s="1"/>
  <c r="K2036"/>
  <c r="J3035"/>
  <c r="Q3035" s="1"/>
  <c r="K2040"/>
  <c r="J3039"/>
  <c r="Q3039" s="1"/>
  <c r="K2045"/>
  <c r="J3044"/>
  <c r="Q3044" s="1"/>
  <c r="K2047"/>
  <c r="P2047"/>
  <c r="K2049"/>
  <c r="J3048"/>
  <c r="Q3048" s="1"/>
  <c r="K2056"/>
  <c r="J3055"/>
  <c r="Q3055" s="1"/>
  <c r="K2060"/>
  <c r="J3059"/>
  <c r="Q3059" s="1"/>
  <c r="K2062"/>
  <c r="P2062"/>
  <c r="K2064"/>
  <c r="J3063"/>
  <c r="Q3063" s="1"/>
  <c r="K2069"/>
  <c r="J3068"/>
  <c r="Q3068" s="1"/>
  <c r="K2073"/>
  <c r="J3072"/>
  <c r="Q3072" s="1"/>
  <c r="K2078"/>
  <c r="J3077"/>
  <c r="Q3077" s="1"/>
  <c r="K2080"/>
  <c r="P2080"/>
  <c r="K2082"/>
  <c r="J3081"/>
  <c r="Q3081" s="1"/>
  <c r="K2086"/>
  <c r="J3085"/>
  <c r="Q3085" s="1"/>
  <c r="K2091"/>
  <c r="J3090"/>
  <c r="Q3090" s="1"/>
  <c r="K2095"/>
  <c r="J3094"/>
  <c r="Q3094" s="1"/>
  <c r="K2097"/>
  <c r="P2097"/>
  <c r="K2100"/>
  <c r="J3099"/>
  <c r="Q3099" s="1"/>
  <c r="K2104"/>
  <c r="J3103"/>
  <c r="Q3103" s="1"/>
  <c r="K2108"/>
  <c r="J3107"/>
  <c r="Q3107" s="1"/>
  <c r="K2113"/>
  <c r="J3112"/>
  <c r="Q3112" s="1"/>
  <c r="K2115"/>
  <c r="P2115"/>
  <c r="K2117"/>
  <c r="J3116"/>
  <c r="Q3116" s="1"/>
  <c r="K2122"/>
  <c r="J3121"/>
  <c r="Q3121" s="1"/>
  <c r="K2128"/>
  <c r="J3127"/>
  <c r="Q3127" s="1"/>
  <c r="K2133"/>
  <c r="J3132"/>
  <c r="Q3132" s="1"/>
  <c r="K2137"/>
  <c r="J3136"/>
  <c r="Q3136" s="1"/>
  <c r="K2139"/>
  <c r="J3138"/>
  <c r="Q3138" s="1"/>
  <c r="K2141"/>
  <c r="J3140"/>
  <c r="Q3140" s="1"/>
  <c r="K2144"/>
  <c r="J3143"/>
  <c r="Q3143" s="1"/>
  <c r="K2146"/>
  <c r="J3145"/>
  <c r="Q3145" s="1"/>
  <c r="H2183"/>
  <c r="O2183"/>
  <c r="K2013"/>
  <c r="J3012"/>
  <c r="Q3012" s="1"/>
  <c r="K2017"/>
  <c r="J3016"/>
  <c r="K2021"/>
  <c r="J3020"/>
  <c r="G3001"/>
  <c r="D3001"/>
  <c r="D3123"/>
  <c r="O3123" s="1"/>
  <c r="D3132"/>
  <c r="O3132" s="1"/>
  <c r="K3140"/>
  <c r="F3140"/>
  <c r="K3149"/>
  <c r="F3149"/>
  <c r="K3158"/>
  <c r="F3158"/>
  <c r="K3167"/>
  <c r="F3167"/>
  <c r="K3024"/>
  <c r="F3024"/>
  <c r="K3041"/>
  <c r="F3041"/>
  <c r="G3059"/>
  <c r="D3059"/>
  <c r="O3059" s="1"/>
  <c r="G3077"/>
  <c r="D3077"/>
  <c r="O3077" s="1"/>
  <c r="G3094"/>
  <c r="D3094"/>
  <c r="O3094" s="1"/>
  <c r="G3112"/>
  <c r="D3112"/>
  <c r="O3112" s="1"/>
  <c r="G3129"/>
  <c r="F3129"/>
  <c r="G3147"/>
  <c r="F3147"/>
  <c r="G3165"/>
  <c r="F3165"/>
  <c r="K3055"/>
  <c r="F3055"/>
  <c r="K3090"/>
  <c r="F3090"/>
  <c r="G3125"/>
  <c r="F3125"/>
  <c r="D3160"/>
  <c r="O3160" s="1"/>
  <c r="K3063"/>
  <c r="F3063"/>
  <c r="G3134"/>
  <c r="F3134"/>
  <c r="G3116"/>
  <c r="D3116"/>
  <c r="O3116" s="1"/>
  <c r="K2127"/>
  <c r="J3126"/>
  <c r="Q3126" s="1"/>
  <c r="K2131"/>
  <c r="J3130"/>
  <c r="Q3130" s="1"/>
  <c r="K2136"/>
  <c r="J3135"/>
  <c r="Q3135" s="1"/>
  <c r="O2026"/>
  <c r="H2026"/>
  <c r="G2026"/>
  <c r="O2030"/>
  <c r="G2030"/>
  <c r="O2035"/>
  <c r="H2035"/>
  <c r="F2035"/>
  <c r="O2039"/>
  <c r="G2039"/>
  <c r="O2043"/>
  <c r="H2043"/>
  <c r="F2043"/>
  <c r="H2048"/>
  <c r="F2048"/>
  <c r="H2052"/>
  <c r="G2052"/>
  <c r="F2052"/>
  <c r="O2057"/>
  <c r="H2057"/>
  <c r="G2057"/>
  <c r="O2061"/>
  <c r="H2061"/>
  <c r="G2061"/>
  <c r="O2065"/>
  <c r="H2065"/>
  <c r="G2065"/>
  <c r="H2070"/>
  <c r="G2070"/>
  <c r="O2074"/>
  <c r="H2074"/>
  <c r="G2074"/>
  <c r="O2079"/>
  <c r="H2079"/>
  <c r="G2079"/>
  <c r="O2083"/>
  <c r="H2083"/>
  <c r="G2083"/>
  <c r="O2087"/>
  <c r="G2087"/>
  <c r="H2092"/>
  <c r="O2092"/>
  <c r="O2096"/>
  <c r="H2096"/>
  <c r="O2101"/>
  <c r="G2101"/>
  <c r="O2105"/>
  <c r="H2105"/>
  <c r="F2105"/>
  <c r="G2109"/>
  <c r="F2109"/>
  <c r="O2114"/>
  <c r="G2114"/>
  <c r="O2118"/>
  <c r="G2118"/>
  <c r="O2123"/>
  <c r="H2123"/>
  <c r="O2138"/>
  <c r="H2138"/>
  <c r="F2138"/>
  <c r="O2142"/>
  <c r="G2142"/>
  <c r="O2147"/>
  <c r="H2147"/>
  <c r="D3188"/>
  <c r="O3188" s="1"/>
  <c r="D3192"/>
  <c r="O3192" s="1"/>
  <c r="H3192"/>
  <c r="D3196"/>
  <c r="O3196" s="1"/>
  <c r="H3196"/>
  <c r="D3201"/>
  <c r="O3201" s="1"/>
  <c r="H3201"/>
  <c r="D3205"/>
  <c r="O3205" s="1"/>
  <c r="H3205"/>
  <c r="D3210"/>
  <c r="O3210" s="1"/>
  <c r="D3214"/>
  <c r="O3214" s="1"/>
  <c r="G3218"/>
  <c r="D3218"/>
  <c r="O3218" s="1"/>
  <c r="H3218"/>
  <c r="G3223"/>
  <c r="F3223"/>
  <c r="G3227"/>
  <c r="F3227"/>
  <c r="G3232"/>
  <c r="F3232"/>
  <c r="O2013"/>
  <c r="H2013"/>
  <c r="O2015"/>
  <c r="H2015"/>
  <c r="F2015"/>
  <c r="O2017"/>
  <c r="H2017"/>
  <c r="F2017"/>
  <c r="O2019"/>
  <c r="F2019"/>
  <c r="O2021"/>
  <c r="H2021"/>
  <c r="L2026"/>
  <c r="I3025"/>
  <c r="P3025" s="1"/>
  <c r="L2030"/>
  <c r="I3029"/>
  <c r="P3029" s="1"/>
  <c r="L2035"/>
  <c r="I3034"/>
  <c r="P3034" s="1"/>
  <c r="L2039"/>
  <c r="I3038"/>
  <c r="P3038" s="1"/>
  <c r="L2043"/>
  <c r="I3042"/>
  <c r="P3042" s="1"/>
  <c r="L2048"/>
  <c r="I3047"/>
  <c r="P3047" s="1"/>
  <c r="L2052"/>
  <c r="I3051"/>
  <c r="P3051" s="1"/>
  <c r="L2057"/>
  <c r="I3056"/>
  <c r="P3056" s="1"/>
  <c r="L2061"/>
  <c r="I3060"/>
  <c r="P3060" s="1"/>
  <c r="L2065"/>
  <c r="I3064"/>
  <c r="P3064" s="1"/>
  <c r="L2070"/>
  <c r="I3069"/>
  <c r="P3069" s="1"/>
  <c r="L2074"/>
  <c r="I3073"/>
  <c r="P3073" s="1"/>
  <c r="L2079"/>
  <c r="I3078"/>
  <c r="P3078" s="1"/>
  <c r="L2083"/>
  <c r="I3082"/>
  <c r="P3082" s="1"/>
  <c r="L2087"/>
  <c r="I3086"/>
  <c r="P3086" s="1"/>
  <c r="L2092"/>
  <c r="I3091"/>
  <c r="P3091" s="1"/>
  <c r="L2096"/>
  <c r="I3095"/>
  <c r="P3095" s="1"/>
  <c r="L2101"/>
  <c r="I3100"/>
  <c r="P3100" s="1"/>
  <c r="L2105"/>
  <c r="I3104"/>
  <c r="P3104" s="1"/>
  <c r="L2109"/>
  <c r="I3108"/>
  <c r="P3108" s="1"/>
  <c r="L2114"/>
  <c r="I3113"/>
  <c r="P3113" s="1"/>
  <c r="L2118"/>
  <c r="I3117"/>
  <c r="P3117" s="1"/>
  <c r="L2123"/>
  <c r="I3122"/>
  <c r="P3122" s="1"/>
  <c r="P3126"/>
  <c r="K3126"/>
  <c r="L2129"/>
  <c r="I3128"/>
  <c r="P3128" s="1"/>
  <c r="L2134"/>
  <c r="I3133"/>
  <c r="P3133" s="1"/>
  <c r="P3135"/>
  <c r="K3135"/>
  <c r="L2138"/>
  <c r="I3137"/>
  <c r="P3137" s="1"/>
  <c r="L2140"/>
  <c r="I3139"/>
  <c r="P3139" s="1"/>
  <c r="L2142"/>
  <c r="I3141"/>
  <c r="P3141" s="1"/>
  <c r="L2145"/>
  <c r="I3144"/>
  <c r="P3144" s="1"/>
  <c r="Q3031"/>
  <c r="L3031"/>
  <c r="Q3049"/>
  <c r="L3049"/>
  <c r="H3024"/>
  <c r="H3055"/>
  <c r="P2053"/>
  <c r="P2089"/>
  <c r="P2124"/>
  <c r="G2123"/>
  <c r="G2105"/>
  <c r="H2142"/>
  <c r="O3227"/>
  <c r="Q3227"/>
  <c r="P3227"/>
  <c r="O2229"/>
  <c r="HJ32"/>
  <c r="HJ24"/>
  <c r="L2228"/>
  <c r="H3009"/>
  <c r="K3018"/>
  <c r="P2008"/>
  <c r="H3004"/>
  <c r="H3008"/>
  <c r="F3000"/>
  <c r="F3004"/>
  <c r="F3009"/>
  <c r="D3005"/>
  <c r="O3005" s="1"/>
  <c r="F3007"/>
  <c r="P2001"/>
  <c r="P2003"/>
  <c r="Q2005"/>
  <c r="P2005"/>
  <c r="P2010"/>
  <c r="F3003"/>
  <c r="F3002"/>
  <c r="J3003"/>
  <c r="Q3003" s="1"/>
  <c r="I3002"/>
  <c r="P2009"/>
  <c r="J3007"/>
  <c r="Q3007" s="1"/>
  <c r="Q2012"/>
  <c r="K2006"/>
  <c r="P2006"/>
  <c r="L2016"/>
  <c r="Q2016"/>
  <c r="K2025"/>
  <c r="P2025"/>
  <c r="K2034"/>
  <c r="P2034"/>
  <c r="K2042"/>
  <c r="P2042"/>
  <c r="K2051"/>
  <c r="P2051"/>
  <c r="K2058"/>
  <c r="P2058"/>
  <c r="K2067"/>
  <c r="P2067"/>
  <c r="K2075"/>
  <c r="P2075"/>
  <c r="K2084"/>
  <c r="P2084"/>
  <c r="K2093"/>
  <c r="P2093"/>
  <c r="K2102"/>
  <c r="P2102"/>
  <c r="K2111"/>
  <c r="P2111"/>
  <c r="K2119"/>
  <c r="P2119"/>
  <c r="K2126"/>
  <c r="J3125"/>
  <c r="Q3125" s="1"/>
  <c r="K2130"/>
  <c r="J3129"/>
  <c r="Q3129" s="1"/>
  <c r="K2135"/>
  <c r="J3134"/>
  <c r="Q3134" s="1"/>
  <c r="K2148"/>
  <c r="P2148"/>
  <c r="K2150"/>
  <c r="P2150"/>
  <c r="K2152"/>
  <c r="P2152"/>
  <c r="K2155"/>
  <c r="P2155"/>
  <c r="K2157"/>
  <c r="P2157"/>
  <c r="K2159"/>
  <c r="P2159"/>
  <c r="K2161"/>
  <c r="P2161"/>
  <c r="K2163"/>
  <c r="P2163"/>
  <c r="K2166"/>
  <c r="P2166"/>
  <c r="K2168"/>
  <c r="P2168"/>
  <c r="K2170"/>
  <c r="P2170"/>
  <c r="K2172"/>
  <c r="P2172"/>
  <c r="K2174"/>
  <c r="P2174"/>
  <c r="K2177"/>
  <c r="P2177"/>
  <c r="H2190"/>
  <c r="O2190"/>
  <c r="H2199"/>
  <c r="O2199"/>
  <c r="H2207"/>
  <c r="O2207"/>
  <c r="H2216"/>
  <c r="O2216"/>
  <c r="H2225"/>
  <c r="O2225"/>
  <c r="H2234"/>
  <c r="O2234"/>
  <c r="H2243"/>
  <c r="O2243"/>
  <c r="K2273"/>
  <c r="P2273"/>
  <c r="L2280"/>
  <c r="Q2280"/>
  <c r="L2284"/>
  <c r="Q2284"/>
  <c r="K2291"/>
  <c r="J3290"/>
  <c r="Q3290" s="1"/>
  <c r="O2003"/>
  <c r="F2003"/>
  <c r="L2181"/>
  <c r="Q2181"/>
  <c r="L2188"/>
  <c r="Q2188"/>
  <c r="L2196"/>
  <c r="Q2196"/>
  <c r="L2205"/>
  <c r="Q2205"/>
  <c r="L2214"/>
  <c r="Q2214"/>
  <c r="L2223"/>
  <c r="Q2223"/>
  <c r="L2232"/>
  <c r="Q2232"/>
  <c r="L2240"/>
  <c r="Q2240"/>
  <c r="L2249"/>
  <c r="Q2249"/>
  <c r="L2258"/>
  <c r="Q2258"/>
  <c r="L2267"/>
  <c r="Q2267"/>
  <c r="K2276"/>
  <c r="P2276"/>
  <c r="K2280"/>
  <c r="J3279"/>
  <c r="CI22" s="1"/>
  <c r="CJ22" s="1"/>
  <c r="K2293"/>
  <c r="J3292"/>
  <c r="Q3292" s="1"/>
  <c r="K2298"/>
  <c r="P2298"/>
  <c r="K2302"/>
  <c r="J3301"/>
  <c r="Q3301" s="1"/>
  <c r="K2306"/>
  <c r="P2306"/>
  <c r="K2311"/>
  <c r="J3310"/>
  <c r="Q3310" s="1"/>
  <c r="K2315"/>
  <c r="P2315"/>
  <c r="K2320"/>
  <c r="J3319"/>
  <c r="Q3319" s="1"/>
  <c r="K2324"/>
  <c r="P2324"/>
  <c r="K2328"/>
  <c r="J3327"/>
  <c r="Q3327" s="1"/>
  <c r="K2333"/>
  <c r="P2333"/>
  <c r="K2337"/>
  <c r="J3336"/>
  <c r="Q3336" s="1"/>
  <c r="K2342"/>
  <c r="P2342"/>
  <c r="K2346"/>
  <c r="J3345"/>
  <c r="Q3345" s="1"/>
  <c r="K2350"/>
  <c r="P2350"/>
  <c r="K2355"/>
  <c r="J3354"/>
  <c r="Q3354" s="1"/>
  <c r="K2359"/>
  <c r="P2359"/>
  <c r="K2364"/>
  <c r="J3363"/>
  <c r="Q3363" s="1"/>
  <c r="K2368"/>
  <c r="P2368"/>
  <c r="K2372"/>
  <c r="J3371"/>
  <c r="Q3371" s="1"/>
  <c r="K2377"/>
  <c r="P2377"/>
  <c r="K2381"/>
  <c r="J3380"/>
  <c r="Q3380" s="1"/>
  <c r="K2386"/>
  <c r="P2386"/>
  <c r="K2390"/>
  <c r="J3389"/>
  <c r="Q3389" s="1"/>
  <c r="K2394"/>
  <c r="P2394"/>
  <c r="K2399"/>
  <c r="J3398"/>
  <c r="Q3398" s="1"/>
  <c r="K2403"/>
  <c r="P2403"/>
  <c r="K2408"/>
  <c r="J3407"/>
  <c r="Q3407" s="1"/>
  <c r="K2412"/>
  <c r="P2412"/>
  <c r="K2416"/>
  <c r="J3415"/>
  <c r="Q3415" s="1"/>
  <c r="L2183"/>
  <c r="Q2183"/>
  <c r="L2199"/>
  <c r="Q2199"/>
  <c r="L2216"/>
  <c r="Q2216"/>
  <c r="L2234"/>
  <c r="Q2234"/>
  <c r="L2251"/>
  <c r="Q2251"/>
  <c r="L2269"/>
  <c r="Q2269"/>
  <c r="L2289"/>
  <c r="Q2289"/>
  <c r="L2194"/>
  <c r="Q2194"/>
  <c r="L2229"/>
  <c r="Q2229"/>
  <c r="L2265"/>
  <c r="Q2265"/>
  <c r="L2287"/>
  <c r="I3286"/>
  <c r="P3286" s="1"/>
  <c r="L2203"/>
  <c r="Q2203"/>
  <c r="L2273"/>
  <c r="Q2273"/>
  <c r="L2221"/>
  <c r="Q2221"/>
  <c r="L2010"/>
  <c r="Q2010"/>
  <c r="L2019"/>
  <c r="Q2019"/>
  <c r="H2109"/>
  <c r="O2109"/>
  <c r="K2294"/>
  <c r="J3293"/>
  <c r="Q3293" s="1"/>
  <c r="K2299"/>
  <c r="J3298"/>
  <c r="Q3298" s="1"/>
  <c r="K2303"/>
  <c r="J3302"/>
  <c r="Q3302" s="1"/>
  <c r="K2307"/>
  <c r="J3306"/>
  <c r="Q3306" s="1"/>
  <c r="K2312"/>
  <c r="J3311"/>
  <c r="Q3311" s="1"/>
  <c r="K2316"/>
  <c r="J3315"/>
  <c r="Q3315" s="1"/>
  <c r="K2321"/>
  <c r="J3320"/>
  <c r="Q3320" s="1"/>
  <c r="K2325"/>
  <c r="J3324"/>
  <c r="Q3324" s="1"/>
  <c r="K2329"/>
  <c r="J3328"/>
  <c r="Q3328" s="1"/>
  <c r="K2334"/>
  <c r="J3333"/>
  <c r="Q3333" s="1"/>
  <c r="K2338"/>
  <c r="J3337"/>
  <c r="Q3337" s="1"/>
  <c r="K2343"/>
  <c r="J3342"/>
  <c r="Q3342" s="1"/>
  <c r="K2347"/>
  <c r="J3346"/>
  <c r="Q3346" s="1"/>
  <c r="K2351"/>
  <c r="J3350"/>
  <c r="Q3350" s="1"/>
  <c r="K2356"/>
  <c r="J3355"/>
  <c r="Q3355" s="1"/>
  <c r="K2360"/>
  <c r="J3359"/>
  <c r="Q3359" s="1"/>
  <c r="K2365"/>
  <c r="J3364"/>
  <c r="Q3364" s="1"/>
  <c r="K2369"/>
  <c r="J3368"/>
  <c r="Q3368" s="1"/>
  <c r="K2373"/>
  <c r="J3372"/>
  <c r="Q3372" s="1"/>
  <c r="K2378"/>
  <c r="J3377"/>
  <c r="Q3377" s="1"/>
  <c r="K2382"/>
  <c r="J3381"/>
  <c r="Q3381" s="1"/>
  <c r="K2387"/>
  <c r="J3386"/>
  <c r="Q3386" s="1"/>
  <c r="K2391"/>
  <c r="J3390"/>
  <c r="Q3390" s="1"/>
  <c r="K2395"/>
  <c r="J3394"/>
  <c r="Q3394" s="1"/>
  <c r="K2400"/>
  <c r="J3399"/>
  <c r="Q3399" s="1"/>
  <c r="K2404"/>
  <c r="J3403"/>
  <c r="Q3403" s="1"/>
  <c r="K2409"/>
  <c r="J3408"/>
  <c r="Q3408" s="1"/>
  <c r="O2005"/>
  <c r="H2005"/>
  <c r="O2008"/>
  <c r="G2008"/>
  <c r="O2010"/>
  <c r="H2010"/>
  <c r="L2024"/>
  <c r="I3023"/>
  <c r="L2028"/>
  <c r="I3027"/>
  <c r="L2032"/>
  <c r="I3031"/>
  <c r="L2037"/>
  <c r="I3036"/>
  <c r="L2041"/>
  <c r="I3040"/>
  <c r="L2046"/>
  <c r="I3045"/>
  <c r="L2050"/>
  <c r="I3049"/>
  <c r="L2054"/>
  <c r="I3053"/>
  <c r="P3053" s="1"/>
  <c r="L2059"/>
  <c r="I3058"/>
  <c r="L2063"/>
  <c r="I3062"/>
  <c r="P3062" s="1"/>
  <c r="L2068"/>
  <c r="I3067"/>
  <c r="L2072"/>
  <c r="I3071"/>
  <c r="P3071" s="1"/>
  <c r="L2076"/>
  <c r="I3075"/>
  <c r="L2081"/>
  <c r="I3080"/>
  <c r="P3080" s="1"/>
  <c r="L2085"/>
  <c r="I3084"/>
  <c r="L2090"/>
  <c r="I3089"/>
  <c r="P3089" s="1"/>
  <c r="L2094"/>
  <c r="I3093"/>
  <c r="L2098"/>
  <c r="I3097"/>
  <c r="P3097" s="1"/>
  <c r="L2103"/>
  <c r="I3102"/>
  <c r="L2107"/>
  <c r="I3106"/>
  <c r="P3106" s="1"/>
  <c r="L2112"/>
  <c r="I3111"/>
  <c r="L2116"/>
  <c r="I3115"/>
  <c r="P3115" s="1"/>
  <c r="L2120"/>
  <c r="I3119"/>
  <c r="L2125"/>
  <c r="I3124"/>
  <c r="P3124" s="1"/>
  <c r="L2127"/>
  <c r="Q2127"/>
  <c r="L2131"/>
  <c r="Q2131"/>
  <c r="L2136"/>
  <c r="Q2136"/>
  <c r="L2147"/>
  <c r="Q2147"/>
  <c r="L2149"/>
  <c r="Q2149"/>
  <c r="L2151"/>
  <c r="Q2151"/>
  <c r="L2153"/>
  <c r="Q2153"/>
  <c r="L2156"/>
  <c r="Q2156"/>
  <c r="L2158"/>
  <c r="Q2158"/>
  <c r="L2160"/>
  <c r="Q2160"/>
  <c r="L2162"/>
  <c r="Q2162"/>
  <c r="L2164"/>
  <c r="Q2164"/>
  <c r="L2167"/>
  <c r="Q2167"/>
  <c r="L2169"/>
  <c r="Q2169"/>
  <c r="L2171"/>
  <c r="Q2171"/>
  <c r="L2173"/>
  <c r="Q2173"/>
  <c r="L2175"/>
  <c r="Q2175"/>
  <c r="L2178"/>
  <c r="Q2178"/>
  <c r="L2180"/>
  <c r="Q2180"/>
  <c r="L2182"/>
  <c r="Q2182"/>
  <c r="L2184"/>
  <c r="Q2184"/>
  <c r="K2186"/>
  <c r="P2186"/>
  <c r="K2189"/>
  <c r="P2189"/>
  <c r="K2191"/>
  <c r="P2191"/>
  <c r="K2193"/>
  <c r="P2193"/>
  <c r="K2195"/>
  <c r="P2195"/>
  <c r="K2197"/>
  <c r="P2197"/>
  <c r="K2200"/>
  <c r="P2200"/>
  <c r="K2202"/>
  <c r="P2202"/>
  <c r="K2204"/>
  <c r="P2204"/>
  <c r="K2206"/>
  <c r="P2206"/>
  <c r="K2208"/>
  <c r="P2208"/>
  <c r="K2211"/>
  <c r="P2211"/>
  <c r="K2213"/>
  <c r="P2213"/>
  <c r="K2215"/>
  <c r="P2215"/>
  <c r="K2217"/>
  <c r="P2217"/>
  <c r="K2219"/>
  <c r="P2219"/>
  <c r="K2222"/>
  <c r="P2222"/>
  <c r="K2224"/>
  <c r="P2224"/>
  <c r="K2226"/>
  <c r="P2226"/>
  <c r="K2228"/>
  <c r="P2228"/>
  <c r="K2230"/>
  <c r="P2230"/>
  <c r="K2233"/>
  <c r="P2233"/>
  <c r="K2235"/>
  <c r="P2235"/>
  <c r="K2237"/>
  <c r="P2237"/>
  <c r="K2239"/>
  <c r="P2239"/>
  <c r="K2241"/>
  <c r="P2241"/>
  <c r="K2244"/>
  <c r="P2244"/>
  <c r="K2246"/>
  <c r="P2246"/>
  <c r="K2248"/>
  <c r="P2248"/>
  <c r="K2250"/>
  <c r="P2250"/>
  <c r="K2252"/>
  <c r="P2252"/>
  <c r="K2255"/>
  <c r="P2255"/>
  <c r="K2257"/>
  <c r="P2257"/>
  <c r="K2259"/>
  <c r="P2259"/>
  <c r="K2261"/>
  <c r="P2261"/>
  <c r="K2263"/>
  <c r="P2263"/>
  <c r="K2266"/>
  <c r="P2266"/>
  <c r="K2268"/>
  <c r="P2268"/>
  <c r="K2270"/>
  <c r="P2270"/>
  <c r="K2272"/>
  <c r="P2272"/>
  <c r="K2274"/>
  <c r="P2274"/>
  <c r="K2277"/>
  <c r="P2277"/>
  <c r="K2279"/>
  <c r="P2279"/>
  <c r="K2281"/>
  <c r="P2281"/>
  <c r="K2283"/>
  <c r="P2283"/>
  <c r="K2285"/>
  <c r="J3284"/>
  <c r="Q3284" s="1"/>
  <c r="L2294"/>
  <c r="I3293"/>
  <c r="P3293" s="1"/>
  <c r="L2299"/>
  <c r="Q2299"/>
  <c r="L2303"/>
  <c r="I3302"/>
  <c r="P3302" s="1"/>
  <c r="L2307"/>
  <c r="Q2307"/>
  <c r="L2312"/>
  <c r="I3311"/>
  <c r="P3311" s="1"/>
  <c r="L2316"/>
  <c r="Q2316"/>
  <c r="L2321"/>
  <c r="I3320"/>
  <c r="P3320" s="1"/>
  <c r="L2325"/>
  <c r="Q2325"/>
  <c r="L2329"/>
  <c r="I3328"/>
  <c r="P3328" s="1"/>
  <c r="L2334"/>
  <c r="Q2334"/>
  <c r="L2338"/>
  <c r="I3337"/>
  <c r="P3337" s="1"/>
  <c r="L2343"/>
  <c r="Q2343"/>
  <c r="L2347"/>
  <c r="I3346"/>
  <c r="P3346" s="1"/>
  <c r="L2351"/>
  <c r="Q2351"/>
  <c r="L2356"/>
  <c r="I3355"/>
  <c r="P3355" s="1"/>
  <c r="L2360"/>
  <c r="Q2360"/>
  <c r="L2365"/>
  <c r="I3364"/>
  <c r="P3364" s="1"/>
  <c r="L2369"/>
  <c r="Q2369"/>
  <c r="L2373"/>
  <c r="I3372"/>
  <c r="P3372" s="1"/>
  <c r="L2378"/>
  <c r="Q2378"/>
  <c r="L2382"/>
  <c r="I3381"/>
  <c r="P3381" s="1"/>
  <c r="L2387"/>
  <c r="Q2387"/>
  <c r="L2391"/>
  <c r="I3390"/>
  <c r="P3390" s="1"/>
  <c r="L2395"/>
  <c r="Q2395"/>
  <c r="L2400"/>
  <c r="I3399"/>
  <c r="P3399" s="1"/>
  <c r="L2404"/>
  <c r="Q2404"/>
  <c r="L2409"/>
  <c r="I3408"/>
  <c r="P3408" s="1"/>
  <c r="K2413"/>
  <c r="J3412"/>
  <c r="Q3412" s="1"/>
  <c r="K2417"/>
  <c r="J3416"/>
  <c r="Q3416" s="1"/>
  <c r="P2002"/>
  <c r="Q2020"/>
  <c r="P2038"/>
  <c r="O2192"/>
  <c r="O2201"/>
  <c r="O2210"/>
  <c r="O2218"/>
  <c r="O2227"/>
  <c r="O2236"/>
  <c r="H3014"/>
  <c r="L3018"/>
  <c r="F3018"/>
  <c r="Q2015"/>
  <c r="P2015"/>
  <c r="P2019"/>
  <c r="H3003"/>
  <c r="H3002"/>
  <c r="P2004"/>
  <c r="Q2003"/>
  <c r="G2003"/>
  <c r="H3001"/>
  <c r="F2001"/>
  <c r="F3001"/>
  <c r="P3201"/>
  <c r="P3254"/>
  <c r="K3254"/>
  <c r="Q3064"/>
  <c r="L3064"/>
  <c r="Q3170"/>
  <c r="L3170"/>
  <c r="Q3348"/>
  <c r="L3348"/>
  <c r="Q2177"/>
  <c r="P2278"/>
  <c r="P2287"/>
  <c r="Q2291"/>
  <c r="P2295"/>
  <c r="P2300"/>
  <c r="P2304"/>
  <c r="P2309"/>
  <c r="P2313"/>
  <c r="P2317"/>
  <c r="P2322"/>
  <c r="P2326"/>
  <c r="P2331"/>
  <c r="P2335"/>
  <c r="P2339"/>
  <c r="P2344"/>
  <c r="P2348"/>
  <c r="P2353"/>
  <c r="P2357"/>
  <c r="P2361"/>
  <c r="P2366"/>
  <c r="P2370"/>
  <c r="P2375"/>
  <c r="P2379"/>
  <c r="P2383"/>
  <c r="P2388"/>
  <c r="P2392"/>
  <c r="P2397"/>
  <c r="P2401"/>
  <c r="P2405"/>
  <c r="P2410"/>
  <c r="P2414"/>
  <c r="F2018"/>
  <c r="F2025"/>
  <c r="F2034"/>
  <c r="F2038"/>
  <c r="F2042"/>
  <c r="F2051"/>
  <c r="G2046"/>
  <c r="G2050"/>
  <c r="G2054"/>
  <c r="G2058"/>
  <c r="G2062"/>
  <c r="G2069"/>
  <c r="G2073"/>
  <c r="G2080"/>
  <c r="G2084"/>
  <c r="G2089"/>
  <c r="G2093"/>
  <c r="G2097"/>
  <c r="G2102"/>
  <c r="G2106"/>
  <c r="G2111"/>
  <c r="G2115"/>
  <c r="G2119"/>
  <c r="G2124"/>
  <c r="G2090"/>
  <c r="G2094"/>
  <c r="G2098"/>
  <c r="G2103"/>
  <c r="G2107"/>
  <c r="G2112"/>
  <c r="G2116"/>
  <c r="G2120"/>
  <c r="G2125"/>
  <c r="G2128"/>
  <c r="G2133"/>
  <c r="G2137"/>
  <c r="G2139"/>
  <c r="G2141"/>
  <c r="G2144"/>
  <c r="G2146"/>
  <c r="G2148"/>
  <c r="G2150"/>
  <c r="G2152"/>
  <c r="G2155"/>
  <c r="G2157"/>
  <c r="G2159"/>
  <c r="G2161"/>
  <c r="G2163"/>
  <c r="G2166"/>
  <c r="G2168"/>
  <c r="G2170"/>
  <c r="G2172"/>
  <c r="G2174"/>
  <c r="F2298"/>
  <c r="F2300"/>
  <c r="G2304"/>
  <c r="G2306"/>
  <c r="G2313"/>
  <c r="G2315"/>
  <c r="G2317"/>
  <c r="G2324"/>
  <c r="F2333"/>
  <c r="F2335"/>
  <c r="F2342"/>
  <c r="F2348"/>
  <c r="F2350"/>
  <c r="H2018"/>
  <c r="H2025"/>
  <c r="F2027"/>
  <c r="H2029"/>
  <c r="F2031"/>
  <c r="H2034"/>
  <c r="H2042"/>
  <c r="G2037"/>
  <c r="G2041"/>
  <c r="H2050"/>
  <c r="G2004"/>
  <c r="H2016"/>
  <c r="G2036"/>
  <c r="G2040"/>
  <c r="H2053"/>
  <c r="H2067"/>
  <c r="H2082"/>
  <c r="H2100"/>
  <c r="H2117"/>
  <c r="H2063"/>
  <c r="H2081"/>
  <c r="H2135"/>
  <c r="H2145"/>
  <c r="H2153"/>
  <c r="H2162"/>
  <c r="H2171"/>
  <c r="F2284"/>
  <c r="H2306"/>
  <c r="H2324"/>
  <c r="H2342"/>
  <c r="F2383"/>
  <c r="G2049"/>
  <c r="G2051"/>
  <c r="O2060"/>
  <c r="O2075"/>
  <c r="O2091"/>
  <c r="O2108"/>
  <c r="O2072"/>
  <c r="O2126"/>
  <c r="O2140"/>
  <c r="O2149"/>
  <c r="O2158"/>
  <c r="O2167"/>
  <c r="O2175"/>
  <c r="F2009"/>
  <c r="F2016"/>
  <c r="F2045"/>
  <c r="F2056"/>
  <c r="F2071"/>
  <c r="F2086"/>
  <c r="F2104"/>
  <c r="F2122"/>
  <c r="H2103"/>
  <c r="H2120"/>
  <c r="H2137"/>
  <c r="H2146"/>
  <c r="H2155"/>
  <c r="H2163"/>
  <c r="H2172"/>
  <c r="H2180"/>
  <c r="G2357"/>
  <c r="G2359"/>
  <c r="G2377"/>
  <c r="G2394"/>
  <c r="H2412"/>
  <c r="G2071"/>
  <c r="F2078"/>
  <c r="G2104"/>
  <c r="H2111"/>
  <c r="F2024"/>
  <c r="F2032"/>
  <c r="H2085"/>
  <c r="H2128"/>
  <c r="G2149"/>
  <c r="H2168"/>
  <c r="H2284"/>
  <c r="H2300"/>
  <c r="H2317"/>
  <c r="H2335"/>
  <c r="F2353"/>
  <c r="H2383"/>
  <c r="H2386"/>
  <c r="H2056"/>
  <c r="G2060"/>
  <c r="F2064"/>
  <c r="G2113"/>
  <c r="G2122"/>
  <c r="G2024"/>
  <c r="G2028"/>
  <c r="G2032"/>
  <c r="H2112"/>
  <c r="G2158"/>
  <c r="H2388"/>
  <c r="H2403"/>
  <c r="H2064"/>
  <c r="H2078"/>
  <c r="H2086"/>
  <c r="G2091"/>
  <c r="F2095"/>
  <c r="G2130"/>
  <c r="H2141"/>
  <c r="G2405"/>
  <c r="G2095"/>
  <c r="G2059"/>
  <c r="G2068"/>
  <c r="G2353"/>
  <c r="G2368"/>
  <c r="F2370"/>
  <c r="G2076"/>
  <c r="H2370"/>
  <c r="K3236"/>
  <c r="K3271"/>
  <c r="L3313"/>
  <c r="L3383"/>
  <c r="G2006"/>
  <c r="H2006"/>
  <c r="G2014"/>
  <c r="G2018"/>
  <c r="H2014"/>
  <c r="F2023"/>
  <c r="H2004"/>
  <c r="H2009"/>
  <c r="G2012"/>
  <c r="G2016"/>
  <c r="G2009"/>
  <c r="K3132"/>
  <c r="K3138"/>
  <c r="K3143"/>
  <c r="K3147"/>
  <c r="K3151"/>
  <c r="K3156"/>
  <c r="K3160"/>
  <c r="K3165"/>
  <c r="K3169"/>
  <c r="K3173"/>
  <c r="K3178"/>
  <c r="K3182"/>
  <c r="L3189"/>
  <c r="L3193"/>
  <c r="L3198"/>
  <c r="L3290"/>
  <c r="L3299"/>
  <c r="L3308"/>
  <c r="L3316"/>
  <c r="L3325"/>
  <c r="L3334"/>
  <c r="L3343"/>
  <c r="L3352"/>
  <c r="L3360"/>
  <c r="L3369"/>
  <c r="L3378"/>
  <c r="L3387"/>
  <c r="L3396"/>
  <c r="L3404"/>
  <c r="L3413"/>
  <c r="K3028"/>
  <c r="K3037"/>
  <c r="K3046"/>
  <c r="K3121"/>
  <c r="L3082"/>
  <c r="L3117"/>
  <c r="L3144"/>
  <c r="L3161"/>
  <c r="L3179"/>
  <c r="K3210"/>
  <c r="K3227"/>
  <c r="K3245"/>
  <c r="K3262"/>
  <c r="K3280"/>
  <c r="L3295"/>
  <c r="L3331"/>
  <c r="L3366"/>
  <c r="L3401"/>
  <c r="O2186"/>
  <c r="F2186"/>
  <c r="J3001"/>
  <c r="J3005"/>
  <c r="I3011"/>
  <c r="I3015"/>
  <c r="I3019"/>
  <c r="J3024"/>
  <c r="J3028"/>
  <c r="J3033"/>
  <c r="J3037"/>
  <c r="J3041"/>
  <c r="J3046"/>
  <c r="DQ20" s="1"/>
  <c r="DR20" s="1"/>
  <c r="J3050"/>
  <c r="J3052"/>
  <c r="J3057"/>
  <c r="J3061"/>
  <c r="J3066"/>
  <c r="J3070"/>
  <c r="J3074"/>
  <c r="J3079"/>
  <c r="J3083"/>
  <c r="J3088"/>
  <c r="J3092"/>
  <c r="J3096"/>
  <c r="J3101"/>
  <c r="J3105"/>
  <c r="J3110"/>
  <c r="J3114"/>
  <c r="J3118"/>
  <c r="J3123"/>
  <c r="P2289"/>
  <c r="P2291"/>
  <c r="F2188"/>
  <c r="F2190"/>
  <c r="F2192"/>
  <c r="F2194"/>
  <c r="F2196"/>
  <c r="F2199"/>
  <c r="F2201"/>
  <c r="F2203"/>
  <c r="F2205"/>
  <c r="F2207"/>
  <c r="F2210"/>
  <c r="F2212"/>
  <c r="F2214"/>
  <c r="F2216"/>
  <c r="F2218"/>
  <c r="F2221"/>
  <c r="F2223"/>
  <c r="F2225"/>
  <c r="F2227"/>
  <c r="F2229"/>
  <c r="F2232"/>
  <c r="F2234"/>
  <c r="F2236"/>
  <c r="F2238"/>
  <c r="F2240"/>
  <c r="F2243"/>
  <c r="F2245"/>
  <c r="F2247"/>
  <c r="F2249"/>
  <c r="F2251"/>
  <c r="F2254"/>
  <c r="F2256"/>
  <c r="F2258"/>
  <c r="F2260"/>
  <c r="F2262"/>
  <c r="G2293"/>
  <c r="G2295"/>
  <c r="G2302"/>
  <c r="G2309"/>
  <c r="G2311"/>
  <c r="G2320"/>
  <c r="G2322"/>
  <c r="G2326"/>
  <c r="G2328"/>
  <c r="G2331"/>
  <c r="G2337"/>
  <c r="G2339"/>
  <c r="G2344"/>
  <c r="G2346"/>
  <c r="H2003"/>
  <c r="H2179"/>
  <c r="H2247"/>
  <c r="H2251"/>
  <c r="H2256"/>
  <c r="H2260"/>
  <c r="G2265"/>
  <c r="F2267"/>
  <c r="G2269"/>
  <c r="F2271"/>
  <c r="G2282"/>
  <c r="H2293"/>
  <c r="H2302"/>
  <c r="H2311"/>
  <c r="H2320"/>
  <c r="H2328"/>
  <c r="H2337"/>
  <c r="H2346"/>
  <c r="H2355"/>
  <c r="H2364"/>
  <c r="H2372"/>
  <c r="H2381"/>
  <c r="H2390"/>
  <c r="H2399"/>
  <c r="H2408"/>
  <c r="H2416"/>
  <c r="F2183"/>
  <c r="F2181"/>
  <c r="H2265"/>
  <c r="H2282"/>
  <c r="F2361"/>
  <c r="G2375"/>
  <c r="F2379"/>
  <c r="G2392"/>
  <c r="F2397"/>
  <c r="F2414"/>
  <c r="H2181"/>
  <c r="G2183"/>
  <c r="F2185"/>
  <c r="H2379"/>
  <c r="H2414"/>
  <c r="H2185"/>
  <c r="H2309"/>
  <c r="H2344"/>
  <c r="H2397"/>
  <c r="H2401"/>
  <c r="G2361"/>
  <c r="G2366"/>
  <c r="F2177"/>
  <c r="L3056"/>
  <c r="L3073"/>
  <c r="L3091"/>
  <c r="L3108"/>
  <c r="L3139"/>
  <c r="L3148"/>
  <c r="L3157"/>
  <c r="L3166"/>
  <c r="L3174"/>
  <c r="L3183"/>
  <c r="K3188"/>
  <c r="K3205"/>
  <c r="K3214"/>
  <c r="K3223"/>
  <c r="K3232"/>
  <c r="K3240"/>
  <c r="K3249"/>
  <c r="K3258"/>
  <c r="K3267"/>
  <c r="K3276"/>
  <c r="L3304"/>
  <c r="L3322"/>
  <c r="L3339"/>
  <c r="L3357"/>
  <c r="L3375"/>
  <c r="L3392"/>
  <c r="L3410"/>
  <c r="L3051"/>
  <c r="L3060"/>
  <c r="L3069"/>
  <c r="L3078"/>
  <c r="L3086"/>
  <c r="L3095"/>
  <c r="L3104"/>
  <c r="L3113"/>
  <c r="L3122"/>
  <c r="L3137"/>
  <c r="L3141"/>
  <c r="L3146"/>
  <c r="L3150"/>
  <c r="L3155"/>
  <c r="L3159"/>
  <c r="L3163"/>
  <c r="L3168"/>
  <c r="L3172"/>
  <c r="L3177"/>
  <c r="L3181"/>
  <c r="L3185"/>
  <c r="K3190"/>
  <c r="K3199"/>
  <c r="K3207"/>
  <c r="K3212"/>
  <c r="K3216"/>
  <c r="K3221"/>
  <c r="K3225"/>
  <c r="K3229"/>
  <c r="K3234"/>
  <c r="K3238"/>
  <c r="K3243"/>
  <c r="K3247"/>
  <c r="K3251"/>
  <c r="K3256"/>
  <c r="K3260"/>
  <c r="K3265"/>
  <c r="K3269"/>
  <c r="K3273"/>
  <c r="K3278"/>
  <c r="K3282"/>
  <c r="L3291"/>
  <c r="L3300"/>
  <c r="L3309"/>
  <c r="L3317"/>
  <c r="L3326"/>
  <c r="L3335"/>
  <c r="L3344"/>
  <c r="L3353"/>
  <c r="L3361"/>
  <c r="L3370"/>
  <c r="L3379"/>
  <c r="L3388"/>
  <c r="L3397"/>
  <c r="L3405"/>
  <c r="L3414"/>
  <c r="F2002"/>
  <c r="G2002"/>
  <c r="L3008"/>
  <c r="K3008"/>
  <c r="L3022"/>
  <c r="K3022"/>
  <c r="L3026"/>
  <c r="K3026"/>
  <c r="L3030"/>
  <c r="K3030"/>
  <c r="L3035"/>
  <c r="K3035"/>
  <c r="L3039"/>
  <c r="K3039"/>
  <c r="L3044"/>
  <c r="K3044"/>
  <c r="L3048"/>
  <c r="K3048"/>
  <c r="K3052"/>
  <c r="K3057"/>
  <c r="K3061"/>
  <c r="K3066"/>
  <c r="K3070"/>
  <c r="K3074"/>
  <c r="K3079"/>
  <c r="K3083"/>
  <c r="K3088"/>
  <c r="K3092"/>
  <c r="K3096"/>
  <c r="K3101"/>
  <c r="K3105"/>
  <c r="K3110"/>
  <c r="K3114"/>
  <c r="K3118"/>
  <c r="K3123"/>
  <c r="L3121"/>
  <c r="L3130"/>
  <c r="L3007"/>
  <c r="K3007"/>
  <c r="L3025"/>
  <c r="L3029"/>
  <c r="L3034"/>
  <c r="L3038"/>
  <c r="L3042"/>
  <c r="L3047"/>
  <c r="K3056"/>
  <c r="K3108"/>
  <c r="K3125"/>
  <c r="K3129"/>
  <c r="K3134"/>
  <c r="K3144"/>
  <c r="K3146"/>
  <c r="K3148"/>
  <c r="K3150"/>
  <c r="K3152"/>
  <c r="K3155"/>
  <c r="K3157"/>
  <c r="K3159"/>
  <c r="K3161"/>
  <c r="K3163"/>
  <c r="K3166"/>
  <c r="K3168"/>
  <c r="K3170"/>
  <c r="K3172"/>
  <c r="K3174"/>
  <c r="K3177"/>
  <c r="K3179"/>
  <c r="K3181"/>
  <c r="K3183"/>
  <c r="L3188"/>
  <c r="L3190"/>
  <c r="L3192"/>
  <c r="L3194"/>
  <c r="L3196"/>
  <c r="L3199"/>
  <c r="L3201"/>
  <c r="L3203"/>
  <c r="L3205"/>
  <c r="L3207"/>
  <c r="L3210"/>
  <c r="L3212"/>
  <c r="L3214"/>
  <c r="L3216"/>
  <c r="L3218"/>
  <c r="L3221"/>
  <c r="L3223"/>
  <c r="L3225"/>
  <c r="L3227"/>
  <c r="L3229"/>
  <c r="L3232"/>
  <c r="L3234"/>
  <c r="L3236"/>
  <c r="L3238"/>
  <c r="L3240"/>
  <c r="L3243"/>
  <c r="L3245"/>
  <c r="L3247"/>
  <c r="L3249"/>
  <c r="L3251"/>
  <c r="L3254"/>
  <c r="L3256"/>
  <c r="L3258"/>
  <c r="L3260"/>
  <c r="L3262"/>
  <c r="L3265"/>
  <c r="L3267"/>
  <c r="L3269"/>
  <c r="L3271"/>
  <c r="L3273"/>
  <c r="L3276"/>
  <c r="L3278"/>
  <c r="L3280"/>
  <c r="L3282"/>
  <c r="H2177"/>
  <c r="H2002"/>
  <c r="G2177"/>
  <c r="P2016"/>
  <c r="P2012"/>
  <c r="P2020"/>
  <c r="J3011"/>
  <c r="J3015"/>
  <c r="J3019"/>
  <c r="O2049"/>
  <c r="L3020"/>
  <c r="K3020"/>
  <c r="L3017"/>
  <c r="K3017"/>
  <c r="L3013"/>
  <c r="K3013"/>
  <c r="L3016"/>
  <c r="K3016"/>
  <c r="L3012"/>
  <c r="K3012"/>
  <c r="K3003"/>
  <c r="K3001"/>
  <c r="L3002"/>
  <c r="L3288"/>
  <c r="L3292"/>
  <c r="L3297"/>
  <c r="L3301"/>
  <c r="L3305"/>
  <c r="L3310"/>
  <c r="L3314"/>
  <c r="L3319"/>
  <c r="L3323"/>
  <c r="L3327"/>
  <c r="L3332"/>
  <c r="L3336"/>
  <c r="L3341"/>
  <c r="L3345"/>
  <c r="L3349"/>
  <c r="L3354"/>
  <c r="L3358"/>
  <c r="L3363"/>
  <c r="L3367"/>
  <c r="L3371"/>
  <c r="L3376"/>
  <c r="L3380"/>
  <c r="L3385"/>
  <c r="L3389"/>
  <c r="L3393"/>
  <c r="L3398"/>
  <c r="L3402"/>
  <c r="L3407"/>
  <c r="L3411"/>
  <c r="L3415"/>
  <c r="L3004"/>
  <c r="K3004"/>
  <c r="K3009"/>
  <c r="L3053"/>
  <c r="L3058"/>
  <c r="L3062"/>
  <c r="L3067"/>
  <c r="L3071"/>
  <c r="L3075"/>
  <c r="L3080"/>
  <c r="L3084"/>
  <c r="L3089"/>
  <c r="L3093"/>
  <c r="L3097"/>
  <c r="L3102"/>
  <c r="L3106"/>
  <c r="L3111"/>
  <c r="L3115"/>
  <c r="L3119"/>
  <c r="L3124"/>
  <c r="L3127"/>
  <c r="L3132"/>
  <c r="L3136"/>
  <c r="L3138"/>
  <c r="L3143"/>
  <c r="L3147"/>
  <c r="L3149"/>
  <c r="L3151"/>
  <c r="L3154"/>
  <c r="L3156"/>
  <c r="L3158"/>
  <c r="L3160"/>
  <c r="L3162"/>
  <c r="L3165"/>
  <c r="L3167"/>
  <c r="L3169"/>
  <c r="L3171"/>
  <c r="L3173"/>
  <c r="L3176"/>
  <c r="L3182"/>
  <c r="K3187"/>
  <c r="K3191"/>
  <c r="K3193"/>
  <c r="K3195"/>
  <c r="K3198"/>
  <c r="K3200"/>
  <c r="L3202"/>
  <c r="K3202"/>
  <c r="L3204"/>
  <c r="K3204"/>
  <c r="L3206"/>
  <c r="K3206"/>
  <c r="L3209"/>
  <c r="K3209"/>
  <c r="L3211"/>
  <c r="K3211"/>
  <c r="L3213"/>
  <c r="K3213"/>
  <c r="L3215"/>
  <c r="K3215"/>
  <c r="L3217"/>
  <c r="K3217"/>
  <c r="L3220"/>
  <c r="K3220"/>
  <c r="L3222"/>
  <c r="K3222"/>
  <c r="L3224"/>
  <c r="K3224"/>
  <c r="L3226"/>
  <c r="K3226"/>
  <c r="L3228"/>
  <c r="K3228"/>
  <c r="L3231"/>
  <c r="K3231"/>
  <c r="L3233"/>
  <c r="K3233"/>
  <c r="L3235"/>
  <c r="K3235"/>
  <c r="L3237"/>
  <c r="K3237"/>
  <c r="L3239"/>
  <c r="K3239"/>
  <c r="L3242"/>
  <c r="K3242"/>
  <c r="L3244"/>
  <c r="K3244"/>
  <c r="L3246"/>
  <c r="K3246"/>
  <c r="L3248"/>
  <c r="K3248"/>
  <c r="L3250"/>
  <c r="K3250"/>
  <c r="L3253"/>
  <c r="K3253"/>
  <c r="L3255"/>
  <c r="K3255"/>
  <c r="L3257"/>
  <c r="K3257"/>
  <c r="L3259"/>
  <c r="K3259"/>
  <c r="L3261"/>
  <c r="K3261"/>
  <c r="L3264"/>
  <c r="K3264"/>
  <c r="L3266"/>
  <c r="K3266"/>
  <c r="L3268"/>
  <c r="K3268"/>
  <c r="L3270"/>
  <c r="K3270"/>
  <c r="L3272"/>
  <c r="K3272"/>
  <c r="L3275"/>
  <c r="K3275"/>
  <c r="L3277"/>
  <c r="K3277"/>
  <c r="L3279"/>
  <c r="K3279"/>
  <c r="L3281"/>
  <c r="K3281"/>
  <c r="L3283"/>
  <c r="K3283"/>
  <c r="L3286"/>
  <c r="K3286"/>
  <c r="K3288"/>
  <c r="K3290"/>
  <c r="K3292"/>
  <c r="K3294"/>
  <c r="K3297"/>
  <c r="K3299"/>
  <c r="K3301"/>
  <c r="K3303"/>
  <c r="K3305"/>
  <c r="K3308"/>
  <c r="K3310"/>
  <c r="K3312"/>
  <c r="K3314"/>
  <c r="K3316"/>
  <c r="K3319"/>
  <c r="K3321"/>
  <c r="K3323"/>
  <c r="K3325"/>
  <c r="K3327"/>
  <c r="K3330"/>
  <c r="K3332"/>
  <c r="K3334"/>
  <c r="K3336"/>
  <c r="K3338"/>
  <c r="K3341"/>
  <c r="K3343"/>
  <c r="K3345"/>
  <c r="K3347"/>
  <c r="K3349"/>
  <c r="K3352"/>
  <c r="K3354"/>
  <c r="K3356"/>
  <c r="K3358"/>
  <c r="K3360"/>
  <c r="K3363"/>
  <c r="K3365"/>
  <c r="K3367"/>
  <c r="K3369"/>
  <c r="K3371"/>
  <c r="K3374"/>
  <c r="K3376"/>
  <c r="K3378"/>
  <c r="K3380"/>
  <c r="K3382"/>
  <c r="K3385"/>
  <c r="K3387"/>
  <c r="K3389"/>
  <c r="K3391"/>
  <c r="K3393"/>
  <c r="K3396"/>
  <c r="K3398"/>
  <c r="K3400"/>
  <c r="K3402"/>
  <c r="K3404"/>
  <c r="K3407"/>
  <c r="K3409"/>
  <c r="K3411"/>
  <c r="K3413"/>
  <c r="K3415"/>
  <c r="L3112"/>
  <c r="K3284"/>
  <c r="L3289"/>
  <c r="L3293"/>
  <c r="L3298"/>
  <c r="L3302"/>
  <c r="L3306"/>
  <c r="L3311"/>
  <c r="L3315"/>
  <c r="L3320"/>
  <c r="L3324"/>
  <c r="L3328"/>
  <c r="L3333"/>
  <c r="L3337"/>
  <c r="L3342"/>
  <c r="L3346"/>
  <c r="L3350"/>
  <c r="L3355"/>
  <c r="L3359"/>
  <c r="L3364"/>
  <c r="L3368"/>
  <c r="L3372"/>
  <c r="L3377"/>
  <c r="L3381"/>
  <c r="L3386"/>
  <c r="L3390"/>
  <c r="L3394"/>
  <c r="L3399"/>
  <c r="L3403"/>
  <c r="L3408"/>
  <c r="L3412"/>
  <c r="L3416"/>
  <c r="L3059"/>
  <c r="L3068"/>
  <c r="L3072"/>
  <c r="L3077"/>
  <c r="L3081"/>
  <c r="L3085"/>
  <c r="L3090"/>
  <c r="L3094"/>
  <c r="L3099"/>
  <c r="L3103"/>
  <c r="L3107"/>
  <c r="L3116"/>
  <c r="H3112"/>
  <c r="DM22" s="1"/>
  <c r="DN22" s="1"/>
  <c r="H3116"/>
  <c r="K3353"/>
  <c r="K3355"/>
  <c r="K3357"/>
  <c r="K3359"/>
  <c r="K3361"/>
  <c r="K3364"/>
  <c r="K3366"/>
  <c r="K3368"/>
  <c r="K3370"/>
  <c r="K3372"/>
  <c r="K3375"/>
  <c r="K3377"/>
  <c r="K3379"/>
  <c r="K3381"/>
  <c r="K3383"/>
  <c r="K3386"/>
  <c r="K3388"/>
  <c r="K3390"/>
  <c r="K3392"/>
  <c r="K3394"/>
  <c r="K3397"/>
  <c r="K3399"/>
  <c r="K3401"/>
  <c r="K3403"/>
  <c r="K3405"/>
  <c r="K3408"/>
  <c r="K3410"/>
  <c r="K3412"/>
  <c r="K3414"/>
  <c r="K3416"/>
  <c r="L3284"/>
  <c r="L3287"/>
  <c r="K3287"/>
  <c r="K3289"/>
  <c r="K3291"/>
  <c r="K3293"/>
  <c r="K3295"/>
  <c r="K3298"/>
  <c r="K3300"/>
  <c r="K3302"/>
  <c r="K3304"/>
  <c r="K3306"/>
  <c r="K3309"/>
  <c r="K3311"/>
  <c r="K3313"/>
  <c r="K3315"/>
  <c r="K3317"/>
  <c r="K3320"/>
  <c r="K3322"/>
  <c r="K3324"/>
  <c r="K3326"/>
  <c r="K3328"/>
  <c r="K3331"/>
  <c r="K3333"/>
  <c r="K3335"/>
  <c r="K3337"/>
  <c r="K3339"/>
  <c r="K3342"/>
  <c r="K3344"/>
  <c r="K3346"/>
  <c r="K3348"/>
  <c r="K3350"/>
  <c r="G2007"/>
  <c r="H2007"/>
  <c r="F2007"/>
  <c r="H3000"/>
  <c r="VF3"/>
  <c r="L3000"/>
  <c r="K3000"/>
  <c r="J3006"/>
  <c r="P2007"/>
  <c r="I3006"/>
  <c r="Q2007"/>
  <c r="G3006"/>
  <c r="AF13" s="1"/>
  <c r="D3006"/>
  <c r="F3006"/>
  <c r="H3006"/>
  <c r="V11"/>
  <c r="CR11" s="1"/>
  <c r="CS11" s="1"/>
  <c r="DD20"/>
  <c r="DE20" s="1"/>
  <c r="DF20"/>
  <c r="DG20" s="1"/>
  <c r="DD23"/>
  <c r="DE23" s="1"/>
  <c r="DF22"/>
  <c r="DG22" s="1"/>
  <c r="CR21"/>
  <c r="CS21" s="1"/>
  <c r="CR23"/>
  <c r="CS23" s="1"/>
  <c r="V6"/>
  <c r="CR6" s="1"/>
  <c r="CS6" s="1"/>
  <c r="CR16"/>
  <c r="CS16" s="1"/>
  <c r="V7"/>
  <c r="CR7" s="1"/>
  <c r="CS7" s="1"/>
  <c r="V10"/>
  <c r="CR10" s="1"/>
  <c r="CS10" s="1"/>
  <c r="V9"/>
  <c r="CR9" s="1"/>
  <c r="CS9" s="1"/>
  <c r="CV21"/>
  <c r="CW21" s="1"/>
  <c r="DQ23"/>
  <c r="DR23" s="1"/>
  <c r="V8"/>
  <c r="CR8" s="1"/>
  <c r="CS8" s="1"/>
  <c r="CR20"/>
  <c r="CS20" s="1"/>
  <c r="V4"/>
  <c r="CR4" s="1"/>
  <c r="CS4" s="1"/>
  <c r="CV20"/>
  <c r="CW20" s="1"/>
  <c r="CR22"/>
  <c r="CS22" s="1"/>
  <c r="CR14"/>
  <c r="CS14" s="1"/>
  <c r="AD7"/>
  <c r="DO20"/>
  <c r="DP20" s="1"/>
  <c r="F9"/>
  <c r="AJ11"/>
  <c r="DQ11" s="1"/>
  <c r="DR11" s="1"/>
  <c r="V5"/>
  <c r="CR5" s="1"/>
  <c r="CS5" s="1"/>
  <c r="CX12"/>
  <c r="CY12" s="1"/>
  <c r="AD6"/>
  <c r="CX23"/>
  <c r="CY23" s="1"/>
  <c r="AD4"/>
  <c r="AD8"/>
  <c r="CZ21"/>
  <c r="DA21" s="1"/>
  <c r="CZ13"/>
  <c r="DA13" s="1"/>
  <c r="AJ10"/>
  <c r="DQ10" s="1"/>
  <c r="DR10" s="1"/>
  <c r="AI6"/>
  <c r="DO6" s="1"/>
  <c r="DP6" s="1"/>
  <c r="W10"/>
  <c r="CX10" s="1"/>
  <c r="CY10" s="1"/>
  <c r="CX20"/>
  <c r="CY20" s="1"/>
  <c r="W7"/>
  <c r="CX7" s="1"/>
  <c r="CY7" s="1"/>
  <c r="CZ20"/>
  <c r="DA20" s="1"/>
  <c r="CZ23"/>
  <c r="DA23" s="1"/>
  <c r="X7"/>
  <c r="CZ7" s="1"/>
  <c r="DA7" s="1"/>
  <c r="CX13"/>
  <c r="CY13" s="1"/>
  <c r="K4"/>
  <c r="CX16"/>
  <c r="CY16" s="1"/>
  <c r="AD9"/>
  <c r="DO23"/>
  <c r="DP23" s="1"/>
  <c r="DO22"/>
  <c r="DP22" s="1"/>
  <c r="F8"/>
  <c r="F6"/>
  <c r="CX19"/>
  <c r="CY19" s="1"/>
  <c r="CR19"/>
  <c r="CS19" s="1"/>
  <c r="W8"/>
  <c r="CX8" s="1"/>
  <c r="CY8" s="1"/>
  <c r="CX17"/>
  <c r="CY17" s="1"/>
  <c r="CX21"/>
  <c r="CY21" s="1"/>
  <c r="AD5"/>
  <c r="CX14"/>
  <c r="CY14" s="1"/>
  <c r="W11"/>
  <c r="CX11" s="1"/>
  <c r="CY11" s="1"/>
  <c r="W6"/>
  <c r="CX6" s="1"/>
  <c r="CY6" s="1"/>
  <c r="W9"/>
  <c r="CX9" s="1"/>
  <c r="CY9" s="1"/>
  <c r="CZ12"/>
  <c r="DA12" s="1"/>
  <c r="X6"/>
  <c r="CZ6" s="1"/>
  <c r="DA6" s="1"/>
  <c r="X9"/>
  <c r="CZ9" s="1"/>
  <c r="DA9" s="1"/>
  <c r="F4"/>
  <c r="AD10"/>
  <c r="CX22"/>
  <c r="CY22" s="1"/>
  <c r="CZ14"/>
  <c r="DA14" s="1"/>
  <c r="CZ17"/>
  <c r="DA17" s="1"/>
  <c r="CZ22"/>
  <c r="DA22" s="1"/>
  <c r="X10"/>
  <c r="CZ10" s="1"/>
  <c r="DA10" s="1"/>
  <c r="W4"/>
  <c r="CX4" s="1"/>
  <c r="AJ8"/>
  <c r="DQ8" s="1"/>
  <c r="DR8" s="1"/>
  <c r="HJ12"/>
  <c r="AD11"/>
  <c r="HJ11" s="1"/>
  <c r="CZ16"/>
  <c r="DA16" s="1"/>
  <c r="X11"/>
  <c r="CZ11" s="1"/>
  <c r="DA11" s="1"/>
  <c r="X4"/>
  <c r="CZ4" s="1"/>
  <c r="X8"/>
  <c r="CZ8" s="1"/>
  <c r="DA8" s="1"/>
  <c r="W5"/>
  <c r="CX5" s="1"/>
  <c r="CY5" s="1"/>
  <c r="X5"/>
  <c r="CZ5" s="1"/>
  <c r="DA5" s="1"/>
  <c r="H9"/>
  <c r="F5"/>
  <c r="K10"/>
  <c r="F7"/>
  <c r="K8"/>
  <c r="F10"/>
  <c r="K7"/>
  <c r="L8"/>
  <c r="HM25"/>
  <c r="I36"/>
  <c r="J2" i="1" s="1"/>
  <c r="K11" i="2"/>
  <c r="L11"/>
  <c r="HO24"/>
  <c r="HO26"/>
  <c r="HO28"/>
  <c r="HO30"/>
  <c r="HO32"/>
  <c r="HO25"/>
  <c r="HO27"/>
  <c r="HO29"/>
  <c r="HO31"/>
  <c r="HO33"/>
  <c r="HL30"/>
  <c r="HK25"/>
  <c r="HN25"/>
  <c r="HN28"/>
  <c r="HN24"/>
  <c r="HM32"/>
  <c r="HM30"/>
  <c r="HM28"/>
  <c r="HM26"/>
  <c r="HM24"/>
  <c r="HK32"/>
  <c r="HK30"/>
  <c r="HK28"/>
  <c r="HK26"/>
  <c r="HK24"/>
  <c r="HL33"/>
  <c r="HL29"/>
  <c r="HL25"/>
  <c r="HL26"/>
  <c r="HL32"/>
  <c r="HN30"/>
  <c r="HN26"/>
  <c r="HL28"/>
  <c r="HN33"/>
  <c r="HN31"/>
  <c r="HN29"/>
  <c r="HN27"/>
  <c r="HM33"/>
  <c r="HM31"/>
  <c r="HM29"/>
  <c r="HM27"/>
  <c r="HK33"/>
  <c r="HK31"/>
  <c r="HK29"/>
  <c r="HK27"/>
  <c r="HL24"/>
  <c r="HL31"/>
  <c r="HL27"/>
  <c r="S4" l="1"/>
  <c r="CT4" s="1"/>
  <c r="T5"/>
  <c r="K3073"/>
  <c r="S6"/>
  <c r="CT6" s="1"/>
  <c r="CU6" s="1"/>
  <c r="AJ4"/>
  <c r="DQ4" s="1"/>
  <c r="H3107"/>
  <c r="K3014"/>
  <c r="K3139"/>
  <c r="K3117"/>
  <c r="K3091"/>
  <c r="K3064"/>
  <c r="K3047"/>
  <c r="K3042"/>
  <c r="K3038"/>
  <c r="K3034"/>
  <c r="K3029"/>
  <c r="K3025"/>
  <c r="L3135"/>
  <c r="L3126"/>
  <c r="K3133"/>
  <c r="K3062"/>
  <c r="U7"/>
  <c r="CV7" s="1"/>
  <c r="CW7" s="1"/>
  <c r="H3012"/>
  <c r="H3007"/>
  <c r="U8"/>
  <c r="CV8" s="1"/>
  <c r="CW8" s="1"/>
  <c r="P3218"/>
  <c r="K3218"/>
  <c r="S11"/>
  <c r="CT11" s="1"/>
  <c r="CU11" s="1"/>
  <c r="H3214"/>
  <c r="H3210"/>
  <c r="H3225"/>
  <c r="H3221"/>
  <c r="H3238"/>
  <c r="H3232"/>
  <c r="H3223"/>
  <c r="H3234"/>
  <c r="H3216"/>
  <c r="H3198"/>
  <c r="H3195"/>
  <c r="H3199"/>
  <c r="H3193"/>
  <c r="O3191"/>
  <c r="H3191"/>
  <c r="AI5"/>
  <c r="DO5" s="1"/>
  <c r="DP5" s="1"/>
  <c r="K6"/>
  <c r="L3178"/>
  <c r="K3203"/>
  <c r="K3194"/>
  <c r="K3185"/>
  <c r="K3196"/>
  <c r="AI16"/>
  <c r="K3192"/>
  <c r="O3171"/>
  <c r="H3171"/>
  <c r="K3189"/>
  <c r="L3184"/>
  <c r="L3180"/>
  <c r="H3188"/>
  <c r="H3160"/>
  <c r="H3183"/>
  <c r="H3181"/>
  <c r="H3179"/>
  <c r="H3177"/>
  <c r="H3174"/>
  <c r="H3172"/>
  <c r="H3170"/>
  <c r="H3168"/>
  <c r="H3166"/>
  <c r="H3163"/>
  <c r="H3161"/>
  <c r="H3159"/>
  <c r="H3157"/>
  <c r="H3155"/>
  <c r="H3185"/>
  <c r="H3173"/>
  <c r="H3156"/>
  <c r="H3176"/>
  <c r="H3169"/>
  <c r="K3176"/>
  <c r="L3014"/>
  <c r="K3141"/>
  <c r="K3137"/>
  <c r="K3122"/>
  <c r="K3113"/>
  <c r="K3100"/>
  <c r="K3082"/>
  <c r="K3069"/>
  <c r="K3060"/>
  <c r="K3051"/>
  <c r="K3128"/>
  <c r="T10"/>
  <c r="U9"/>
  <c r="CV9" s="1"/>
  <c r="CW9" s="1"/>
  <c r="AB11"/>
  <c r="DF11" s="1"/>
  <c r="DG11" s="1"/>
  <c r="AF18"/>
  <c r="L3145"/>
  <c r="L3140"/>
  <c r="AJ5"/>
  <c r="DQ5" s="1"/>
  <c r="DR5" s="1"/>
  <c r="T8"/>
  <c r="AE16"/>
  <c r="AE19"/>
  <c r="T6"/>
  <c r="L3128"/>
  <c r="AB16"/>
  <c r="S10"/>
  <c r="CT10" s="1"/>
  <c r="CU10" s="1"/>
  <c r="AF15"/>
  <c r="AF12"/>
  <c r="AJ7"/>
  <c r="DQ7" s="1"/>
  <c r="DR7" s="1"/>
  <c r="K17"/>
  <c r="AI10"/>
  <c r="DO10" s="1"/>
  <c r="DP10" s="1"/>
  <c r="AI19"/>
  <c r="DO19" s="1"/>
  <c r="DP19" s="1"/>
  <c r="AI4"/>
  <c r="DO4" s="1"/>
  <c r="AE13"/>
  <c r="K13"/>
  <c r="K3104"/>
  <c r="K3095"/>
  <c r="K3086"/>
  <c r="K3078"/>
  <c r="H3090"/>
  <c r="H3096"/>
  <c r="J15"/>
  <c r="T4"/>
  <c r="S8"/>
  <c r="CT8" s="1"/>
  <c r="CU8" s="1"/>
  <c r="U11"/>
  <c r="CV11" s="1"/>
  <c r="CW11" s="1"/>
  <c r="S7"/>
  <c r="CT7" s="1"/>
  <c r="CU7" s="1"/>
  <c r="K14"/>
  <c r="AF14"/>
  <c r="K19"/>
  <c r="K9"/>
  <c r="L19"/>
  <c r="N19" s="1"/>
  <c r="L18"/>
  <c r="AF17"/>
  <c r="AI17"/>
  <c r="DO17" s="1"/>
  <c r="DP17" s="1"/>
  <c r="L4"/>
  <c r="AI11"/>
  <c r="DO11" s="1"/>
  <c r="DP11" s="1"/>
  <c r="L3063"/>
  <c r="L3055"/>
  <c r="AN17"/>
  <c r="AE12"/>
  <c r="AB13"/>
  <c r="AE18"/>
  <c r="H3041"/>
  <c r="AE14"/>
  <c r="AE17"/>
  <c r="AI14"/>
  <c r="DO14" s="1"/>
  <c r="DP14" s="1"/>
  <c r="AI12"/>
  <c r="DO12" s="1"/>
  <c r="DP12" s="1"/>
  <c r="K12"/>
  <c r="AM12"/>
  <c r="G12"/>
  <c r="DM21"/>
  <c r="DN21" s="1"/>
  <c r="O3006"/>
  <c r="AH13"/>
  <c r="S17"/>
  <c r="CT17" s="1"/>
  <c r="CU17" s="1"/>
  <c r="G17"/>
  <c r="H17"/>
  <c r="T17"/>
  <c r="U19"/>
  <c r="S19"/>
  <c r="G19"/>
  <c r="U14"/>
  <c r="Q3001"/>
  <c r="AJ16"/>
  <c r="AL16" s="1"/>
  <c r="L16"/>
  <c r="U18"/>
  <c r="U16"/>
  <c r="CV16" s="1"/>
  <c r="CW16" s="1"/>
  <c r="T12"/>
  <c r="H12"/>
  <c r="G14"/>
  <c r="S14"/>
  <c r="O3001"/>
  <c r="AH16"/>
  <c r="Q3020"/>
  <c r="AJ15"/>
  <c r="Q3016"/>
  <c r="AJ17"/>
  <c r="Q3026"/>
  <c r="AJ14"/>
  <c r="AL14" s="1"/>
  <c r="S15"/>
  <c r="CT15" s="1"/>
  <c r="CU15" s="1"/>
  <c r="G15"/>
  <c r="O3026"/>
  <c r="AH14"/>
  <c r="T16"/>
  <c r="H16"/>
  <c r="O3009"/>
  <c r="AH19"/>
  <c r="O3018"/>
  <c r="AH12"/>
  <c r="S13"/>
  <c r="CT13" s="1"/>
  <c r="CU13" s="1"/>
  <c r="G13"/>
  <c r="Y14"/>
  <c r="Z14"/>
  <c r="AA14"/>
  <c r="H13"/>
  <c r="T13"/>
  <c r="U12"/>
  <c r="CV12" s="1"/>
  <c r="CW12" s="1"/>
  <c r="Y18"/>
  <c r="Z18"/>
  <c r="AA19"/>
  <c r="Y17"/>
  <c r="Z17"/>
  <c r="L17"/>
  <c r="N17" s="1"/>
  <c r="J12"/>
  <c r="S12"/>
  <c r="CT12" s="1"/>
  <c r="J14"/>
  <c r="K15"/>
  <c r="K16"/>
  <c r="M19"/>
  <c r="P3006"/>
  <c r="AI13"/>
  <c r="Q3006"/>
  <c r="AJ13"/>
  <c r="AL13" s="1"/>
  <c r="L13"/>
  <c r="N13" s="1"/>
  <c r="U17"/>
  <c r="CV17" s="1"/>
  <c r="CW17" s="1"/>
  <c r="H19"/>
  <c r="T19"/>
  <c r="T18"/>
  <c r="H18"/>
  <c r="G18"/>
  <c r="S18"/>
  <c r="CT18" s="1"/>
  <c r="CU18" s="1"/>
  <c r="T14"/>
  <c r="H14"/>
  <c r="AB15"/>
  <c r="AB18"/>
  <c r="AB12"/>
  <c r="P3002"/>
  <c r="AI18"/>
  <c r="U13"/>
  <c r="CV13" s="1"/>
  <c r="CW13" s="1"/>
  <c r="U15"/>
  <c r="CV15" s="1"/>
  <c r="CW15" s="1"/>
  <c r="AA13"/>
  <c r="DD13" s="1"/>
  <c r="DE13" s="1"/>
  <c r="AA15"/>
  <c r="AB19"/>
  <c r="DF19" s="1"/>
  <c r="DG19" s="1"/>
  <c r="AA18"/>
  <c r="O3002"/>
  <c r="AH18"/>
  <c r="O3020"/>
  <c r="AH15"/>
  <c r="O3016"/>
  <c r="AH17"/>
  <c r="Q3009"/>
  <c r="AJ19"/>
  <c r="AL19" s="1"/>
  <c r="DS19" s="1"/>
  <c r="DT19" s="1"/>
  <c r="Q3018"/>
  <c r="AJ12"/>
  <c r="G16"/>
  <c r="S16"/>
  <c r="CT16" s="1"/>
  <c r="CU16" s="1"/>
  <c r="Q3002"/>
  <c r="AJ18"/>
  <c r="AL18" s="1"/>
  <c r="P17"/>
  <c r="AB17"/>
  <c r="DF17" s="1"/>
  <c r="DG17" s="1"/>
  <c r="H15"/>
  <c r="T15"/>
  <c r="AB14"/>
  <c r="DF14" s="1"/>
  <c r="DG14" s="1"/>
  <c r="Z12"/>
  <c r="Y12"/>
  <c r="AA12"/>
  <c r="DD12" s="1"/>
  <c r="DE12" s="1"/>
  <c r="O12"/>
  <c r="Y13"/>
  <c r="Z13"/>
  <c r="Y15"/>
  <c r="Z15"/>
  <c r="Y16"/>
  <c r="Z16"/>
  <c r="AA16"/>
  <c r="DD16" s="1"/>
  <c r="DE16" s="1"/>
  <c r="Y19"/>
  <c r="Z19"/>
  <c r="AK14"/>
  <c r="AA17"/>
  <c r="DD17" s="1"/>
  <c r="DE17" s="1"/>
  <c r="AF16"/>
  <c r="H3018"/>
  <c r="AE15"/>
  <c r="L15"/>
  <c r="AF19"/>
  <c r="J16"/>
  <c r="J18"/>
  <c r="J19"/>
  <c r="AQ19" s="1"/>
  <c r="AI15"/>
  <c r="AK15" s="1"/>
  <c r="AK17"/>
  <c r="J13"/>
  <c r="AQ13" s="1"/>
  <c r="L14"/>
  <c r="N14" s="1"/>
  <c r="J17"/>
  <c r="L12"/>
  <c r="N12" s="1"/>
  <c r="K18"/>
  <c r="M18" s="1"/>
  <c r="M17"/>
  <c r="AJ6"/>
  <c r="DQ6" s="1"/>
  <c r="DR6" s="1"/>
  <c r="DQ22"/>
  <c r="DR22" s="1"/>
  <c r="S9"/>
  <c r="CT9" s="1"/>
  <c r="CU9" s="1"/>
  <c r="CI20"/>
  <c r="CJ20" s="1"/>
  <c r="O3023"/>
  <c r="H3023"/>
  <c r="O3110"/>
  <c r="H3110"/>
  <c r="O3074"/>
  <c r="H3074"/>
  <c r="O3039"/>
  <c r="H3039"/>
  <c r="O3083"/>
  <c r="H3083"/>
  <c r="O3048"/>
  <c r="H3048"/>
  <c r="H3136"/>
  <c r="H3127"/>
  <c r="CT19"/>
  <c r="CU19" s="1"/>
  <c r="H3061"/>
  <c r="O3121"/>
  <c r="H3121"/>
  <c r="O3050"/>
  <c r="H3050"/>
  <c r="O3037"/>
  <c r="H3037"/>
  <c r="O3028"/>
  <c r="H3028"/>
  <c r="H3124"/>
  <c r="H3119"/>
  <c r="H3115"/>
  <c r="H3111"/>
  <c r="H3106"/>
  <c r="H3102"/>
  <c r="H3097"/>
  <c r="H3093"/>
  <c r="H3089"/>
  <c r="H3084"/>
  <c r="H3080"/>
  <c r="H3075"/>
  <c r="H3071"/>
  <c r="H3067"/>
  <c r="H3062"/>
  <c r="H3058"/>
  <c r="H3053"/>
  <c r="H3049"/>
  <c r="H3045"/>
  <c r="H3143"/>
  <c r="H3072"/>
  <c r="H3138"/>
  <c r="H3103"/>
  <c r="H3085"/>
  <c r="O3126"/>
  <c r="H3126"/>
  <c r="O3099"/>
  <c r="H3099"/>
  <c r="O3081"/>
  <c r="H3081"/>
  <c r="O3068"/>
  <c r="H3068"/>
  <c r="O3046"/>
  <c r="H3046"/>
  <c r="O3033"/>
  <c r="H3033"/>
  <c r="O3019"/>
  <c r="H3019"/>
  <c r="T11"/>
  <c r="AA5"/>
  <c r="DD5" s="1"/>
  <c r="DE5" s="1"/>
  <c r="AA8"/>
  <c r="DD8" s="1"/>
  <c r="DE8" s="1"/>
  <c r="H3145"/>
  <c r="K3002"/>
  <c r="U5"/>
  <c r="CV5" s="1"/>
  <c r="CW5" s="1"/>
  <c r="AA11"/>
  <c r="DD11" s="1"/>
  <c r="DE11" s="1"/>
  <c r="AA6"/>
  <c r="DD6" s="1"/>
  <c r="DE6" s="1"/>
  <c r="AB6"/>
  <c r="DF6" s="1"/>
  <c r="DG6" s="1"/>
  <c r="DQ16"/>
  <c r="DR16" s="1"/>
  <c r="CG22"/>
  <c r="CH22" s="1"/>
  <c r="K5"/>
  <c r="CG5" s="1"/>
  <c r="CH5" s="1"/>
  <c r="CV22"/>
  <c r="CW22" s="1"/>
  <c r="U10"/>
  <c r="CV10" s="1"/>
  <c r="CW10" s="1"/>
  <c r="S5"/>
  <c r="CT5" s="1"/>
  <c r="CU5" s="1"/>
  <c r="DQ19"/>
  <c r="DR19" s="1"/>
  <c r="AJ9"/>
  <c r="DQ9" s="1"/>
  <c r="DR9" s="1"/>
  <c r="T9"/>
  <c r="T7"/>
  <c r="U4"/>
  <c r="CV4" s="1"/>
  <c r="CV18"/>
  <c r="CW18" s="1"/>
  <c r="DD21"/>
  <c r="DE21" s="1"/>
  <c r="AB9"/>
  <c r="DF9" s="1"/>
  <c r="DG9" s="1"/>
  <c r="AB7"/>
  <c r="DF7" s="1"/>
  <c r="DG7" s="1"/>
  <c r="DF21"/>
  <c r="DG21" s="1"/>
  <c r="AA7"/>
  <c r="DD7" s="1"/>
  <c r="DE7" s="1"/>
  <c r="DD14"/>
  <c r="DE14" s="1"/>
  <c r="CT21"/>
  <c r="CU21" s="1"/>
  <c r="CT14"/>
  <c r="CU14" s="1"/>
  <c r="AB5"/>
  <c r="DF5" s="1"/>
  <c r="DG5" s="1"/>
  <c r="AB4"/>
  <c r="DF4" s="1"/>
  <c r="DG4" s="1"/>
  <c r="AB8"/>
  <c r="DF8" s="1"/>
  <c r="DG8" s="1"/>
  <c r="DF16"/>
  <c r="DG16" s="1"/>
  <c r="AB10"/>
  <c r="DF10" s="1"/>
  <c r="DG10" s="1"/>
  <c r="DF12"/>
  <c r="DG12" s="1"/>
  <c r="AA9"/>
  <c r="DD9" s="1"/>
  <c r="DE9" s="1"/>
  <c r="DD19"/>
  <c r="DE19" s="1"/>
  <c r="AA4"/>
  <c r="DD4" s="1"/>
  <c r="DE4" s="1"/>
  <c r="AA10"/>
  <c r="DD10" s="1"/>
  <c r="DE10" s="1"/>
  <c r="DF13"/>
  <c r="DG13" s="1"/>
  <c r="CV23"/>
  <c r="CW23" s="1"/>
  <c r="CT22"/>
  <c r="CU22" s="1"/>
  <c r="DF23"/>
  <c r="DG23" s="1"/>
  <c r="DD22"/>
  <c r="DE22" s="1"/>
  <c r="CT20"/>
  <c r="CU20" s="1"/>
  <c r="H3079"/>
  <c r="H3044"/>
  <c r="H3152"/>
  <c r="H3060"/>
  <c r="H3051"/>
  <c r="H3047"/>
  <c r="H3042"/>
  <c r="H3038"/>
  <c r="H3034"/>
  <c r="H3029"/>
  <c r="H3025"/>
  <c r="H3020"/>
  <c r="AG15" s="1"/>
  <c r="Q3133"/>
  <c r="L3133"/>
  <c r="H3095"/>
  <c r="H3091"/>
  <c r="H3086"/>
  <c r="H3082"/>
  <c r="H3078"/>
  <c r="H3073"/>
  <c r="H3069"/>
  <c r="H3064"/>
  <c r="H3056"/>
  <c r="U6"/>
  <c r="CV6" s="1"/>
  <c r="CW6" s="1"/>
  <c r="H3077"/>
  <c r="CT23"/>
  <c r="CU23" s="1"/>
  <c r="L3001"/>
  <c r="L3129"/>
  <c r="L3125"/>
  <c r="L10"/>
  <c r="M10" s="1"/>
  <c r="L9"/>
  <c r="CI9" s="1"/>
  <c r="CJ9" s="1"/>
  <c r="L3003"/>
  <c r="K3097"/>
  <c r="HO15"/>
  <c r="AI8"/>
  <c r="DO8" s="1"/>
  <c r="DP8" s="1"/>
  <c r="K3115"/>
  <c r="O19" s="1"/>
  <c r="K3080"/>
  <c r="H3132"/>
  <c r="H3123"/>
  <c r="H3094"/>
  <c r="H3059"/>
  <c r="AI7"/>
  <c r="DO7" s="1"/>
  <c r="DP7" s="1"/>
  <c r="CI13"/>
  <c r="CJ13" s="1"/>
  <c r="HP16"/>
  <c r="K3124"/>
  <c r="K3106"/>
  <c r="K3089"/>
  <c r="K3071"/>
  <c r="AM14" s="1"/>
  <c r="DU14" s="1"/>
  <c r="DV14" s="1"/>
  <c r="K3053"/>
  <c r="CV14"/>
  <c r="CW14" s="1"/>
  <c r="L3134"/>
  <c r="HJ13"/>
  <c r="HJ17"/>
  <c r="CG13"/>
  <c r="CH13" s="1"/>
  <c r="CG15"/>
  <c r="CH15" s="1"/>
  <c r="HS25"/>
  <c r="HS27"/>
  <c r="HS29"/>
  <c r="HS31"/>
  <c r="HS33"/>
  <c r="HS24"/>
  <c r="HS26"/>
  <c r="HS28"/>
  <c r="HS30"/>
  <c r="HS32"/>
  <c r="HT25"/>
  <c r="HT27"/>
  <c r="HT29"/>
  <c r="HT31"/>
  <c r="HT33"/>
  <c r="HT24"/>
  <c r="HT26"/>
  <c r="HT28"/>
  <c r="HT30"/>
  <c r="HT32"/>
  <c r="Q3279"/>
  <c r="HP25"/>
  <c r="HP27"/>
  <c r="HP29"/>
  <c r="HP31"/>
  <c r="HP33"/>
  <c r="HP24"/>
  <c r="HP26"/>
  <c r="HP28"/>
  <c r="HP30"/>
  <c r="HP32"/>
  <c r="L7"/>
  <c r="CI7" s="1"/>
  <c r="CJ7" s="1"/>
  <c r="P3119"/>
  <c r="K3119"/>
  <c r="P3111"/>
  <c r="K3111"/>
  <c r="P3102"/>
  <c r="K3102"/>
  <c r="P3093"/>
  <c r="K3093"/>
  <c r="P3084"/>
  <c r="K3084"/>
  <c r="P3075"/>
  <c r="K3075"/>
  <c r="P3067"/>
  <c r="K3067"/>
  <c r="P3058"/>
  <c r="K3058"/>
  <c r="O17" s="1"/>
  <c r="P3049"/>
  <c r="K3049"/>
  <c r="P3045"/>
  <c r="K3045"/>
  <c r="P3040"/>
  <c r="K3040"/>
  <c r="P3036"/>
  <c r="K3036"/>
  <c r="AM15" s="1"/>
  <c r="P3031"/>
  <c r="K3031"/>
  <c r="P3027"/>
  <c r="K3027"/>
  <c r="P3023"/>
  <c r="K3023"/>
  <c r="CI23"/>
  <c r="CJ23" s="1"/>
  <c r="L5"/>
  <c r="CI5" s="1"/>
  <c r="CJ5" s="1"/>
  <c r="DO16"/>
  <c r="DP16" s="1"/>
  <c r="AI9"/>
  <c r="DO9" s="1"/>
  <c r="DP9" s="1"/>
  <c r="CV19"/>
  <c r="CW19" s="1"/>
  <c r="L6"/>
  <c r="CI6" s="1"/>
  <c r="CJ6" s="1"/>
  <c r="H3005"/>
  <c r="I9" s="1"/>
  <c r="HP18"/>
  <c r="Q3123"/>
  <c r="L3123"/>
  <c r="Q3114"/>
  <c r="L3114"/>
  <c r="Q3105"/>
  <c r="L3105"/>
  <c r="Q3096"/>
  <c r="L3096"/>
  <c r="Q3088"/>
  <c r="L3088"/>
  <c r="Q3079"/>
  <c r="L3079"/>
  <c r="Q3070"/>
  <c r="L3070"/>
  <c r="Q3061"/>
  <c r="L3061"/>
  <c r="Q3052"/>
  <c r="L3052"/>
  <c r="Q3046"/>
  <c r="L3046"/>
  <c r="Q3037"/>
  <c r="L3037"/>
  <c r="Q3028"/>
  <c r="L3028"/>
  <c r="P3019"/>
  <c r="K3019"/>
  <c r="P3011"/>
  <c r="K3011"/>
  <c r="Q3118"/>
  <c r="L3118"/>
  <c r="Q3110"/>
  <c r="L3110"/>
  <c r="Q3101"/>
  <c r="L3101"/>
  <c r="Q3092"/>
  <c r="L3092"/>
  <c r="Q3083"/>
  <c r="L3083"/>
  <c r="Q3074"/>
  <c r="L3074"/>
  <c r="Q3066"/>
  <c r="L3066"/>
  <c r="Q3057"/>
  <c r="L3057"/>
  <c r="P14" s="1"/>
  <c r="Q3050"/>
  <c r="L3050"/>
  <c r="AN12" s="1"/>
  <c r="DW12" s="1"/>
  <c r="DX12" s="1"/>
  <c r="Q3041"/>
  <c r="L3041"/>
  <c r="Q3033"/>
  <c r="L3033"/>
  <c r="AN18" s="1"/>
  <c r="Q3024"/>
  <c r="L3024"/>
  <c r="P19" s="1"/>
  <c r="P3015"/>
  <c r="K3015"/>
  <c r="DU20" s="1"/>
  <c r="DV20" s="1"/>
  <c r="Q3005"/>
  <c r="L3005"/>
  <c r="Q3015"/>
  <c r="L3015"/>
  <c r="Q3011"/>
  <c r="L3011"/>
  <c r="L3006"/>
  <c r="K3006"/>
  <c r="AM13" s="1"/>
  <c r="DU13" s="1"/>
  <c r="DV13" s="1"/>
  <c r="Q3019"/>
  <c r="L3019"/>
  <c r="DO21"/>
  <c r="DP21" s="1"/>
  <c r="DQ21"/>
  <c r="DR21" s="1"/>
  <c r="CI19"/>
  <c r="CJ19" s="1"/>
  <c r="N10"/>
  <c r="CK22"/>
  <c r="CL22" s="1"/>
  <c r="CK13"/>
  <c r="CL13" s="1"/>
  <c r="IP7"/>
  <c r="IV7"/>
  <c r="IV8"/>
  <c r="VG3"/>
  <c r="CX18"/>
  <c r="CY18" s="1"/>
  <c r="IV15"/>
  <c r="DQ18"/>
  <c r="DR18" s="1"/>
  <c r="IV24"/>
  <c r="DQ15"/>
  <c r="DR15" s="1"/>
  <c r="IP24"/>
  <c r="DD18"/>
  <c r="DE18" s="1"/>
  <c r="DD15"/>
  <c r="DE15" s="1"/>
  <c r="DF15"/>
  <c r="DG15" s="1"/>
  <c r="HO5"/>
  <c r="HP19"/>
  <c r="HP20"/>
  <c r="HO13"/>
  <c r="HP22"/>
  <c r="HO22"/>
  <c r="CZ15"/>
  <c r="DA15" s="1"/>
  <c r="IP16"/>
  <c r="CZ18"/>
  <c r="DA18" s="1"/>
  <c r="IV16"/>
  <c r="CX15"/>
  <c r="CY15" s="1"/>
  <c r="IP15"/>
  <c r="DO18"/>
  <c r="DP18" s="1"/>
  <c r="DF18"/>
  <c r="DG18" s="1"/>
  <c r="CG11"/>
  <c r="CH11" s="1"/>
  <c r="HO11"/>
  <c r="HP8"/>
  <c r="CG17"/>
  <c r="CH17" s="1"/>
  <c r="HO17"/>
  <c r="CI17"/>
  <c r="CJ17" s="1"/>
  <c r="HP17"/>
  <c r="HJ7"/>
  <c r="HJ20"/>
  <c r="HJ6"/>
  <c r="CI12"/>
  <c r="CJ12" s="1"/>
  <c r="CG12"/>
  <c r="CH12" s="1"/>
  <c r="HO12"/>
  <c r="CG4"/>
  <c r="CH4" s="1"/>
  <c r="HO4"/>
  <c r="HJ9"/>
  <c r="CG20"/>
  <c r="CH20" s="1"/>
  <c r="HO20"/>
  <c r="HJ23"/>
  <c r="CI11"/>
  <c r="CJ11" s="1"/>
  <c r="HP11"/>
  <c r="CG23"/>
  <c r="CH23" s="1"/>
  <c r="HO23"/>
  <c r="CG7"/>
  <c r="CH7" s="1"/>
  <c r="HO7"/>
  <c r="HJ10"/>
  <c r="HJ22"/>
  <c r="CG16"/>
  <c r="CH16" s="1"/>
  <c r="HO16"/>
  <c r="CG8"/>
  <c r="CH8" s="1"/>
  <c r="HO8"/>
  <c r="HJ14"/>
  <c r="HJ19"/>
  <c r="CE23"/>
  <c r="CF23" s="1"/>
  <c r="HJ5"/>
  <c r="HJ15"/>
  <c r="HJ21"/>
  <c r="HJ16"/>
  <c r="HJ4"/>
  <c r="HJ18"/>
  <c r="HJ8"/>
  <c r="CI4"/>
  <c r="CJ4" s="1"/>
  <c r="HP4"/>
  <c r="CG6"/>
  <c r="CH6" s="1"/>
  <c r="HO6"/>
  <c r="CG9"/>
  <c r="CH9" s="1"/>
  <c r="HO9"/>
  <c r="CG19"/>
  <c r="CH19" s="1"/>
  <c r="HO19"/>
  <c r="ET33"/>
  <c r="ET31"/>
  <c r="ET29"/>
  <c r="ET27"/>
  <c r="ET25"/>
  <c r="ET23"/>
  <c r="ET21"/>
  <c r="ET19"/>
  <c r="ET17"/>
  <c r="ET15"/>
  <c r="ET13"/>
  <c r="ET11"/>
  <c r="ET9"/>
  <c r="ET7"/>
  <c r="ET5"/>
  <c r="ET32"/>
  <c r="ET30"/>
  <c r="ET28"/>
  <c r="ET26"/>
  <c r="ET24"/>
  <c r="ET22"/>
  <c r="ET20"/>
  <c r="ET18"/>
  <c r="ET16"/>
  <c r="ET14"/>
  <c r="ET12"/>
  <c r="ET10"/>
  <c r="ET8"/>
  <c r="ET6"/>
  <c r="ET4"/>
  <c r="DR4"/>
  <c r="CU4"/>
  <c r="ES5"/>
  <c r="ES6"/>
  <c r="ES7"/>
  <c r="ES8"/>
  <c r="ES9"/>
  <c r="ES10"/>
  <c r="ES11"/>
  <c r="ES12"/>
  <c r="ES13"/>
  <c r="ES14"/>
  <c r="ES15"/>
  <c r="ES16"/>
  <c r="ES17"/>
  <c r="ES18"/>
  <c r="ES19"/>
  <c r="ES20"/>
  <c r="ES21"/>
  <c r="ES22"/>
  <c r="ES23"/>
  <c r="ES24"/>
  <c r="ES25"/>
  <c r="ES26"/>
  <c r="ES27"/>
  <c r="ES28"/>
  <c r="ES29"/>
  <c r="ES30"/>
  <c r="ES4"/>
  <c r="ES31"/>
  <c r="ES32"/>
  <c r="ES33"/>
  <c r="DA4"/>
  <c r="CY4"/>
  <c r="DP4"/>
  <c r="CW4"/>
  <c r="H11"/>
  <c r="DI18"/>
  <c r="DJ18" s="1"/>
  <c r="H10"/>
  <c r="J6"/>
  <c r="G11"/>
  <c r="H8"/>
  <c r="DK12"/>
  <c r="DL12" s="1"/>
  <c r="M4"/>
  <c r="J7"/>
  <c r="AM6"/>
  <c r="DU6" s="1"/>
  <c r="DV6" s="1"/>
  <c r="DU12"/>
  <c r="DV12" s="1"/>
  <c r="J9"/>
  <c r="N11"/>
  <c r="AN7"/>
  <c r="DW7" s="1"/>
  <c r="DX7" s="1"/>
  <c r="AM10"/>
  <c r="DU10" s="1"/>
  <c r="DV10" s="1"/>
  <c r="AN5"/>
  <c r="DW5" s="1"/>
  <c r="DX5" s="1"/>
  <c r="AN4"/>
  <c r="DW4" s="1"/>
  <c r="AN9"/>
  <c r="DW9" s="1"/>
  <c r="DX9" s="1"/>
  <c r="DW23"/>
  <c r="DX23" s="1"/>
  <c r="DW17"/>
  <c r="DX17" s="1"/>
  <c r="DU22"/>
  <c r="DV22" s="1"/>
  <c r="Y5"/>
  <c r="AM7"/>
  <c r="DU7" s="1"/>
  <c r="DV7" s="1"/>
  <c r="AN10"/>
  <c r="DW10" s="1"/>
  <c r="DX10" s="1"/>
  <c r="P6"/>
  <c r="AM5"/>
  <c r="DU5" s="1"/>
  <c r="DV5" s="1"/>
  <c r="AM4"/>
  <c r="DU4" s="1"/>
  <c r="AM8"/>
  <c r="DU8" s="1"/>
  <c r="DV8" s="1"/>
  <c r="AM9"/>
  <c r="DU9" s="1"/>
  <c r="DV9" s="1"/>
  <c r="DU23"/>
  <c r="DV23" s="1"/>
  <c r="DW22"/>
  <c r="DX22" s="1"/>
  <c r="P9"/>
  <c r="O6"/>
  <c r="P10"/>
  <c r="AN6"/>
  <c r="DW6" s="1"/>
  <c r="DX6" s="1"/>
  <c r="O10"/>
  <c r="P7"/>
  <c r="O5"/>
  <c r="P5"/>
  <c r="O8"/>
  <c r="O4"/>
  <c r="P4"/>
  <c r="AL7"/>
  <c r="DS7" s="1"/>
  <c r="DT7" s="1"/>
  <c r="P11"/>
  <c r="AN11"/>
  <c r="DW11" s="1"/>
  <c r="DX11" s="1"/>
  <c r="O11"/>
  <c r="AM11"/>
  <c r="DU11" s="1"/>
  <c r="DV11" s="1"/>
  <c r="DU21"/>
  <c r="DV21" s="1"/>
  <c r="DW21"/>
  <c r="DX21" s="1"/>
  <c r="J8"/>
  <c r="G8"/>
  <c r="J10"/>
  <c r="AF7"/>
  <c r="G9"/>
  <c r="DI17"/>
  <c r="DJ17" s="1"/>
  <c r="DK21"/>
  <c r="DL21" s="1"/>
  <c r="AF6"/>
  <c r="DI20"/>
  <c r="DJ20" s="1"/>
  <c r="AH5"/>
  <c r="DI5" s="1"/>
  <c r="DJ5" s="1"/>
  <c r="AF5"/>
  <c r="J4"/>
  <c r="DI16"/>
  <c r="DJ16" s="1"/>
  <c r="DK19"/>
  <c r="DL19" s="1"/>
  <c r="DI14"/>
  <c r="DJ14" s="1"/>
  <c r="DK17"/>
  <c r="DL17" s="1"/>
  <c r="AF8"/>
  <c r="AH11"/>
  <c r="DI11" s="1"/>
  <c r="DJ11" s="1"/>
  <c r="AF9"/>
  <c r="HL9" s="1"/>
  <c r="DM23"/>
  <c r="DN23" s="1"/>
  <c r="DM15"/>
  <c r="DN15" s="1"/>
  <c r="DM20"/>
  <c r="DN20" s="1"/>
  <c r="AE7"/>
  <c r="DK7" s="1"/>
  <c r="DL7" s="1"/>
  <c r="DI15"/>
  <c r="DJ15" s="1"/>
  <c r="AG11"/>
  <c r="DM11" s="1"/>
  <c r="DN11" s="1"/>
  <c r="AH9"/>
  <c r="DI9" s="1"/>
  <c r="DJ9" s="1"/>
  <c r="DK22"/>
  <c r="DL22" s="1"/>
  <c r="AG6"/>
  <c r="DM6" s="1"/>
  <c r="DN6" s="1"/>
  <c r="AH8"/>
  <c r="DI8" s="1"/>
  <c r="DJ8" s="1"/>
  <c r="DI21"/>
  <c r="DJ21" s="1"/>
  <c r="I4"/>
  <c r="AF4"/>
  <c r="DK16"/>
  <c r="DL16" s="1"/>
  <c r="HL16"/>
  <c r="DK18"/>
  <c r="DL18" s="1"/>
  <c r="DI12"/>
  <c r="DJ12" s="1"/>
  <c r="DI13"/>
  <c r="DJ13" s="1"/>
  <c r="AF11"/>
  <c r="AE9"/>
  <c r="DK9" s="1"/>
  <c r="DL9" s="1"/>
  <c r="DK23"/>
  <c r="DL23" s="1"/>
  <c r="AH6"/>
  <c r="DI6" s="1"/>
  <c r="DJ6" s="1"/>
  <c r="AE11"/>
  <c r="DK11" s="1"/>
  <c r="DL11" s="1"/>
  <c r="AE10"/>
  <c r="DK10" s="1"/>
  <c r="DL10" s="1"/>
  <c r="AG8"/>
  <c r="DM8" s="1"/>
  <c r="DN8" s="1"/>
  <c r="AE5"/>
  <c r="DK5" s="1"/>
  <c r="DL5" s="1"/>
  <c r="AG5"/>
  <c r="DM5" s="1"/>
  <c r="DN5" s="1"/>
  <c r="AH7"/>
  <c r="DI7" s="1"/>
  <c r="DJ7" s="1"/>
  <c r="AE6"/>
  <c r="DK6" s="1"/>
  <c r="DL6" s="1"/>
  <c r="AE4"/>
  <c r="DK4" s="1"/>
  <c r="Y4"/>
  <c r="Z4"/>
  <c r="DB4" s="1"/>
  <c r="Z6"/>
  <c r="DB6" s="1"/>
  <c r="DC6" s="1"/>
  <c r="Y6"/>
  <c r="Y11"/>
  <c r="Z11"/>
  <c r="DB11" s="1"/>
  <c r="DC11" s="1"/>
  <c r="DB21"/>
  <c r="DC21" s="1"/>
  <c r="Y8"/>
  <c r="Z8"/>
  <c r="DB8" s="1"/>
  <c r="DC8" s="1"/>
  <c r="DQ14"/>
  <c r="DR14" s="1"/>
  <c r="CI10"/>
  <c r="CJ10" s="1"/>
  <c r="DS22"/>
  <c r="DT22" s="1"/>
  <c r="AL5"/>
  <c r="DS5" s="1"/>
  <c r="DT5" s="1"/>
  <c r="AK5"/>
  <c r="DB16"/>
  <c r="DC16" s="1"/>
  <c r="DB13"/>
  <c r="DC13" s="1"/>
  <c r="Y7"/>
  <c r="Z7"/>
  <c r="DB7" s="1"/>
  <c r="DC7" s="1"/>
  <c r="Z10"/>
  <c r="DB10" s="1"/>
  <c r="DC10" s="1"/>
  <c r="Y10"/>
  <c r="DS13"/>
  <c r="DT13" s="1"/>
  <c r="DB18"/>
  <c r="DC18" s="1"/>
  <c r="AK11"/>
  <c r="AL11"/>
  <c r="DS11" s="1"/>
  <c r="DT11" s="1"/>
  <c r="AH4"/>
  <c r="DI4" s="1"/>
  <c r="DJ4" s="1"/>
  <c r="AF10"/>
  <c r="AH10"/>
  <c r="DI10" s="1"/>
  <c r="DJ10" s="1"/>
  <c r="DK14"/>
  <c r="DL14" s="1"/>
  <c r="HO10"/>
  <c r="AL8"/>
  <c r="DS8" s="1"/>
  <c r="DT8" s="1"/>
  <c r="H4"/>
  <c r="DI22"/>
  <c r="DJ22" s="1"/>
  <c r="DK20"/>
  <c r="DL20" s="1"/>
  <c r="AE8"/>
  <c r="DK8" s="1"/>
  <c r="DL8" s="1"/>
  <c r="DK15"/>
  <c r="DL15" s="1"/>
  <c r="DK13"/>
  <c r="DL13" s="1"/>
  <c r="DB22"/>
  <c r="DC22" s="1"/>
  <c r="Y9"/>
  <c r="Z9"/>
  <c r="DB9" s="1"/>
  <c r="DC9" s="1"/>
  <c r="DB14"/>
  <c r="DC14" s="1"/>
  <c r="DB17"/>
  <c r="DC17" s="1"/>
  <c r="DB19"/>
  <c r="DC19" s="1"/>
  <c r="DS23"/>
  <c r="DT23" s="1"/>
  <c r="DB20"/>
  <c r="DC20" s="1"/>
  <c r="AL6"/>
  <c r="DS6" s="1"/>
  <c r="DT6" s="1"/>
  <c r="AK6"/>
  <c r="DB15"/>
  <c r="DC15" s="1"/>
  <c r="DB23"/>
  <c r="DC23" s="1"/>
  <c r="DB12"/>
  <c r="DC12" s="1"/>
  <c r="DS20"/>
  <c r="DT20" s="1"/>
  <c r="AL4"/>
  <c r="DS4" s="1"/>
  <c r="AK4"/>
  <c r="DS18"/>
  <c r="DT18" s="1"/>
  <c r="AL10"/>
  <c r="DS10" s="1"/>
  <c r="DT10" s="1"/>
  <c r="AK10"/>
  <c r="N8"/>
  <c r="J11"/>
  <c r="AG7"/>
  <c r="DM7" s="1"/>
  <c r="DN7" s="1"/>
  <c r="G4"/>
  <c r="AG10"/>
  <c r="DM10" s="1"/>
  <c r="DN10" s="1"/>
  <c r="DI23"/>
  <c r="DJ23" s="1"/>
  <c r="AG4"/>
  <c r="DM4" s="1"/>
  <c r="DI19"/>
  <c r="DJ19" s="1"/>
  <c r="M11"/>
  <c r="M8"/>
  <c r="Z5"/>
  <c r="DB5" s="1"/>
  <c r="DC5" s="1"/>
  <c r="J5"/>
  <c r="H6"/>
  <c r="G6"/>
  <c r="I6"/>
  <c r="G10"/>
  <c r="I8"/>
  <c r="I10"/>
  <c r="I7"/>
  <c r="I5"/>
  <c r="H7"/>
  <c r="H5"/>
  <c r="G7"/>
  <c r="G5"/>
  <c r="J36"/>
  <c r="K2" i="1" s="1"/>
  <c r="N4" i="2"/>
  <c r="HR33"/>
  <c r="HQ33"/>
  <c r="HR29"/>
  <c r="HQ29"/>
  <c r="HR25"/>
  <c r="HQ25"/>
  <c r="HQ30"/>
  <c r="HR30"/>
  <c r="HQ26"/>
  <c r="HR26"/>
  <c r="HR31"/>
  <c r="HR27"/>
  <c r="HR32"/>
  <c r="HR28"/>
  <c r="HR24"/>
  <c r="HO18" l="1"/>
  <c r="O7"/>
  <c r="IV19"/>
  <c r="N15"/>
  <c r="AQ15" s="1"/>
  <c r="HP12"/>
  <c r="IP19"/>
  <c r="DQ13"/>
  <c r="DR13" s="1"/>
  <c r="AQ17"/>
  <c r="AL9"/>
  <c r="DS9" s="1"/>
  <c r="DT9" s="1"/>
  <c r="HP9"/>
  <c r="IP18"/>
  <c r="IV18"/>
  <c r="M16"/>
  <c r="AN15"/>
  <c r="AM19"/>
  <c r="DU19" s="1"/>
  <c r="DV19" s="1"/>
  <c r="AM18"/>
  <c r="O14"/>
  <c r="AK7"/>
  <c r="M7"/>
  <c r="M5"/>
  <c r="AM16"/>
  <c r="DU16" s="1"/>
  <c r="DV16" s="1"/>
  <c r="DO15"/>
  <c r="DP15" s="1"/>
  <c r="AG13"/>
  <c r="DM13" s="1"/>
  <c r="DN13" s="1"/>
  <c r="AG14"/>
  <c r="DM14" s="1"/>
  <c r="DN14" s="1"/>
  <c r="AG17"/>
  <c r="DM17" s="1"/>
  <c r="DN17" s="1"/>
  <c r="AG19"/>
  <c r="DM19" s="1"/>
  <c r="DN19" s="1"/>
  <c r="AG16"/>
  <c r="DM16" s="1"/>
  <c r="DN16" s="1"/>
  <c r="I18"/>
  <c r="O15"/>
  <c r="I13"/>
  <c r="I19"/>
  <c r="AN14"/>
  <c r="DW14" s="1"/>
  <c r="DX14" s="1"/>
  <c r="AM17"/>
  <c r="DU17" s="1"/>
  <c r="DV17" s="1"/>
  <c r="N9"/>
  <c r="M9"/>
  <c r="N5"/>
  <c r="CK5" s="1"/>
  <c r="CL5" s="1"/>
  <c r="P12"/>
  <c r="HT12" s="1"/>
  <c r="P15"/>
  <c r="I17"/>
  <c r="I14"/>
  <c r="M14"/>
  <c r="AG12"/>
  <c r="DM12" s="1"/>
  <c r="DN12" s="1"/>
  <c r="CU12"/>
  <c r="EU7"/>
  <c r="EU15"/>
  <c r="EU23"/>
  <c r="EU31"/>
  <c r="AN13"/>
  <c r="DW13" s="1"/>
  <c r="DX13" s="1"/>
  <c r="P13"/>
  <c r="AN16"/>
  <c r="P16"/>
  <c r="HT16" s="1"/>
  <c r="AL12"/>
  <c r="DS12" s="1"/>
  <c r="DT12" s="1"/>
  <c r="DQ12"/>
  <c r="DR12" s="1"/>
  <c r="AL17"/>
  <c r="DS17" s="1"/>
  <c r="DT17" s="1"/>
  <c r="DQ17"/>
  <c r="DR17" s="1"/>
  <c r="AN19"/>
  <c r="DW19" s="1"/>
  <c r="DX19" s="1"/>
  <c r="O16"/>
  <c r="O18"/>
  <c r="AK18"/>
  <c r="P18"/>
  <c r="CO18" s="1"/>
  <c r="CP18" s="1"/>
  <c r="AQ14"/>
  <c r="AK12"/>
  <c r="AQ12"/>
  <c r="AG18"/>
  <c r="DM18" s="1"/>
  <c r="DN18" s="1"/>
  <c r="AK19"/>
  <c r="I12"/>
  <c r="AL15"/>
  <c r="DS15" s="1"/>
  <c r="DT15" s="1"/>
  <c r="I16"/>
  <c r="N16"/>
  <c r="M13"/>
  <c r="AK13"/>
  <c r="DO13"/>
  <c r="DP13" s="1"/>
  <c r="AK8"/>
  <c r="EW24"/>
  <c r="EU27"/>
  <c r="EU19"/>
  <c r="EU11"/>
  <c r="CG18"/>
  <c r="CH18" s="1"/>
  <c r="IV23"/>
  <c r="IP23"/>
  <c r="AQ16"/>
  <c r="O13"/>
  <c r="I15"/>
  <c r="CE15" s="1"/>
  <c r="CF15" s="1"/>
  <c r="M15"/>
  <c r="HQ15" s="1"/>
  <c r="M12"/>
  <c r="HQ12" s="1"/>
  <c r="N18"/>
  <c r="AQ18" s="1"/>
  <c r="AK16"/>
  <c r="EW8"/>
  <c r="EU4"/>
  <c r="EU33"/>
  <c r="EU29"/>
  <c r="EU25"/>
  <c r="EU21"/>
  <c r="EU17"/>
  <c r="EU13"/>
  <c r="EU9"/>
  <c r="EU5"/>
  <c r="CO20"/>
  <c r="CP20" s="1"/>
  <c r="O9"/>
  <c r="CM9" s="1"/>
  <c r="CN9" s="1"/>
  <c r="I11"/>
  <c r="CE11" s="1"/>
  <c r="CF11" s="1"/>
  <c r="EW32"/>
  <c r="EW16"/>
  <c r="EU32"/>
  <c r="EU30"/>
  <c r="EU28"/>
  <c r="EU26"/>
  <c r="EU24"/>
  <c r="EU22"/>
  <c r="EU20"/>
  <c r="EU18"/>
  <c r="EU16"/>
  <c r="EU14"/>
  <c r="EU12"/>
  <c r="EU10"/>
  <c r="EU8"/>
  <c r="EU6"/>
  <c r="HP13"/>
  <c r="EW28"/>
  <c r="EW20"/>
  <c r="EW12"/>
  <c r="HQ24"/>
  <c r="HQ28"/>
  <c r="HQ32"/>
  <c r="HQ27"/>
  <c r="HQ31"/>
  <c r="DS21"/>
  <c r="DT21" s="1"/>
  <c r="AG9"/>
  <c r="DM9" s="1"/>
  <c r="DN9" s="1"/>
  <c r="EW30"/>
  <c r="EW26"/>
  <c r="EW22"/>
  <c r="EW18"/>
  <c r="EW14"/>
  <c r="EW10"/>
  <c r="EW6"/>
  <c r="CG10"/>
  <c r="CH10" s="1"/>
  <c r="CI8"/>
  <c r="CJ8" s="1"/>
  <c r="HP10"/>
  <c r="CA19"/>
  <c r="CB19" s="1"/>
  <c r="CK9"/>
  <c r="CL9" s="1"/>
  <c r="CI16"/>
  <c r="CJ16" s="1"/>
  <c r="HP5"/>
  <c r="HP6"/>
  <c r="HP7"/>
  <c r="AK9"/>
  <c r="N7"/>
  <c r="CK7" s="1"/>
  <c r="CL7" s="1"/>
  <c r="EW4"/>
  <c r="EW33"/>
  <c r="EW31"/>
  <c r="EW29"/>
  <c r="EW27"/>
  <c r="EW25"/>
  <c r="EW23"/>
  <c r="EW21"/>
  <c r="EW19"/>
  <c r="EW17"/>
  <c r="EW15"/>
  <c r="EW13"/>
  <c r="EW11"/>
  <c r="EW9"/>
  <c r="EW7"/>
  <c r="EW5"/>
  <c r="HP23"/>
  <c r="DS16"/>
  <c r="DT16" s="1"/>
  <c r="M6"/>
  <c r="HQ6" s="1"/>
  <c r="N6"/>
  <c r="HR6" s="1"/>
  <c r="AN8"/>
  <c r="DW8" s="1"/>
  <c r="DX8" s="1"/>
  <c r="IP10"/>
  <c r="IV10"/>
  <c r="DW16"/>
  <c r="DX16" s="1"/>
  <c r="P8"/>
  <c r="CO8" s="1"/>
  <c r="CP8" s="1"/>
  <c r="DW20"/>
  <c r="DX20" s="1"/>
  <c r="HQ18"/>
  <c r="CI18"/>
  <c r="CJ18" s="1"/>
  <c r="HR21"/>
  <c r="IV33"/>
  <c r="G6" i="6" s="1"/>
  <c r="CI15" i="2"/>
  <c r="CJ15" s="1"/>
  <c r="CK15"/>
  <c r="CL15" s="1"/>
  <c r="HP15"/>
  <c r="IP8"/>
  <c r="IP34" s="1"/>
  <c r="B8" i="6" s="1"/>
  <c r="AQ9" i="2"/>
  <c r="IP33"/>
  <c r="B6" i="6" s="1"/>
  <c r="HQ21" i="2"/>
  <c r="IV34"/>
  <c r="G8" i="6" s="1"/>
  <c r="IV11" i="2"/>
  <c r="HM23"/>
  <c r="EY4"/>
  <c r="EY33"/>
  <c r="HN19"/>
  <c r="FG4"/>
  <c r="FG32"/>
  <c r="FE6"/>
  <c r="FG15"/>
  <c r="FE22"/>
  <c r="EY17"/>
  <c r="FA20"/>
  <c r="FG23"/>
  <c r="FG7"/>
  <c r="FE30"/>
  <c r="FE14"/>
  <c r="FP12"/>
  <c r="EY25"/>
  <c r="EY9"/>
  <c r="FA28"/>
  <c r="FA12"/>
  <c r="FG27"/>
  <c r="FG19"/>
  <c r="FG11"/>
  <c r="FE26"/>
  <c r="FE18"/>
  <c r="FE10"/>
  <c r="FP25"/>
  <c r="FP8"/>
  <c r="EY29"/>
  <c r="EY21"/>
  <c r="EY13"/>
  <c r="EY5"/>
  <c r="FA32"/>
  <c r="FA24"/>
  <c r="FA16"/>
  <c r="FA8"/>
  <c r="FG29"/>
  <c r="FG25"/>
  <c r="FG21"/>
  <c r="FG17"/>
  <c r="FG13"/>
  <c r="FG9"/>
  <c r="FG5"/>
  <c r="FE32"/>
  <c r="FE28"/>
  <c r="FE24"/>
  <c r="FE20"/>
  <c r="FE16"/>
  <c r="FE12"/>
  <c r="FE8"/>
  <c r="FP4"/>
  <c r="FP23"/>
  <c r="FP14"/>
  <c r="FP6"/>
  <c r="EY31"/>
  <c r="EY27"/>
  <c r="EY23"/>
  <c r="EY19"/>
  <c r="EY15"/>
  <c r="EY11"/>
  <c r="EY7"/>
  <c r="FA30"/>
  <c r="FA26"/>
  <c r="FA22"/>
  <c r="FA18"/>
  <c r="FA14"/>
  <c r="FA10"/>
  <c r="FA6"/>
  <c r="FG30"/>
  <c r="FG33"/>
  <c r="FG31"/>
  <c r="FG28"/>
  <c r="FG26"/>
  <c r="FG24"/>
  <c r="FG22"/>
  <c r="FG20"/>
  <c r="FG18"/>
  <c r="FG16"/>
  <c r="FG14"/>
  <c r="FG12"/>
  <c r="FG10"/>
  <c r="FG8"/>
  <c r="FG6"/>
  <c r="FE4"/>
  <c r="FE33"/>
  <c r="FE31"/>
  <c r="FE29"/>
  <c r="FE27"/>
  <c r="FE25"/>
  <c r="FE23"/>
  <c r="FE21"/>
  <c r="FE19"/>
  <c r="FE17"/>
  <c r="FE15"/>
  <c r="FE13"/>
  <c r="FE11"/>
  <c r="FE9"/>
  <c r="FE7"/>
  <c r="FE5"/>
  <c r="FP32"/>
  <c r="FP30"/>
  <c r="FP17"/>
  <c r="FP28"/>
  <c r="FP26"/>
  <c r="FP24"/>
  <c r="FP22"/>
  <c r="FP20"/>
  <c r="FP18"/>
  <c r="FP15"/>
  <c r="FP13"/>
  <c r="FP11"/>
  <c r="FP9"/>
  <c r="FP7"/>
  <c r="FP5"/>
  <c r="EY32"/>
  <c r="EY30"/>
  <c r="EY28"/>
  <c r="EY26"/>
  <c r="EY24"/>
  <c r="EY22"/>
  <c r="EY20"/>
  <c r="EY18"/>
  <c r="EY16"/>
  <c r="EY14"/>
  <c r="EY12"/>
  <c r="EY10"/>
  <c r="EY8"/>
  <c r="EY6"/>
  <c r="FA4"/>
  <c r="FA33"/>
  <c r="FA31"/>
  <c r="FA29"/>
  <c r="FA27"/>
  <c r="FA25"/>
  <c r="FA23"/>
  <c r="FA21"/>
  <c r="FA19"/>
  <c r="FA17"/>
  <c r="FA15"/>
  <c r="FA13"/>
  <c r="FA11"/>
  <c r="FA9"/>
  <c r="FA7"/>
  <c r="FA5"/>
  <c r="VH3"/>
  <c r="DU15"/>
  <c r="DV15" s="1"/>
  <c r="IP26"/>
  <c r="DW15"/>
  <c r="DX15" s="1"/>
  <c r="HR19"/>
  <c r="HR9"/>
  <c r="HQ5"/>
  <c r="HQ13"/>
  <c r="HQ22"/>
  <c r="HR5"/>
  <c r="HR13"/>
  <c r="HR22"/>
  <c r="HQ20"/>
  <c r="HQ9"/>
  <c r="DW18"/>
  <c r="DX18" s="1"/>
  <c r="DU18"/>
  <c r="DV18" s="1"/>
  <c r="IV26"/>
  <c r="HL20"/>
  <c r="CC17"/>
  <c r="CD17" s="1"/>
  <c r="HK17"/>
  <c r="CC5"/>
  <c r="CD5" s="1"/>
  <c r="HK5"/>
  <c r="CE18"/>
  <c r="CF18" s="1"/>
  <c r="HM18"/>
  <c r="CA12"/>
  <c r="CB12" s="1"/>
  <c r="HN12"/>
  <c r="CE10"/>
  <c r="CF10" s="1"/>
  <c r="HM10"/>
  <c r="CE16"/>
  <c r="CF16" s="1"/>
  <c r="HM16"/>
  <c r="CA13"/>
  <c r="CB13" s="1"/>
  <c r="HN13"/>
  <c r="CC10"/>
  <c r="CD10" s="1"/>
  <c r="HK10"/>
  <c r="CC6"/>
  <c r="CD6" s="1"/>
  <c r="HK6"/>
  <c r="CA5"/>
  <c r="CB5" s="1"/>
  <c r="HN5"/>
  <c r="CC4"/>
  <c r="HK4"/>
  <c r="CA11"/>
  <c r="CB11" s="1"/>
  <c r="HN11"/>
  <c r="HL13"/>
  <c r="CG14"/>
  <c r="CH14" s="1"/>
  <c r="HO14"/>
  <c r="CI14"/>
  <c r="CJ14" s="1"/>
  <c r="HP14"/>
  <c r="CE17"/>
  <c r="CF17" s="1"/>
  <c r="HM17"/>
  <c r="CA4"/>
  <c r="CB4" s="1"/>
  <c r="HN4"/>
  <c r="CC9"/>
  <c r="CD9" s="1"/>
  <c r="HK9"/>
  <c r="CA15"/>
  <c r="CB15" s="1"/>
  <c r="HN15"/>
  <c r="HL18"/>
  <c r="CA17"/>
  <c r="CB17" s="1"/>
  <c r="HN17"/>
  <c r="CC18"/>
  <c r="CD18" s="1"/>
  <c r="HK18"/>
  <c r="CC12"/>
  <c r="CD12" s="1"/>
  <c r="HK12"/>
  <c r="CC8"/>
  <c r="CD8" s="1"/>
  <c r="HK8"/>
  <c r="CO21"/>
  <c r="CP21" s="1"/>
  <c r="HT21"/>
  <c r="CO13"/>
  <c r="CP13" s="1"/>
  <c r="HT13"/>
  <c r="CM14"/>
  <c r="CN14" s="1"/>
  <c r="HS14"/>
  <c r="CM20"/>
  <c r="CN20" s="1"/>
  <c r="HS20"/>
  <c r="CM4"/>
  <c r="CN4" s="1"/>
  <c r="HS4"/>
  <c r="CM8"/>
  <c r="CN8" s="1"/>
  <c r="HS8"/>
  <c r="CM5"/>
  <c r="CN5" s="1"/>
  <c r="HS5"/>
  <c r="HL12"/>
  <c r="CO7"/>
  <c r="CP7" s="1"/>
  <c r="HT7"/>
  <c r="CM17"/>
  <c r="CN17" s="1"/>
  <c r="HS17"/>
  <c r="CM16"/>
  <c r="CN16" s="1"/>
  <c r="HS16"/>
  <c r="CM13"/>
  <c r="CN13" s="1"/>
  <c r="HS13"/>
  <c r="CO17"/>
  <c r="CP17" s="1"/>
  <c r="HT17"/>
  <c r="CO10"/>
  <c r="CP10" s="1"/>
  <c r="HT10"/>
  <c r="CM6"/>
  <c r="CN6" s="1"/>
  <c r="HS6"/>
  <c r="CO9"/>
  <c r="CP9" s="1"/>
  <c r="HT9"/>
  <c r="HT18"/>
  <c r="CM18"/>
  <c r="CN18" s="1"/>
  <c r="HS18"/>
  <c r="CO6"/>
  <c r="CP6" s="1"/>
  <c r="HT6"/>
  <c r="HT20"/>
  <c r="HL17"/>
  <c r="CK11"/>
  <c r="CL11" s="1"/>
  <c r="HR11"/>
  <c r="CA9"/>
  <c r="CB9" s="1"/>
  <c r="HN9"/>
  <c r="CA7"/>
  <c r="CB7" s="1"/>
  <c r="HN7"/>
  <c r="HQ4"/>
  <c r="CK12"/>
  <c r="CL12" s="1"/>
  <c r="HR12"/>
  <c r="HL14"/>
  <c r="CC23"/>
  <c r="CD23" s="1"/>
  <c r="HK23"/>
  <c r="CC19"/>
  <c r="CD19" s="1"/>
  <c r="HK19"/>
  <c r="CC15"/>
  <c r="CD15" s="1"/>
  <c r="HK15"/>
  <c r="CC11"/>
  <c r="CD11" s="1"/>
  <c r="HK11"/>
  <c r="CA22"/>
  <c r="CB22" s="1"/>
  <c r="HN22"/>
  <c r="HL10"/>
  <c r="HL23"/>
  <c r="CA21"/>
  <c r="CB21" s="1"/>
  <c r="HN21"/>
  <c r="CA20"/>
  <c r="CB20" s="1"/>
  <c r="HN20"/>
  <c r="HL5"/>
  <c r="CE7"/>
  <c r="CF7" s="1"/>
  <c r="HM7"/>
  <c r="CK21"/>
  <c r="CL21" s="1"/>
  <c r="CK4"/>
  <c r="CL4" s="1"/>
  <c r="HR4"/>
  <c r="CC21"/>
  <c r="CD21" s="1"/>
  <c r="HK21"/>
  <c r="CC20"/>
  <c r="CD20" s="1"/>
  <c r="HK20"/>
  <c r="CC7"/>
  <c r="CD7" s="1"/>
  <c r="HK7"/>
  <c r="HL7"/>
  <c r="CE12"/>
  <c r="CF12" s="1"/>
  <c r="HM12"/>
  <c r="CE5"/>
  <c r="CF5" s="1"/>
  <c r="HM5"/>
  <c r="CA18"/>
  <c r="CB18" s="1"/>
  <c r="HN18"/>
  <c r="CE20"/>
  <c r="CF20" s="1"/>
  <c r="HM20"/>
  <c r="CE8"/>
  <c r="CF8" s="1"/>
  <c r="HM8"/>
  <c r="CE21"/>
  <c r="CF21" s="1"/>
  <c r="HM21"/>
  <c r="CE13"/>
  <c r="CF13" s="1"/>
  <c r="HM13"/>
  <c r="CE6"/>
  <c r="CF6" s="1"/>
  <c r="HM6"/>
  <c r="HL21"/>
  <c r="HL6"/>
  <c r="HL15"/>
  <c r="HQ8"/>
  <c r="HQ11"/>
  <c r="CC16"/>
  <c r="CD16" s="1"/>
  <c r="HK16"/>
  <c r="CC13"/>
  <c r="CD13" s="1"/>
  <c r="HK13"/>
  <c r="CK8"/>
  <c r="CL8" s="1"/>
  <c r="HR8"/>
  <c r="HL4"/>
  <c r="CE4"/>
  <c r="HM4"/>
  <c r="CC22"/>
  <c r="CD22" s="1"/>
  <c r="HK22"/>
  <c r="CA10"/>
  <c r="CB10" s="1"/>
  <c r="HN10"/>
  <c r="CC14"/>
  <c r="CD14" s="1"/>
  <c r="HK14"/>
  <c r="CE22"/>
  <c r="CF22" s="1"/>
  <c r="HM22"/>
  <c r="HR16"/>
  <c r="CA8"/>
  <c r="CB8" s="1"/>
  <c r="HN8"/>
  <c r="CM21"/>
  <c r="CN21" s="1"/>
  <c r="HS21"/>
  <c r="CM11"/>
  <c r="CN11" s="1"/>
  <c r="HS11"/>
  <c r="CO11"/>
  <c r="CP11" s="1"/>
  <c r="HT11"/>
  <c r="CO22"/>
  <c r="CP22" s="1"/>
  <c r="HT22"/>
  <c r="CO4"/>
  <c r="CP4" s="1"/>
  <c r="HT4"/>
  <c r="CM15"/>
  <c r="CN15" s="1"/>
  <c r="HS15"/>
  <c r="CO15"/>
  <c r="CP15" s="1"/>
  <c r="HT15"/>
  <c r="CM12"/>
  <c r="CN12" s="1"/>
  <c r="HS12"/>
  <c r="CM22"/>
  <c r="CN22" s="1"/>
  <c r="HS22"/>
  <c r="CO5"/>
  <c r="CP5" s="1"/>
  <c r="HT5"/>
  <c r="CO12"/>
  <c r="CP12" s="1"/>
  <c r="CM7"/>
  <c r="CN7" s="1"/>
  <c r="HS7"/>
  <c r="CM10"/>
  <c r="CN10" s="1"/>
  <c r="HS10"/>
  <c r="CM23"/>
  <c r="CN23" s="1"/>
  <c r="HS23"/>
  <c r="HT14"/>
  <c r="CO23"/>
  <c r="CP23" s="1"/>
  <c r="HT23"/>
  <c r="CA16"/>
  <c r="CB16" s="1"/>
  <c r="HN16"/>
  <c r="CO19"/>
  <c r="CP19" s="1"/>
  <c r="HT19"/>
  <c r="CM19"/>
  <c r="CN19" s="1"/>
  <c r="HS19"/>
  <c r="CG21"/>
  <c r="CH21" s="1"/>
  <c r="HO21"/>
  <c r="CK23"/>
  <c r="CL23" s="1"/>
  <c r="HR23"/>
  <c r="HL19"/>
  <c r="HQ23"/>
  <c r="HQ17"/>
  <c r="CK20"/>
  <c r="CL20" s="1"/>
  <c r="HR20"/>
  <c r="HQ7"/>
  <c r="CA14"/>
  <c r="CB14" s="1"/>
  <c r="HN14"/>
  <c r="CE9"/>
  <c r="CF9" s="1"/>
  <c r="HM9"/>
  <c r="CE19"/>
  <c r="CF19" s="1"/>
  <c r="HM19"/>
  <c r="HL8"/>
  <c r="CE14"/>
  <c r="CF14" s="1"/>
  <c r="HM14"/>
  <c r="CA6"/>
  <c r="CB6" s="1"/>
  <c r="HN6"/>
  <c r="CK17"/>
  <c r="CL17" s="1"/>
  <c r="HR17"/>
  <c r="CI21"/>
  <c r="CJ21" s="1"/>
  <c r="HP21"/>
  <c r="CA23"/>
  <c r="CB23" s="1"/>
  <c r="HN23"/>
  <c r="HL22"/>
  <c r="HL11"/>
  <c r="FK5"/>
  <c r="FK7"/>
  <c r="FK9"/>
  <c r="FK11"/>
  <c r="FK13"/>
  <c r="FK15"/>
  <c r="FK17"/>
  <c r="FK19"/>
  <c r="FK21"/>
  <c r="FK23"/>
  <c r="FK25"/>
  <c r="FK27"/>
  <c r="FK29"/>
  <c r="FK31"/>
  <c r="FK33"/>
  <c r="FK6"/>
  <c r="FK8"/>
  <c r="FK10"/>
  <c r="FK12"/>
  <c r="FK14"/>
  <c r="FK16"/>
  <c r="FK18"/>
  <c r="FK20"/>
  <c r="FK22"/>
  <c r="FK24"/>
  <c r="FK26"/>
  <c r="FK28"/>
  <c r="FK30"/>
  <c r="FK32"/>
  <c r="FK4"/>
  <c r="FN16"/>
  <c r="FN31"/>
  <c r="DN4"/>
  <c r="DT4"/>
  <c r="FJ5"/>
  <c r="FJ6"/>
  <c r="FJ7"/>
  <c r="FJ8"/>
  <c r="FJ9"/>
  <c r="FJ10"/>
  <c r="FJ11"/>
  <c r="FJ12"/>
  <c r="FJ13"/>
  <c r="FJ14"/>
  <c r="FJ15"/>
  <c r="FJ16"/>
  <c r="FJ17"/>
  <c r="FJ18"/>
  <c r="FJ19"/>
  <c r="FJ20"/>
  <c r="FJ21"/>
  <c r="FJ22"/>
  <c r="FJ23"/>
  <c r="FJ24"/>
  <c r="FJ25"/>
  <c r="FJ26"/>
  <c r="FJ27"/>
  <c r="FJ28"/>
  <c r="FJ29"/>
  <c r="FJ30"/>
  <c r="FJ31"/>
  <c r="FJ32"/>
  <c r="FJ33"/>
  <c r="FJ4"/>
  <c r="FC5"/>
  <c r="FC6"/>
  <c r="FC7"/>
  <c r="FC8"/>
  <c r="FC9"/>
  <c r="FC10"/>
  <c r="FC11"/>
  <c r="FC12"/>
  <c r="FC13"/>
  <c r="FC14"/>
  <c r="FC15"/>
  <c r="FC16"/>
  <c r="FC17"/>
  <c r="FC18"/>
  <c r="FC19"/>
  <c r="FC20"/>
  <c r="FC21"/>
  <c r="FC22"/>
  <c r="FC23"/>
  <c r="FC24"/>
  <c r="FC25"/>
  <c r="FC26"/>
  <c r="FC27"/>
  <c r="FC28"/>
  <c r="FC29"/>
  <c r="FC30"/>
  <c r="FC31"/>
  <c r="FC32"/>
  <c r="FC33"/>
  <c r="DC4"/>
  <c r="FC4"/>
  <c r="FL5"/>
  <c r="FL6"/>
  <c r="FL7"/>
  <c r="FL8"/>
  <c r="FL9"/>
  <c r="FL10"/>
  <c r="FL11"/>
  <c r="FL12"/>
  <c r="FL13"/>
  <c r="FL14"/>
  <c r="FL15"/>
  <c r="FL16"/>
  <c r="FL17"/>
  <c r="FL18"/>
  <c r="FL19"/>
  <c r="FL20"/>
  <c r="FL21"/>
  <c r="FL22"/>
  <c r="FL23"/>
  <c r="FL24"/>
  <c r="FL25"/>
  <c r="FL26"/>
  <c r="FL27"/>
  <c r="FL28"/>
  <c r="FL29"/>
  <c r="FL4"/>
  <c r="FL30"/>
  <c r="FL31"/>
  <c r="FL32"/>
  <c r="FL33"/>
  <c r="DL4"/>
  <c r="EX5"/>
  <c r="EX6"/>
  <c r="EX7"/>
  <c r="EX8"/>
  <c r="EX9"/>
  <c r="EX10"/>
  <c r="EX11"/>
  <c r="EX12"/>
  <c r="EX13"/>
  <c r="EX14"/>
  <c r="EX15"/>
  <c r="EX16"/>
  <c r="EX17"/>
  <c r="EX18"/>
  <c r="EX19"/>
  <c r="EX20"/>
  <c r="EX21"/>
  <c r="EX22"/>
  <c r="EX23"/>
  <c r="EX24"/>
  <c r="EX25"/>
  <c r="EX26"/>
  <c r="EX27"/>
  <c r="EX28"/>
  <c r="EX29"/>
  <c r="EX30"/>
  <c r="EX4"/>
  <c r="EX31"/>
  <c r="EX32"/>
  <c r="EX33"/>
  <c r="FQ5"/>
  <c r="FQ6"/>
  <c r="FQ7"/>
  <c r="FQ8"/>
  <c r="FQ9"/>
  <c r="FQ10"/>
  <c r="FQ11"/>
  <c r="FQ12"/>
  <c r="FQ13"/>
  <c r="FQ14"/>
  <c r="FQ15"/>
  <c r="FQ16"/>
  <c r="FQ17"/>
  <c r="FQ18"/>
  <c r="FQ19"/>
  <c r="FQ20"/>
  <c r="FQ21"/>
  <c r="FQ22"/>
  <c r="FQ23"/>
  <c r="FQ24"/>
  <c r="FQ25"/>
  <c r="FQ26"/>
  <c r="FQ27"/>
  <c r="FQ28"/>
  <c r="FQ29"/>
  <c r="FQ30"/>
  <c r="FQ31"/>
  <c r="FQ32"/>
  <c r="FQ33"/>
  <c r="FQ4"/>
  <c r="FB5"/>
  <c r="FB6"/>
  <c r="FB7"/>
  <c r="FB8"/>
  <c r="FB9"/>
  <c r="FB10"/>
  <c r="FB11"/>
  <c r="FB12"/>
  <c r="FB13"/>
  <c r="FB14"/>
  <c r="FB15"/>
  <c r="FB16"/>
  <c r="FB17"/>
  <c r="FB18"/>
  <c r="FB19"/>
  <c r="FB20"/>
  <c r="FB21"/>
  <c r="FB22"/>
  <c r="FB23"/>
  <c r="FB24"/>
  <c r="FB25"/>
  <c r="FB26"/>
  <c r="FB27"/>
  <c r="FB28"/>
  <c r="FB29"/>
  <c r="FB30"/>
  <c r="FB4"/>
  <c r="FB31"/>
  <c r="FB32"/>
  <c r="FB33"/>
  <c r="FS5"/>
  <c r="FS6"/>
  <c r="FS7"/>
  <c r="FS8"/>
  <c r="FS9"/>
  <c r="FS10"/>
  <c r="FS11"/>
  <c r="FS12"/>
  <c r="FS13"/>
  <c r="FS14"/>
  <c r="FS15"/>
  <c r="FS16"/>
  <c r="FS17"/>
  <c r="FS18"/>
  <c r="FS19"/>
  <c r="FS20"/>
  <c r="FS21"/>
  <c r="FS22"/>
  <c r="FS23"/>
  <c r="FS24"/>
  <c r="FS25"/>
  <c r="FS26"/>
  <c r="FS27"/>
  <c r="FS28"/>
  <c r="FS29"/>
  <c r="FS30"/>
  <c r="FS31"/>
  <c r="FS32"/>
  <c r="FS33"/>
  <c r="FS4"/>
  <c r="FR32"/>
  <c r="FR30"/>
  <c r="FR29"/>
  <c r="FR27"/>
  <c r="FR25"/>
  <c r="FR23"/>
  <c r="FR21"/>
  <c r="FR19"/>
  <c r="FR17"/>
  <c r="FR15"/>
  <c r="FR13"/>
  <c r="FR11"/>
  <c r="FR9"/>
  <c r="FR7"/>
  <c r="FR5"/>
  <c r="DV4"/>
  <c r="DX4"/>
  <c r="FH5"/>
  <c r="FH6"/>
  <c r="FH7"/>
  <c r="FH8"/>
  <c r="FH9"/>
  <c r="FH10"/>
  <c r="FH11"/>
  <c r="FH12"/>
  <c r="FH13"/>
  <c r="FH14"/>
  <c r="FH15"/>
  <c r="FH16"/>
  <c r="FH17"/>
  <c r="FH18"/>
  <c r="FH19"/>
  <c r="FH20"/>
  <c r="FH21"/>
  <c r="FH22"/>
  <c r="FH23"/>
  <c r="FH24"/>
  <c r="FH25"/>
  <c r="FH26"/>
  <c r="FH27"/>
  <c r="FH28"/>
  <c r="FH29"/>
  <c r="FH30"/>
  <c r="FH4"/>
  <c r="FH31"/>
  <c r="FH32"/>
  <c r="FH33"/>
  <c r="FF5"/>
  <c r="FF6"/>
  <c r="FF7"/>
  <c r="FF8"/>
  <c r="FF9"/>
  <c r="FF10"/>
  <c r="FF11"/>
  <c r="FF12"/>
  <c r="FF13"/>
  <c r="FF14"/>
  <c r="FF15"/>
  <c r="FF16"/>
  <c r="FF17"/>
  <c r="FF18"/>
  <c r="FF19"/>
  <c r="FF20"/>
  <c r="FF21"/>
  <c r="FF22"/>
  <c r="FF23"/>
  <c r="FF24"/>
  <c r="FF25"/>
  <c r="FF26"/>
  <c r="FF27"/>
  <c r="FF28"/>
  <c r="FF29"/>
  <c r="FF30"/>
  <c r="FF4"/>
  <c r="FF31"/>
  <c r="FF32"/>
  <c r="FF33"/>
  <c r="EZ5"/>
  <c r="EZ6"/>
  <c r="EZ7"/>
  <c r="EZ8"/>
  <c r="EZ9"/>
  <c r="EZ10"/>
  <c r="EZ11"/>
  <c r="EZ12"/>
  <c r="EZ13"/>
  <c r="EZ14"/>
  <c r="EZ15"/>
  <c r="EZ16"/>
  <c r="EZ17"/>
  <c r="EZ18"/>
  <c r="EZ19"/>
  <c r="EZ20"/>
  <c r="EZ21"/>
  <c r="EZ22"/>
  <c r="EZ23"/>
  <c r="EZ24"/>
  <c r="EZ25"/>
  <c r="EZ26"/>
  <c r="EZ27"/>
  <c r="EZ28"/>
  <c r="EZ29"/>
  <c r="EZ30"/>
  <c r="EZ4"/>
  <c r="EZ31"/>
  <c r="EZ32"/>
  <c r="EZ33"/>
  <c r="EV5"/>
  <c r="EV6"/>
  <c r="EV7"/>
  <c r="EV8"/>
  <c r="EV9"/>
  <c r="EV10"/>
  <c r="EV11"/>
  <c r="EV12"/>
  <c r="EV13"/>
  <c r="EV14"/>
  <c r="EV15"/>
  <c r="EV16"/>
  <c r="EV17"/>
  <c r="EV18"/>
  <c r="EV19"/>
  <c r="EV20"/>
  <c r="EV21"/>
  <c r="EV22"/>
  <c r="EV23"/>
  <c r="EV24"/>
  <c r="EV25"/>
  <c r="EV26"/>
  <c r="EV27"/>
  <c r="EV28"/>
  <c r="EV29"/>
  <c r="EV30"/>
  <c r="EV4"/>
  <c r="EV31"/>
  <c r="EV32"/>
  <c r="EV33"/>
  <c r="FR33"/>
  <c r="FR31"/>
  <c r="FR4"/>
  <c r="FR28"/>
  <c r="FR26"/>
  <c r="FR24"/>
  <c r="FR22"/>
  <c r="FR20"/>
  <c r="FR18"/>
  <c r="FR16"/>
  <c r="FR14"/>
  <c r="FR12"/>
  <c r="FR10"/>
  <c r="FR8"/>
  <c r="FR6"/>
  <c r="AQ8"/>
  <c r="DS14"/>
  <c r="DT14" s="1"/>
  <c r="AQ11"/>
  <c r="HR10"/>
  <c r="HQ10"/>
  <c r="AQ5"/>
  <c r="AQ4"/>
  <c r="K36"/>
  <c r="L2" i="1" s="1"/>
  <c r="J44" i="2"/>
  <c r="FN24" l="1"/>
  <c r="FN8"/>
  <c r="FN28"/>
  <c r="FN20"/>
  <c r="FN12"/>
  <c r="FP10"/>
  <c r="FP19"/>
  <c r="FP27"/>
  <c r="FP33"/>
  <c r="FP16"/>
  <c r="FP31"/>
  <c r="FP21"/>
  <c r="HS9"/>
  <c r="HM11"/>
  <c r="IP27"/>
  <c r="IV27"/>
  <c r="HM15"/>
  <c r="IP11"/>
  <c r="IP37" s="1"/>
  <c r="B19" i="6" s="1"/>
  <c r="AS13" i="2"/>
  <c r="AS17"/>
  <c r="AS14"/>
  <c r="AS15"/>
  <c r="AS19"/>
  <c r="AS12"/>
  <c r="AS16"/>
  <c r="FN33"/>
  <c r="FN4"/>
  <c r="FN26"/>
  <c r="FN22"/>
  <c r="FN18"/>
  <c r="FN14"/>
  <c r="FN10"/>
  <c r="FN6"/>
  <c r="FP29"/>
  <c r="CK18"/>
  <c r="CL18" s="1"/>
  <c r="AS18"/>
  <c r="FN32"/>
  <c r="FN30"/>
  <c r="FN29"/>
  <c r="FN27"/>
  <c r="FN25"/>
  <c r="FN23"/>
  <c r="FN21"/>
  <c r="FN19"/>
  <c r="FN17"/>
  <c r="FN15"/>
  <c r="FN13"/>
  <c r="FN11"/>
  <c r="FN9"/>
  <c r="FN7"/>
  <c r="FN5"/>
  <c r="CO16"/>
  <c r="CP16" s="1"/>
  <c r="HR7"/>
  <c r="CK10"/>
  <c r="CL10" s="1"/>
  <c r="AQ10"/>
  <c r="CO14"/>
  <c r="CP14" s="1"/>
  <c r="EQ6" s="1"/>
  <c r="CK16"/>
  <c r="CL16" s="1"/>
  <c r="HQ16"/>
  <c r="HQ19"/>
  <c r="AQ7"/>
  <c r="CK19"/>
  <c r="CL19" s="1"/>
  <c r="CK6"/>
  <c r="CL6" s="1"/>
  <c r="AQ6"/>
  <c r="HT8"/>
  <c r="HR18"/>
  <c r="HR15"/>
  <c r="IV36"/>
  <c r="G17" i="6" s="1"/>
  <c r="IP36" i="2"/>
  <c r="B17" i="6" s="1"/>
  <c r="EC5" i="2"/>
  <c r="GB5" s="1"/>
  <c r="HW5" s="1"/>
  <c r="IV37"/>
  <c r="G19" i="6" s="1"/>
  <c r="EF12" i="2"/>
  <c r="GE12" s="1"/>
  <c r="HZ12" s="1"/>
  <c r="EI6"/>
  <c r="JI6" s="1"/>
  <c r="JZ6" s="1"/>
  <c r="ED11"/>
  <c r="GC11" s="1"/>
  <c r="HX11" s="1"/>
  <c r="E12" i="4" s="1"/>
  <c r="FX19" i="2"/>
  <c r="FV20"/>
  <c r="EB28"/>
  <c r="JB28" s="1"/>
  <c r="JS28" s="1"/>
  <c r="EJ28"/>
  <c r="GI28" s="1"/>
  <c r="ID28" s="1"/>
  <c r="EF28"/>
  <c r="GE28" s="1"/>
  <c r="HZ28" s="1"/>
  <c r="EC8"/>
  <c r="JC8" s="1"/>
  <c r="JT8" s="1"/>
  <c r="EK12"/>
  <c r="GJ12" s="1"/>
  <c r="IE12" s="1"/>
  <c r="C33" i="4" s="1"/>
  <c r="EI14" i="2"/>
  <c r="GH14" s="1"/>
  <c r="IC14" s="1"/>
  <c r="ED27"/>
  <c r="GC27" s="1"/>
  <c r="HX27" s="1"/>
  <c r="EF14"/>
  <c r="GE14" s="1"/>
  <c r="HZ14" s="1"/>
  <c r="ED10"/>
  <c r="GC10" s="1"/>
  <c r="HX10" s="1"/>
  <c r="E11" i="4" s="1"/>
  <c r="EB25" i="2"/>
  <c r="GA25" s="1"/>
  <c r="HV25" s="1"/>
  <c r="EH26"/>
  <c r="GG26" s="1"/>
  <c r="IB26" s="1"/>
  <c r="EI22"/>
  <c r="GH22" s="1"/>
  <c r="IC22" s="1"/>
  <c r="EK20"/>
  <c r="GJ20" s="1"/>
  <c r="IE20" s="1"/>
  <c r="FX27"/>
  <c r="FX11"/>
  <c r="FV28"/>
  <c r="FV12"/>
  <c r="EH32"/>
  <c r="GG32" s="1"/>
  <c r="IB32" s="1"/>
  <c r="EN5"/>
  <c r="JN5" s="1"/>
  <c r="KE5" s="1"/>
  <c r="EF30"/>
  <c r="GE30" s="1"/>
  <c r="HZ30" s="1"/>
  <c r="ED26"/>
  <c r="JD26" s="1"/>
  <c r="JU26" s="1"/>
  <c r="EB12"/>
  <c r="GA12" s="1"/>
  <c r="HV12" s="1"/>
  <c r="C13" i="4" s="1"/>
  <c r="EB9" i="2"/>
  <c r="GA9" s="1"/>
  <c r="HV9" s="1"/>
  <c r="C10" i="4" s="1"/>
  <c r="EH10" i="2"/>
  <c r="GG10" s="1"/>
  <c r="IB10" s="1"/>
  <c r="I11" i="4" s="1"/>
  <c r="EJ12" i="2"/>
  <c r="GI12" s="1"/>
  <c r="ID12" s="1"/>
  <c r="EI30"/>
  <c r="GH30" s="1"/>
  <c r="IC30" s="1"/>
  <c r="EK28"/>
  <c r="JK28" s="1"/>
  <c r="KB28" s="1"/>
  <c r="FX30"/>
  <c r="FX23"/>
  <c r="FX15"/>
  <c r="FX7"/>
  <c r="FV31"/>
  <c r="FV24"/>
  <c r="FV16"/>
  <c r="FV8"/>
  <c r="EH17"/>
  <c r="GG17" s="1"/>
  <c r="IB17" s="1"/>
  <c r="I18" i="4" s="1"/>
  <c r="EJ19" i="2"/>
  <c r="GI19" s="1"/>
  <c r="ID19" s="1"/>
  <c r="EN21"/>
  <c r="GM21" s="1"/>
  <c r="IH21" s="1"/>
  <c r="EF8"/>
  <c r="JF8" s="1"/>
  <c r="JW8" s="1"/>
  <c r="EC13"/>
  <c r="GB13" s="1"/>
  <c r="HW13" s="1"/>
  <c r="EK6"/>
  <c r="JK6" s="1"/>
  <c r="KB6" s="1"/>
  <c r="EI8"/>
  <c r="GH8" s="1"/>
  <c r="IC8" s="1"/>
  <c r="ED7"/>
  <c r="JD7" s="1"/>
  <c r="JU7" s="1"/>
  <c r="EF22"/>
  <c r="GE22" s="1"/>
  <c r="HZ22" s="1"/>
  <c r="EF6"/>
  <c r="GE6" s="1"/>
  <c r="HZ6" s="1"/>
  <c r="EF20"/>
  <c r="GE20" s="1"/>
  <c r="HZ20" s="1"/>
  <c r="CF4"/>
  <c r="EG6" s="1"/>
  <c r="ED18"/>
  <c r="GC18" s="1"/>
  <c r="HX18" s="1"/>
  <c r="E19" i="4" s="1"/>
  <c r="CD4" i="2"/>
  <c r="EE6" s="1"/>
  <c r="ED19"/>
  <c r="GC19" s="1"/>
  <c r="HX19" s="1"/>
  <c r="E20" i="4" s="1"/>
  <c r="EB20" i="2"/>
  <c r="JB20" s="1"/>
  <c r="JS20" s="1"/>
  <c r="EB33"/>
  <c r="GA33" s="1"/>
  <c r="HV33" s="1"/>
  <c r="EB17"/>
  <c r="GA17" s="1"/>
  <c r="HV17" s="1"/>
  <c r="C18" i="4" s="1"/>
  <c r="EH18" i="2"/>
  <c r="GG18" s="1"/>
  <c r="IB18" s="1"/>
  <c r="I19" i="4" s="1"/>
  <c r="EH33" i="2"/>
  <c r="GG33" s="1"/>
  <c r="IB33" s="1"/>
  <c r="EJ20"/>
  <c r="GI20" s="1"/>
  <c r="ID20" s="1"/>
  <c r="EI4"/>
  <c r="JI4" s="1"/>
  <c r="JZ4" s="1"/>
  <c r="EI26"/>
  <c r="GH26" s="1"/>
  <c r="IC26" s="1"/>
  <c r="EI18"/>
  <c r="GH18" s="1"/>
  <c r="IC18" s="1"/>
  <c r="EI10"/>
  <c r="GH10" s="1"/>
  <c r="IC10" s="1"/>
  <c r="EK32"/>
  <c r="JK32" s="1"/>
  <c r="KB32" s="1"/>
  <c r="EK24"/>
  <c r="GJ24" s="1"/>
  <c r="IE24" s="1"/>
  <c r="EK16"/>
  <c r="GJ16" s="1"/>
  <c r="IE16" s="1"/>
  <c r="C37" i="4" s="1"/>
  <c r="EK8" i="2"/>
  <c r="GJ8" s="1"/>
  <c r="IE8" s="1"/>
  <c r="C29" i="4" s="1"/>
  <c r="FX32" i="2"/>
  <c r="FX29"/>
  <c r="FX25"/>
  <c r="FX21"/>
  <c r="FX17"/>
  <c r="FX13"/>
  <c r="FX9"/>
  <c r="FX5"/>
  <c r="FV33"/>
  <c r="FV4"/>
  <c r="FV26"/>
  <c r="FV22"/>
  <c r="FV18"/>
  <c r="FV14"/>
  <c r="FV10"/>
  <c r="FV6"/>
  <c r="EH9"/>
  <c r="GG9" s="1"/>
  <c r="IB9" s="1"/>
  <c r="I10" i="4" s="1"/>
  <c r="EH25" i="2"/>
  <c r="GG25" s="1"/>
  <c r="IB25" s="1"/>
  <c r="EJ11"/>
  <c r="GI11" s="1"/>
  <c r="ID11" s="1"/>
  <c r="EJ27"/>
  <c r="GI27" s="1"/>
  <c r="ID27" s="1"/>
  <c r="EN29"/>
  <c r="JN29" s="1"/>
  <c r="KE29" s="1"/>
  <c r="EN13"/>
  <c r="GM13" s="1"/>
  <c r="IH13" s="1"/>
  <c r="EC24"/>
  <c r="JC24" s="1"/>
  <c r="JT24" s="1"/>
  <c r="EC21"/>
  <c r="GB21" s="1"/>
  <c r="HW21" s="1"/>
  <c r="EF26"/>
  <c r="JF26" s="1"/>
  <c r="JW26" s="1"/>
  <c r="EF18"/>
  <c r="GE18" s="1"/>
  <c r="HZ18" s="1"/>
  <c r="EF10"/>
  <c r="JF10" s="1"/>
  <c r="JW10" s="1"/>
  <c r="EF32"/>
  <c r="GE32" s="1"/>
  <c r="HZ32" s="1"/>
  <c r="EF24"/>
  <c r="JF24" s="1"/>
  <c r="JW24" s="1"/>
  <c r="EF16"/>
  <c r="GE16" s="1"/>
  <c r="HZ16" s="1"/>
  <c r="ED30"/>
  <c r="JD30" s="1"/>
  <c r="JU30" s="1"/>
  <c r="ED22"/>
  <c r="GC22" s="1"/>
  <c r="HX22" s="1"/>
  <c r="ED14"/>
  <c r="JD14" s="1"/>
  <c r="JU14" s="1"/>
  <c r="ED6"/>
  <c r="GC6" s="1"/>
  <c r="HX6" s="1"/>
  <c r="E7" i="4" s="1"/>
  <c r="ED31" i="2"/>
  <c r="JD31" s="1"/>
  <c r="JU31" s="1"/>
  <c r="ED23"/>
  <c r="GC23" s="1"/>
  <c r="HX23" s="1"/>
  <c r="ED15"/>
  <c r="JD15" s="1"/>
  <c r="JU15" s="1"/>
  <c r="EB32"/>
  <c r="GA32" s="1"/>
  <c r="HV32" s="1"/>
  <c r="EB24"/>
  <c r="JB24" s="1"/>
  <c r="JS24" s="1"/>
  <c r="EB16"/>
  <c r="GA16" s="1"/>
  <c r="HV16" s="1"/>
  <c r="C17" i="4" s="1"/>
  <c r="EB8" i="2"/>
  <c r="JB8" s="1"/>
  <c r="JS8" s="1"/>
  <c r="EB29"/>
  <c r="GA29" s="1"/>
  <c r="HV29" s="1"/>
  <c r="EB21"/>
  <c r="JB21" s="1"/>
  <c r="JS21" s="1"/>
  <c r="EB13"/>
  <c r="GA13" s="1"/>
  <c r="HV13" s="1"/>
  <c r="C14" i="4" s="1"/>
  <c r="EB5" i="2"/>
  <c r="JB5" s="1"/>
  <c r="JS5" s="1"/>
  <c r="EH6"/>
  <c r="GG6" s="1"/>
  <c r="IB6" s="1"/>
  <c r="I7" i="4" s="1"/>
  <c r="EH14" i="2"/>
  <c r="JH14" s="1"/>
  <c r="JY14" s="1"/>
  <c r="EH22"/>
  <c r="GG22" s="1"/>
  <c r="IB22" s="1"/>
  <c r="EH30"/>
  <c r="JH30" s="1"/>
  <c r="JY30" s="1"/>
  <c r="EJ8"/>
  <c r="GI8" s="1"/>
  <c r="ID8" s="1"/>
  <c r="EJ16"/>
  <c r="JJ16" s="1"/>
  <c r="KA16" s="1"/>
  <c r="EJ24"/>
  <c r="GI24" s="1"/>
  <c r="ID24" s="1"/>
  <c r="EJ31"/>
  <c r="JJ31" s="1"/>
  <c r="KA31" s="1"/>
  <c r="EI32"/>
  <c r="GH32" s="1"/>
  <c r="IC32" s="1"/>
  <c r="EI28"/>
  <c r="JI28" s="1"/>
  <c r="JZ28" s="1"/>
  <c r="EI24"/>
  <c r="GH24" s="1"/>
  <c r="IC24" s="1"/>
  <c r="EI20"/>
  <c r="JI20" s="1"/>
  <c r="JZ20" s="1"/>
  <c r="EI16"/>
  <c r="GH16" s="1"/>
  <c r="IC16" s="1"/>
  <c r="EI12"/>
  <c r="JI12" s="1"/>
  <c r="JZ12" s="1"/>
  <c r="EK4"/>
  <c r="GJ4" s="1"/>
  <c r="IE4" s="1"/>
  <c r="C25" i="4" s="1"/>
  <c r="EK30" i="2"/>
  <c r="JK30" s="1"/>
  <c r="KB30" s="1"/>
  <c r="EK26"/>
  <c r="GJ26" s="1"/>
  <c r="IE26" s="1"/>
  <c r="EK22"/>
  <c r="JK22" s="1"/>
  <c r="KB22" s="1"/>
  <c r="EK18"/>
  <c r="GJ18" s="1"/>
  <c r="IE18" s="1"/>
  <c r="C39" i="4" s="1"/>
  <c r="EK14" i="2"/>
  <c r="JK14" s="1"/>
  <c r="KB14" s="1"/>
  <c r="EK10"/>
  <c r="GJ10" s="1"/>
  <c r="IE10" s="1"/>
  <c r="C31" i="4" s="1"/>
  <c r="FX33" i="2"/>
  <c r="FX31"/>
  <c r="FX4"/>
  <c r="FX28"/>
  <c r="FX26"/>
  <c r="FX24"/>
  <c r="FX22"/>
  <c r="FX20"/>
  <c r="FX18"/>
  <c r="FX16"/>
  <c r="FX14"/>
  <c r="FX12"/>
  <c r="FX10"/>
  <c r="FX8"/>
  <c r="FX6"/>
  <c r="FV32"/>
  <c r="FV30"/>
  <c r="FV29"/>
  <c r="FV27"/>
  <c r="FV25"/>
  <c r="FV23"/>
  <c r="FV21"/>
  <c r="FV19"/>
  <c r="FV17"/>
  <c r="FV15"/>
  <c r="FV13"/>
  <c r="FV11"/>
  <c r="FV9"/>
  <c r="FV7"/>
  <c r="FV5"/>
  <c r="EP31"/>
  <c r="JP31" s="1"/>
  <c r="KG31" s="1"/>
  <c r="EP16"/>
  <c r="JP16" s="1"/>
  <c r="KG16" s="1"/>
  <c r="EH5"/>
  <c r="GG5" s="1"/>
  <c r="IB5" s="1"/>
  <c r="I6" i="4" s="1"/>
  <c r="EH13" i="2"/>
  <c r="JH13" s="1"/>
  <c r="JY13" s="1"/>
  <c r="EH21"/>
  <c r="GG21" s="1"/>
  <c r="IB21" s="1"/>
  <c r="EH29"/>
  <c r="JH29" s="1"/>
  <c r="JY29" s="1"/>
  <c r="EJ7"/>
  <c r="GI7" s="1"/>
  <c r="ID7" s="1"/>
  <c r="EJ15"/>
  <c r="JJ15" s="1"/>
  <c r="KA15" s="1"/>
  <c r="EJ23"/>
  <c r="GI23" s="1"/>
  <c r="ID23" s="1"/>
  <c r="EJ4"/>
  <c r="JJ4" s="1"/>
  <c r="KA4" s="1"/>
  <c r="EN32"/>
  <c r="GM32" s="1"/>
  <c r="IH32" s="1"/>
  <c r="EN25"/>
  <c r="JN25" s="1"/>
  <c r="KE25" s="1"/>
  <c r="EN17"/>
  <c r="GM17" s="1"/>
  <c r="IH17" s="1"/>
  <c r="EN9"/>
  <c r="JN9" s="1"/>
  <c r="KE9" s="1"/>
  <c r="EC32"/>
  <c r="GB32" s="1"/>
  <c r="HW32" s="1"/>
  <c r="EC16"/>
  <c r="JC16" s="1"/>
  <c r="JT16" s="1"/>
  <c r="EC29"/>
  <c r="GB29" s="1"/>
  <c r="HW29" s="1"/>
  <c r="VI3"/>
  <c r="EC9"/>
  <c r="JC9" s="1"/>
  <c r="JT9" s="1"/>
  <c r="EN4"/>
  <c r="GM4" s="1"/>
  <c r="IH4" s="1"/>
  <c r="EN27"/>
  <c r="JN27" s="1"/>
  <c r="KE27" s="1"/>
  <c r="EN23"/>
  <c r="JN23" s="1"/>
  <c r="KE23" s="1"/>
  <c r="EN19"/>
  <c r="JN19" s="1"/>
  <c r="KE19" s="1"/>
  <c r="EN15"/>
  <c r="JN15" s="1"/>
  <c r="KE15" s="1"/>
  <c r="EN11"/>
  <c r="JN11" s="1"/>
  <c r="KE11" s="1"/>
  <c r="EN7"/>
  <c r="JN7" s="1"/>
  <c r="KE7" s="1"/>
  <c r="EC28"/>
  <c r="JC28" s="1"/>
  <c r="JT28" s="1"/>
  <c r="EC20"/>
  <c r="JC20" s="1"/>
  <c r="JT20" s="1"/>
  <c r="EC12"/>
  <c r="JC12" s="1"/>
  <c r="JT12" s="1"/>
  <c r="EC33"/>
  <c r="JC33" s="1"/>
  <c r="JT33" s="1"/>
  <c r="EC25"/>
  <c r="JC25" s="1"/>
  <c r="JT25" s="1"/>
  <c r="EC17"/>
  <c r="JC17" s="1"/>
  <c r="JT17" s="1"/>
  <c r="GG30"/>
  <c r="IB30" s="1"/>
  <c r="GI15"/>
  <c r="ID15" s="1"/>
  <c r="JC5"/>
  <c r="JT5" s="1"/>
  <c r="JD27"/>
  <c r="JU27" s="1"/>
  <c r="JJ12"/>
  <c r="KA12" s="1"/>
  <c r="GH6"/>
  <c r="IC6" s="1"/>
  <c r="EF5"/>
  <c r="EC7"/>
  <c r="EK5"/>
  <c r="EI5"/>
  <c r="ED8"/>
  <c r="HQ14"/>
  <c r="CK14"/>
  <c r="CL14" s="1"/>
  <c r="EM6" s="1"/>
  <c r="HR14"/>
  <c r="EF4"/>
  <c r="EF31"/>
  <c r="EF27"/>
  <c r="EF23"/>
  <c r="EF19"/>
  <c r="EF15"/>
  <c r="EF11"/>
  <c r="EF7"/>
  <c r="EF33"/>
  <c r="EF29"/>
  <c r="EF25"/>
  <c r="EF21"/>
  <c r="EF17"/>
  <c r="EF13"/>
  <c r="EF9"/>
  <c r="ED33"/>
  <c r="ED29"/>
  <c r="ED25"/>
  <c r="ED21"/>
  <c r="ED17"/>
  <c r="ED13"/>
  <c r="ED9"/>
  <c r="ED5"/>
  <c r="ED32"/>
  <c r="ED28"/>
  <c r="ED24"/>
  <c r="ED20"/>
  <c r="ED16"/>
  <c r="ED12"/>
  <c r="EB31"/>
  <c r="EB27"/>
  <c r="EB23"/>
  <c r="EB19"/>
  <c r="EB15"/>
  <c r="EB11"/>
  <c r="EB7"/>
  <c r="EB30"/>
  <c r="EB26"/>
  <c r="EB22"/>
  <c r="EB18"/>
  <c r="EB14"/>
  <c r="EB10"/>
  <c r="EB6"/>
  <c r="EH8"/>
  <c r="EH12"/>
  <c r="EH16"/>
  <c r="EH20"/>
  <c r="EH24"/>
  <c r="EH28"/>
  <c r="EH31"/>
  <c r="EJ6"/>
  <c r="EJ10"/>
  <c r="EJ14"/>
  <c r="EJ18"/>
  <c r="EJ22"/>
  <c r="EJ26"/>
  <c r="EJ30"/>
  <c r="EJ33"/>
  <c r="EI33"/>
  <c r="EI31"/>
  <c r="EI29"/>
  <c r="EI27"/>
  <c r="EI25"/>
  <c r="EI23"/>
  <c r="EI21"/>
  <c r="EI19"/>
  <c r="EI17"/>
  <c r="EI15"/>
  <c r="EI13"/>
  <c r="EI11"/>
  <c r="EI9"/>
  <c r="EI7"/>
  <c r="EK33"/>
  <c r="EK31"/>
  <c r="EK29"/>
  <c r="EK27"/>
  <c r="EK25"/>
  <c r="EK23"/>
  <c r="EK21"/>
  <c r="EK19"/>
  <c r="EK17"/>
  <c r="EK15"/>
  <c r="EK13"/>
  <c r="EK11"/>
  <c r="EK9"/>
  <c r="EK7"/>
  <c r="EP32"/>
  <c r="EP29"/>
  <c r="EP25"/>
  <c r="EP21"/>
  <c r="EP17"/>
  <c r="EP13"/>
  <c r="EP9"/>
  <c r="EH7"/>
  <c r="EH11"/>
  <c r="EH15"/>
  <c r="EH19"/>
  <c r="EH23"/>
  <c r="EH27"/>
  <c r="EH4"/>
  <c r="EJ5"/>
  <c r="EJ9"/>
  <c r="EJ13"/>
  <c r="EJ17"/>
  <c r="EJ21"/>
  <c r="EJ25"/>
  <c r="EJ29"/>
  <c r="EJ32"/>
  <c r="EN33"/>
  <c r="EN31"/>
  <c r="EN30"/>
  <c r="EN28"/>
  <c r="EN26"/>
  <c r="EN24"/>
  <c r="EN22"/>
  <c r="EN20"/>
  <c r="EN18"/>
  <c r="EN16"/>
  <c r="EN14"/>
  <c r="EN12"/>
  <c r="EN10"/>
  <c r="EN8"/>
  <c r="EN6"/>
  <c r="EC4"/>
  <c r="EC30"/>
  <c r="EC26"/>
  <c r="EC22"/>
  <c r="EC18"/>
  <c r="EC14"/>
  <c r="EC10"/>
  <c r="EC6"/>
  <c r="EC31"/>
  <c r="EC27"/>
  <c r="EC23"/>
  <c r="EC19"/>
  <c r="EC15"/>
  <c r="EC11"/>
  <c r="FY5"/>
  <c r="FY6"/>
  <c r="FY7"/>
  <c r="FY8"/>
  <c r="FY9"/>
  <c r="FY10"/>
  <c r="FY11"/>
  <c r="FY12"/>
  <c r="FY13"/>
  <c r="FY14"/>
  <c r="FY15"/>
  <c r="FY16"/>
  <c r="FY17"/>
  <c r="FY18"/>
  <c r="FY19"/>
  <c r="FY20"/>
  <c r="FY21"/>
  <c r="FY22"/>
  <c r="FY23"/>
  <c r="FY24"/>
  <c r="FY25"/>
  <c r="FY26"/>
  <c r="FY27"/>
  <c r="FY28"/>
  <c r="FY29"/>
  <c r="FY30"/>
  <c r="FY31"/>
  <c r="FY32"/>
  <c r="FY33"/>
  <c r="FY4"/>
  <c r="EQ5"/>
  <c r="EQ7"/>
  <c r="EQ9"/>
  <c r="EQ11"/>
  <c r="EQ13"/>
  <c r="EQ15"/>
  <c r="EQ17"/>
  <c r="EQ19"/>
  <c r="EQ21"/>
  <c r="EQ23"/>
  <c r="EQ25"/>
  <c r="EQ27"/>
  <c r="EQ29"/>
  <c r="EQ31"/>
  <c r="EQ33"/>
  <c r="FM5"/>
  <c r="FM6"/>
  <c r="FM7"/>
  <c r="FM8"/>
  <c r="FM9"/>
  <c r="FM10"/>
  <c r="FM11"/>
  <c r="FM12"/>
  <c r="FM13"/>
  <c r="FM14"/>
  <c r="FM15"/>
  <c r="FM16"/>
  <c r="FM17"/>
  <c r="FM18"/>
  <c r="FM19"/>
  <c r="FM20"/>
  <c r="FM21"/>
  <c r="FM22"/>
  <c r="FM23"/>
  <c r="FM24"/>
  <c r="FM25"/>
  <c r="FM26"/>
  <c r="FM27"/>
  <c r="FM28"/>
  <c r="FM29"/>
  <c r="FM30"/>
  <c r="FM31"/>
  <c r="FM32"/>
  <c r="FM33"/>
  <c r="FM4"/>
  <c r="FD5"/>
  <c r="FD6"/>
  <c r="FD7"/>
  <c r="FD8"/>
  <c r="FD9"/>
  <c r="FD10"/>
  <c r="FD11"/>
  <c r="FD12"/>
  <c r="FD13"/>
  <c r="FD14"/>
  <c r="FD15"/>
  <c r="FD16"/>
  <c r="FD17"/>
  <c r="FD18"/>
  <c r="FD19"/>
  <c r="FD20"/>
  <c r="FD21"/>
  <c r="FD22"/>
  <c r="FD23"/>
  <c r="FD24"/>
  <c r="FD25"/>
  <c r="FD26"/>
  <c r="FD27"/>
  <c r="FD28"/>
  <c r="FD29"/>
  <c r="FD30"/>
  <c r="FD4"/>
  <c r="FD31"/>
  <c r="FD32"/>
  <c r="FD33"/>
  <c r="FU5"/>
  <c r="FU6"/>
  <c r="FU7"/>
  <c r="FU8"/>
  <c r="FU9"/>
  <c r="FU10"/>
  <c r="FU11"/>
  <c r="FU12"/>
  <c r="FU13"/>
  <c r="FU14"/>
  <c r="FU15"/>
  <c r="FU16"/>
  <c r="FU17"/>
  <c r="FU18"/>
  <c r="FU19"/>
  <c r="FU20"/>
  <c r="FU21"/>
  <c r="FU22"/>
  <c r="FU23"/>
  <c r="FU24"/>
  <c r="FU25"/>
  <c r="FU26"/>
  <c r="FU27"/>
  <c r="FU28"/>
  <c r="FU29"/>
  <c r="FU30"/>
  <c r="FU31"/>
  <c r="FU32"/>
  <c r="FU33"/>
  <c r="FU4"/>
  <c r="EM5"/>
  <c r="FT32"/>
  <c r="FT30"/>
  <c r="FT29"/>
  <c r="FT27"/>
  <c r="FT25"/>
  <c r="FT23"/>
  <c r="FT21"/>
  <c r="FT19"/>
  <c r="FT17"/>
  <c r="FT15"/>
  <c r="FT13"/>
  <c r="FT11"/>
  <c r="FT9"/>
  <c r="FT7"/>
  <c r="FT5"/>
  <c r="FW5"/>
  <c r="FW6"/>
  <c r="FW7"/>
  <c r="FW8"/>
  <c r="FW9"/>
  <c r="FW10"/>
  <c r="FW11"/>
  <c r="FW12"/>
  <c r="FW13"/>
  <c r="FW14"/>
  <c r="FW15"/>
  <c r="FW16"/>
  <c r="FW17"/>
  <c r="FW18"/>
  <c r="FW19"/>
  <c r="FW20"/>
  <c r="FW21"/>
  <c r="FW22"/>
  <c r="FW23"/>
  <c r="FW24"/>
  <c r="FW25"/>
  <c r="FW26"/>
  <c r="FW27"/>
  <c r="FW28"/>
  <c r="FW29"/>
  <c r="FW30"/>
  <c r="FW31"/>
  <c r="FW32"/>
  <c r="FW33"/>
  <c r="FW4"/>
  <c r="EO5"/>
  <c r="EO6"/>
  <c r="EO7"/>
  <c r="EO8"/>
  <c r="EO9"/>
  <c r="EO10"/>
  <c r="EO11"/>
  <c r="EO12"/>
  <c r="EO13"/>
  <c r="EO14"/>
  <c r="EO15"/>
  <c r="EO16"/>
  <c r="EO17"/>
  <c r="EO18"/>
  <c r="EO19"/>
  <c r="EO20"/>
  <c r="EO21"/>
  <c r="EO22"/>
  <c r="EO23"/>
  <c r="EO24"/>
  <c r="EO25"/>
  <c r="EO26"/>
  <c r="EO27"/>
  <c r="EO28"/>
  <c r="EO29"/>
  <c r="EO30"/>
  <c r="EO31"/>
  <c r="EO32"/>
  <c r="EO33"/>
  <c r="EO4"/>
  <c r="FO5"/>
  <c r="FO6"/>
  <c r="FO7"/>
  <c r="FO8"/>
  <c r="FO9"/>
  <c r="FO10"/>
  <c r="FO11"/>
  <c r="FO12"/>
  <c r="FO13"/>
  <c r="FO14"/>
  <c r="FO15"/>
  <c r="FO16"/>
  <c r="FO17"/>
  <c r="FO18"/>
  <c r="FO19"/>
  <c r="FO20"/>
  <c r="FO21"/>
  <c r="FO22"/>
  <c r="FO23"/>
  <c r="FO24"/>
  <c r="FO25"/>
  <c r="FO26"/>
  <c r="FO27"/>
  <c r="FO28"/>
  <c r="FO29"/>
  <c r="FO30"/>
  <c r="FO31"/>
  <c r="FO32"/>
  <c r="FO33"/>
  <c r="FO4"/>
  <c r="FT33"/>
  <c r="FT31"/>
  <c r="FT4"/>
  <c r="FT28"/>
  <c r="FT26"/>
  <c r="FT24"/>
  <c r="FT22"/>
  <c r="FT20"/>
  <c r="FT18"/>
  <c r="FT16"/>
  <c r="FT14"/>
  <c r="FT12"/>
  <c r="FT10"/>
  <c r="FT8"/>
  <c r="FT6"/>
  <c r="EG7"/>
  <c r="EG11"/>
  <c r="EG15"/>
  <c r="EG19"/>
  <c r="EG23"/>
  <c r="EG27"/>
  <c r="EG31"/>
  <c r="EG5"/>
  <c r="EG9"/>
  <c r="EG13"/>
  <c r="EG17"/>
  <c r="EG21"/>
  <c r="EG25"/>
  <c r="EG29"/>
  <c r="EG33"/>
  <c r="EE10"/>
  <c r="EE18"/>
  <c r="EE26"/>
  <c r="EE5"/>
  <c r="EE12"/>
  <c r="EE20"/>
  <c r="EE28"/>
  <c r="EE33"/>
  <c r="EE9"/>
  <c r="EE31"/>
  <c r="EE23"/>
  <c r="EE15"/>
  <c r="EE7"/>
  <c r="EE25"/>
  <c r="EE13"/>
  <c r="EB4"/>
  <c r="JB4" s="1"/>
  <c r="JS4" s="1"/>
  <c r="ED4"/>
  <c r="K42"/>
  <c r="L42"/>
  <c r="L36"/>
  <c r="M2" i="1" s="1"/>
  <c r="EQ4" i="2" l="1"/>
  <c r="EQ32"/>
  <c r="EQ30"/>
  <c r="EQ28"/>
  <c r="EQ26"/>
  <c r="EQ24"/>
  <c r="EQ22"/>
  <c r="EQ20"/>
  <c r="EQ18"/>
  <c r="EQ16"/>
  <c r="EQ14"/>
  <c r="EQ12"/>
  <c r="EQ10"/>
  <c r="EQ8"/>
  <c r="EP7"/>
  <c r="EP11"/>
  <c r="EP15"/>
  <c r="EP19"/>
  <c r="EP23"/>
  <c r="EP27"/>
  <c r="EP4"/>
  <c r="EP8"/>
  <c r="JP8" s="1"/>
  <c r="KG8" s="1"/>
  <c r="EP24"/>
  <c r="JP24" s="1"/>
  <c r="KG24" s="1"/>
  <c r="EP14"/>
  <c r="GO14" s="1"/>
  <c r="IJ14" s="1"/>
  <c r="I35" i="4" s="1"/>
  <c r="AS8" i="2"/>
  <c r="JH17"/>
  <c r="JY17" s="1"/>
  <c r="JI22"/>
  <c r="JZ22" s="1"/>
  <c r="AT16"/>
  <c r="AT19"/>
  <c r="AT14"/>
  <c r="AT13"/>
  <c r="AT18"/>
  <c r="AT12"/>
  <c r="AT15"/>
  <c r="AT17"/>
  <c r="AS7"/>
  <c r="AS11"/>
  <c r="AT11" s="1"/>
  <c r="AS6"/>
  <c r="AS10"/>
  <c r="AT10" s="1"/>
  <c r="GJ28"/>
  <c r="IE28" s="1"/>
  <c r="JB9"/>
  <c r="JS9" s="1"/>
  <c r="EP30"/>
  <c r="JP30" s="1"/>
  <c r="KG30" s="1"/>
  <c r="EP26"/>
  <c r="GO26" s="1"/>
  <c r="IJ26" s="1"/>
  <c r="AS5"/>
  <c r="AS9"/>
  <c r="AS4"/>
  <c r="EE21"/>
  <c r="GD21" s="1"/>
  <c r="HY21" s="1"/>
  <c r="EE29"/>
  <c r="GD29" s="1"/>
  <c r="HY29" s="1"/>
  <c r="EE11"/>
  <c r="JE11" s="1"/>
  <c r="EE19"/>
  <c r="GD19" s="1"/>
  <c r="HY19" s="1"/>
  <c r="EE27"/>
  <c r="GD27" s="1"/>
  <c r="HY27" s="1"/>
  <c r="EE4"/>
  <c r="GD4" s="1"/>
  <c r="HY4" s="1"/>
  <c r="EE17"/>
  <c r="JE17" s="1"/>
  <c r="EE32"/>
  <c r="GD32" s="1"/>
  <c r="HY32" s="1"/>
  <c r="EE24"/>
  <c r="GD24" s="1"/>
  <c r="HY24" s="1"/>
  <c r="EE16"/>
  <c r="GD16" s="1"/>
  <c r="HY16" s="1"/>
  <c r="EE8"/>
  <c r="JE8" s="1"/>
  <c r="EE30"/>
  <c r="GD30" s="1"/>
  <c r="HY30" s="1"/>
  <c r="EE22"/>
  <c r="GD22" s="1"/>
  <c r="HY22" s="1"/>
  <c r="EE14"/>
  <c r="GD14" s="1"/>
  <c r="HY14" s="1"/>
  <c r="EG32"/>
  <c r="JG32" s="1"/>
  <c r="EG28"/>
  <c r="GF28" s="1"/>
  <c r="IA28" s="1"/>
  <c r="EG24"/>
  <c r="GF24" s="1"/>
  <c r="IA24" s="1"/>
  <c r="EG20"/>
  <c r="GF20" s="1"/>
  <c r="IA20" s="1"/>
  <c r="EG16"/>
  <c r="JG16" s="1"/>
  <c r="EG12"/>
  <c r="GF12" s="1"/>
  <c r="IA12" s="1"/>
  <c r="G13" i="4" s="1"/>
  <c r="EG8" i="2"/>
  <c r="GF8" s="1"/>
  <c r="IA8" s="1"/>
  <c r="G9" i="4" s="1"/>
  <c r="EG4" i="2"/>
  <c r="GF4" s="1"/>
  <c r="IA4" s="1"/>
  <c r="G5" i="4" s="1"/>
  <c r="EG30" i="2"/>
  <c r="JG30" s="1"/>
  <c r="EG26"/>
  <c r="GF26" s="1"/>
  <c r="IA26" s="1"/>
  <c r="EG22"/>
  <c r="GF22" s="1"/>
  <c r="IA22" s="1"/>
  <c r="EG18"/>
  <c r="GF18" s="1"/>
  <c r="IA18" s="1"/>
  <c r="G19" i="4" s="1"/>
  <c r="EG14" i="2"/>
  <c r="JG14" s="1"/>
  <c r="EG10"/>
  <c r="GF10" s="1"/>
  <c r="IA10" s="1"/>
  <c r="G11" i="4" s="1"/>
  <c r="JJ19" i="2"/>
  <c r="KA19" s="1"/>
  <c r="JH9"/>
  <c r="JY9" s="1"/>
  <c r="EP5"/>
  <c r="JP5" s="1"/>
  <c r="KG5" s="1"/>
  <c r="JI14"/>
  <c r="JZ14" s="1"/>
  <c r="JB25"/>
  <c r="JS25" s="1"/>
  <c r="JF6"/>
  <c r="JW6" s="1"/>
  <c r="GB8"/>
  <c r="HW8" s="1"/>
  <c r="GJ14"/>
  <c r="IE14" s="1"/>
  <c r="C35" i="4" s="1"/>
  <c r="GC31" i="2"/>
  <c r="HX31" s="1"/>
  <c r="EP12"/>
  <c r="GO12" s="1"/>
  <c r="IJ12" s="1"/>
  <c r="I33" i="4" s="1"/>
  <c r="EP20" i="2"/>
  <c r="GO20" s="1"/>
  <c r="IJ20" s="1"/>
  <c r="EP28"/>
  <c r="GO28" s="1"/>
  <c r="IJ28" s="1"/>
  <c r="EP6"/>
  <c r="GO6" s="1"/>
  <c r="IJ6" s="1"/>
  <c r="I27" i="4" s="1"/>
  <c r="EP22" i="2"/>
  <c r="GO22" s="1"/>
  <c r="IJ22" s="1"/>
  <c r="EP10"/>
  <c r="GO10" s="1"/>
  <c r="IJ10" s="1"/>
  <c r="I31" i="4" s="1"/>
  <c r="EP18" i="2"/>
  <c r="GO18" s="1"/>
  <c r="IJ18" s="1"/>
  <c r="I39" i="4" s="1"/>
  <c r="EP33" i="2"/>
  <c r="JF12"/>
  <c r="JW12" s="1"/>
  <c r="JI10"/>
  <c r="JZ10" s="1"/>
  <c r="JH10"/>
  <c r="JY10" s="1"/>
  <c r="JD18"/>
  <c r="JU18" s="1"/>
  <c r="JF28"/>
  <c r="JW28" s="1"/>
  <c r="GA20"/>
  <c r="HV20" s="1"/>
  <c r="GM9"/>
  <c r="IH9" s="1"/>
  <c r="GO16"/>
  <c r="IJ16" s="1"/>
  <c r="I37" i="4" s="1"/>
  <c r="GH20" i="2"/>
  <c r="IC20" s="1"/>
  <c r="GA8"/>
  <c r="HV8" s="1"/>
  <c r="C9" i="4" s="1"/>
  <c r="GE24" i="2"/>
  <c r="HZ24" s="1"/>
  <c r="JK16"/>
  <c r="KB16" s="1"/>
  <c r="GH4"/>
  <c r="IC4" s="1"/>
  <c r="GC26"/>
  <c r="HX26" s="1"/>
  <c r="GB24"/>
  <c r="HW24" s="1"/>
  <c r="GM29"/>
  <c r="IH29" s="1"/>
  <c r="GG13"/>
  <c r="IB13" s="1"/>
  <c r="I14" i="4" s="1"/>
  <c r="GO31" i="2"/>
  <c r="IJ31" s="1"/>
  <c r="GJ30"/>
  <c r="IE30" s="1"/>
  <c r="GI31"/>
  <c r="ID31" s="1"/>
  <c r="GA5"/>
  <c r="HV5" s="1"/>
  <c r="C6" i="4" s="1"/>
  <c r="GC7" i="2"/>
  <c r="HX7" s="1"/>
  <c r="E8" i="4" s="1"/>
  <c r="GC30" i="2"/>
  <c r="HX30" s="1"/>
  <c r="GE26"/>
  <c r="HZ26" s="1"/>
  <c r="JF22"/>
  <c r="JW22" s="1"/>
  <c r="JH32"/>
  <c r="JY32" s="1"/>
  <c r="JP26"/>
  <c r="KG26" s="1"/>
  <c r="JK12"/>
  <c r="KB12" s="1"/>
  <c r="JK20"/>
  <c r="KB20" s="1"/>
  <c r="JI30"/>
  <c r="JZ30" s="1"/>
  <c r="JJ28"/>
  <c r="KA28" s="1"/>
  <c r="JH26"/>
  <c r="JY26" s="1"/>
  <c r="JB12"/>
  <c r="JS12" s="1"/>
  <c r="JD11"/>
  <c r="JU11" s="1"/>
  <c r="JD10"/>
  <c r="JU10" s="1"/>
  <c r="JF20"/>
  <c r="JW20" s="1"/>
  <c r="JF30"/>
  <c r="JW30" s="1"/>
  <c r="JC13"/>
  <c r="JT13" s="1"/>
  <c r="JJ11"/>
  <c r="KA11" s="1"/>
  <c r="JP18"/>
  <c r="KG18" s="1"/>
  <c r="GJ32"/>
  <c r="IE32" s="1"/>
  <c r="JI18"/>
  <c r="JZ18" s="1"/>
  <c r="JH33"/>
  <c r="JY33" s="1"/>
  <c r="JB17"/>
  <c r="JS17" s="1"/>
  <c r="GA28"/>
  <c r="HV28" s="1"/>
  <c r="JF14"/>
  <c r="JW14" s="1"/>
  <c r="GB16"/>
  <c r="HW16" s="1"/>
  <c r="GM5"/>
  <c r="IH5" s="1"/>
  <c r="GM25"/>
  <c r="IH25" s="1"/>
  <c r="GI4"/>
  <c r="ID4" s="1"/>
  <c r="GG29"/>
  <c r="IB29" s="1"/>
  <c r="GJ6"/>
  <c r="IE6" s="1"/>
  <c r="C27" i="4" s="1"/>
  <c r="GJ22" i="2"/>
  <c r="IE22" s="1"/>
  <c r="GH12"/>
  <c r="IC12" s="1"/>
  <c r="GH28"/>
  <c r="IC28" s="1"/>
  <c r="GI16"/>
  <c r="ID16" s="1"/>
  <c r="GG14"/>
  <c r="IB14" s="1"/>
  <c r="I15" i="4" s="1"/>
  <c r="GA21" i="2"/>
  <c r="HV21" s="1"/>
  <c r="GA24"/>
  <c r="HV24" s="1"/>
  <c r="GC15"/>
  <c r="HX15" s="1"/>
  <c r="E16" i="4" s="1"/>
  <c r="GC14" i="2"/>
  <c r="HX14" s="1"/>
  <c r="E15" i="4" s="1"/>
  <c r="GE8" i="2"/>
  <c r="HZ8" s="1"/>
  <c r="GE10"/>
  <c r="HZ10" s="1"/>
  <c r="GM27"/>
  <c r="IH27" s="1"/>
  <c r="JK8"/>
  <c r="KB8" s="1"/>
  <c r="JJ20"/>
  <c r="KA20" s="1"/>
  <c r="JH18"/>
  <c r="JY18" s="1"/>
  <c r="JB33"/>
  <c r="JS33" s="1"/>
  <c r="JI8"/>
  <c r="JZ8" s="1"/>
  <c r="JN32"/>
  <c r="KE32" s="1"/>
  <c r="JB16"/>
  <c r="JS16" s="1"/>
  <c r="JK10"/>
  <c r="KB10" s="1"/>
  <c r="JJ24"/>
  <c r="KA24" s="1"/>
  <c r="JD22"/>
  <c r="JU22" s="1"/>
  <c r="JH5"/>
  <c r="JY5" s="1"/>
  <c r="JB13"/>
  <c r="JS13" s="1"/>
  <c r="JD23"/>
  <c r="JU23" s="1"/>
  <c r="JF32"/>
  <c r="JW32" s="1"/>
  <c r="JC32"/>
  <c r="JT32" s="1"/>
  <c r="JN17"/>
  <c r="KE17" s="1"/>
  <c r="JJ27"/>
  <c r="KA27" s="1"/>
  <c r="JH25"/>
  <c r="JY25" s="1"/>
  <c r="JK24"/>
  <c r="KB24" s="1"/>
  <c r="JI26"/>
  <c r="JZ26" s="1"/>
  <c r="JD19"/>
  <c r="JU19" s="1"/>
  <c r="JC21"/>
  <c r="JT21" s="1"/>
  <c r="JN13"/>
  <c r="KE13" s="1"/>
  <c r="JN21"/>
  <c r="KE21" s="1"/>
  <c r="JJ7"/>
  <c r="KA7" s="1"/>
  <c r="JK26"/>
  <c r="KB26" s="1"/>
  <c r="JI24"/>
  <c r="JZ24" s="1"/>
  <c r="JH22"/>
  <c r="JY22" s="1"/>
  <c r="JB29"/>
  <c r="JS29" s="1"/>
  <c r="JB32"/>
  <c r="JS32" s="1"/>
  <c r="JD6"/>
  <c r="JU6" s="1"/>
  <c r="JF16"/>
  <c r="JW16" s="1"/>
  <c r="JF18"/>
  <c r="JW18" s="1"/>
  <c r="JC29"/>
  <c r="JT29" s="1"/>
  <c r="JJ23"/>
  <c r="KA23" s="1"/>
  <c r="JH21"/>
  <c r="JY21" s="1"/>
  <c r="JK18"/>
  <c r="KB18" s="1"/>
  <c r="JK4"/>
  <c r="KB4" s="1"/>
  <c r="JI16"/>
  <c r="JZ16" s="1"/>
  <c r="JI32"/>
  <c r="JZ32" s="1"/>
  <c r="JJ8"/>
  <c r="KA8" s="1"/>
  <c r="JH6"/>
  <c r="JY6" s="1"/>
  <c r="GB12"/>
  <c r="HW12" s="1"/>
  <c r="GB9"/>
  <c r="HW9" s="1"/>
  <c r="GM11"/>
  <c r="IH11" s="1"/>
  <c r="GB25"/>
  <c r="HW25" s="1"/>
  <c r="GB28"/>
  <c r="HW28" s="1"/>
  <c r="GM19"/>
  <c r="IH19" s="1"/>
  <c r="K800"/>
  <c r="K798"/>
  <c r="K796"/>
  <c r="K794"/>
  <c r="K792"/>
  <c r="K790"/>
  <c r="K788"/>
  <c r="K786"/>
  <c r="K784"/>
  <c r="K782"/>
  <c r="K780"/>
  <c r="K778"/>
  <c r="K776"/>
  <c r="K774"/>
  <c r="K772"/>
  <c r="K770"/>
  <c r="K768"/>
  <c r="K766"/>
  <c r="K764"/>
  <c r="K762"/>
  <c r="K760"/>
  <c r="K758"/>
  <c r="K756"/>
  <c r="K754"/>
  <c r="K752"/>
  <c r="K750"/>
  <c r="K748"/>
  <c r="K746"/>
  <c r="K744"/>
  <c r="K742"/>
  <c r="K740"/>
  <c r="K738"/>
  <c r="K736"/>
  <c r="K734"/>
  <c r="K732"/>
  <c r="K730"/>
  <c r="K728"/>
  <c r="K726"/>
  <c r="K724"/>
  <c r="K722"/>
  <c r="K720"/>
  <c r="K718"/>
  <c r="K716"/>
  <c r="K714"/>
  <c r="K712"/>
  <c r="K710"/>
  <c r="K708"/>
  <c r="K706"/>
  <c r="K704"/>
  <c r="K702"/>
  <c r="K700"/>
  <c r="K698"/>
  <c r="K696"/>
  <c r="K694"/>
  <c r="K692"/>
  <c r="K690"/>
  <c r="K688"/>
  <c r="K686"/>
  <c r="K684"/>
  <c r="K682"/>
  <c r="K680"/>
  <c r="K678"/>
  <c r="K676"/>
  <c r="K674"/>
  <c r="K672"/>
  <c r="K670"/>
  <c r="K668"/>
  <c r="K666"/>
  <c r="K664"/>
  <c r="K662"/>
  <c r="K660"/>
  <c r="K658"/>
  <c r="K656"/>
  <c r="K654"/>
  <c r="K652"/>
  <c r="K650"/>
  <c r="K648"/>
  <c r="K646"/>
  <c r="K644"/>
  <c r="K642"/>
  <c r="K640"/>
  <c r="K638"/>
  <c r="K636"/>
  <c r="K634"/>
  <c r="K632"/>
  <c r="K630"/>
  <c r="K628"/>
  <c r="K626"/>
  <c r="K624"/>
  <c r="K622"/>
  <c r="K620"/>
  <c r="K618"/>
  <c r="K616"/>
  <c r="K614"/>
  <c r="K612"/>
  <c r="K610"/>
  <c r="K608"/>
  <c r="K606"/>
  <c r="K604"/>
  <c r="K602"/>
  <c r="K600"/>
  <c r="K598"/>
  <c r="K596"/>
  <c r="K594"/>
  <c r="K592"/>
  <c r="K590"/>
  <c r="K588"/>
  <c r="K586"/>
  <c r="K584"/>
  <c r="K582"/>
  <c r="K580"/>
  <c r="K578"/>
  <c r="K576"/>
  <c r="K574"/>
  <c r="K572"/>
  <c r="K570"/>
  <c r="K568"/>
  <c r="K566"/>
  <c r="K564"/>
  <c r="K562"/>
  <c r="K560"/>
  <c r="K558"/>
  <c r="K556"/>
  <c r="K554"/>
  <c r="K552"/>
  <c r="K550"/>
  <c r="K548"/>
  <c r="K546"/>
  <c r="K544"/>
  <c r="K542"/>
  <c r="K540"/>
  <c r="K538"/>
  <c r="K536"/>
  <c r="K534"/>
  <c r="K532"/>
  <c r="K530"/>
  <c r="K528"/>
  <c r="K526"/>
  <c r="K524"/>
  <c r="K522"/>
  <c r="K520"/>
  <c r="K518"/>
  <c r="K516"/>
  <c r="K514"/>
  <c r="K512"/>
  <c r="K510"/>
  <c r="K508"/>
  <c r="K506"/>
  <c r="K504"/>
  <c r="K502"/>
  <c r="K500"/>
  <c r="K498"/>
  <c r="K496"/>
  <c r="K494"/>
  <c r="K492"/>
  <c r="K490"/>
  <c r="K488"/>
  <c r="K486"/>
  <c r="K484"/>
  <c r="K482"/>
  <c r="K480"/>
  <c r="K478"/>
  <c r="K476"/>
  <c r="K474"/>
  <c r="K472"/>
  <c r="K470"/>
  <c r="K468"/>
  <c r="K466"/>
  <c r="K464"/>
  <c r="K462"/>
  <c r="K460"/>
  <c r="K458"/>
  <c r="K456"/>
  <c r="K454"/>
  <c r="K452"/>
  <c r="K450"/>
  <c r="K448"/>
  <c r="K446"/>
  <c r="K444"/>
  <c r="K442"/>
  <c r="K440"/>
  <c r="K438"/>
  <c r="K436"/>
  <c r="K434"/>
  <c r="K432"/>
  <c r="K430"/>
  <c r="K428"/>
  <c r="K426"/>
  <c r="K424"/>
  <c r="K422"/>
  <c r="K420"/>
  <c r="K418"/>
  <c r="K416"/>
  <c r="K414"/>
  <c r="K412"/>
  <c r="K410"/>
  <c r="K408"/>
  <c r="K406"/>
  <c r="K404"/>
  <c r="K402"/>
  <c r="K400"/>
  <c r="K398"/>
  <c r="K396"/>
  <c r="K394"/>
  <c r="K392"/>
  <c r="K390"/>
  <c r="K388"/>
  <c r="K386"/>
  <c r="K384"/>
  <c r="K382"/>
  <c r="K380"/>
  <c r="K378"/>
  <c r="K376"/>
  <c r="K374"/>
  <c r="K372"/>
  <c r="K370"/>
  <c r="K368"/>
  <c r="K366"/>
  <c r="K364"/>
  <c r="K362"/>
  <c r="K360"/>
  <c r="K358"/>
  <c r="K356"/>
  <c r="K354"/>
  <c r="K352"/>
  <c r="K350"/>
  <c r="K348"/>
  <c r="K801"/>
  <c r="K799"/>
  <c r="K797"/>
  <c r="K795"/>
  <c r="K793"/>
  <c r="K791"/>
  <c r="K789"/>
  <c r="K787"/>
  <c r="K785"/>
  <c r="K783"/>
  <c r="K781"/>
  <c r="K779"/>
  <c r="K777"/>
  <c r="K775"/>
  <c r="K773"/>
  <c r="K771"/>
  <c r="K769"/>
  <c r="K767"/>
  <c r="K765"/>
  <c r="K763"/>
  <c r="K761"/>
  <c r="K759"/>
  <c r="K757"/>
  <c r="K755"/>
  <c r="K753"/>
  <c r="K751"/>
  <c r="K749"/>
  <c r="K747"/>
  <c r="K745"/>
  <c r="K743"/>
  <c r="K741"/>
  <c r="K739"/>
  <c r="K737"/>
  <c r="K735"/>
  <c r="K733"/>
  <c r="K731"/>
  <c r="K729"/>
  <c r="K727"/>
  <c r="K725"/>
  <c r="K723"/>
  <c r="K721"/>
  <c r="K719"/>
  <c r="K717"/>
  <c r="K715"/>
  <c r="K713"/>
  <c r="K711"/>
  <c r="K709"/>
  <c r="K707"/>
  <c r="K705"/>
  <c r="K703"/>
  <c r="K701"/>
  <c r="K699"/>
  <c r="K697"/>
  <c r="K695"/>
  <c r="K693"/>
  <c r="K691"/>
  <c r="K689"/>
  <c r="K687"/>
  <c r="K685"/>
  <c r="K683"/>
  <c r="K681"/>
  <c r="K679"/>
  <c r="K677"/>
  <c r="K675"/>
  <c r="K673"/>
  <c r="K671"/>
  <c r="K669"/>
  <c r="K667"/>
  <c r="K665"/>
  <c r="K663"/>
  <c r="K661"/>
  <c r="K659"/>
  <c r="K657"/>
  <c r="K655"/>
  <c r="K653"/>
  <c r="K651"/>
  <c r="K649"/>
  <c r="K647"/>
  <c r="K645"/>
  <c r="K643"/>
  <c r="K641"/>
  <c r="K639"/>
  <c r="K637"/>
  <c r="K635"/>
  <c r="K633"/>
  <c r="K631"/>
  <c r="K629"/>
  <c r="K627"/>
  <c r="K625"/>
  <c r="K623"/>
  <c r="K621"/>
  <c r="K619"/>
  <c r="K617"/>
  <c r="K615"/>
  <c r="K613"/>
  <c r="K611"/>
  <c r="K609"/>
  <c r="K607"/>
  <c r="K605"/>
  <c r="K603"/>
  <c r="K601"/>
  <c r="K599"/>
  <c r="K597"/>
  <c r="K595"/>
  <c r="K593"/>
  <c r="K591"/>
  <c r="K589"/>
  <c r="K587"/>
  <c r="K585"/>
  <c r="K583"/>
  <c r="K581"/>
  <c r="K579"/>
  <c r="K577"/>
  <c r="K575"/>
  <c r="K573"/>
  <c r="K571"/>
  <c r="K569"/>
  <c r="K567"/>
  <c r="K565"/>
  <c r="K563"/>
  <c r="K561"/>
  <c r="K559"/>
  <c r="K557"/>
  <c r="K555"/>
  <c r="K553"/>
  <c r="K551"/>
  <c r="K549"/>
  <c r="K547"/>
  <c r="K545"/>
  <c r="K543"/>
  <c r="K541"/>
  <c r="K539"/>
  <c r="K537"/>
  <c r="K535"/>
  <c r="K533"/>
  <c r="K531"/>
  <c r="K529"/>
  <c r="K527"/>
  <c r="K525"/>
  <c r="K523"/>
  <c r="K521"/>
  <c r="K519"/>
  <c r="K517"/>
  <c r="K515"/>
  <c r="K513"/>
  <c r="K511"/>
  <c r="K509"/>
  <c r="K507"/>
  <c r="K505"/>
  <c r="K503"/>
  <c r="K501"/>
  <c r="K499"/>
  <c r="K497"/>
  <c r="K495"/>
  <c r="K493"/>
  <c r="K491"/>
  <c r="K489"/>
  <c r="K487"/>
  <c r="K485"/>
  <c r="K483"/>
  <c r="K481"/>
  <c r="K479"/>
  <c r="K477"/>
  <c r="K475"/>
  <c r="K473"/>
  <c r="K471"/>
  <c r="K469"/>
  <c r="K467"/>
  <c r="K465"/>
  <c r="K463"/>
  <c r="K461"/>
  <c r="K459"/>
  <c r="K457"/>
  <c r="K455"/>
  <c r="K453"/>
  <c r="K451"/>
  <c r="K449"/>
  <c r="K447"/>
  <c r="K445"/>
  <c r="K443"/>
  <c r="K441"/>
  <c r="K439"/>
  <c r="K437"/>
  <c r="K435"/>
  <c r="K433"/>
  <c r="K431"/>
  <c r="K429"/>
  <c r="K427"/>
  <c r="K425"/>
  <c r="K423"/>
  <c r="K421"/>
  <c r="K419"/>
  <c r="K417"/>
  <c r="K415"/>
  <c r="K413"/>
  <c r="K411"/>
  <c r="K409"/>
  <c r="K407"/>
  <c r="K405"/>
  <c r="K403"/>
  <c r="K401"/>
  <c r="K399"/>
  <c r="K397"/>
  <c r="K395"/>
  <c r="K393"/>
  <c r="K391"/>
  <c r="K389"/>
  <c r="K387"/>
  <c r="K385"/>
  <c r="K383"/>
  <c r="K381"/>
  <c r="K379"/>
  <c r="K377"/>
  <c r="K375"/>
  <c r="K373"/>
  <c r="K371"/>
  <c r="K369"/>
  <c r="K367"/>
  <c r="K365"/>
  <c r="K363"/>
  <c r="K361"/>
  <c r="K359"/>
  <c r="K357"/>
  <c r="K355"/>
  <c r="K353"/>
  <c r="K351"/>
  <c r="K349"/>
  <c r="K347"/>
  <c r="K345"/>
  <c r="K343"/>
  <c r="K341"/>
  <c r="K339"/>
  <c r="K337"/>
  <c r="K335"/>
  <c r="K333"/>
  <c r="K331"/>
  <c r="K329"/>
  <c r="K327"/>
  <c r="K325"/>
  <c r="K323"/>
  <c r="K321"/>
  <c r="K319"/>
  <c r="K317"/>
  <c r="K315"/>
  <c r="K313"/>
  <c r="K311"/>
  <c r="K309"/>
  <c r="K307"/>
  <c r="K305"/>
  <c r="K303"/>
  <c r="K301"/>
  <c r="K299"/>
  <c r="K297"/>
  <c r="K295"/>
  <c r="K293"/>
  <c r="K291"/>
  <c r="K344"/>
  <c r="K340"/>
  <c r="K336"/>
  <c r="K332"/>
  <c r="K328"/>
  <c r="K324"/>
  <c r="K320"/>
  <c r="K316"/>
  <c r="K312"/>
  <c r="K308"/>
  <c r="K304"/>
  <c r="K300"/>
  <c r="K296"/>
  <c r="K292"/>
  <c r="K289"/>
  <c r="K287"/>
  <c r="K285"/>
  <c r="K283"/>
  <c r="K281"/>
  <c r="K279"/>
  <c r="K277"/>
  <c r="K275"/>
  <c r="K273"/>
  <c r="K271"/>
  <c r="K269"/>
  <c r="K267"/>
  <c r="K265"/>
  <c r="K263"/>
  <c r="K261"/>
  <c r="K259"/>
  <c r="K257"/>
  <c r="K255"/>
  <c r="K253"/>
  <c r="K251"/>
  <c r="K249"/>
  <c r="K247"/>
  <c r="K245"/>
  <c r="K243"/>
  <c r="K241"/>
  <c r="K239"/>
  <c r="K237"/>
  <c r="K235"/>
  <c r="K233"/>
  <c r="K231"/>
  <c r="K229"/>
  <c r="K227"/>
  <c r="K225"/>
  <c r="K223"/>
  <c r="K221"/>
  <c r="K219"/>
  <c r="K217"/>
  <c r="K215"/>
  <c r="K213"/>
  <c r="K211"/>
  <c r="K209"/>
  <c r="K207"/>
  <c r="K205"/>
  <c r="K203"/>
  <c r="K201"/>
  <c r="K199"/>
  <c r="K197"/>
  <c r="K195"/>
  <c r="K193"/>
  <c r="K191"/>
  <c r="K189"/>
  <c r="K187"/>
  <c r="K185"/>
  <c r="K183"/>
  <c r="K181"/>
  <c r="K179"/>
  <c r="K177"/>
  <c r="K175"/>
  <c r="K173"/>
  <c r="K171"/>
  <c r="K169"/>
  <c r="K167"/>
  <c r="K165"/>
  <c r="K163"/>
  <c r="K161"/>
  <c r="K159"/>
  <c r="K157"/>
  <c r="K155"/>
  <c r="K153"/>
  <c r="K151"/>
  <c r="K149"/>
  <c r="K147"/>
  <c r="K145"/>
  <c r="K143"/>
  <c r="K141"/>
  <c r="K139"/>
  <c r="K137"/>
  <c r="K135"/>
  <c r="K133"/>
  <c r="K131"/>
  <c r="K129"/>
  <c r="K127"/>
  <c r="K125"/>
  <c r="K123"/>
  <c r="K121"/>
  <c r="K119"/>
  <c r="K117"/>
  <c r="K115"/>
  <c r="K113"/>
  <c r="K111"/>
  <c r="K109"/>
  <c r="K107"/>
  <c r="K105"/>
  <c r="K103"/>
  <c r="K101"/>
  <c r="K99"/>
  <c r="K97"/>
  <c r="K95"/>
  <c r="K93"/>
  <c r="K91"/>
  <c r="K89"/>
  <c r="K87"/>
  <c r="K85"/>
  <c r="K83"/>
  <c r="K81"/>
  <c r="K79"/>
  <c r="K77"/>
  <c r="K75"/>
  <c r="K73"/>
  <c r="K71"/>
  <c r="K69"/>
  <c r="K67"/>
  <c r="K65"/>
  <c r="K63"/>
  <c r="K61"/>
  <c r="K59"/>
  <c r="K57"/>
  <c r="K55"/>
  <c r="K53"/>
  <c r="K51"/>
  <c r="K49"/>
  <c r="K47"/>
  <c r="K45"/>
  <c r="K346"/>
  <c r="K342"/>
  <c r="K338"/>
  <c r="K334"/>
  <c r="K330"/>
  <c r="K326"/>
  <c r="K322"/>
  <c r="K318"/>
  <c r="K314"/>
  <c r="K310"/>
  <c r="K306"/>
  <c r="K302"/>
  <c r="K298"/>
  <c r="K294"/>
  <c r="K290"/>
  <c r="K288"/>
  <c r="K286"/>
  <c r="K284"/>
  <c r="K282"/>
  <c r="K280"/>
  <c r="K278"/>
  <c r="K276"/>
  <c r="K274"/>
  <c r="K272"/>
  <c r="K270"/>
  <c r="K268"/>
  <c r="K266"/>
  <c r="K264"/>
  <c r="K262"/>
  <c r="K260"/>
  <c r="K258"/>
  <c r="K256"/>
  <c r="K254"/>
  <c r="K252"/>
  <c r="K250"/>
  <c r="K248"/>
  <c r="K246"/>
  <c r="K244"/>
  <c r="K242"/>
  <c r="K240"/>
  <c r="K238"/>
  <c r="K236"/>
  <c r="K234"/>
  <c r="K232"/>
  <c r="K230"/>
  <c r="K228"/>
  <c r="K226"/>
  <c r="K224"/>
  <c r="K222"/>
  <c r="K220"/>
  <c r="K218"/>
  <c r="K216"/>
  <c r="K214"/>
  <c r="K212"/>
  <c r="K210"/>
  <c r="K208"/>
  <c r="K206"/>
  <c r="K204"/>
  <c r="K202"/>
  <c r="K200"/>
  <c r="K198"/>
  <c r="K196"/>
  <c r="K194"/>
  <c r="K192"/>
  <c r="K190"/>
  <c r="K188"/>
  <c r="K186"/>
  <c r="K184"/>
  <c r="K182"/>
  <c r="K180"/>
  <c r="K178"/>
  <c r="K176"/>
  <c r="K174"/>
  <c r="K172"/>
  <c r="K170"/>
  <c r="K168"/>
  <c r="K166"/>
  <c r="K164"/>
  <c r="K162"/>
  <c r="K160"/>
  <c r="K158"/>
  <c r="K156"/>
  <c r="K154"/>
  <c r="K152"/>
  <c r="K150"/>
  <c r="K148"/>
  <c r="K146"/>
  <c r="K144"/>
  <c r="K142"/>
  <c r="K140"/>
  <c r="K138"/>
  <c r="K136"/>
  <c r="K134"/>
  <c r="K132"/>
  <c r="K130"/>
  <c r="K128"/>
  <c r="K126"/>
  <c r="K124"/>
  <c r="K122"/>
  <c r="K120"/>
  <c r="K118"/>
  <c r="K116"/>
  <c r="K114"/>
  <c r="K112"/>
  <c r="K110"/>
  <c r="K108"/>
  <c r="K106"/>
  <c r="K104"/>
  <c r="K102"/>
  <c r="K100"/>
  <c r="K98"/>
  <c r="K96"/>
  <c r="K94"/>
  <c r="K92"/>
  <c r="K90"/>
  <c r="K88"/>
  <c r="K86"/>
  <c r="K84"/>
  <c r="K82"/>
  <c r="K80"/>
  <c r="K78"/>
  <c r="K76"/>
  <c r="K74"/>
  <c r="K72"/>
  <c r="K70"/>
  <c r="K68"/>
  <c r="K66"/>
  <c r="K64"/>
  <c r="K62"/>
  <c r="K60"/>
  <c r="K58"/>
  <c r="K56"/>
  <c r="K54"/>
  <c r="K52"/>
  <c r="K50"/>
  <c r="K48"/>
  <c r="K46"/>
  <c r="K44"/>
  <c r="GB17"/>
  <c r="HW17" s="1"/>
  <c r="GB33"/>
  <c r="HW33" s="1"/>
  <c r="GB20"/>
  <c r="HW20" s="1"/>
  <c r="GM7"/>
  <c r="IH7" s="1"/>
  <c r="GM15"/>
  <c r="IH15" s="1"/>
  <c r="GM23"/>
  <c r="IH23" s="1"/>
  <c r="JN4"/>
  <c r="KE4" s="1"/>
  <c r="HD23"/>
  <c r="EL4"/>
  <c r="GK4" s="1"/>
  <c r="IF4" s="1"/>
  <c r="E25" i="4" s="1"/>
  <c r="EL8" i="2"/>
  <c r="GK8" s="1"/>
  <c r="IF8" s="1"/>
  <c r="E29" i="4" s="1"/>
  <c r="EM21" i="2"/>
  <c r="JM21" s="1"/>
  <c r="KD21" s="1"/>
  <c r="GX9"/>
  <c r="H10" i="4" s="1"/>
  <c r="GR17" i="2"/>
  <c r="B18" i="4" s="1"/>
  <c r="GY32" i="2"/>
  <c r="GY6"/>
  <c r="GV14"/>
  <c r="GR32"/>
  <c r="EL15"/>
  <c r="GK15" s="1"/>
  <c r="IF15" s="1"/>
  <c r="E36" i="4" s="1"/>
  <c r="EL24" i="2"/>
  <c r="GK24" s="1"/>
  <c r="IF24" s="1"/>
  <c r="EM29"/>
  <c r="GL29" s="1"/>
  <c r="IG29" s="1"/>
  <c r="EM13"/>
  <c r="GL13" s="1"/>
  <c r="IG13" s="1"/>
  <c r="GZ28"/>
  <c r="GT27"/>
  <c r="GX21"/>
  <c r="GX6"/>
  <c r="H7" i="4" s="1"/>
  <c r="EL7" i="2"/>
  <c r="JL7" s="1"/>
  <c r="KC7" s="1"/>
  <c r="EL23"/>
  <c r="GK23" s="1"/>
  <c r="IF23" s="1"/>
  <c r="EL16"/>
  <c r="GK16" s="1"/>
  <c r="IF16" s="1"/>
  <c r="E37" i="4" s="1"/>
  <c r="EL31" i="2"/>
  <c r="GK31" s="1"/>
  <c r="IF31" s="1"/>
  <c r="EM33"/>
  <c r="JM33" s="1"/>
  <c r="KD33" s="1"/>
  <c r="EM25"/>
  <c r="GL25" s="1"/>
  <c r="IG25" s="1"/>
  <c r="EM17"/>
  <c r="GL17" s="1"/>
  <c r="IG17" s="1"/>
  <c r="EM9"/>
  <c r="GL9" s="1"/>
  <c r="IG9" s="1"/>
  <c r="GZ11"/>
  <c r="HA20"/>
  <c r="GY22"/>
  <c r="GX26"/>
  <c r="GV12"/>
  <c r="GS13"/>
  <c r="GZ23"/>
  <c r="GY16"/>
  <c r="GZ8"/>
  <c r="GR29"/>
  <c r="GV32"/>
  <c r="EL11"/>
  <c r="GK11" s="1"/>
  <c r="IF11" s="1"/>
  <c r="E32" i="4" s="1"/>
  <c r="EL19" i="2"/>
  <c r="GK19" s="1"/>
  <c r="IF19" s="1"/>
  <c r="E40" i="4" s="1"/>
  <c r="EL27" i="2"/>
  <c r="GK27" s="1"/>
  <c r="IF27" s="1"/>
  <c r="EL12"/>
  <c r="GK12" s="1"/>
  <c r="IF12" s="1"/>
  <c r="E33" i="4" s="1"/>
  <c r="EL20" i="2"/>
  <c r="GK20" s="1"/>
  <c r="IF20" s="1"/>
  <c r="EL28"/>
  <c r="GK28" s="1"/>
  <c r="IF28" s="1"/>
  <c r="EM31"/>
  <c r="JM31" s="1"/>
  <c r="KD31" s="1"/>
  <c r="EM27"/>
  <c r="GL27" s="1"/>
  <c r="IG27" s="1"/>
  <c r="EM23"/>
  <c r="JM23" s="1"/>
  <c r="KD23" s="1"/>
  <c r="EM19"/>
  <c r="GL19" s="1"/>
  <c r="IG19" s="1"/>
  <c r="EM15"/>
  <c r="GL15" s="1"/>
  <c r="IG15" s="1"/>
  <c r="EM11"/>
  <c r="GL11" s="1"/>
  <c r="IG11" s="1"/>
  <c r="EM7"/>
  <c r="GL7" s="1"/>
  <c r="IG7" s="1"/>
  <c r="GZ27"/>
  <c r="GX25"/>
  <c r="HA12"/>
  <c r="B33" i="4" s="1"/>
  <c r="GY14" i="2"/>
  <c r="GY30"/>
  <c r="GZ12"/>
  <c r="GX10"/>
  <c r="H11" i="4" s="1"/>
  <c r="GR33" i="2"/>
  <c r="GT11"/>
  <c r="D12" i="4" s="1"/>
  <c r="GT18" i="2"/>
  <c r="D19" i="4" s="1"/>
  <c r="GV28" i="2"/>
  <c r="GV30"/>
  <c r="GS29"/>
  <c r="GS32"/>
  <c r="HD17"/>
  <c r="HD32"/>
  <c r="GZ7"/>
  <c r="GX5"/>
  <c r="H6" i="4" s="1"/>
  <c r="GY8" i="2"/>
  <c r="GY24"/>
  <c r="GZ24"/>
  <c r="GX22"/>
  <c r="GR13"/>
  <c r="B14" i="4" s="1"/>
  <c r="GR16" i="2"/>
  <c r="B17" i="4" s="1"/>
  <c r="GV16" i="2"/>
  <c r="GV18"/>
  <c r="HD4"/>
  <c r="GZ19"/>
  <c r="GX32"/>
  <c r="GX17"/>
  <c r="H18" i="4" s="1"/>
  <c r="HF14" i="2"/>
  <c r="H35" i="4" s="1"/>
  <c r="HA8" i="2"/>
  <c r="B29" i="4" s="1"/>
  <c r="HA16" i="2"/>
  <c r="B37" i="4" s="1"/>
  <c r="HA24" i="2"/>
  <c r="GY10"/>
  <c r="GY18"/>
  <c r="GY26"/>
  <c r="GZ20"/>
  <c r="GX33"/>
  <c r="GX18"/>
  <c r="H19" i="4" s="1"/>
  <c r="GR9" i="2"/>
  <c r="B10" i="4" s="1"/>
  <c r="GR25" i="2"/>
  <c r="GR12"/>
  <c r="B13" i="4" s="1"/>
  <c r="GT19" i="2"/>
  <c r="D20" i="4" s="1"/>
  <c r="GT10" i="2"/>
  <c r="D11" i="4" s="1"/>
  <c r="GV20" i="2"/>
  <c r="GV6"/>
  <c r="GV22"/>
  <c r="GS5"/>
  <c r="GS21"/>
  <c r="HD13"/>
  <c r="HD21"/>
  <c r="GZ15"/>
  <c r="HA10"/>
  <c r="B31" i="4" s="1"/>
  <c r="HA18" i="2"/>
  <c r="B39" i="4" s="1"/>
  <c r="HA26" i="2"/>
  <c r="HA4"/>
  <c r="B25" i="4" s="1"/>
  <c r="GX30" i="2"/>
  <c r="GT23"/>
  <c r="GT6"/>
  <c r="D7" i="4" s="1"/>
  <c r="GT22" i="2"/>
  <c r="EL5"/>
  <c r="JL5" s="1"/>
  <c r="KC5" s="1"/>
  <c r="EL9"/>
  <c r="JL9" s="1"/>
  <c r="KC9" s="1"/>
  <c r="EL13"/>
  <c r="JL13" s="1"/>
  <c r="KC13" s="1"/>
  <c r="EL17"/>
  <c r="JL17" s="1"/>
  <c r="KC17" s="1"/>
  <c r="EL21"/>
  <c r="JL21" s="1"/>
  <c r="KC21" s="1"/>
  <c r="EL25"/>
  <c r="JL25" s="1"/>
  <c r="KC25" s="1"/>
  <c r="EL29"/>
  <c r="JL29" s="1"/>
  <c r="KC29" s="1"/>
  <c r="EL32"/>
  <c r="JL32" s="1"/>
  <c r="KC32" s="1"/>
  <c r="EL6"/>
  <c r="JL6" s="1"/>
  <c r="KC6" s="1"/>
  <c r="EL10"/>
  <c r="JL10" s="1"/>
  <c r="KC10" s="1"/>
  <c r="EL14"/>
  <c r="JL14" s="1"/>
  <c r="KC14" s="1"/>
  <c r="EL18"/>
  <c r="JL18" s="1"/>
  <c r="KC18" s="1"/>
  <c r="EL22"/>
  <c r="JL22" s="1"/>
  <c r="KC22" s="1"/>
  <c r="EL26"/>
  <c r="JL26" s="1"/>
  <c r="KC26" s="1"/>
  <c r="EL30"/>
  <c r="JL30" s="1"/>
  <c r="KC30" s="1"/>
  <c r="EL33"/>
  <c r="JL33" s="1"/>
  <c r="KC33" s="1"/>
  <c r="EM4"/>
  <c r="JM4" s="1"/>
  <c r="KD4" s="1"/>
  <c r="EM32"/>
  <c r="GL32" s="1"/>
  <c r="IG32" s="1"/>
  <c r="EM30"/>
  <c r="JM30" s="1"/>
  <c r="KD30" s="1"/>
  <c r="EM28"/>
  <c r="GL28" s="1"/>
  <c r="IG28" s="1"/>
  <c r="EM26"/>
  <c r="JM26" s="1"/>
  <c r="KD26" s="1"/>
  <c r="EM24"/>
  <c r="GL24" s="1"/>
  <c r="IG24" s="1"/>
  <c r="EM22"/>
  <c r="JM22" s="1"/>
  <c r="KD22" s="1"/>
  <c r="EM20"/>
  <c r="GL20" s="1"/>
  <c r="IG20" s="1"/>
  <c r="EM18"/>
  <c r="JM18" s="1"/>
  <c r="KD18" s="1"/>
  <c r="EM16"/>
  <c r="GL16" s="1"/>
  <c r="IG16" s="1"/>
  <c r="EM14"/>
  <c r="JM14" s="1"/>
  <c r="KD14" s="1"/>
  <c r="EM12"/>
  <c r="GL12" s="1"/>
  <c r="IG12" s="1"/>
  <c r="EM10"/>
  <c r="JM10" s="1"/>
  <c r="KD10" s="1"/>
  <c r="EM8"/>
  <c r="GL8" s="1"/>
  <c r="IG8" s="1"/>
  <c r="VJ3"/>
  <c r="AT4"/>
  <c r="BP4" s="1"/>
  <c r="W4" i="3" s="1"/>
  <c r="GC4" i="2"/>
  <c r="HX4" s="1"/>
  <c r="E5" i="4" s="1"/>
  <c r="JD4" i="2"/>
  <c r="JU4" s="1"/>
  <c r="GD25"/>
  <c r="HY25" s="1"/>
  <c r="JE25"/>
  <c r="GD15"/>
  <c r="HY15" s="1"/>
  <c r="JE15"/>
  <c r="GD31"/>
  <c r="HY31" s="1"/>
  <c r="JE31"/>
  <c r="GD33"/>
  <c r="HY33" s="1"/>
  <c r="JE33"/>
  <c r="GD20"/>
  <c r="HY20" s="1"/>
  <c r="JE20"/>
  <c r="JE21"/>
  <c r="JE29"/>
  <c r="GD11"/>
  <c r="HY11" s="1"/>
  <c r="JE19"/>
  <c r="JE27"/>
  <c r="JE4"/>
  <c r="JV4" s="1"/>
  <c r="GD17"/>
  <c r="HY17" s="1"/>
  <c r="JE32"/>
  <c r="JE24"/>
  <c r="JE16"/>
  <c r="GD8"/>
  <c r="HY8" s="1"/>
  <c r="JE30"/>
  <c r="JE22"/>
  <c r="JE14"/>
  <c r="GD6"/>
  <c r="HY6" s="1"/>
  <c r="JE6"/>
  <c r="GF32"/>
  <c r="IA32" s="1"/>
  <c r="JG28"/>
  <c r="JG24"/>
  <c r="JG20"/>
  <c r="GF16"/>
  <c r="IA16" s="1"/>
  <c r="G17" i="4" s="1"/>
  <c r="JG12" i="2"/>
  <c r="JG8"/>
  <c r="JG4"/>
  <c r="GF30"/>
  <c r="IA30" s="1"/>
  <c r="JG26"/>
  <c r="JG22"/>
  <c r="JG18"/>
  <c r="GF14"/>
  <c r="IA14" s="1"/>
  <c r="G15" i="4" s="1"/>
  <c r="JG10" i="2"/>
  <c r="GF6"/>
  <c r="IA6" s="1"/>
  <c r="G7" i="4" s="1"/>
  <c r="JG6" i="2"/>
  <c r="GN33"/>
  <c r="II33" s="1"/>
  <c r="JO33"/>
  <c r="KF33" s="1"/>
  <c r="GN31"/>
  <c r="II31" s="1"/>
  <c r="JO31"/>
  <c r="KF31" s="1"/>
  <c r="GN29"/>
  <c r="II29" s="1"/>
  <c r="JO29"/>
  <c r="KF29" s="1"/>
  <c r="GN27"/>
  <c r="II27" s="1"/>
  <c r="JO27"/>
  <c r="KF27" s="1"/>
  <c r="GN25"/>
  <c r="II25" s="1"/>
  <c r="JO25"/>
  <c r="KF25" s="1"/>
  <c r="GN23"/>
  <c r="II23" s="1"/>
  <c r="JO23"/>
  <c r="KF23" s="1"/>
  <c r="GN21"/>
  <c r="II21" s="1"/>
  <c r="JO21"/>
  <c r="KF21" s="1"/>
  <c r="GN19"/>
  <c r="II19" s="1"/>
  <c r="G40" i="4" s="1"/>
  <c r="JO19" i="2"/>
  <c r="KF19" s="1"/>
  <c r="GN17"/>
  <c r="II17" s="1"/>
  <c r="G38" i="4" s="1"/>
  <c r="JO17" i="2"/>
  <c r="KF17" s="1"/>
  <c r="GN15"/>
  <c r="II15" s="1"/>
  <c r="G36" i="4" s="1"/>
  <c r="JO15" i="2"/>
  <c r="KF15" s="1"/>
  <c r="GN13"/>
  <c r="II13" s="1"/>
  <c r="G34" i="4" s="1"/>
  <c r="JO13" i="2"/>
  <c r="KF13" s="1"/>
  <c r="GN11"/>
  <c r="II11" s="1"/>
  <c r="G32" i="4" s="1"/>
  <c r="JO11" i="2"/>
  <c r="KF11" s="1"/>
  <c r="GN9"/>
  <c r="II9" s="1"/>
  <c r="G30" i="4" s="1"/>
  <c r="JO9" i="2"/>
  <c r="KF9" s="1"/>
  <c r="GN7"/>
  <c r="II7" s="1"/>
  <c r="G28" i="4" s="1"/>
  <c r="JO7" i="2"/>
  <c r="KF7" s="1"/>
  <c r="GN5"/>
  <c r="II5" s="1"/>
  <c r="G26" i="4" s="1"/>
  <c r="JO5" i="2"/>
  <c r="KF5" s="1"/>
  <c r="GL5"/>
  <c r="IG5" s="1"/>
  <c r="JM5"/>
  <c r="KD5" s="1"/>
  <c r="GP33"/>
  <c r="IK33" s="1"/>
  <c r="JQ33"/>
  <c r="KH33" s="1"/>
  <c r="GP31"/>
  <c r="IK31" s="1"/>
  <c r="JQ31"/>
  <c r="KH31" s="1"/>
  <c r="GP29"/>
  <c r="IK29" s="1"/>
  <c r="JQ29"/>
  <c r="KH29" s="1"/>
  <c r="GP27"/>
  <c r="IK27" s="1"/>
  <c r="JQ27"/>
  <c r="KH27" s="1"/>
  <c r="GP25"/>
  <c r="IK25" s="1"/>
  <c r="JQ25"/>
  <c r="KH25" s="1"/>
  <c r="GP23"/>
  <c r="IK23" s="1"/>
  <c r="JQ23"/>
  <c r="KH23" s="1"/>
  <c r="GP21"/>
  <c r="IK21" s="1"/>
  <c r="JQ21"/>
  <c r="KH21" s="1"/>
  <c r="GP19"/>
  <c r="IK19" s="1"/>
  <c r="JQ19"/>
  <c r="KH19" s="1"/>
  <c r="GP17"/>
  <c r="IK17" s="1"/>
  <c r="JQ17"/>
  <c r="KH17" s="1"/>
  <c r="GP15"/>
  <c r="IK15" s="1"/>
  <c r="JQ15"/>
  <c r="KH15" s="1"/>
  <c r="GP13"/>
  <c r="IK13" s="1"/>
  <c r="JQ13"/>
  <c r="KH13" s="1"/>
  <c r="GP11"/>
  <c r="IK11" s="1"/>
  <c r="JQ11"/>
  <c r="KH11" s="1"/>
  <c r="GP9"/>
  <c r="IK9" s="1"/>
  <c r="JQ9"/>
  <c r="KH9" s="1"/>
  <c r="GP7"/>
  <c r="IK7" s="1"/>
  <c r="JQ7"/>
  <c r="KH7" s="1"/>
  <c r="GP5"/>
  <c r="IK5" s="1"/>
  <c r="JQ5"/>
  <c r="KH5" s="1"/>
  <c r="GB15"/>
  <c r="HW15" s="1"/>
  <c r="JC15"/>
  <c r="JT15" s="1"/>
  <c r="GB23"/>
  <c r="HW23" s="1"/>
  <c r="JC23"/>
  <c r="JT23" s="1"/>
  <c r="GB31"/>
  <c r="HW31" s="1"/>
  <c r="JC31"/>
  <c r="JT31" s="1"/>
  <c r="GB10"/>
  <c r="HW10" s="1"/>
  <c r="JC10"/>
  <c r="JT10" s="1"/>
  <c r="GB18"/>
  <c r="HW18" s="1"/>
  <c r="JC18"/>
  <c r="JT18" s="1"/>
  <c r="GB26"/>
  <c r="HW26" s="1"/>
  <c r="JC26"/>
  <c r="JT26" s="1"/>
  <c r="GB4"/>
  <c r="HW4" s="1"/>
  <c r="JC4"/>
  <c r="JT4" s="1"/>
  <c r="GM8"/>
  <c r="IH8" s="1"/>
  <c r="JN8"/>
  <c r="KE8" s="1"/>
  <c r="GM12"/>
  <c r="IH12" s="1"/>
  <c r="JN12"/>
  <c r="KE12" s="1"/>
  <c r="GM16"/>
  <c r="IH16" s="1"/>
  <c r="JN16"/>
  <c r="KE16" s="1"/>
  <c r="GM20"/>
  <c r="IH20" s="1"/>
  <c r="JN20"/>
  <c r="KE20" s="1"/>
  <c r="GM24"/>
  <c r="IH24" s="1"/>
  <c r="JN24"/>
  <c r="KE24" s="1"/>
  <c r="GM28"/>
  <c r="IH28" s="1"/>
  <c r="JN28"/>
  <c r="KE28" s="1"/>
  <c r="GM31"/>
  <c r="IH31" s="1"/>
  <c r="JN31"/>
  <c r="KE31" s="1"/>
  <c r="GI32"/>
  <c r="ID32" s="1"/>
  <c r="JJ32"/>
  <c r="KA32" s="1"/>
  <c r="GI25"/>
  <c r="ID25" s="1"/>
  <c r="JJ25"/>
  <c r="KA25" s="1"/>
  <c r="GI17"/>
  <c r="ID17" s="1"/>
  <c r="JJ17"/>
  <c r="KA17" s="1"/>
  <c r="GI9"/>
  <c r="ID9" s="1"/>
  <c r="JJ9"/>
  <c r="KA9" s="1"/>
  <c r="GG4"/>
  <c r="IB4" s="1"/>
  <c r="I5" i="4" s="1"/>
  <c r="JH4" i="2"/>
  <c r="JY4" s="1"/>
  <c r="GG23"/>
  <c r="IB23" s="1"/>
  <c r="JH23"/>
  <c r="JY23" s="1"/>
  <c r="GG15"/>
  <c r="IB15" s="1"/>
  <c r="I16" i="4" s="1"/>
  <c r="JH15" i="2"/>
  <c r="JY15" s="1"/>
  <c r="GG7"/>
  <c r="IB7" s="1"/>
  <c r="I8" i="4" s="1"/>
  <c r="JH7" i="2"/>
  <c r="JY7" s="1"/>
  <c r="GO9"/>
  <c r="IJ9" s="1"/>
  <c r="I30" i="4" s="1"/>
  <c r="JP9" i="2"/>
  <c r="KG9" s="1"/>
  <c r="GO13"/>
  <c r="IJ13" s="1"/>
  <c r="I34" i="4" s="1"/>
  <c r="JP13" i="2"/>
  <c r="KG13" s="1"/>
  <c r="GO17"/>
  <c r="IJ17" s="1"/>
  <c r="I38" i="4" s="1"/>
  <c r="JP17" i="2"/>
  <c r="KG17" s="1"/>
  <c r="GO21"/>
  <c r="IJ21" s="1"/>
  <c r="JP21"/>
  <c r="KG21" s="1"/>
  <c r="GO25"/>
  <c r="IJ25" s="1"/>
  <c r="JP25"/>
  <c r="KG25" s="1"/>
  <c r="GO29"/>
  <c r="IJ29" s="1"/>
  <c r="JP29"/>
  <c r="KG29" s="1"/>
  <c r="GO32"/>
  <c r="IJ32" s="1"/>
  <c r="JP32"/>
  <c r="KG32" s="1"/>
  <c r="GJ9"/>
  <c r="IE9" s="1"/>
  <c r="C30" i="4" s="1"/>
  <c r="JK9" i="2"/>
  <c r="KB9" s="1"/>
  <c r="GJ13"/>
  <c r="IE13" s="1"/>
  <c r="C34" i="4" s="1"/>
  <c r="JK13" i="2"/>
  <c r="KB13" s="1"/>
  <c r="GJ17"/>
  <c r="IE17" s="1"/>
  <c r="C38" i="4" s="1"/>
  <c r="JK17" i="2"/>
  <c r="KB17" s="1"/>
  <c r="GJ21"/>
  <c r="IE21" s="1"/>
  <c r="JK21"/>
  <c r="KB21" s="1"/>
  <c r="GJ25"/>
  <c r="IE25" s="1"/>
  <c r="JK25"/>
  <c r="KB25" s="1"/>
  <c r="GJ29"/>
  <c r="IE29" s="1"/>
  <c r="JK29"/>
  <c r="KB29" s="1"/>
  <c r="GJ33"/>
  <c r="IE33" s="1"/>
  <c r="JK33"/>
  <c r="KB33" s="1"/>
  <c r="GH9"/>
  <c r="IC9" s="1"/>
  <c r="JI9"/>
  <c r="JZ9" s="1"/>
  <c r="GH13"/>
  <c r="IC13" s="1"/>
  <c r="JI13"/>
  <c r="JZ13" s="1"/>
  <c r="GH17"/>
  <c r="IC17" s="1"/>
  <c r="JI17"/>
  <c r="JZ17" s="1"/>
  <c r="GH21"/>
  <c r="IC21" s="1"/>
  <c r="JI21"/>
  <c r="JZ21" s="1"/>
  <c r="GH25"/>
  <c r="IC25" s="1"/>
  <c r="JI25"/>
  <c r="JZ25" s="1"/>
  <c r="GH29"/>
  <c r="IC29" s="1"/>
  <c r="JI29"/>
  <c r="JZ29" s="1"/>
  <c r="GH33"/>
  <c r="IC33" s="1"/>
  <c r="JI33"/>
  <c r="JZ33" s="1"/>
  <c r="GI30"/>
  <c r="ID30" s="1"/>
  <c r="JJ30"/>
  <c r="KA30" s="1"/>
  <c r="GI22"/>
  <c r="ID22" s="1"/>
  <c r="JJ22"/>
  <c r="KA22" s="1"/>
  <c r="GI14"/>
  <c r="ID14" s="1"/>
  <c r="JJ14"/>
  <c r="KA14" s="1"/>
  <c r="GI6"/>
  <c r="ID6" s="1"/>
  <c r="JJ6"/>
  <c r="KA6" s="1"/>
  <c r="GG28"/>
  <c r="IB28" s="1"/>
  <c r="JH28"/>
  <c r="JY28" s="1"/>
  <c r="GG20"/>
  <c r="IB20" s="1"/>
  <c r="JH20"/>
  <c r="JY20" s="1"/>
  <c r="GG12"/>
  <c r="IB12" s="1"/>
  <c r="I13" i="4" s="1"/>
  <c r="JH12" i="2"/>
  <c r="JY12" s="1"/>
  <c r="GA6"/>
  <c r="HV6" s="1"/>
  <c r="C7" i="4" s="1"/>
  <c r="JB6" i="2"/>
  <c r="JS6" s="1"/>
  <c r="GA14"/>
  <c r="HV14" s="1"/>
  <c r="C15" i="4" s="1"/>
  <c r="JB14" i="2"/>
  <c r="JS14" s="1"/>
  <c r="GA22"/>
  <c r="HV22" s="1"/>
  <c r="JB22"/>
  <c r="JS22" s="1"/>
  <c r="GA30"/>
  <c r="HV30" s="1"/>
  <c r="JB30"/>
  <c r="JS30" s="1"/>
  <c r="GA11"/>
  <c r="HV11" s="1"/>
  <c r="C12" i="4" s="1"/>
  <c r="JB11" i="2"/>
  <c r="JS11" s="1"/>
  <c r="GA19"/>
  <c r="HV19" s="1"/>
  <c r="C20" i="4" s="1"/>
  <c r="JB19" i="2"/>
  <c r="JS19" s="1"/>
  <c r="GA27"/>
  <c r="HV27" s="1"/>
  <c r="JB27"/>
  <c r="JS27" s="1"/>
  <c r="GC12"/>
  <c r="HX12" s="1"/>
  <c r="E13" i="4" s="1"/>
  <c r="JD12" i="2"/>
  <c r="JU12" s="1"/>
  <c r="GC20"/>
  <c r="HX20" s="1"/>
  <c r="JD20"/>
  <c r="JU20" s="1"/>
  <c r="GC28"/>
  <c r="HX28" s="1"/>
  <c r="JD28"/>
  <c r="JU28" s="1"/>
  <c r="GC5"/>
  <c r="HX5" s="1"/>
  <c r="E6" i="4" s="1"/>
  <c r="JD5" i="2"/>
  <c r="JU5" s="1"/>
  <c r="GC13"/>
  <c r="HX13" s="1"/>
  <c r="E14" i="4" s="1"/>
  <c r="JD13" i="2"/>
  <c r="JU13" s="1"/>
  <c r="GC21"/>
  <c r="HX21" s="1"/>
  <c r="JD21"/>
  <c r="JU21" s="1"/>
  <c r="GC29"/>
  <c r="HX29" s="1"/>
  <c r="JD29"/>
  <c r="JU29" s="1"/>
  <c r="GE9"/>
  <c r="HZ9" s="1"/>
  <c r="JF9"/>
  <c r="JW9" s="1"/>
  <c r="GE17"/>
  <c r="HZ17" s="1"/>
  <c r="JF17"/>
  <c r="JW17" s="1"/>
  <c r="GE25"/>
  <c r="HZ25" s="1"/>
  <c r="JF25"/>
  <c r="JW25" s="1"/>
  <c r="GE33"/>
  <c r="HZ33" s="1"/>
  <c r="JF33"/>
  <c r="JW33" s="1"/>
  <c r="GE11"/>
  <c r="HZ11" s="1"/>
  <c r="JF11"/>
  <c r="JW11" s="1"/>
  <c r="GE19"/>
  <c r="HZ19" s="1"/>
  <c r="JF19"/>
  <c r="JW19" s="1"/>
  <c r="GE27"/>
  <c r="HZ27" s="1"/>
  <c r="JF27"/>
  <c r="JW27" s="1"/>
  <c r="GE4"/>
  <c r="HZ4" s="1"/>
  <c r="JF4"/>
  <c r="JW4" s="1"/>
  <c r="GH5"/>
  <c r="JI5"/>
  <c r="JZ5" s="1"/>
  <c r="GB7"/>
  <c r="JC7"/>
  <c r="JT7" s="1"/>
  <c r="GD13"/>
  <c r="HY13" s="1"/>
  <c r="JE13"/>
  <c r="GD7"/>
  <c r="HY7" s="1"/>
  <c r="JE7"/>
  <c r="GD23"/>
  <c r="HY23" s="1"/>
  <c r="JE23"/>
  <c r="GD9"/>
  <c r="HY9" s="1"/>
  <c r="JE9"/>
  <c r="GD28"/>
  <c r="HY28" s="1"/>
  <c r="JE28"/>
  <c r="GD12"/>
  <c r="HY12" s="1"/>
  <c r="JE12"/>
  <c r="GD5"/>
  <c r="HY5" s="1"/>
  <c r="JE5"/>
  <c r="GD26"/>
  <c r="HY26" s="1"/>
  <c r="JE26"/>
  <c r="GD18"/>
  <c r="HY18" s="1"/>
  <c r="JE18"/>
  <c r="GD10"/>
  <c r="HY10" s="1"/>
  <c r="JE10"/>
  <c r="GF33"/>
  <c r="IA33" s="1"/>
  <c r="JG33"/>
  <c r="GF29"/>
  <c r="IA29" s="1"/>
  <c r="JG29"/>
  <c r="GF25"/>
  <c r="IA25" s="1"/>
  <c r="JG25"/>
  <c r="GF21"/>
  <c r="IA21" s="1"/>
  <c r="JG21"/>
  <c r="GF17"/>
  <c r="IA17" s="1"/>
  <c r="G18" i="4" s="1"/>
  <c r="JG17" i="2"/>
  <c r="GF13"/>
  <c r="IA13" s="1"/>
  <c r="G14" i="4" s="1"/>
  <c r="JG13" i="2"/>
  <c r="GF9"/>
  <c r="IA9" s="1"/>
  <c r="G10" i="4" s="1"/>
  <c r="JG9" i="2"/>
  <c r="GF5"/>
  <c r="IA5" s="1"/>
  <c r="G6" i="4" s="1"/>
  <c r="JG5" i="2"/>
  <c r="GF31"/>
  <c r="IA31" s="1"/>
  <c r="JG31"/>
  <c r="GF27"/>
  <c r="IA27" s="1"/>
  <c r="JG27"/>
  <c r="GF23"/>
  <c r="IA23" s="1"/>
  <c r="JG23"/>
  <c r="GF19"/>
  <c r="IA19" s="1"/>
  <c r="G20" i="4" s="1"/>
  <c r="JG19" i="2"/>
  <c r="GF15"/>
  <c r="IA15" s="1"/>
  <c r="G16" i="4" s="1"/>
  <c r="JG15" i="2"/>
  <c r="GF11"/>
  <c r="IA11" s="1"/>
  <c r="G12" i="4" s="1"/>
  <c r="JG11" i="2"/>
  <c r="GF7"/>
  <c r="IA7" s="1"/>
  <c r="G8" i="4" s="1"/>
  <c r="JG7" i="2"/>
  <c r="GN4"/>
  <c r="II4" s="1"/>
  <c r="G25" i="4" s="1"/>
  <c r="JO4" i="2"/>
  <c r="KF4" s="1"/>
  <c r="GN32"/>
  <c r="II32" s="1"/>
  <c r="JO32"/>
  <c r="KF32" s="1"/>
  <c r="GN30"/>
  <c r="II30" s="1"/>
  <c r="JO30"/>
  <c r="KF30" s="1"/>
  <c r="GN28"/>
  <c r="II28" s="1"/>
  <c r="JO28"/>
  <c r="KF28" s="1"/>
  <c r="GN26"/>
  <c r="II26" s="1"/>
  <c r="JO26"/>
  <c r="KF26" s="1"/>
  <c r="GN24"/>
  <c r="II24" s="1"/>
  <c r="JO24"/>
  <c r="KF24" s="1"/>
  <c r="GN22"/>
  <c r="II22" s="1"/>
  <c r="JO22"/>
  <c r="KF22" s="1"/>
  <c r="GN20"/>
  <c r="II20" s="1"/>
  <c r="JO20"/>
  <c r="KF20" s="1"/>
  <c r="GN18"/>
  <c r="II18" s="1"/>
  <c r="G39" i="4" s="1"/>
  <c r="JO18" i="2"/>
  <c r="KF18" s="1"/>
  <c r="GN16"/>
  <c r="II16" s="1"/>
  <c r="G37" i="4" s="1"/>
  <c r="JO16" i="2"/>
  <c r="KF16" s="1"/>
  <c r="GN14"/>
  <c r="II14" s="1"/>
  <c r="G35" i="4" s="1"/>
  <c r="JO14" i="2"/>
  <c r="KF14" s="1"/>
  <c r="GN12"/>
  <c r="II12" s="1"/>
  <c r="G33" i="4" s="1"/>
  <c r="JO12" i="2"/>
  <c r="KF12" s="1"/>
  <c r="GN10"/>
  <c r="II10" s="1"/>
  <c r="G31" i="4" s="1"/>
  <c r="JO10" i="2"/>
  <c r="KF10" s="1"/>
  <c r="GN8"/>
  <c r="II8" s="1"/>
  <c r="G29" i="4" s="1"/>
  <c r="JO8" i="2"/>
  <c r="KF8" s="1"/>
  <c r="GN6"/>
  <c r="II6" s="1"/>
  <c r="G27" i="4" s="1"/>
  <c r="JO6" i="2"/>
  <c r="KF6" s="1"/>
  <c r="GL6"/>
  <c r="IG6" s="1"/>
  <c r="JM6"/>
  <c r="KD6" s="1"/>
  <c r="GP4"/>
  <c r="IK4" s="1"/>
  <c r="JQ4"/>
  <c r="KH4" s="1"/>
  <c r="GP32"/>
  <c r="IK32" s="1"/>
  <c r="JQ32"/>
  <c r="KH32" s="1"/>
  <c r="GP30"/>
  <c r="IK30" s="1"/>
  <c r="JQ30"/>
  <c r="KH30" s="1"/>
  <c r="GP28"/>
  <c r="IK28" s="1"/>
  <c r="JQ28"/>
  <c r="KH28" s="1"/>
  <c r="GP26"/>
  <c r="IK26" s="1"/>
  <c r="JQ26"/>
  <c r="KH26" s="1"/>
  <c r="GP24"/>
  <c r="IK24" s="1"/>
  <c r="JQ24"/>
  <c r="KH24" s="1"/>
  <c r="GP22"/>
  <c r="IK22" s="1"/>
  <c r="JQ22"/>
  <c r="KH22" s="1"/>
  <c r="GP20"/>
  <c r="IK20" s="1"/>
  <c r="JQ20"/>
  <c r="KH20" s="1"/>
  <c r="GP18"/>
  <c r="IK18" s="1"/>
  <c r="JQ18"/>
  <c r="KH18" s="1"/>
  <c r="GP16"/>
  <c r="IK16" s="1"/>
  <c r="JQ16"/>
  <c r="KH16" s="1"/>
  <c r="GP14"/>
  <c r="IK14" s="1"/>
  <c r="JQ14"/>
  <c r="KH14" s="1"/>
  <c r="GP12"/>
  <c r="IK12" s="1"/>
  <c r="JQ12"/>
  <c r="KH12" s="1"/>
  <c r="GP10"/>
  <c r="IK10" s="1"/>
  <c r="JQ10"/>
  <c r="KH10" s="1"/>
  <c r="GP8"/>
  <c r="IK8" s="1"/>
  <c r="JQ8"/>
  <c r="KH8" s="1"/>
  <c r="GP6"/>
  <c r="IK6" s="1"/>
  <c r="JQ6"/>
  <c r="KH6" s="1"/>
  <c r="GB11"/>
  <c r="HW11" s="1"/>
  <c r="JC11"/>
  <c r="JT11" s="1"/>
  <c r="GB19"/>
  <c r="HW19" s="1"/>
  <c r="JC19"/>
  <c r="JT19" s="1"/>
  <c r="GB27"/>
  <c r="HW27" s="1"/>
  <c r="JC27"/>
  <c r="JT27" s="1"/>
  <c r="GB6"/>
  <c r="HW6" s="1"/>
  <c r="JC6"/>
  <c r="JT6" s="1"/>
  <c r="GB14"/>
  <c r="HW14" s="1"/>
  <c r="JC14"/>
  <c r="JT14" s="1"/>
  <c r="GB22"/>
  <c r="HW22" s="1"/>
  <c r="JC22"/>
  <c r="JT22" s="1"/>
  <c r="GB30"/>
  <c r="HW30" s="1"/>
  <c r="JC30"/>
  <c r="JT30" s="1"/>
  <c r="GM6"/>
  <c r="IH6" s="1"/>
  <c r="JN6"/>
  <c r="KE6" s="1"/>
  <c r="GM10"/>
  <c r="IH10" s="1"/>
  <c r="JN10"/>
  <c r="KE10" s="1"/>
  <c r="GM14"/>
  <c r="IH14" s="1"/>
  <c r="JN14"/>
  <c r="KE14" s="1"/>
  <c r="GM18"/>
  <c r="IH18" s="1"/>
  <c r="JN18"/>
  <c r="KE18" s="1"/>
  <c r="GM22"/>
  <c r="IH22" s="1"/>
  <c r="JN22"/>
  <c r="KE22" s="1"/>
  <c r="GM26"/>
  <c r="IH26" s="1"/>
  <c r="JN26"/>
  <c r="KE26" s="1"/>
  <c r="GM30"/>
  <c r="IH30" s="1"/>
  <c r="JN30"/>
  <c r="KE30" s="1"/>
  <c r="GM33"/>
  <c r="IH33" s="1"/>
  <c r="JN33"/>
  <c r="KE33" s="1"/>
  <c r="GI29"/>
  <c r="ID29" s="1"/>
  <c r="JJ29"/>
  <c r="KA29" s="1"/>
  <c r="GI21"/>
  <c r="ID21" s="1"/>
  <c r="JJ21"/>
  <c r="KA21" s="1"/>
  <c r="GI13"/>
  <c r="ID13" s="1"/>
  <c r="JJ13"/>
  <c r="KA13" s="1"/>
  <c r="GI5"/>
  <c r="ID5" s="1"/>
  <c r="JJ5"/>
  <c r="KA5" s="1"/>
  <c r="GG27"/>
  <c r="IB27" s="1"/>
  <c r="JH27"/>
  <c r="JY27" s="1"/>
  <c r="GG19"/>
  <c r="IB19" s="1"/>
  <c r="I20" i="4" s="1"/>
  <c r="JH19" i="2"/>
  <c r="JY19" s="1"/>
  <c r="GG11"/>
  <c r="IB11" s="1"/>
  <c r="I12" i="4" s="1"/>
  <c r="JH11" i="2"/>
  <c r="JY11" s="1"/>
  <c r="GO7"/>
  <c r="IJ7" s="1"/>
  <c r="I28" i="4" s="1"/>
  <c r="JP7" i="2"/>
  <c r="KG7" s="1"/>
  <c r="GO11"/>
  <c r="IJ11" s="1"/>
  <c r="I32" i="4" s="1"/>
  <c r="JP11" i="2"/>
  <c r="KG11" s="1"/>
  <c r="GO15"/>
  <c r="IJ15" s="1"/>
  <c r="I36" i="4" s="1"/>
  <c r="JP15" i="2"/>
  <c r="KG15" s="1"/>
  <c r="GO19"/>
  <c r="IJ19" s="1"/>
  <c r="I40" i="4" s="1"/>
  <c r="JP19" i="2"/>
  <c r="KG19" s="1"/>
  <c r="GO23"/>
  <c r="IJ23" s="1"/>
  <c r="JP23"/>
  <c r="KG23" s="1"/>
  <c r="GO27"/>
  <c r="IJ27" s="1"/>
  <c r="JP27"/>
  <c r="KG27" s="1"/>
  <c r="GO4"/>
  <c r="IJ4" s="1"/>
  <c r="I25" i="4" s="1"/>
  <c r="JP4" i="2"/>
  <c r="KG4" s="1"/>
  <c r="GJ7"/>
  <c r="IE7" s="1"/>
  <c r="C28" i="4" s="1"/>
  <c r="JK7" i="2"/>
  <c r="KB7" s="1"/>
  <c r="GJ11"/>
  <c r="IE11" s="1"/>
  <c r="C32" i="4" s="1"/>
  <c r="JK11" i="2"/>
  <c r="KB11" s="1"/>
  <c r="GJ15"/>
  <c r="IE15" s="1"/>
  <c r="C36" i="4" s="1"/>
  <c r="JK15" i="2"/>
  <c r="KB15" s="1"/>
  <c r="GJ19"/>
  <c r="IE19" s="1"/>
  <c r="C40" i="4" s="1"/>
  <c r="JK19" i="2"/>
  <c r="KB19" s="1"/>
  <c r="GJ23"/>
  <c r="IE23" s="1"/>
  <c r="JK23"/>
  <c r="KB23" s="1"/>
  <c r="GJ27"/>
  <c r="IE27" s="1"/>
  <c r="JK27"/>
  <c r="KB27" s="1"/>
  <c r="GJ31"/>
  <c r="IE31" s="1"/>
  <c r="JK31"/>
  <c r="KB31" s="1"/>
  <c r="GH7"/>
  <c r="IC7" s="1"/>
  <c r="JI7"/>
  <c r="JZ7" s="1"/>
  <c r="GH11"/>
  <c r="IC11" s="1"/>
  <c r="JI11"/>
  <c r="JZ11" s="1"/>
  <c r="GH15"/>
  <c r="IC15" s="1"/>
  <c r="JI15"/>
  <c r="JZ15" s="1"/>
  <c r="GH19"/>
  <c r="IC19" s="1"/>
  <c r="JI19"/>
  <c r="JZ19" s="1"/>
  <c r="GH23"/>
  <c r="IC23" s="1"/>
  <c r="JI23"/>
  <c r="JZ23" s="1"/>
  <c r="GH27"/>
  <c r="IC27" s="1"/>
  <c r="JI27"/>
  <c r="JZ27" s="1"/>
  <c r="GH31"/>
  <c r="IC31" s="1"/>
  <c r="JI31"/>
  <c r="JZ31" s="1"/>
  <c r="GI33"/>
  <c r="ID33" s="1"/>
  <c r="JJ33"/>
  <c r="KA33" s="1"/>
  <c r="GI26"/>
  <c r="ID26" s="1"/>
  <c r="JJ26"/>
  <c r="KA26" s="1"/>
  <c r="GI18"/>
  <c r="ID18" s="1"/>
  <c r="JJ18"/>
  <c r="KA18" s="1"/>
  <c r="GI10"/>
  <c r="ID10" s="1"/>
  <c r="JJ10"/>
  <c r="KA10" s="1"/>
  <c r="GG31"/>
  <c r="IB31" s="1"/>
  <c r="JH31"/>
  <c r="JY31" s="1"/>
  <c r="GG24"/>
  <c r="IB24" s="1"/>
  <c r="JH24"/>
  <c r="JY24" s="1"/>
  <c r="GG16"/>
  <c r="IB16" s="1"/>
  <c r="I17" i="4" s="1"/>
  <c r="JH16" i="2"/>
  <c r="JY16" s="1"/>
  <c r="GG8"/>
  <c r="IB8" s="1"/>
  <c r="I9" i="4" s="1"/>
  <c r="JH8" i="2"/>
  <c r="JY8" s="1"/>
  <c r="GA10"/>
  <c r="HV10" s="1"/>
  <c r="C11" i="4" s="1"/>
  <c r="JB10" i="2"/>
  <c r="JS10" s="1"/>
  <c r="GA18"/>
  <c r="HV18" s="1"/>
  <c r="C19" i="4" s="1"/>
  <c r="JB18" i="2"/>
  <c r="JS18" s="1"/>
  <c r="GA26"/>
  <c r="HV26" s="1"/>
  <c r="JB26"/>
  <c r="JS26" s="1"/>
  <c r="GA7"/>
  <c r="HV7" s="1"/>
  <c r="C8" i="4" s="1"/>
  <c r="JB7" i="2"/>
  <c r="JS7" s="1"/>
  <c r="GA15"/>
  <c r="HV15" s="1"/>
  <c r="C16" i="4" s="1"/>
  <c r="JB15" i="2"/>
  <c r="JS15" s="1"/>
  <c r="GA23"/>
  <c r="HV23" s="1"/>
  <c r="JB23"/>
  <c r="JS23" s="1"/>
  <c r="GA31"/>
  <c r="HV31" s="1"/>
  <c r="JB31"/>
  <c r="JS31" s="1"/>
  <c r="GC16"/>
  <c r="HX16" s="1"/>
  <c r="E17" i="4" s="1"/>
  <c r="JD16" i="2"/>
  <c r="JU16" s="1"/>
  <c r="GC24"/>
  <c r="HX24" s="1"/>
  <c r="JD24"/>
  <c r="JU24" s="1"/>
  <c r="GC32"/>
  <c r="HX32" s="1"/>
  <c r="JD32"/>
  <c r="JU32" s="1"/>
  <c r="GC9"/>
  <c r="HX9" s="1"/>
  <c r="E10" i="4" s="1"/>
  <c r="JD9" i="2"/>
  <c r="JU9" s="1"/>
  <c r="GC17"/>
  <c r="HX17" s="1"/>
  <c r="E18" i="4" s="1"/>
  <c r="JD17" i="2"/>
  <c r="JU17" s="1"/>
  <c r="GC25"/>
  <c r="HX25" s="1"/>
  <c r="JD25"/>
  <c r="JU25" s="1"/>
  <c r="GC33"/>
  <c r="HX33" s="1"/>
  <c r="JD33"/>
  <c r="JU33" s="1"/>
  <c r="GE13"/>
  <c r="HZ13" s="1"/>
  <c r="JF13"/>
  <c r="JW13" s="1"/>
  <c r="GE21"/>
  <c r="HZ21" s="1"/>
  <c r="JF21"/>
  <c r="JW21" s="1"/>
  <c r="GE29"/>
  <c r="HZ29" s="1"/>
  <c r="JF29"/>
  <c r="JW29" s="1"/>
  <c r="GE7"/>
  <c r="HZ7" s="1"/>
  <c r="JF7"/>
  <c r="JW7" s="1"/>
  <c r="GE15"/>
  <c r="HZ15" s="1"/>
  <c r="JF15"/>
  <c r="JW15" s="1"/>
  <c r="GE23"/>
  <c r="HZ23" s="1"/>
  <c r="JF23"/>
  <c r="JW23" s="1"/>
  <c r="GE31"/>
  <c r="HZ31" s="1"/>
  <c r="JF31"/>
  <c r="JW31" s="1"/>
  <c r="GC8"/>
  <c r="JD8"/>
  <c r="JU8" s="1"/>
  <c r="GJ5"/>
  <c r="JK5"/>
  <c r="KB5" s="1"/>
  <c r="GE5"/>
  <c r="JF5"/>
  <c r="JW5" s="1"/>
  <c r="GA4"/>
  <c r="AT8"/>
  <c r="AT9"/>
  <c r="AT5"/>
  <c r="AT7"/>
  <c r="AT6"/>
  <c r="GO8" l="1"/>
  <c r="IJ8" s="1"/>
  <c r="I29" i="4" s="1"/>
  <c r="GO30" i="2"/>
  <c r="IJ30" s="1"/>
  <c r="JP14"/>
  <c r="KG14" s="1"/>
  <c r="JP22"/>
  <c r="KG22" s="1"/>
  <c r="A9" i="1"/>
  <c r="A153"/>
  <c r="A157"/>
  <c r="A6"/>
  <c r="A150"/>
  <c r="A154"/>
  <c r="A7"/>
  <c r="A151"/>
  <c r="A155"/>
  <c r="A8"/>
  <c r="A152"/>
  <c r="A156"/>
  <c r="A13"/>
  <c r="A17"/>
  <c r="A21"/>
  <c r="A25"/>
  <c r="A29"/>
  <c r="A33"/>
  <c r="A37"/>
  <c r="A41"/>
  <c r="A45"/>
  <c r="A49"/>
  <c r="A53"/>
  <c r="A57"/>
  <c r="A61"/>
  <c r="A65"/>
  <c r="A69"/>
  <c r="A73"/>
  <c r="A77"/>
  <c r="A81"/>
  <c r="A85"/>
  <c r="A89"/>
  <c r="A93"/>
  <c r="A97"/>
  <c r="A101"/>
  <c r="A105"/>
  <c r="A109"/>
  <c r="A113"/>
  <c r="A117"/>
  <c r="A121"/>
  <c r="A125"/>
  <c r="A129"/>
  <c r="A133"/>
  <c r="A137"/>
  <c r="A141"/>
  <c r="A145"/>
  <c r="A149"/>
  <c r="A10"/>
  <c r="A14"/>
  <c r="A18"/>
  <c r="A22"/>
  <c r="A26"/>
  <c r="A30"/>
  <c r="A34"/>
  <c r="A38"/>
  <c r="A42"/>
  <c r="A46"/>
  <c r="A50"/>
  <c r="A54"/>
  <c r="A58"/>
  <c r="A62"/>
  <c r="A66"/>
  <c r="A70"/>
  <c r="A74"/>
  <c r="A78"/>
  <c r="A82"/>
  <c r="A86"/>
  <c r="A90"/>
  <c r="A94"/>
  <c r="A98"/>
  <c r="A102"/>
  <c r="A106"/>
  <c r="A110"/>
  <c r="A114"/>
  <c r="A118"/>
  <c r="A122"/>
  <c r="A126"/>
  <c r="A130"/>
  <c r="A134"/>
  <c r="A138"/>
  <c r="A142"/>
  <c r="A146"/>
  <c r="A11"/>
  <c r="A15"/>
  <c r="A19"/>
  <c r="A23"/>
  <c r="A27"/>
  <c r="A31"/>
  <c r="A35"/>
  <c r="A39"/>
  <c r="A43"/>
  <c r="A47"/>
  <c r="A51"/>
  <c r="A55"/>
  <c r="A59"/>
  <c r="A63"/>
  <c r="A67"/>
  <c r="A71"/>
  <c r="A75"/>
  <c r="A79"/>
  <c r="A83"/>
  <c r="A87"/>
  <c r="A91"/>
  <c r="A95"/>
  <c r="A99"/>
  <c r="A103"/>
  <c r="A107"/>
  <c r="A111"/>
  <c r="A115"/>
  <c r="A119"/>
  <c r="A123"/>
  <c r="A127"/>
  <c r="A131"/>
  <c r="A135"/>
  <c r="A139"/>
  <c r="A143"/>
  <c r="A147"/>
  <c r="A12"/>
  <c r="A16"/>
  <c r="A20"/>
  <c r="A24"/>
  <c r="A28"/>
  <c r="A32"/>
  <c r="A36"/>
  <c r="A40"/>
  <c r="A44"/>
  <c r="A48"/>
  <c r="A52"/>
  <c r="A56"/>
  <c r="A60"/>
  <c r="A64"/>
  <c r="A68"/>
  <c r="A72"/>
  <c r="A76"/>
  <c r="A80"/>
  <c r="A84"/>
  <c r="A88"/>
  <c r="A92"/>
  <c r="A96"/>
  <c r="A100"/>
  <c r="A104"/>
  <c r="A108"/>
  <c r="A112"/>
  <c r="A116"/>
  <c r="A120"/>
  <c r="A124"/>
  <c r="A128"/>
  <c r="A132"/>
  <c r="A136"/>
  <c r="A140"/>
  <c r="A144"/>
  <c r="A148"/>
  <c r="A158"/>
  <c r="B161"/>
  <c r="A161"/>
  <c r="B165"/>
  <c r="A165"/>
  <c r="B169"/>
  <c r="A169"/>
  <c r="B173"/>
  <c r="A173"/>
  <c r="B177"/>
  <c r="A177"/>
  <c r="B181"/>
  <c r="A181"/>
  <c r="B185"/>
  <c r="A185"/>
  <c r="B189"/>
  <c r="A189"/>
  <c r="B193"/>
  <c r="A193"/>
  <c r="B197"/>
  <c r="A197"/>
  <c r="B201"/>
  <c r="A201"/>
  <c r="B205"/>
  <c r="A205"/>
  <c r="B209"/>
  <c r="A209"/>
  <c r="B213"/>
  <c r="A213"/>
  <c r="B217"/>
  <c r="A217"/>
  <c r="B221"/>
  <c r="A221"/>
  <c r="B225"/>
  <c r="A225"/>
  <c r="B229"/>
  <c r="A229"/>
  <c r="B233"/>
  <c r="A233"/>
  <c r="B237"/>
  <c r="A237"/>
  <c r="B241"/>
  <c r="A241"/>
  <c r="B162"/>
  <c r="A162"/>
  <c r="B166"/>
  <c r="A166"/>
  <c r="B170"/>
  <c r="A170"/>
  <c r="B174"/>
  <c r="A174"/>
  <c r="B178"/>
  <c r="A178"/>
  <c r="B182"/>
  <c r="A182"/>
  <c r="B186"/>
  <c r="A186"/>
  <c r="B190"/>
  <c r="A190"/>
  <c r="B194"/>
  <c r="A194"/>
  <c r="B198"/>
  <c r="A198"/>
  <c r="B202"/>
  <c r="A202"/>
  <c r="B206"/>
  <c r="A206"/>
  <c r="B210"/>
  <c r="A210"/>
  <c r="B214"/>
  <c r="A214"/>
  <c r="B218"/>
  <c r="A218"/>
  <c r="B222"/>
  <c r="A222"/>
  <c r="B226"/>
  <c r="A226"/>
  <c r="B230"/>
  <c r="A230"/>
  <c r="B234"/>
  <c r="A234"/>
  <c r="B238"/>
  <c r="A238"/>
  <c r="B242"/>
  <c r="A242"/>
  <c r="B159"/>
  <c r="A159"/>
  <c r="B163"/>
  <c r="A163"/>
  <c r="B167"/>
  <c r="A167"/>
  <c r="B171"/>
  <c r="A171"/>
  <c r="B175"/>
  <c r="A175"/>
  <c r="B179"/>
  <c r="A179"/>
  <c r="B183"/>
  <c r="A183"/>
  <c r="B187"/>
  <c r="A187"/>
  <c r="B191"/>
  <c r="A191"/>
  <c r="B195"/>
  <c r="A195"/>
  <c r="B199"/>
  <c r="A199"/>
  <c r="B203"/>
  <c r="A203"/>
  <c r="B207"/>
  <c r="A207"/>
  <c r="B211"/>
  <c r="A211"/>
  <c r="B215"/>
  <c r="A215"/>
  <c r="B219"/>
  <c r="A219"/>
  <c r="B223"/>
  <c r="A223"/>
  <c r="B227"/>
  <c r="A227"/>
  <c r="B231"/>
  <c r="A231"/>
  <c r="B235"/>
  <c r="A235"/>
  <c r="B239"/>
  <c r="A239"/>
  <c r="B243"/>
  <c r="A243"/>
  <c r="B160"/>
  <c r="A160"/>
  <c r="B164"/>
  <c r="A164"/>
  <c r="B168"/>
  <c r="A168"/>
  <c r="B172"/>
  <c r="A172"/>
  <c r="B176"/>
  <c r="A176"/>
  <c r="B180"/>
  <c r="A180"/>
  <c r="B184"/>
  <c r="A184"/>
  <c r="B188"/>
  <c r="A188"/>
  <c r="B192"/>
  <c r="A192"/>
  <c r="B196"/>
  <c r="A196"/>
  <c r="B200"/>
  <c r="A200"/>
  <c r="B204"/>
  <c r="A204"/>
  <c r="B208"/>
  <c r="A208"/>
  <c r="B212"/>
  <c r="A212"/>
  <c r="B216"/>
  <c r="A216"/>
  <c r="B220"/>
  <c r="A220"/>
  <c r="B224"/>
  <c r="A224"/>
  <c r="B228"/>
  <c r="A228"/>
  <c r="B232"/>
  <c r="A232"/>
  <c r="B236"/>
  <c r="A236"/>
  <c r="B240"/>
  <c r="A240"/>
  <c r="B244"/>
  <c r="A244"/>
  <c r="HF26" i="2"/>
  <c r="GO24"/>
  <c r="IJ24" s="1"/>
  <c r="HA28"/>
  <c r="HA14"/>
  <c r="B35" i="4" s="1"/>
  <c r="HF22" i="2"/>
  <c r="HF18"/>
  <c r="H39" i="4" s="1"/>
  <c r="BM12" i="2"/>
  <c r="BI12"/>
  <c r="P16" i="3" s="1"/>
  <c r="BE12" i="2"/>
  <c r="L16" i="3" s="1"/>
  <c r="BA12" i="2"/>
  <c r="AW12"/>
  <c r="D16" i="3" s="1"/>
  <c r="BP12" i="2"/>
  <c r="W16" i="3" s="1"/>
  <c r="BL12" i="2"/>
  <c r="S16" i="3" s="1"/>
  <c r="BH12" i="2"/>
  <c r="O16" i="3" s="1"/>
  <c r="BD12" i="2"/>
  <c r="AZ12"/>
  <c r="AV12"/>
  <c r="C16" i="3" s="1"/>
  <c r="AX14" i="2"/>
  <c r="BB14"/>
  <c r="BF14"/>
  <c r="BJ14"/>
  <c r="BN14"/>
  <c r="AU14"/>
  <c r="AY14"/>
  <c r="BC14"/>
  <c r="J18" i="3" s="1"/>
  <c r="BG14" i="2"/>
  <c r="BK14"/>
  <c r="BO14"/>
  <c r="AX16"/>
  <c r="BB16"/>
  <c r="BF16"/>
  <c r="BJ16"/>
  <c r="Q20" i="3" s="1"/>
  <c r="BN16" i="2"/>
  <c r="U20" i="3" s="1"/>
  <c r="AU16" i="2"/>
  <c r="AY16"/>
  <c r="F20" i="3" s="1"/>
  <c r="BC16" i="2"/>
  <c r="J20" i="3" s="1"/>
  <c r="BG16" i="2"/>
  <c r="N20" i="3" s="1"/>
  <c r="BK16" i="2"/>
  <c r="R20" i="3" s="1"/>
  <c r="BO16" i="2"/>
  <c r="AX18"/>
  <c r="BB18"/>
  <c r="I22" i="3" s="1"/>
  <c r="BF18" i="2"/>
  <c r="M22" i="3" s="1"/>
  <c r="BJ18" i="2"/>
  <c r="Q22" i="3" s="1"/>
  <c r="BN18" i="2"/>
  <c r="U22" i="3" s="1"/>
  <c r="AU18" i="2"/>
  <c r="AY18"/>
  <c r="BC18"/>
  <c r="BG18"/>
  <c r="N22" i="3" s="1"/>
  <c r="BK18" i="2"/>
  <c r="R22" i="3" s="1"/>
  <c r="BO18" i="2"/>
  <c r="V22" i="3" s="1"/>
  <c r="AX13" i="2"/>
  <c r="BB13"/>
  <c r="BF13"/>
  <c r="M17" i="3" s="1"/>
  <c r="BJ13" i="2"/>
  <c r="BN13"/>
  <c r="AU13"/>
  <c r="AY13"/>
  <c r="F17" i="3" s="1"/>
  <c r="BC13" i="2"/>
  <c r="BG13"/>
  <c r="BK13"/>
  <c r="BO13"/>
  <c r="V17" i="3" s="1"/>
  <c r="AX15" i="2"/>
  <c r="BB15"/>
  <c r="BF15"/>
  <c r="BJ15"/>
  <c r="Q19" i="3" s="1"/>
  <c r="BN15" i="2"/>
  <c r="AU15"/>
  <c r="AY15"/>
  <c r="BC15"/>
  <c r="BG15"/>
  <c r="BK15"/>
  <c r="R19" i="3" s="1"/>
  <c r="BO15" i="2"/>
  <c r="AX17"/>
  <c r="E21" i="3" s="1"/>
  <c r="BB17" i="2"/>
  <c r="BF17"/>
  <c r="BJ17"/>
  <c r="Q21" i="3" s="1"/>
  <c r="BN17" i="2"/>
  <c r="U21" i="3" s="1"/>
  <c r="AU17" i="2"/>
  <c r="AY17"/>
  <c r="BC17"/>
  <c r="J21" i="3" s="1"/>
  <c r="BG17" i="2"/>
  <c r="N21" i="3" s="1"/>
  <c r="BK17" i="2"/>
  <c r="R21" i="3" s="1"/>
  <c r="BO17" i="2"/>
  <c r="AX19"/>
  <c r="BB19"/>
  <c r="BF19"/>
  <c r="BJ19"/>
  <c r="Q23" i="3" s="1"/>
  <c r="BN19" i="2"/>
  <c r="AU19"/>
  <c r="B23" i="3" s="1"/>
  <c r="AY19" i="2"/>
  <c r="BC19"/>
  <c r="BG19"/>
  <c r="BK19"/>
  <c r="R23" i="3" s="1"/>
  <c r="BO19" i="2"/>
  <c r="BO12"/>
  <c r="V16" i="3" s="1"/>
  <c r="BK12" i="2"/>
  <c r="BG12"/>
  <c r="BC12"/>
  <c r="AY12"/>
  <c r="F16" i="3" s="1"/>
  <c r="AU12" i="2"/>
  <c r="BN12"/>
  <c r="BJ12"/>
  <c r="BF12"/>
  <c r="M16" i="3" s="1"/>
  <c r="BB12" i="2"/>
  <c r="I16" i="3" s="1"/>
  <c r="AX12" i="2"/>
  <c r="E16" i="3" s="1"/>
  <c r="AV14" i="2"/>
  <c r="C18" i="3" s="1"/>
  <c r="AZ14" i="2"/>
  <c r="BD14"/>
  <c r="K18" i="3" s="1"/>
  <c r="BH14" i="2"/>
  <c r="O18" i="3" s="1"/>
  <c r="BL14" i="2"/>
  <c r="S18" i="3" s="1"/>
  <c r="BP14" i="2"/>
  <c r="AW14"/>
  <c r="BA14"/>
  <c r="H18" i="3" s="1"/>
  <c r="BE14" i="2"/>
  <c r="L18" i="3" s="1"/>
  <c r="BI14" i="2"/>
  <c r="P18" i="3" s="1"/>
  <c r="BM14" i="2"/>
  <c r="T18" i="3" s="1"/>
  <c r="AV16" i="2"/>
  <c r="AZ16"/>
  <c r="BD16"/>
  <c r="K20" i="3" s="1"/>
  <c r="BH16" i="2"/>
  <c r="BL16"/>
  <c r="BP16"/>
  <c r="AW16"/>
  <c r="D20" i="3" s="1"/>
  <c r="BA16" i="2"/>
  <c r="BE16"/>
  <c r="BI16"/>
  <c r="BM16"/>
  <c r="T20" i="3" s="1"/>
  <c r="AV18" i="2"/>
  <c r="AZ18"/>
  <c r="BD18"/>
  <c r="BH18"/>
  <c r="BL18"/>
  <c r="BP18"/>
  <c r="W22" i="3" s="1"/>
  <c r="AW18" i="2"/>
  <c r="BA18"/>
  <c r="H22" i="3" s="1"/>
  <c r="BE18" i="2"/>
  <c r="BI18"/>
  <c r="BM18"/>
  <c r="AV13"/>
  <c r="AZ13"/>
  <c r="BD13"/>
  <c r="BH13"/>
  <c r="O17" i="3" s="1"/>
  <c r="BL13" i="2"/>
  <c r="S17" i="3" s="1"/>
  <c r="BP13" i="2"/>
  <c r="W17" i="3" s="1"/>
  <c r="AW13" i="2"/>
  <c r="D17" i="3" s="1"/>
  <c r="BA13" i="2"/>
  <c r="BE13"/>
  <c r="L17" i="3" s="1"/>
  <c r="BI13" i="2"/>
  <c r="P17" i="3" s="1"/>
  <c r="BM13" i="2"/>
  <c r="AV15"/>
  <c r="AZ15"/>
  <c r="G19" i="3" s="1"/>
  <c r="BD15" i="2"/>
  <c r="K19" i="3" s="1"/>
  <c r="BH15" i="2"/>
  <c r="BL15"/>
  <c r="S19" i="3" s="1"/>
  <c r="BP15" i="2"/>
  <c r="W19" i="3" s="1"/>
  <c r="AW15" i="2"/>
  <c r="BA15"/>
  <c r="H19" i="3" s="1"/>
  <c r="BE15" i="2"/>
  <c r="L19" i="3" s="1"/>
  <c r="BI15" i="2"/>
  <c r="BM15"/>
  <c r="T19" i="3" s="1"/>
  <c r="AV17" i="2"/>
  <c r="AZ17"/>
  <c r="BD17"/>
  <c r="K21" i="3" s="1"/>
  <c r="BH17" i="2"/>
  <c r="BL17"/>
  <c r="BP17"/>
  <c r="AW17"/>
  <c r="D21" i="3" s="1"/>
  <c r="BA17" i="2"/>
  <c r="BE17"/>
  <c r="BI17"/>
  <c r="BM17"/>
  <c r="T21" i="3" s="1"/>
  <c r="AV19" i="2"/>
  <c r="C23" i="3" s="1"/>
  <c r="AZ19" i="2"/>
  <c r="G23" i="3" s="1"/>
  <c r="BD19" i="2"/>
  <c r="K23" i="3" s="1"/>
  <c r="BH19" i="2"/>
  <c r="BL19"/>
  <c r="S23" i="3" s="1"/>
  <c r="BP19" i="2"/>
  <c r="W23" i="3" s="1"/>
  <c r="AW19" i="2"/>
  <c r="BA19"/>
  <c r="BE19"/>
  <c r="L23" i="3" s="1"/>
  <c r="BI19" i="2"/>
  <c r="BM19"/>
  <c r="T23" i="3" s="1"/>
  <c r="HF20" i="2"/>
  <c r="GO5"/>
  <c r="HF5" s="1"/>
  <c r="H26" i="4" s="1"/>
  <c r="JP28" i="2"/>
  <c r="KG28" s="1"/>
  <c r="JM27"/>
  <c r="KD27" s="1"/>
  <c r="HF12"/>
  <c r="H33" i="4" s="1"/>
  <c r="HF28" i="2"/>
  <c r="JP12"/>
  <c r="KG12" s="1"/>
  <c r="HF6"/>
  <c r="H27" i="4" s="1"/>
  <c r="GT31" i="2"/>
  <c r="GS8"/>
  <c r="GY4"/>
  <c r="HA22"/>
  <c r="HF10"/>
  <c r="H31" i="4" s="1"/>
  <c r="JP20" i="2"/>
  <c r="KG20" s="1"/>
  <c r="JP6"/>
  <c r="KG6" s="1"/>
  <c r="JP10"/>
  <c r="KG10" s="1"/>
  <c r="JP33"/>
  <c r="KG33" s="1"/>
  <c r="GO33"/>
  <c r="GZ31"/>
  <c r="GV24"/>
  <c r="GY12"/>
  <c r="GR8"/>
  <c r="B9" i="4" s="1"/>
  <c r="HF16" i="2"/>
  <c r="H37" i="4" s="1"/>
  <c r="GS24" i="2"/>
  <c r="GR20"/>
  <c r="GV26"/>
  <c r="GY20"/>
  <c r="HD29"/>
  <c r="HD9"/>
  <c r="GL33"/>
  <c r="IG33" s="1"/>
  <c r="GR5"/>
  <c r="B6" i="4" s="1"/>
  <c r="GX13" i="2"/>
  <c r="H14" i="4" s="1"/>
  <c r="GR28" i="2"/>
  <c r="GT30"/>
  <c r="HA30"/>
  <c r="GS16"/>
  <c r="HD25"/>
  <c r="GT7"/>
  <c r="D8" i="4" s="1"/>
  <c r="GR21" i="2"/>
  <c r="HF31"/>
  <c r="GZ4"/>
  <c r="HD5"/>
  <c r="GT26"/>
  <c r="GZ16"/>
  <c r="HF8"/>
  <c r="H29" i="4" s="1"/>
  <c r="HF30" i="2"/>
  <c r="HA31"/>
  <c r="GV10"/>
  <c r="GR24"/>
  <c r="GX14"/>
  <c r="H15" i="4" s="1"/>
  <c r="GY28" i="2"/>
  <c r="HF24"/>
  <c r="GX29"/>
  <c r="HA32"/>
  <c r="GT14"/>
  <c r="D15" i="4" s="1"/>
  <c r="GS9" i="2"/>
  <c r="GS25"/>
  <c r="GL31"/>
  <c r="HC31" s="1"/>
  <c r="JM19"/>
  <c r="KD19" s="1"/>
  <c r="JL16"/>
  <c r="KC16" s="1"/>
  <c r="GV8"/>
  <c r="GT15"/>
  <c r="D16" i="4" s="1"/>
  <c r="HA6" i="2"/>
  <c r="B27" i="4" s="1"/>
  <c r="HD27" i="2"/>
  <c r="JM13"/>
  <c r="KD13" s="1"/>
  <c r="GL21"/>
  <c r="IG21" s="1"/>
  <c r="JL24"/>
  <c r="KC24" s="1"/>
  <c r="JL4"/>
  <c r="KC4" s="1"/>
  <c r="JM17"/>
  <c r="KD17" s="1"/>
  <c r="JL12"/>
  <c r="KC12" s="1"/>
  <c r="GK7"/>
  <c r="IF7" s="1"/>
  <c r="E28" i="4" s="1"/>
  <c r="JM9" i="2"/>
  <c r="KD9" s="1"/>
  <c r="JM15"/>
  <c r="KD15" s="1"/>
  <c r="GL23"/>
  <c r="IG23" s="1"/>
  <c r="JL31"/>
  <c r="KC31" s="1"/>
  <c r="JL20"/>
  <c r="KC20" s="1"/>
  <c r="JL23"/>
  <c r="KC23" s="1"/>
  <c r="JM7"/>
  <c r="KD7" s="1"/>
  <c r="JL8"/>
  <c r="KC8" s="1"/>
  <c r="JL27"/>
  <c r="KC27" s="1"/>
  <c r="JL11"/>
  <c r="KC11" s="1"/>
  <c r="JM25"/>
  <c r="KD25" s="1"/>
  <c r="JM29"/>
  <c r="KD29" s="1"/>
  <c r="JL15"/>
  <c r="KC15" s="1"/>
  <c r="JM11"/>
  <c r="KD11" s="1"/>
  <c r="JL28"/>
  <c r="KC28" s="1"/>
  <c r="JL19"/>
  <c r="KC19" s="1"/>
  <c r="GS17"/>
  <c r="HD19"/>
  <c r="HD11"/>
  <c r="GS12"/>
  <c r="GS28"/>
  <c r="GL4"/>
  <c r="IG4" s="1"/>
  <c r="GK5"/>
  <c r="IF5" s="1"/>
  <c r="E26" i="4" s="1"/>
  <c r="GK9" i="2"/>
  <c r="IF9" s="1"/>
  <c r="E30" i="4" s="1"/>
  <c r="GK10" i="2"/>
  <c r="IF10" s="1"/>
  <c r="E31" i="4" s="1"/>
  <c r="JM20" i="2"/>
  <c r="KD20" s="1"/>
  <c r="GK26"/>
  <c r="IF26" s="1"/>
  <c r="GK25"/>
  <c r="IF25" s="1"/>
  <c r="JM12"/>
  <c r="KD12" s="1"/>
  <c r="JM28"/>
  <c r="KD28" s="1"/>
  <c r="GK33"/>
  <c r="IF33" s="1"/>
  <c r="GK18"/>
  <c r="IF18" s="1"/>
  <c r="E39" i="4" s="1"/>
  <c r="GK32" i="2"/>
  <c r="IF32" s="1"/>
  <c r="GK17"/>
  <c r="IF17" s="1"/>
  <c r="E38" i="4" s="1"/>
  <c r="JM8" i="2"/>
  <c r="KD8" s="1"/>
  <c r="JM16"/>
  <c r="KD16" s="1"/>
  <c r="JM24"/>
  <c r="KD24" s="1"/>
  <c r="JM32"/>
  <c r="KD32" s="1"/>
  <c r="HD15"/>
  <c r="GS20"/>
  <c r="BC7"/>
  <c r="J7" i="3" s="1"/>
  <c r="BE7" i="2"/>
  <c r="L7" i="3" s="1"/>
  <c r="BG7" i="2"/>
  <c r="N7" i="3" s="1"/>
  <c r="BI7" i="2"/>
  <c r="P7" i="3" s="1"/>
  <c r="BK7" i="2"/>
  <c r="R7" i="3" s="1"/>
  <c r="BM7" i="2"/>
  <c r="T7" i="3" s="1"/>
  <c r="BO7" i="2"/>
  <c r="V7" i="3" s="1"/>
  <c r="BD7" i="2"/>
  <c r="K7" i="3" s="1"/>
  <c r="BF7" i="2"/>
  <c r="M7" i="3" s="1"/>
  <c r="BH7" i="2"/>
  <c r="O7" i="3" s="1"/>
  <c r="BJ7" i="2"/>
  <c r="Q7" i="3" s="1"/>
  <c r="BL7" i="2"/>
  <c r="S7" i="3" s="1"/>
  <c r="BN7" i="2"/>
  <c r="U7" i="3" s="1"/>
  <c r="BP7" i="2"/>
  <c r="W7" i="3" s="1"/>
  <c r="J22"/>
  <c r="L22"/>
  <c r="P22"/>
  <c r="T22"/>
  <c r="K22"/>
  <c r="O22"/>
  <c r="S22"/>
  <c r="J23"/>
  <c r="N23"/>
  <c r="P23"/>
  <c r="V23"/>
  <c r="M23"/>
  <c r="O23"/>
  <c r="U23"/>
  <c r="AY10" i="2"/>
  <c r="F10" i="3" s="1"/>
  <c r="BC10" i="2"/>
  <c r="J10" i="3" s="1"/>
  <c r="BE10" i="2"/>
  <c r="L10" i="3" s="1"/>
  <c r="BG10" i="2"/>
  <c r="N10" i="3" s="1"/>
  <c r="BI10" i="2"/>
  <c r="P10" i="3" s="1"/>
  <c r="BK10" i="2"/>
  <c r="R10" i="3" s="1"/>
  <c r="BM10" i="2"/>
  <c r="T10" i="3" s="1"/>
  <c r="BO10" i="2"/>
  <c r="V10" i="3" s="1"/>
  <c r="BD10" i="2"/>
  <c r="K10" i="3" s="1"/>
  <c r="BF10" i="2"/>
  <c r="M10" i="3" s="1"/>
  <c r="BH10" i="2"/>
  <c r="O10" i="3" s="1"/>
  <c r="BJ10" i="2"/>
  <c r="Q10" i="3" s="1"/>
  <c r="BL10" i="2"/>
  <c r="S10" i="3" s="1"/>
  <c r="BN10" i="2"/>
  <c r="U10" i="3" s="1"/>
  <c r="BP10" i="2"/>
  <c r="W10" i="3" s="1"/>
  <c r="J19"/>
  <c r="N19"/>
  <c r="P19"/>
  <c r="V19"/>
  <c r="M19"/>
  <c r="O19"/>
  <c r="U19"/>
  <c r="BC6" i="2"/>
  <c r="J6" i="3" s="1"/>
  <c r="BE6" i="2"/>
  <c r="L6" i="3" s="1"/>
  <c r="BG6" i="2"/>
  <c r="N6" i="3" s="1"/>
  <c r="BI6" i="2"/>
  <c r="P6" i="3" s="1"/>
  <c r="BK6" i="2"/>
  <c r="R6" i="3" s="1"/>
  <c r="BM6" i="2"/>
  <c r="T6" i="3" s="1"/>
  <c r="BO6" i="2"/>
  <c r="V6" i="3" s="1"/>
  <c r="BD6" i="2"/>
  <c r="K6" i="3" s="1"/>
  <c r="BF6" i="2"/>
  <c r="M6" i="3" s="1"/>
  <c r="BH6" i="2"/>
  <c r="O6" i="3" s="1"/>
  <c r="BJ6" i="2"/>
  <c r="Q6" i="3" s="1"/>
  <c r="BL6" i="2"/>
  <c r="S6" i="3" s="1"/>
  <c r="BN6" i="2"/>
  <c r="U6" i="3" s="1"/>
  <c r="BP6" i="2"/>
  <c r="W6" i="3" s="1"/>
  <c r="J17"/>
  <c r="N17"/>
  <c r="R17"/>
  <c r="T17"/>
  <c r="K17"/>
  <c r="Q17"/>
  <c r="U17"/>
  <c r="BC5" i="2"/>
  <c r="J5" i="3" s="1"/>
  <c r="BE5" i="2"/>
  <c r="L5" i="3" s="1"/>
  <c r="BG5" i="2"/>
  <c r="N5" i="3" s="1"/>
  <c r="BI5" i="2"/>
  <c r="P5" i="3" s="1"/>
  <c r="BK5" i="2"/>
  <c r="R5" i="3" s="1"/>
  <c r="BM5" i="2"/>
  <c r="T5" i="3" s="1"/>
  <c r="BO5" i="2"/>
  <c r="V5" i="3" s="1"/>
  <c r="BD5" i="2"/>
  <c r="K5" i="3" s="1"/>
  <c r="BF5" i="2"/>
  <c r="M5" i="3" s="1"/>
  <c r="BH5" i="2"/>
  <c r="O5" i="3" s="1"/>
  <c r="BJ5" i="2"/>
  <c r="Q5" i="3" s="1"/>
  <c r="BL5" i="2"/>
  <c r="S5" i="3" s="1"/>
  <c r="BN5" i="2"/>
  <c r="U5" i="3" s="1"/>
  <c r="BP5" i="2"/>
  <c r="W5" i="3" s="1"/>
  <c r="L20"/>
  <c r="P20"/>
  <c r="V20"/>
  <c r="M20"/>
  <c r="O20"/>
  <c r="S20"/>
  <c r="W20"/>
  <c r="AX9" i="2"/>
  <c r="E9" i="3" s="1"/>
  <c r="BC9" i="2"/>
  <c r="J9" i="3" s="1"/>
  <c r="BE9" i="2"/>
  <c r="L9" i="3" s="1"/>
  <c r="BG9" i="2"/>
  <c r="N9" i="3" s="1"/>
  <c r="BI9" i="2"/>
  <c r="P9" i="3" s="1"/>
  <c r="BK9" i="2"/>
  <c r="R9" i="3" s="1"/>
  <c r="BM9" i="2"/>
  <c r="T9" i="3" s="1"/>
  <c r="BO9" i="2"/>
  <c r="V9" i="3" s="1"/>
  <c r="BD9" i="2"/>
  <c r="K9" i="3" s="1"/>
  <c r="BF9" i="2"/>
  <c r="M9" i="3" s="1"/>
  <c r="BH9" i="2"/>
  <c r="O9" i="3" s="1"/>
  <c r="BJ9" i="2"/>
  <c r="Q9" i="3" s="1"/>
  <c r="BL9" i="2"/>
  <c r="S9" i="3" s="1"/>
  <c r="BN9" i="2"/>
  <c r="U9" i="3" s="1"/>
  <c r="BP9" i="2"/>
  <c r="W9" i="3" s="1"/>
  <c r="AY8" i="2"/>
  <c r="F8" i="3" s="1"/>
  <c r="BC8" i="2"/>
  <c r="J8" i="3" s="1"/>
  <c r="BE8" i="2"/>
  <c r="L8" i="3" s="1"/>
  <c r="BG8" i="2"/>
  <c r="N8" i="3" s="1"/>
  <c r="BI8" i="2"/>
  <c r="P8" i="3" s="1"/>
  <c r="BK8" i="2"/>
  <c r="R8" i="3" s="1"/>
  <c r="BM8" i="2"/>
  <c r="T8" i="3" s="1"/>
  <c r="BO8" i="2"/>
  <c r="V8" i="3" s="1"/>
  <c r="BD8" i="2"/>
  <c r="K8" i="3" s="1"/>
  <c r="BF8" i="2"/>
  <c r="M8" i="3" s="1"/>
  <c r="BH8" i="2"/>
  <c r="O8" i="3" s="1"/>
  <c r="BJ8" i="2"/>
  <c r="Q8" i="3" s="1"/>
  <c r="BL8" i="2"/>
  <c r="S8" i="3" s="1"/>
  <c r="BN8" i="2"/>
  <c r="U8" i="3" s="1"/>
  <c r="BP8" i="2"/>
  <c r="W8" i="3" s="1"/>
  <c r="N18"/>
  <c r="R18"/>
  <c r="V18"/>
  <c r="M18"/>
  <c r="Q18"/>
  <c r="U18"/>
  <c r="W18"/>
  <c r="AV11" i="2"/>
  <c r="C11" i="3" s="1"/>
  <c r="BC11" i="2"/>
  <c r="J11" i="3" s="1"/>
  <c r="BE11" i="2"/>
  <c r="L11" i="3" s="1"/>
  <c r="BG11" i="2"/>
  <c r="N11" i="3" s="1"/>
  <c r="BI11" i="2"/>
  <c r="P11" i="3" s="1"/>
  <c r="BK11" i="2"/>
  <c r="R11" i="3" s="1"/>
  <c r="BM11" i="2"/>
  <c r="T11" i="3" s="1"/>
  <c r="BO11" i="2"/>
  <c r="V11" i="3" s="1"/>
  <c r="BD11" i="2"/>
  <c r="K11" i="3" s="1"/>
  <c r="BF11" i="2"/>
  <c r="M11" i="3" s="1"/>
  <c r="BH11" i="2"/>
  <c r="O11" i="3" s="1"/>
  <c r="BJ11" i="2"/>
  <c r="Q11" i="3" s="1"/>
  <c r="BL11" i="2"/>
  <c r="S11" i="3" s="1"/>
  <c r="BN11" i="2"/>
  <c r="U11" i="3" s="1"/>
  <c r="BP11" i="2"/>
  <c r="W11" i="3" s="1"/>
  <c r="J16"/>
  <c r="N16"/>
  <c r="R16"/>
  <c r="T16"/>
  <c r="K16"/>
  <c r="Q16"/>
  <c r="U16"/>
  <c r="B21"/>
  <c r="L21"/>
  <c r="P21"/>
  <c r="V21"/>
  <c r="M21"/>
  <c r="O21"/>
  <c r="S21"/>
  <c r="W21"/>
  <c r="GS33" i="2"/>
  <c r="HD7"/>
  <c r="BO4"/>
  <c r="V4" i="3" s="1"/>
  <c r="GL18" i="2"/>
  <c r="IG18" s="1"/>
  <c r="GK6"/>
  <c r="IF6" s="1"/>
  <c r="E27" i="4" s="1"/>
  <c r="BN4" i="2"/>
  <c r="U4" i="3" s="1"/>
  <c r="BL4" i="2"/>
  <c r="S4" i="3" s="1"/>
  <c r="BJ4" i="2"/>
  <c r="Q4" i="3" s="1"/>
  <c r="BH4" i="2"/>
  <c r="O4" i="3" s="1"/>
  <c r="BF4" i="2"/>
  <c r="M4" i="3" s="1"/>
  <c r="BD4" i="2"/>
  <c r="K4" i="3" s="1"/>
  <c r="BM4" i="2"/>
  <c r="T4" i="3" s="1"/>
  <c r="BK4" i="2"/>
  <c r="R4" i="3" s="1"/>
  <c r="BI4" i="2"/>
  <c r="P4" i="3" s="1"/>
  <c r="BG4" i="2"/>
  <c r="N4" i="3" s="1"/>
  <c r="BE4" i="2"/>
  <c r="L4" i="3" s="1"/>
  <c r="BC4" i="2"/>
  <c r="J4" i="3" s="1"/>
  <c r="GL10" i="2"/>
  <c r="IG10" s="1"/>
  <c r="GL26"/>
  <c r="IG26" s="1"/>
  <c r="GK22"/>
  <c r="IF22" s="1"/>
  <c r="GK21"/>
  <c r="IF21" s="1"/>
  <c r="GL14"/>
  <c r="IG14" s="1"/>
  <c r="GL22"/>
  <c r="IG22" s="1"/>
  <c r="GL30"/>
  <c r="IG30" s="1"/>
  <c r="GK30"/>
  <c r="IF30" s="1"/>
  <c r="GK14"/>
  <c r="IF14" s="1"/>
  <c r="E35" i="4" s="1"/>
  <c r="GK29" i="2"/>
  <c r="GK13"/>
  <c r="GS4"/>
  <c r="HE4"/>
  <c r="F25" i="4" s="1"/>
  <c r="HB21" i="2"/>
  <c r="GY13"/>
  <c r="GV4"/>
  <c r="GW14"/>
  <c r="F15" i="4" s="1"/>
  <c r="HC27" i="2"/>
  <c r="GU10"/>
  <c r="GY17"/>
  <c r="GV11"/>
  <c r="GS26"/>
  <c r="HB7"/>
  <c r="D28" i="4" s="1"/>
  <c r="HE18" i="2"/>
  <c r="F39" i="4" s="1"/>
  <c r="GW5" i="2"/>
  <c r="F6" i="4" s="1"/>
  <c r="GU9" i="2"/>
  <c r="GR19"/>
  <c r="B20" i="4" s="1"/>
  <c r="HF13" i="2"/>
  <c r="H34" i="4" s="1"/>
  <c r="HG21" i="2"/>
  <c r="HE17"/>
  <c r="F38" i="4" s="1"/>
  <c r="GU22" i="2"/>
  <c r="GR22"/>
  <c r="GX15"/>
  <c r="H16" i="4" s="1"/>
  <c r="HG27" i="2"/>
  <c r="HE19"/>
  <c r="F40" i="4" s="1"/>
  <c r="GU14" i="2"/>
  <c r="GV29"/>
  <c r="GS6"/>
  <c r="GR10"/>
  <c r="B11" i="4" s="1"/>
  <c r="GX27" i="2"/>
  <c r="HG30"/>
  <c r="GT24"/>
  <c r="GZ33"/>
  <c r="HF27"/>
  <c r="HD22"/>
  <c r="HG14"/>
  <c r="HC24"/>
  <c r="GV31"/>
  <c r="GT25"/>
  <c r="GR15"/>
  <c r="B16" i="4" s="1"/>
  <c r="GX31" i="2"/>
  <c r="GY19"/>
  <c r="HA15"/>
  <c r="B36" i="4" s="1"/>
  <c r="HF11" i="2"/>
  <c r="H32" i="4" s="1"/>
  <c r="GZ29" i="2"/>
  <c r="HD6"/>
  <c r="HG6"/>
  <c r="HG22"/>
  <c r="HC8"/>
  <c r="HE10"/>
  <c r="F31" i="4" s="1"/>
  <c r="HE26" i="2"/>
  <c r="GW19"/>
  <c r="F20" i="4" s="1"/>
  <c r="GW21" i="2"/>
  <c r="GU12"/>
  <c r="GU7"/>
  <c r="GT29"/>
  <c r="GX28"/>
  <c r="HA13"/>
  <c r="B34" i="4" s="1"/>
  <c r="GZ25" i="2"/>
  <c r="HG7"/>
  <c r="HC5"/>
  <c r="HB12"/>
  <c r="D33" i="4" s="1"/>
  <c r="HB4" i="2"/>
  <c r="D25" i="4" s="1"/>
  <c r="GW12" i="2"/>
  <c r="F13" i="4" s="1"/>
  <c r="GU4" i="2"/>
  <c r="GT5"/>
  <c r="D6" i="4" s="1"/>
  <c r="GZ14" i="2"/>
  <c r="HF32"/>
  <c r="HD28"/>
  <c r="HG11"/>
  <c r="HC13"/>
  <c r="HB8"/>
  <c r="D29" i="4" s="1"/>
  <c r="HE33" i="2"/>
  <c r="GW4"/>
  <c r="F5" i="4" s="1"/>
  <c r="GU27" i="2"/>
  <c r="GV15"/>
  <c r="GV13"/>
  <c r="GT9"/>
  <c r="D10" i="4" s="1"/>
  <c r="GR31" i="2"/>
  <c r="GR26"/>
  <c r="GX16"/>
  <c r="H17" i="4" s="1"/>
  <c r="GZ18" i="2"/>
  <c r="GY27"/>
  <c r="GY11"/>
  <c r="HA23"/>
  <c r="HA7"/>
  <c r="B28" i="4" s="1"/>
  <c r="HF19" i="2"/>
  <c r="H40" i="4" s="1"/>
  <c r="GX11" i="2"/>
  <c r="H12" i="4" s="1"/>
  <c r="GZ13" i="2"/>
  <c r="HD30"/>
  <c r="HD14"/>
  <c r="GS22"/>
  <c r="GS19"/>
  <c r="HG10"/>
  <c r="HG18"/>
  <c r="HG26"/>
  <c r="HG4"/>
  <c r="HC16"/>
  <c r="HC32"/>
  <c r="HC12"/>
  <c r="HC20"/>
  <c r="HC28"/>
  <c r="HE6"/>
  <c r="F27" i="4" s="1"/>
  <c r="HE14" i="2"/>
  <c r="F35" i="4" s="1"/>
  <c r="HE22" i="2"/>
  <c r="HE30"/>
  <c r="GW11"/>
  <c r="F12" i="4" s="1"/>
  <c r="GW27" i="2"/>
  <c r="GW13"/>
  <c r="F14" i="4" s="1"/>
  <c r="GW29" i="2"/>
  <c r="GU26"/>
  <c r="GU28"/>
  <c r="GU23"/>
  <c r="GU13"/>
  <c r="GV33"/>
  <c r="GT28"/>
  <c r="GR14"/>
  <c r="B15" i="4" s="1"/>
  <c r="GY33" i="2"/>
  <c r="HA29"/>
  <c r="HF29"/>
  <c r="GX23"/>
  <c r="HD24"/>
  <c r="GS10"/>
  <c r="HG13"/>
  <c r="HG29"/>
  <c r="HC15"/>
  <c r="HB28"/>
  <c r="HE9"/>
  <c r="F30" i="4" s="1"/>
  <c r="HE25" i="2"/>
  <c r="HB11"/>
  <c r="D32" i="4" s="1"/>
  <c r="GW30" i="2"/>
  <c r="GW28"/>
  <c r="GU16"/>
  <c r="GU29"/>
  <c r="GV9"/>
  <c r="GR27"/>
  <c r="GX20"/>
  <c r="GY29"/>
  <c r="HA25"/>
  <c r="HF17"/>
  <c r="H38" i="4" s="1"/>
  <c r="GZ17" i="2"/>
  <c r="HD16"/>
  <c r="GS15"/>
  <c r="HG19"/>
  <c r="HC7"/>
  <c r="HB24"/>
  <c r="HE11"/>
  <c r="F32" i="4" s="1"/>
  <c r="HE27" i="2"/>
  <c r="HB23"/>
  <c r="GW18"/>
  <c r="F19" i="4" s="1"/>
  <c r="GW24" i="2"/>
  <c r="GU24"/>
  <c r="GU21"/>
  <c r="GV23"/>
  <c r="GV7"/>
  <c r="GV21"/>
  <c r="GT33"/>
  <c r="GT17"/>
  <c r="D18" i="4" s="1"/>
  <c r="GT32" i="2"/>
  <c r="GT16"/>
  <c r="D17" i="4" s="1"/>
  <c r="GR23" i="2"/>
  <c r="GR7"/>
  <c r="B8" i="4" s="1"/>
  <c r="GR18" i="2"/>
  <c r="B19" i="4" s="1"/>
  <c r="GX8" i="2"/>
  <c r="H9" i="4" s="1"/>
  <c r="GX24" i="2"/>
  <c r="GZ10"/>
  <c r="GZ26"/>
  <c r="GY31"/>
  <c r="GY23"/>
  <c r="GY15"/>
  <c r="GY7"/>
  <c r="HA27"/>
  <c r="HA19"/>
  <c r="B40" i="4" s="1"/>
  <c r="HA11" i="2"/>
  <c r="B32" i="4" s="1"/>
  <c r="HF4" i="2"/>
  <c r="H25" i="4" s="1"/>
  <c r="HF23" i="2"/>
  <c r="HF15"/>
  <c r="H36" i="4" s="1"/>
  <c r="HF7" i="2"/>
  <c r="H28" i="4" s="1"/>
  <c r="GX19" i="2"/>
  <c r="H20" i="4" s="1"/>
  <c r="GZ5" i="2"/>
  <c r="GZ21"/>
  <c r="HD33"/>
  <c r="HD26"/>
  <c r="HD18"/>
  <c r="HD10"/>
  <c r="GS30"/>
  <c r="GS14"/>
  <c r="GS27"/>
  <c r="GS11"/>
  <c r="HG8"/>
  <c r="HG12"/>
  <c r="HG16"/>
  <c r="HG20"/>
  <c r="HG24"/>
  <c r="HG28"/>
  <c r="HG32"/>
  <c r="HC6"/>
  <c r="HE8"/>
  <c r="F29" i="4" s="1"/>
  <c r="HE12" i="2"/>
  <c r="F33" i="4" s="1"/>
  <c r="HE16" i="2"/>
  <c r="F37" i="4" s="1"/>
  <c r="HE20" i="2"/>
  <c r="HE24"/>
  <c r="HE28"/>
  <c r="HE32"/>
  <c r="GW7"/>
  <c r="F8" i="4" s="1"/>
  <c r="GW15" i="2"/>
  <c r="F16" i="4" s="1"/>
  <c r="GW23" i="2"/>
  <c r="GW31"/>
  <c r="GW9"/>
  <c r="F10" i="4" s="1"/>
  <c r="GW17" i="2"/>
  <c r="F18" i="4" s="1"/>
  <c r="GW25" i="2"/>
  <c r="GW33"/>
  <c r="GU18"/>
  <c r="GU5"/>
  <c r="GU20"/>
  <c r="GU33"/>
  <c r="GU31"/>
  <c r="GU15"/>
  <c r="GU25"/>
  <c r="GT4"/>
  <c r="D5" i="4" s="1"/>
  <c r="GV19" i="2"/>
  <c r="GV17"/>
  <c r="GT13"/>
  <c r="D14" i="4" s="1"/>
  <c r="GT12" i="2"/>
  <c r="D13" i="4" s="1"/>
  <c r="GR30" i="2"/>
  <c r="GX12"/>
  <c r="H13" i="4" s="1"/>
  <c r="GZ22" i="2"/>
  <c r="GY25"/>
  <c r="GY9"/>
  <c r="HA21"/>
  <c r="HA9"/>
  <c r="B30" i="4" s="1"/>
  <c r="HF21" i="2"/>
  <c r="GX7"/>
  <c r="H8" i="4" s="1"/>
  <c r="GZ9" i="2"/>
  <c r="HD31"/>
  <c r="HD12"/>
  <c r="GS18"/>
  <c r="GS23"/>
  <c r="HG9"/>
  <c r="HG17"/>
  <c r="HG25"/>
  <c r="HG33"/>
  <c r="HC11"/>
  <c r="HC19"/>
  <c r="HC29"/>
  <c r="HB20"/>
  <c r="HE5"/>
  <c r="F26" i="4" s="1"/>
  <c r="HE13" i="2"/>
  <c r="F34" i="4" s="1"/>
  <c r="HE21" i="2"/>
  <c r="HE29"/>
  <c r="HB19"/>
  <c r="D40" i="4" s="1"/>
  <c r="GW6" i="2"/>
  <c r="F7" i="4" s="1"/>
  <c r="GW22" i="2"/>
  <c r="GW8"/>
  <c r="F9" i="4" s="1"/>
  <c r="GW20" i="2"/>
  <c r="GU6"/>
  <c r="GU30"/>
  <c r="GU32"/>
  <c r="GU19"/>
  <c r="GV27"/>
  <c r="GV25"/>
  <c r="GT21"/>
  <c r="GT20"/>
  <c r="GR11"/>
  <c r="B12" i="4" s="1"/>
  <c r="GR6" i="2"/>
  <c r="B7" i="4" s="1"/>
  <c r="GZ6" i="2"/>
  <c r="GZ30"/>
  <c r="GY21"/>
  <c r="HA33"/>
  <c r="HA17"/>
  <c r="B38" i="4" s="1"/>
  <c r="HF25" i="2"/>
  <c r="HF9"/>
  <c r="H30" i="4" s="1"/>
  <c r="GX4" i="2"/>
  <c r="H5" i="4" s="1"/>
  <c r="GZ32" i="2"/>
  <c r="HD20"/>
  <c r="HD8"/>
  <c r="GS31"/>
  <c r="HG5"/>
  <c r="HG15"/>
  <c r="HG23"/>
  <c r="HG31"/>
  <c r="HC9"/>
  <c r="HC17"/>
  <c r="HC25"/>
  <c r="HB31"/>
  <c r="HB16"/>
  <c r="D37" i="4" s="1"/>
  <c r="HE7" i="2"/>
  <c r="F28" i="4" s="1"/>
  <c r="HE15" i="2"/>
  <c r="F36" i="4" s="1"/>
  <c r="HE23" i="2"/>
  <c r="HE31"/>
  <c r="HB27"/>
  <c r="HB15"/>
  <c r="D36" i="4" s="1"/>
  <c r="GW10" i="2"/>
  <c r="F11" i="4" s="1"/>
  <c r="GW26" i="2"/>
  <c r="GW16"/>
  <c r="F17" i="4" s="1"/>
  <c r="GW32" i="2"/>
  <c r="GU8"/>
  <c r="GU17"/>
  <c r="GU11"/>
  <c r="VK3"/>
  <c r="JV10"/>
  <c r="JV18"/>
  <c r="JV26"/>
  <c r="JV5"/>
  <c r="JV12"/>
  <c r="JV28"/>
  <c r="JV9"/>
  <c r="JV23"/>
  <c r="JV7"/>
  <c r="JV13"/>
  <c r="JV6"/>
  <c r="JV14"/>
  <c r="JV22"/>
  <c r="JV30"/>
  <c r="JV8"/>
  <c r="JV16"/>
  <c r="JV24"/>
  <c r="JV32"/>
  <c r="JV17"/>
  <c r="JV27"/>
  <c r="JV19"/>
  <c r="JV11"/>
  <c r="JV29"/>
  <c r="JV21"/>
  <c r="JV20"/>
  <c r="JV33"/>
  <c r="JV31"/>
  <c r="JV15"/>
  <c r="JV25"/>
  <c r="JX7"/>
  <c r="JX11"/>
  <c r="JX15"/>
  <c r="JX19"/>
  <c r="JX23"/>
  <c r="JX27"/>
  <c r="JX31"/>
  <c r="JX5"/>
  <c r="JX9"/>
  <c r="JX13"/>
  <c r="JX17"/>
  <c r="JX21"/>
  <c r="JX25"/>
  <c r="JX29"/>
  <c r="JX33"/>
  <c r="JX6"/>
  <c r="JX10"/>
  <c r="JX14"/>
  <c r="JX18"/>
  <c r="JX22"/>
  <c r="JX26"/>
  <c r="JX30"/>
  <c r="JX4"/>
  <c r="JX8"/>
  <c r="JX12"/>
  <c r="JX16"/>
  <c r="JX20"/>
  <c r="JX24"/>
  <c r="JX28"/>
  <c r="JX32"/>
  <c r="IS24"/>
  <c r="IY18"/>
  <c r="IS8"/>
  <c r="IS26"/>
  <c r="IY16"/>
  <c r="IS16"/>
  <c r="IS18"/>
  <c r="IS12"/>
  <c r="HZ5"/>
  <c r="GV5"/>
  <c r="IE5"/>
  <c r="C26" i="4" s="1"/>
  <c r="HA5" i="2"/>
  <c r="B26" i="4" s="1"/>
  <c r="HX8" i="2"/>
  <c r="E9" i="4" s="1"/>
  <c r="GT8" i="2"/>
  <c r="D9" i="4" s="1"/>
  <c r="IJ5" i="2"/>
  <c r="I26" i="4" s="1"/>
  <c r="HW7" i="2"/>
  <c r="GS7"/>
  <c r="IC5"/>
  <c r="GY5"/>
  <c r="IY8"/>
  <c r="IY24"/>
  <c r="IY10"/>
  <c r="IY26"/>
  <c r="IY12"/>
  <c r="IS20"/>
  <c r="IS4"/>
  <c r="IS14"/>
  <c r="IS22"/>
  <c r="IY22"/>
  <c r="IY14"/>
  <c r="IY6"/>
  <c r="IS7"/>
  <c r="IS15"/>
  <c r="IS23"/>
  <c r="IY23"/>
  <c r="IY15"/>
  <c r="IY7"/>
  <c r="IS5"/>
  <c r="IS13"/>
  <c r="IS21"/>
  <c r="IY21"/>
  <c r="IY13"/>
  <c r="IY5"/>
  <c r="IY31" s="1"/>
  <c r="J13" i="6" s="1"/>
  <c r="IS10" i="2"/>
  <c r="IY4"/>
  <c r="IY20"/>
  <c r="GR4"/>
  <c r="B5" i="4" s="1"/>
  <c r="HV4" i="2"/>
  <c r="C5" i="4" s="1"/>
  <c r="AZ10" i="2"/>
  <c r="G10" i="3" s="1"/>
  <c r="D23"/>
  <c r="B16"/>
  <c r="D19"/>
  <c r="G22"/>
  <c r="AX11" i="2"/>
  <c r="E11" i="3" s="1"/>
  <c r="AU11" i="2"/>
  <c r="B11" i="3" s="1"/>
  <c r="C22"/>
  <c r="D22"/>
  <c r="F22"/>
  <c r="F19"/>
  <c r="E19"/>
  <c r="F18"/>
  <c r="I19"/>
  <c r="AY11" i="2"/>
  <c r="F11" i="3" s="1"/>
  <c r="C19"/>
  <c r="F23"/>
  <c r="BA11" i="2"/>
  <c r="H11" i="3" s="1"/>
  <c r="H23"/>
  <c r="H16"/>
  <c r="I23"/>
  <c r="G18"/>
  <c r="AW11" i="2"/>
  <c r="D11" i="3" s="1"/>
  <c r="B18"/>
  <c r="F21"/>
  <c r="AZ11" i="2"/>
  <c r="G11" i="3" s="1"/>
  <c r="E23"/>
  <c r="C21"/>
  <c r="AU8" i="2"/>
  <c r="B8" i="3" s="1"/>
  <c r="BA8" i="2"/>
  <c r="H8" i="3" s="1"/>
  <c r="AX8" i="2"/>
  <c r="E8" i="3" s="1"/>
  <c r="BB11" i="2"/>
  <c r="I11" i="3" s="1"/>
  <c r="H21"/>
  <c r="B19"/>
  <c r="G21"/>
  <c r="I21"/>
  <c r="G16"/>
  <c r="BB8" i="2"/>
  <c r="I8" i="3" s="1"/>
  <c r="AV8" i="2"/>
  <c r="C8" i="3" s="1"/>
  <c r="AZ8" i="2"/>
  <c r="G8" i="3" s="1"/>
  <c r="AW8" i="2"/>
  <c r="D8" i="3" s="1"/>
  <c r="D18"/>
  <c r="E18"/>
  <c r="I18"/>
  <c r="AX7" i="2"/>
  <c r="E7" i="3" s="1"/>
  <c r="AY7" i="2"/>
  <c r="F7" i="3" s="1"/>
  <c r="BB7" i="2"/>
  <c r="I7" i="3" s="1"/>
  <c r="AZ7" i="2"/>
  <c r="G7" i="3" s="1"/>
  <c r="BA7" i="2"/>
  <c r="H7" i="3" s="1"/>
  <c r="AW7" i="2"/>
  <c r="D7" i="3" s="1"/>
  <c r="AV7" i="2"/>
  <c r="C7" i="3" s="1"/>
  <c r="AU7" i="2"/>
  <c r="B7" i="3" s="1"/>
  <c r="AV5" i="2"/>
  <c r="C5" i="3" s="1"/>
  <c r="AZ5" i="2"/>
  <c r="G5" i="3" s="1"/>
  <c r="AW5" i="2"/>
  <c r="D5" i="3" s="1"/>
  <c r="AY5" i="2"/>
  <c r="F5" i="3" s="1"/>
  <c r="AX5" i="2"/>
  <c r="E5" i="3" s="1"/>
  <c r="AU5" i="2"/>
  <c r="B5" i="3" s="1"/>
  <c r="BA5" i="2"/>
  <c r="H5" i="3" s="1"/>
  <c r="BB5" i="2"/>
  <c r="I5" i="3" s="1"/>
  <c r="B20"/>
  <c r="I20"/>
  <c r="H20"/>
  <c r="E20"/>
  <c r="G20"/>
  <c r="AV9" i="2"/>
  <c r="C9" i="3" s="1"/>
  <c r="AZ9" i="2"/>
  <c r="G9" i="3" s="1"/>
  <c r="BA9" i="2"/>
  <c r="H9" i="3" s="1"/>
  <c r="AW9" i="2"/>
  <c r="D9" i="3" s="1"/>
  <c r="E17"/>
  <c r="C17"/>
  <c r="G17"/>
  <c r="H17"/>
  <c r="I17"/>
  <c r="B17"/>
  <c r="BA4" i="2"/>
  <c r="H4" i="3" s="1"/>
  <c r="AU4" i="2"/>
  <c r="B4" i="3" s="1"/>
  <c r="BB4" i="2"/>
  <c r="I4" i="3" s="1"/>
  <c r="AZ4" i="2"/>
  <c r="G4" i="3" s="1"/>
  <c r="AV4" i="2"/>
  <c r="C4" i="3" s="1"/>
  <c r="AY4" i="2"/>
  <c r="F4" i="3" s="1"/>
  <c r="AW4" i="2"/>
  <c r="D4" i="3" s="1"/>
  <c r="AX4" i="2"/>
  <c r="E4" i="3" s="1"/>
  <c r="AW10" i="2"/>
  <c r="D10" i="3" s="1"/>
  <c r="BB10" i="2"/>
  <c r="I10" i="3" s="1"/>
  <c r="BA10" i="2"/>
  <c r="H10" i="3" s="1"/>
  <c r="AU10" i="2"/>
  <c r="B10" i="3" s="1"/>
  <c r="AV10" i="2"/>
  <c r="C10" i="3" s="1"/>
  <c r="AX10" i="2"/>
  <c r="E10" i="3" s="1"/>
  <c r="B22"/>
  <c r="E22"/>
  <c r="BB9" i="2"/>
  <c r="I9" i="3" s="1"/>
  <c r="C20"/>
  <c r="AU9" i="2"/>
  <c r="B9" i="3" s="1"/>
  <c r="AY9" i="2"/>
  <c r="F9" i="3" s="1"/>
  <c r="AY6" i="2"/>
  <c r="F6" i="3" s="1"/>
  <c r="AV6" i="2"/>
  <c r="C6" i="3" s="1"/>
  <c r="AX6" i="2"/>
  <c r="E6" i="3" s="1"/>
  <c r="AW6" i="2"/>
  <c r="D6" i="3" s="1"/>
  <c r="AZ6" i="2"/>
  <c r="G6" i="3" s="1"/>
  <c r="BA6" i="2"/>
  <c r="H6" i="3" s="1"/>
  <c r="BB6" i="2"/>
  <c r="I6" i="3" s="1"/>
  <c r="AU6" i="2"/>
  <c r="B6" i="3" s="1"/>
  <c r="A5" i="1"/>
  <c r="HC21" i="2" l="1"/>
  <c r="HC23"/>
  <c r="IS11"/>
  <c r="IS27"/>
  <c r="IY19"/>
  <c r="IS19"/>
  <c r="IS9"/>
  <c r="IY11"/>
  <c r="IY37" s="1"/>
  <c r="J19" i="6" s="1"/>
  <c r="IY27" i="2"/>
  <c r="HC33"/>
  <c r="IG31"/>
  <c r="IJ33"/>
  <c r="HF33"/>
  <c r="IY17"/>
  <c r="IS25"/>
  <c r="IS17"/>
  <c r="IY9"/>
  <c r="IY35" s="1"/>
  <c r="J10" i="6" s="1"/>
  <c r="IY25" i="2"/>
  <c r="HB9"/>
  <c r="D30" i="4" s="1"/>
  <c r="IW20" i="2"/>
  <c r="IQ12"/>
  <c r="IW4"/>
  <c r="IQ20"/>
  <c r="IW12"/>
  <c r="IQ4"/>
  <c r="HB5"/>
  <c r="D26" i="4" s="1"/>
  <c r="HB32" i="2"/>
  <c r="HC4"/>
  <c r="HB26"/>
  <c r="IY33"/>
  <c r="J6" i="6" s="1"/>
  <c r="IY32" i="2"/>
  <c r="J15" i="6" s="1"/>
  <c r="HB25" i="2"/>
  <c r="HB18"/>
  <c r="D39" i="4" s="1"/>
  <c r="HB10" i="2"/>
  <c r="D31" i="4" s="1"/>
  <c r="HB17" i="2"/>
  <c r="D38" i="4" s="1"/>
  <c r="HB22" i="2"/>
  <c r="HC30"/>
  <c r="HC10"/>
  <c r="HB33"/>
  <c r="HC18"/>
  <c r="HC26"/>
  <c r="HB14"/>
  <c r="D35" i="4" s="1"/>
  <c r="HC14" i="2"/>
  <c r="HB6"/>
  <c r="D27" i="4" s="1"/>
  <c r="IY30" i="2"/>
  <c r="J4" i="6" s="1"/>
  <c r="IQ19" i="2"/>
  <c r="IR19" s="1"/>
  <c r="IQ18"/>
  <c r="IR18" s="1"/>
  <c r="IQ17"/>
  <c r="IQ16"/>
  <c r="IR16" s="1"/>
  <c r="IW19"/>
  <c r="IX19" s="1"/>
  <c r="IW18"/>
  <c r="IX18" s="1"/>
  <c r="IW17"/>
  <c r="IW16"/>
  <c r="IX16" s="1"/>
  <c r="IQ15"/>
  <c r="IR15" s="1"/>
  <c r="IQ14"/>
  <c r="IQ13"/>
  <c r="IW15"/>
  <c r="IX15" s="1"/>
  <c r="IW14"/>
  <c r="IW13"/>
  <c r="IW23"/>
  <c r="IW22"/>
  <c r="IW21"/>
  <c r="IQ23"/>
  <c r="IQ22"/>
  <c r="IQ21"/>
  <c r="IV20"/>
  <c r="IP13"/>
  <c r="IV13"/>
  <c r="IP6"/>
  <c r="IP25"/>
  <c r="IP12"/>
  <c r="IV12"/>
  <c r="IP9"/>
  <c r="IW24"/>
  <c r="IW27"/>
  <c r="IW26"/>
  <c r="IW25"/>
  <c r="IQ24"/>
  <c r="IQ27"/>
  <c r="IQ26"/>
  <c r="IQ25"/>
  <c r="IP14"/>
  <c r="IV14"/>
  <c r="IW6"/>
  <c r="IW5"/>
  <c r="IW7"/>
  <c r="IX7" s="1"/>
  <c r="IQ6"/>
  <c r="IQ5"/>
  <c r="IQ7"/>
  <c r="IR7" s="1"/>
  <c r="IP5"/>
  <c r="IV6"/>
  <c r="IP21"/>
  <c r="IP20"/>
  <c r="IP4"/>
  <c r="IV9"/>
  <c r="IV25"/>
  <c r="IV22"/>
  <c r="IW10"/>
  <c r="IX10" s="1"/>
  <c r="IW9"/>
  <c r="IX9" s="1"/>
  <c r="IW8"/>
  <c r="IX8" s="1"/>
  <c r="IW11"/>
  <c r="IX11" s="1"/>
  <c r="IQ10"/>
  <c r="IR10" s="1"/>
  <c r="IQ9"/>
  <c r="IR9" s="1"/>
  <c r="IQ8"/>
  <c r="IR8" s="1"/>
  <c r="IQ11"/>
  <c r="IR11" s="1"/>
  <c r="IV17"/>
  <c r="IX17" s="1"/>
  <c r="IP22"/>
  <c r="IV5"/>
  <c r="IV4"/>
  <c r="IP17"/>
  <c r="IV21"/>
  <c r="IS36"/>
  <c r="E17" i="6" s="1"/>
  <c r="IY36" i="2"/>
  <c r="J17" i="6" s="1"/>
  <c r="IY34" i="2"/>
  <c r="J8" i="6" s="1"/>
  <c r="IS37" i="2"/>
  <c r="E19" i="6" s="1"/>
  <c r="IS31" i="2"/>
  <c r="E13" i="6" s="1"/>
  <c r="IS35" i="2"/>
  <c r="E10" i="6" s="1"/>
  <c r="IS33" i="2"/>
  <c r="E6" i="6" s="1"/>
  <c r="IS30" i="2"/>
  <c r="E4" i="6" s="1"/>
  <c r="IS34" i="2"/>
  <c r="E8" i="6" s="1"/>
  <c r="HB30" i="2"/>
  <c r="HC22"/>
  <c r="IF13"/>
  <c r="E34" i="4" s="1"/>
  <c r="HB13" i="2"/>
  <c r="D34" i="4" s="1"/>
  <c r="IF29" i="2"/>
  <c r="HB29"/>
  <c r="IS6"/>
  <c r="IS32" s="1"/>
  <c r="E15" i="6" s="1"/>
  <c r="VL3" i="2"/>
  <c r="IR12" l="1"/>
  <c r="IR17"/>
  <c r="IX21"/>
  <c r="IX14"/>
  <c r="IX13"/>
  <c r="IW35"/>
  <c r="H10" i="6" s="1"/>
  <c r="IQ31" i="2"/>
  <c r="C13" i="6" s="1"/>
  <c r="IW31" i="2"/>
  <c r="H13" i="6" s="1"/>
  <c r="IQ32" i="2"/>
  <c r="C15" i="6" s="1"/>
  <c r="IQ30" i="2"/>
  <c r="C4" i="6" s="1"/>
  <c r="IW32" i="2"/>
  <c r="H15" i="6" s="1"/>
  <c r="IV30" i="2"/>
  <c r="G4" i="6" s="1"/>
  <c r="IR22" i="2"/>
  <c r="IX22"/>
  <c r="IR20"/>
  <c r="IR13"/>
  <c r="IV35"/>
  <c r="G10" i="6" s="1"/>
  <c r="IR5" i="2"/>
  <c r="IR31" s="1"/>
  <c r="D13" i="6" s="1"/>
  <c r="IX5" i="2"/>
  <c r="IX31" s="1"/>
  <c r="I13" i="6" s="1"/>
  <c r="IP35" i="2"/>
  <c r="B10" i="6" s="1"/>
  <c r="IR26" i="2"/>
  <c r="IQ36"/>
  <c r="C17" i="6" s="1"/>
  <c r="IR24" i="2"/>
  <c r="IR34" s="1"/>
  <c r="D8" i="6" s="1"/>
  <c r="IQ34" i="2"/>
  <c r="C8" i="6" s="1"/>
  <c r="IX26" i="2"/>
  <c r="IW36"/>
  <c r="H17" i="6" s="1"/>
  <c r="IX24" i="2"/>
  <c r="IX34" s="1"/>
  <c r="I8" i="6" s="1"/>
  <c r="IW34" i="2"/>
  <c r="H8" i="6" s="1"/>
  <c r="IX20" i="2"/>
  <c r="IW30"/>
  <c r="H4" i="6" s="1"/>
  <c r="IV31" i="2"/>
  <c r="G13" i="6" s="1"/>
  <c r="IR36" i="2"/>
  <c r="D17" i="6" s="1"/>
  <c r="IX36" i="2"/>
  <c r="I17" i="6" s="1"/>
  <c r="IX25" i="2"/>
  <c r="IP30"/>
  <c r="B4" i="6" s="1"/>
  <c r="IR21" i="2"/>
  <c r="IP31"/>
  <c r="B13" i="6" s="1"/>
  <c r="IR4" i="2"/>
  <c r="IR30" s="1"/>
  <c r="D4" i="6" s="1"/>
  <c r="IR6" i="2"/>
  <c r="IR32" s="1"/>
  <c r="D15" i="6" s="1"/>
  <c r="IX4" i="2"/>
  <c r="IX6"/>
  <c r="IX32" s="1"/>
  <c r="I15" i="6" s="1"/>
  <c r="IR14" i="2"/>
  <c r="IX12"/>
  <c r="IR25"/>
  <c r="IR35" s="1"/>
  <c r="D10" i="6" s="1"/>
  <c r="IQ35" i="2"/>
  <c r="C10" i="6" s="1"/>
  <c r="IR27" i="2"/>
  <c r="IQ37"/>
  <c r="C19" i="6" s="1"/>
  <c r="IX27" i="2"/>
  <c r="IW37"/>
  <c r="H19" i="6" s="1"/>
  <c r="IR23" i="2"/>
  <c r="IR33" s="1"/>
  <c r="D6" i="6" s="1"/>
  <c r="IQ33" i="2"/>
  <c r="C6" i="6" s="1"/>
  <c r="IX23" i="2"/>
  <c r="IX33" s="1"/>
  <c r="I6" i="6" s="1"/>
  <c r="IW33" i="2"/>
  <c r="H6" i="6" s="1"/>
  <c r="IR37" i="2"/>
  <c r="D19" i="6" s="1"/>
  <c r="IX37" i="2"/>
  <c r="I19" i="6" s="1"/>
  <c r="IX35" i="2"/>
  <c r="I10" i="6" s="1"/>
  <c r="IV32" i="2"/>
  <c r="G15" i="6" s="1"/>
  <c r="IP32" i="2"/>
  <c r="B15" i="6" s="1"/>
  <c r="VM3" i="2"/>
  <c r="IX30" l="1"/>
  <c r="I4" i="6" s="1"/>
  <c r="VN3" i="2"/>
  <c r="VO3" l="1"/>
  <c r="VP3" l="1"/>
  <c r="VQ3" l="1"/>
  <c r="VR3" l="1"/>
  <c r="VS3" l="1"/>
  <c r="VT3" l="1"/>
  <c r="VU3" l="1"/>
  <c r="VV3" l="1"/>
  <c r="VW3" l="1"/>
  <c r="VX3" l="1"/>
  <c r="VY3" l="1"/>
  <c r="VZ3" l="1"/>
  <c r="WA3" l="1"/>
  <c r="WB3" l="1"/>
  <c r="WC3" l="1"/>
  <c r="WD3" l="1"/>
  <c r="WE3" l="1"/>
  <c r="WF3" l="1"/>
  <c r="WG3" l="1"/>
  <c r="WH3" l="1"/>
  <c r="N3001" l="1"/>
  <c r="N2002"/>
  <c r="KP10" l="1"/>
  <c r="KO10"/>
  <c r="KQ10"/>
  <c r="KP24"/>
  <c r="KQ24"/>
  <c r="KX24" s="1"/>
  <c r="LE24" s="1"/>
  <c r="LL24" s="1"/>
  <c r="LS24" s="1"/>
  <c r="LZ24" s="1"/>
  <c r="MG24" s="1"/>
  <c r="MN24" s="1"/>
  <c r="MU24" s="1"/>
  <c r="NB24" s="1"/>
  <c r="NI24" s="1"/>
  <c r="NP24" s="1"/>
  <c r="NW24" s="1"/>
  <c r="OD24" s="1"/>
  <c r="OK24" s="1"/>
  <c r="OR24" s="1"/>
  <c r="OY24" s="1"/>
  <c r="PF24" s="1"/>
  <c r="PM24" s="1"/>
  <c r="PT24" s="1"/>
  <c r="QA24" s="1"/>
  <c r="QH24" s="1"/>
  <c r="QO24" s="1"/>
  <c r="QV24" s="1"/>
  <c r="RC24" s="1"/>
  <c r="RJ24" s="1"/>
  <c r="RQ24" s="1"/>
  <c r="RX24" s="1"/>
  <c r="SE24" s="1"/>
  <c r="SL24" s="1"/>
  <c r="SS24" s="1"/>
  <c r="SZ24" s="1"/>
  <c r="TG24" s="1"/>
  <c r="TN24" s="1"/>
  <c r="TU24" s="1"/>
  <c r="UB24" s="1"/>
  <c r="UI24" s="1"/>
  <c r="UP24" s="1"/>
  <c r="KQ25"/>
  <c r="KX25" s="1"/>
  <c r="LE25" s="1"/>
  <c r="LL25" s="1"/>
  <c r="LS25" s="1"/>
  <c r="LZ25" s="1"/>
  <c r="MG25" s="1"/>
  <c r="MN25" s="1"/>
  <c r="MU25" s="1"/>
  <c r="NB25" s="1"/>
  <c r="NI25" s="1"/>
  <c r="NP25" s="1"/>
  <c r="NW25" s="1"/>
  <c r="OD25" s="1"/>
  <c r="OK25" s="1"/>
  <c r="OR25" s="1"/>
  <c r="OY25" s="1"/>
  <c r="PF25" s="1"/>
  <c r="PM25" s="1"/>
  <c r="PT25" s="1"/>
  <c r="QA25" s="1"/>
  <c r="QH25" s="1"/>
  <c r="QO25" s="1"/>
  <c r="QV25" s="1"/>
  <c r="RC25" s="1"/>
  <c r="RJ25" s="1"/>
  <c r="RQ25" s="1"/>
  <c r="RX25" s="1"/>
  <c r="SE25" s="1"/>
  <c r="SL25" s="1"/>
  <c r="SS25" s="1"/>
  <c r="SZ25" s="1"/>
  <c r="TG25" s="1"/>
  <c r="TN25" s="1"/>
  <c r="TU25" s="1"/>
  <c r="UB25" s="1"/>
  <c r="UI25" s="1"/>
  <c r="UP25" s="1"/>
  <c r="KP31"/>
  <c r="KQ32"/>
  <c r="KX32" s="1"/>
  <c r="LE32" s="1"/>
  <c r="LL32" s="1"/>
  <c r="LS32" s="1"/>
  <c r="LZ32" s="1"/>
  <c r="MG32" s="1"/>
  <c r="MN32" s="1"/>
  <c r="MU32" s="1"/>
  <c r="NB32" s="1"/>
  <c r="NI32" s="1"/>
  <c r="NP32" s="1"/>
  <c r="NW32" s="1"/>
  <c r="OD32" s="1"/>
  <c r="OK32" s="1"/>
  <c r="OR32" s="1"/>
  <c r="OY32" s="1"/>
  <c r="PF32" s="1"/>
  <c r="PM32" s="1"/>
  <c r="PT32" s="1"/>
  <c r="QA32" s="1"/>
  <c r="QH32" s="1"/>
  <c r="QO32" s="1"/>
  <c r="QV32" s="1"/>
  <c r="RC32" s="1"/>
  <c r="RJ32" s="1"/>
  <c r="RQ32" s="1"/>
  <c r="RX32" s="1"/>
  <c r="SE32" s="1"/>
  <c r="SL32" s="1"/>
  <c r="SS32" s="1"/>
  <c r="SZ32" s="1"/>
  <c r="TG32" s="1"/>
  <c r="TN32" s="1"/>
  <c r="TU32" s="1"/>
  <c r="UB32" s="1"/>
  <c r="UI32" s="1"/>
  <c r="UP32" s="1"/>
  <c r="KQ28"/>
  <c r="KX28" s="1"/>
  <c r="LE28" s="1"/>
  <c r="LL28" s="1"/>
  <c r="LS28" s="1"/>
  <c r="LZ28" s="1"/>
  <c r="MG28" s="1"/>
  <c r="MN28" s="1"/>
  <c r="MU28" s="1"/>
  <c r="NB28" s="1"/>
  <c r="NI28" s="1"/>
  <c r="NP28" s="1"/>
  <c r="NW28" s="1"/>
  <c r="OD28" s="1"/>
  <c r="OK28" s="1"/>
  <c r="OR28" s="1"/>
  <c r="OY28" s="1"/>
  <c r="PF28" s="1"/>
  <c r="PM28" s="1"/>
  <c r="PT28" s="1"/>
  <c r="QA28" s="1"/>
  <c r="QH28" s="1"/>
  <c r="QO28" s="1"/>
  <c r="QV28" s="1"/>
  <c r="RC28" s="1"/>
  <c r="RJ28" s="1"/>
  <c r="RQ28" s="1"/>
  <c r="RX28" s="1"/>
  <c r="SE28" s="1"/>
  <c r="SL28" s="1"/>
  <c r="SS28" s="1"/>
  <c r="SZ28" s="1"/>
  <c r="TG28" s="1"/>
  <c r="TN28" s="1"/>
  <c r="TU28" s="1"/>
  <c r="UB28" s="1"/>
  <c r="UI28" s="1"/>
  <c r="UP28" s="1"/>
  <c r="KQ29"/>
  <c r="KX29" s="1"/>
  <c r="LE29" s="1"/>
  <c r="LL29" s="1"/>
  <c r="LS29" s="1"/>
  <c r="LZ29" s="1"/>
  <c r="MG29" s="1"/>
  <c r="MN29" s="1"/>
  <c r="MU29" s="1"/>
  <c r="NB29" s="1"/>
  <c r="NI29" s="1"/>
  <c r="NP29" s="1"/>
  <c r="NW29" s="1"/>
  <c r="OD29" s="1"/>
  <c r="OK29" s="1"/>
  <c r="OR29" s="1"/>
  <c r="OY29" s="1"/>
  <c r="PF29" s="1"/>
  <c r="PM29" s="1"/>
  <c r="PT29" s="1"/>
  <c r="QA29" s="1"/>
  <c r="QH29" s="1"/>
  <c r="QO29" s="1"/>
  <c r="QV29" s="1"/>
  <c r="RC29" s="1"/>
  <c r="RJ29" s="1"/>
  <c r="RQ29" s="1"/>
  <c r="RX29" s="1"/>
  <c r="SE29" s="1"/>
  <c r="SL29" s="1"/>
  <c r="SS29" s="1"/>
  <c r="SZ29" s="1"/>
  <c r="TG29" s="1"/>
  <c r="TN29" s="1"/>
  <c r="TU29" s="1"/>
  <c r="UB29" s="1"/>
  <c r="UI29" s="1"/>
  <c r="UP29" s="1"/>
  <c r="KO30"/>
  <c r="KV30" s="1"/>
  <c r="LC30" s="1"/>
  <c r="LJ30" s="1"/>
  <c r="LQ30" s="1"/>
  <c r="LX30" s="1"/>
  <c r="ME30" s="1"/>
  <c r="ML30" s="1"/>
  <c r="MS30" s="1"/>
  <c r="MZ30" s="1"/>
  <c r="NG30" s="1"/>
  <c r="NN30" s="1"/>
  <c r="NU30" s="1"/>
  <c r="OB30" s="1"/>
  <c r="OI30" s="1"/>
  <c r="OP30" s="1"/>
  <c r="OW30" s="1"/>
  <c r="PD30" s="1"/>
  <c r="PK30" s="1"/>
  <c r="PR30" s="1"/>
  <c r="PY30" s="1"/>
  <c r="QF30" s="1"/>
  <c r="QM30" s="1"/>
  <c r="QT30" s="1"/>
  <c r="RA30" s="1"/>
  <c r="RH30" s="1"/>
  <c r="RO30" s="1"/>
  <c r="RV30" s="1"/>
  <c r="SC30" s="1"/>
  <c r="SJ30" s="1"/>
  <c r="SQ30" s="1"/>
  <c r="SX30" s="1"/>
  <c r="TE30" s="1"/>
  <c r="TL30" s="1"/>
  <c r="TS30" s="1"/>
  <c r="TZ30" s="1"/>
  <c r="UG30" s="1"/>
  <c r="UN30" s="1"/>
  <c r="KO31"/>
  <c r="KW24"/>
  <c r="LD24" s="1"/>
  <c r="LK24" s="1"/>
  <c r="LR24" s="1"/>
  <c r="LY24" s="1"/>
  <c r="MF24" s="1"/>
  <c r="MM24" s="1"/>
  <c r="MT24" s="1"/>
  <c r="NA24" s="1"/>
  <c r="NH24" s="1"/>
  <c r="NO24" s="1"/>
  <c r="NV24" s="1"/>
  <c r="OC24" s="1"/>
  <c r="OJ24" s="1"/>
  <c r="OQ24" s="1"/>
  <c r="OX24" s="1"/>
  <c r="PE24" s="1"/>
  <c r="PL24" s="1"/>
  <c r="PS24" s="1"/>
  <c r="PZ24" s="1"/>
  <c r="QG24" s="1"/>
  <c r="QN24" s="1"/>
  <c r="QU24" s="1"/>
  <c r="RB24" s="1"/>
  <c r="RI24" s="1"/>
  <c r="RP24" s="1"/>
  <c r="RW24" s="1"/>
  <c r="SD24" s="1"/>
  <c r="SK24" s="1"/>
  <c r="SR24" s="1"/>
  <c r="SY24" s="1"/>
  <c r="TF24" s="1"/>
  <c r="TM24" s="1"/>
  <c r="TT24" s="1"/>
  <c r="UA24" s="1"/>
  <c r="UH24" s="1"/>
  <c r="UO24" s="1"/>
  <c r="KO26"/>
  <c r="KV26" s="1"/>
  <c r="LC26" s="1"/>
  <c r="LJ26" s="1"/>
  <c r="LQ26" s="1"/>
  <c r="LX26" s="1"/>
  <c r="ME26" s="1"/>
  <c r="ML26" s="1"/>
  <c r="MS26" s="1"/>
  <c r="MZ26" s="1"/>
  <c r="NG26" s="1"/>
  <c r="NN26" s="1"/>
  <c r="NU26" s="1"/>
  <c r="OB26" s="1"/>
  <c r="OI26" s="1"/>
  <c r="OP26" s="1"/>
  <c r="OW26" s="1"/>
  <c r="PD26" s="1"/>
  <c r="PK26" s="1"/>
  <c r="PR26" s="1"/>
  <c r="PY26" s="1"/>
  <c r="QF26" s="1"/>
  <c r="QM26" s="1"/>
  <c r="QT26" s="1"/>
  <c r="RA26" s="1"/>
  <c r="RH26" s="1"/>
  <c r="RO26" s="1"/>
  <c r="RV26" s="1"/>
  <c r="SC26" s="1"/>
  <c r="SJ26" s="1"/>
  <c r="SQ26" s="1"/>
  <c r="SX26" s="1"/>
  <c r="TE26" s="1"/>
  <c r="TL26" s="1"/>
  <c r="TS26" s="1"/>
  <c r="TZ26" s="1"/>
  <c r="UG26" s="1"/>
  <c r="UN26" s="1"/>
  <c r="KO27"/>
  <c r="KV27" s="1"/>
  <c r="LC27" s="1"/>
  <c r="LJ27" s="1"/>
  <c r="LQ27" s="1"/>
  <c r="LX27" s="1"/>
  <c r="ME27" s="1"/>
  <c r="ML27" s="1"/>
  <c r="MS27" s="1"/>
  <c r="MZ27" s="1"/>
  <c r="NG27" s="1"/>
  <c r="NN27" s="1"/>
  <c r="NU27" s="1"/>
  <c r="OB27" s="1"/>
  <c r="OI27" s="1"/>
  <c r="OP27" s="1"/>
  <c r="OW27" s="1"/>
  <c r="PD27" s="1"/>
  <c r="PK27" s="1"/>
  <c r="PR27" s="1"/>
  <c r="PY27" s="1"/>
  <c r="QF27" s="1"/>
  <c r="QM27" s="1"/>
  <c r="QT27" s="1"/>
  <c r="RA27" s="1"/>
  <c r="RH27" s="1"/>
  <c r="RO27" s="1"/>
  <c r="RV27" s="1"/>
  <c r="SC27" s="1"/>
  <c r="SJ27" s="1"/>
  <c r="SQ27" s="1"/>
  <c r="SX27" s="1"/>
  <c r="TE27" s="1"/>
  <c r="TL27" s="1"/>
  <c r="TS27" s="1"/>
  <c r="TZ27" s="1"/>
  <c r="UG27" s="1"/>
  <c r="UN27" s="1"/>
  <c r="KV31"/>
  <c r="LC31" s="1"/>
  <c r="LJ31" s="1"/>
  <c r="LQ31" s="1"/>
  <c r="LX31" s="1"/>
  <c r="ME31" s="1"/>
  <c r="ML31" s="1"/>
  <c r="MS31" s="1"/>
  <c r="MZ31" s="1"/>
  <c r="NG31" s="1"/>
  <c r="NN31" s="1"/>
  <c r="NU31" s="1"/>
  <c r="OB31" s="1"/>
  <c r="OI31" s="1"/>
  <c r="OP31" s="1"/>
  <c r="OW31" s="1"/>
  <c r="PD31" s="1"/>
  <c r="PK31" s="1"/>
  <c r="PR31" s="1"/>
  <c r="PY31" s="1"/>
  <c r="QF31" s="1"/>
  <c r="QM31" s="1"/>
  <c r="QT31" s="1"/>
  <c r="RA31" s="1"/>
  <c r="RH31" s="1"/>
  <c r="RO31" s="1"/>
  <c r="RV31" s="1"/>
  <c r="SC31" s="1"/>
  <c r="SJ31" s="1"/>
  <c r="SQ31" s="1"/>
  <c r="SX31" s="1"/>
  <c r="TE31" s="1"/>
  <c r="TL31" s="1"/>
  <c r="TS31" s="1"/>
  <c r="TZ31" s="1"/>
  <c r="UG31" s="1"/>
  <c r="UN31" s="1"/>
  <c r="KP27"/>
  <c r="KW27" s="1"/>
  <c r="LD27" s="1"/>
  <c r="LK27" s="1"/>
  <c r="LR27" s="1"/>
  <c r="LY27" s="1"/>
  <c r="MF27" s="1"/>
  <c r="MM27" s="1"/>
  <c r="MT27" s="1"/>
  <c r="NA27" s="1"/>
  <c r="NH27" s="1"/>
  <c r="NO27" s="1"/>
  <c r="NV27" s="1"/>
  <c r="OC27" s="1"/>
  <c r="OJ27" s="1"/>
  <c r="OQ27" s="1"/>
  <c r="OX27" s="1"/>
  <c r="PE27" s="1"/>
  <c r="PL27" s="1"/>
  <c r="PS27" s="1"/>
  <c r="PZ27" s="1"/>
  <c r="QG27" s="1"/>
  <c r="QN27" s="1"/>
  <c r="QU27" s="1"/>
  <c r="RB27" s="1"/>
  <c r="RI27" s="1"/>
  <c r="RP27" s="1"/>
  <c r="RW27" s="1"/>
  <c r="SD27" s="1"/>
  <c r="SK27" s="1"/>
  <c r="SR27" s="1"/>
  <c r="SY27" s="1"/>
  <c r="TF27" s="1"/>
  <c r="TM27" s="1"/>
  <c r="TT27" s="1"/>
  <c r="UA27" s="1"/>
  <c r="UH27" s="1"/>
  <c r="UO27" s="1"/>
  <c r="KP28"/>
  <c r="KW28" s="1"/>
  <c r="LD28" s="1"/>
  <c r="LK28" s="1"/>
  <c r="LR28" s="1"/>
  <c r="LY28" s="1"/>
  <c r="MF28" s="1"/>
  <c r="MM28" s="1"/>
  <c r="MT28" s="1"/>
  <c r="NA28" s="1"/>
  <c r="NH28" s="1"/>
  <c r="NO28" s="1"/>
  <c r="NV28" s="1"/>
  <c r="OC28" s="1"/>
  <c r="OJ28" s="1"/>
  <c r="OQ28" s="1"/>
  <c r="OX28" s="1"/>
  <c r="PE28" s="1"/>
  <c r="PL28" s="1"/>
  <c r="PS28" s="1"/>
  <c r="PZ28" s="1"/>
  <c r="QG28" s="1"/>
  <c r="QN28" s="1"/>
  <c r="QU28" s="1"/>
  <c r="RB28" s="1"/>
  <c r="RI28" s="1"/>
  <c r="RP28" s="1"/>
  <c r="RW28" s="1"/>
  <c r="SD28" s="1"/>
  <c r="SK28" s="1"/>
  <c r="SR28" s="1"/>
  <c r="SY28" s="1"/>
  <c r="TF28" s="1"/>
  <c r="TM28" s="1"/>
  <c r="TT28" s="1"/>
  <c r="UA28" s="1"/>
  <c r="UH28" s="1"/>
  <c r="UO28" s="1"/>
  <c r="KW31"/>
  <c r="LD31" s="1"/>
  <c r="LK31" s="1"/>
  <c r="LR31" s="1"/>
  <c r="LY31" s="1"/>
  <c r="MF31" s="1"/>
  <c r="MM31" s="1"/>
  <c r="MT31" s="1"/>
  <c r="NA31" s="1"/>
  <c r="NH31" s="1"/>
  <c r="NO31" s="1"/>
  <c r="NV31" s="1"/>
  <c r="OC31" s="1"/>
  <c r="OJ31" s="1"/>
  <c r="OQ31" s="1"/>
  <c r="OX31" s="1"/>
  <c r="PE31" s="1"/>
  <c r="PL31" s="1"/>
  <c r="PS31" s="1"/>
  <c r="PZ31" s="1"/>
  <c r="QG31" s="1"/>
  <c r="QN31" s="1"/>
  <c r="QU31" s="1"/>
  <c r="RB31" s="1"/>
  <c r="RI31" s="1"/>
  <c r="RP31" s="1"/>
  <c r="RW31" s="1"/>
  <c r="SD31" s="1"/>
  <c r="SK31" s="1"/>
  <c r="SR31" s="1"/>
  <c r="SY31" s="1"/>
  <c r="TF31" s="1"/>
  <c r="TM31" s="1"/>
  <c r="TT31" s="1"/>
  <c r="UA31" s="1"/>
  <c r="UH31" s="1"/>
  <c r="UO31" s="1"/>
  <c r="KP32"/>
  <c r="KW32" s="1"/>
  <c r="LD32" s="1"/>
  <c r="LK32" s="1"/>
  <c r="LR32" s="1"/>
  <c r="LY32" s="1"/>
  <c r="MF32" s="1"/>
  <c r="MM32" s="1"/>
  <c r="MT32" s="1"/>
  <c r="NA32" s="1"/>
  <c r="NH32" s="1"/>
  <c r="NO32" s="1"/>
  <c r="NV32" s="1"/>
  <c r="OC32" s="1"/>
  <c r="OJ32" s="1"/>
  <c r="OQ32" s="1"/>
  <c r="OX32" s="1"/>
  <c r="PE32" s="1"/>
  <c r="PL32" s="1"/>
  <c r="PS32" s="1"/>
  <c r="PZ32" s="1"/>
  <c r="QG32" s="1"/>
  <c r="QN32" s="1"/>
  <c r="QU32" s="1"/>
  <c r="RB32" s="1"/>
  <c r="RI32" s="1"/>
  <c r="RP32" s="1"/>
  <c r="RW32" s="1"/>
  <c r="SD32" s="1"/>
  <c r="SK32" s="1"/>
  <c r="SR32" s="1"/>
  <c r="SY32" s="1"/>
  <c r="TF32" s="1"/>
  <c r="TM32" s="1"/>
  <c r="TT32" s="1"/>
  <c r="UA32" s="1"/>
  <c r="UH32" s="1"/>
  <c r="UO32" s="1"/>
  <c r="KO32"/>
  <c r="KV32" s="1"/>
  <c r="LC32" s="1"/>
  <c r="LJ32" s="1"/>
  <c r="LQ32" s="1"/>
  <c r="LX32" s="1"/>
  <c r="ME32" s="1"/>
  <c r="ML32" s="1"/>
  <c r="MS32" s="1"/>
  <c r="MZ32" s="1"/>
  <c r="NG32" s="1"/>
  <c r="NN32" s="1"/>
  <c r="NU32" s="1"/>
  <c r="OB32" s="1"/>
  <c r="OI32" s="1"/>
  <c r="OP32" s="1"/>
  <c r="OW32" s="1"/>
  <c r="PD32" s="1"/>
  <c r="PK32" s="1"/>
  <c r="PR32" s="1"/>
  <c r="PY32" s="1"/>
  <c r="QF32" s="1"/>
  <c r="QM32" s="1"/>
  <c r="QT32" s="1"/>
  <c r="RA32" s="1"/>
  <c r="RH32" s="1"/>
  <c r="RO32" s="1"/>
  <c r="RV32" s="1"/>
  <c r="SC32" s="1"/>
  <c r="SJ32" s="1"/>
  <c r="SQ32" s="1"/>
  <c r="SX32" s="1"/>
  <c r="TE32" s="1"/>
  <c r="TL32" s="1"/>
  <c r="TS32" s="1"/>
  <c r="TZ32" s="1"/>
  <c r="UG32" s="1"/>
  <c r="UN32" s="1"/>
  <c r="KO33"/>
  <c r="KP25"/>
  <c r="KP26"/>
  <c r="KP19"/>
  <c r="KW19" s="1"/>
  <c r="LD19" s="1"/>
  <c r="LK19" s="1"/>
  <c r="LR19" s="1"/>
  <c r="LY19" s="1"/>
  <c r="MF19" s="1"/>
  <c r="MM19" s="1"/>
  <c r="MT19" s="1"/>
  <c r="NA19" s="1"/>
  <c r="NH19" s="1"/>
  <c r="NO19" s="1"/>
  <c r="NV19" s="1"/>
  <c r="OC19" s="1"/>
  <c r="OJ19" s="1"/>
  <c r="OQ19" s="1"/>
  <c r="OX19" s="1"/>
  <c r="PE19" s="1"/>
  <c r="PL19" s="1"/>
  <c r="PS19" s="1"/>
  <c r="PZ19" s="1"/>
  <c r="QG19" s="1"/>
  <c r="QN19" s="1"/>
  <c r="QU19" s="1"/>
  <c r="RB19" s="1"/>
  <c r="RI19" s="1"/>
  <c r="RP19" s="1"/>
  <c r="RW19" s="1"/>
  <c r="SD19" s="1"/>
  <c r="SK19" s="1"/>
  <c r="SR19" s="1"/>
  <c r="SY19" s="1"/>
  <c r="TF19" s="1"/>
  <c r="TM19" s="1"/>
  <c r="TT19" s="1"/>
  <c r="UA19" s="1"/>
  <c r="UH19" s="1"/>
  <c r="UO19" s="1"/>
  <c r="KO24"/>
  <c r="KO25"/>
  <c r="KV25" s="1"/>
  <c r="LC25" s="1"/>
  <c r="LJ25" s="1"/>
  <c r="LQ25" s="1"/>
  <c r="LX25" s="1"/>
  <c r="ME25" s="1"/>
  <c r="ML25" s="1"/>
  <c r="MS25" s="1"/>
  <c r="MZ25" s="1"/>
  <c r="NG25" s="1"/>
  <c r="NN25" s="1"/>
  <c r="NU25" s="1"/>
  <c r="OB25" s="1"/>
  <c r="OI25" s="1"/>
  <c r="OP25" s="1"/>
  <c r="OW25" s="1"/>
  <c r="PD25" s="1"/>
  <c r="PK25" s="1"/>
  <c r="PR25" s="1"/>
  <c r="PY25" s="1"/>
  <c r="QF25" s="1"/>
  <c r="QM25" s="1"/>
  <c r="QT25" s="1"/>
  <c r="RA25" s="1"/>
  <c r="RH25" s="1"/>
  <c r="RO25" s="1"/>
  <c r="RV25" s="1"/>
  <c r="SC25" s="1"/>
  <c r="SJ25" s="1"/>
  <c r="SQ25" s="1"/>
  <c r="SX25" s="1"/>
  <c r="TE25" s="1"/>
  <c r="TL25" s="1"/>
  <c r="TS25" s="1"/>
  <c r="TZ25" s="1"/>
  <c r="UG25" s="1"/>
  <c r="UN25" s="1"/>
  <c r="KP14"/>
  <c r="KO28"/>
  <c r="KV28" s="1"/>
  <c r="LC28" s="1"/>
  <c r="LJ28" s="1"/>
  <c r="LQ28" s="1"/>
  <c r="LX28" s="1"/>
  <c r="ME28" s="1"/>
  <c r="ML28" s="1"/>
  <c r="MS28" s="1"/>
  <c r="MZ28" s="1"/>
  <c r="NG28" s="1"/>
  <c r="NN28" s="1"/>
  <c r="NU28" s="1"/>
  <c r="OB28" s="1"/>
  <c r="OI28" s="1"/>
  <c r="OP28" s="1"/>
  <c r="OW28" s="1"/>
  <c r="PD28" s="1"/>
  <c r="PK28" s="1"/>
  <c r="PR28" s="1"/>
  <c r="PY28" s="1"/>
  <c r="QF28" s="1"/>
  <c r="QM28" s="1"/>
  <c r="QT28" s="1"/>
  <c r="RA28" s="1"/>
  <c r="RH28" s="1"/>
  <c r="RO28" s="1"/>
  <c r="RV28" s="1"/>
  <c r="SC28" s="1"/>
  <c r="SJ28" s="1"/>
  <c r="SQ28" s="1"/>
  <c r="SX28" s="1"/>
  <c r="TE28" s="1"/>
  <c r="TL28" s="1"/>
  <c r="TS28" s="1"/>
  <c r="TZ28" s="1"/>
  <c r="UG28" s="1"/>
  <c r="UN28" s="1"/>
  <c r="KO29"/>
  <c r="KQ20"/>
  <c r="KX20" s="1"/>
  <c r="LE20" s="1"/>
  <c r="LL20" s="1"/>
  <c r="LS20" s="1"/>
  <c r="LZ20" s="1"/>
  <c r="MG20" s="1"/>
  <c r="MN20" s="1"/>
  <c r="MU20" s="1"/>
  <c r="NB20" s="1"/>
  <c r="NI20" s="1"/>
  <c r="NP20" s="1"/>
  <c r="NW20" s="1"/>
  <c r="OD20" s="1"/>
  <c r="OK20" s="1"/>
  <c r="OR20" s="1"/>
  <c r="OY20" s="1"/>
  <c r="PF20" s="1"/>
  <c r="PM20" s="1"/>
  <c r="PT20" s="1"/>
  <c r="QA20" s="1"/>
  <c r="QH20" s="1"/>
  <c r="QO20" s="1"/>
  <c r="QV20" s="1"/>
  <c r="RC20" s="1"/>
  <c r="RJ20" s="1"/>
  <c r="RQ20" s="1"/>
  <c r="RX20" s="1"/>
  <c r="SE20" s="1"/>
  <c r="SL20" s="1"/>
  <c r="SS20" s="1"/>
  <c r="SZ20" s="1"/>
  <c r="TG20" s="1"/>
  <c r="TN20" s="1"/>
  <c r="TU20" s="1"/>
  <c r="UB20" s="1"/>
  <c r="UI20" s="1"/>
  <c r="UP20" s="1"/>
  <c r="KQ26"/>
  <c r="KQ27"/>
  <c r="KX27" s="1"/>
  <c r="LE27" s="1"/>
  <c r="LL27" s="1"/>
  <c r="LS27" s="1"/>
  <c r="LZ27" s="1"/>
  <c r="MG27" s="1"/>
  <c r="MN27" s="1"/>
  <c r="MU27" s="1"/>
  <c r="NB27" s="1"/>
  <c r="NI27" s="1"/>
  <c r="NP27" s="1"/>
  <c r="NW27" s="1"/>
  <c r="OD27" s="1"/>
  <c r="OK27" s="1"/>
  <c r="OR27" s="1"/>
  <c r="OY27" s="1"/>
  <c r="PF27" s="1"/>
  <c r="PM27" s="1"/>
  <c r="PT27" s="1"/>
  <c r="QA27" s="1"/>
  <c r="QH27" s="1"/>
  <c r="QO27" s="1"/>
  <c r="QV27" s="1"/>
  <c r="RC27" s="1"/>
  <c r="RJ27" s="1"/>
  <c r="RQ27" s="1"/>
  <c r="RX27" s="1"/>
  <c r="SE27" s="1"/>
  <c r="SL27" s="1"/>
  <c r="SS27" s="1"/>
  <c r="SZ27" s="1"/>
  <c r="TG27" s="1"/>
  <c r="TN27" s="1"/>
  <c r="TU27" s="1"/>
  <c r="UB27" s="1"/>
  <c r="UI27" s="1"/>
  <c r="UP27" s="1"/>
  <c r="KQ14"/>
  <c r="KQ9"/>
  <c r="KQ30"/>
  <c r="KQ31"/>
  <c r="KX31" s="1"/>
  <c r="LE31" s="1"/>
  <c r="LL31" s="1"/>
  <c r="LS31" s="1"/>
  <c r="LZ31" s="1"/>
  <c r="MG31" s="1"/>
  <c r="MN31" s="1"/>
  <c r="MU31" s="1"/>
  <c r="NB31" s="1"/>
  <c r="NI31" s="1"/>
  <c r="NP31" s="1"/>
  <c r="NW31" s="1"/>
  <c r="OD31" s="1"/>
  <c r="OK31" s="1"/>
  <c r="OR31" s="1"/>
  <c r="OY31" s="1"/>
  <c r="PF31" s="1"/>
  <c r="PM31" s="1"/>
  <c r="PT31" s="1"/>
  <c r="QA31" s="1"/>
  <c r="QH31" s="1"/>
  <c r="QO31" s="1"/>
  <c r="QV31" s="1"/>
  <c r="RC31" s="1"/>
  <c r="RJ31" s="1"/>
  <c r="RQ31" s="1"/>
  <c r="RX31" s="1"/>
  <c r="SE31" s="1"/>
  <c r="SL31" s="1"/>
  <c r="SS31" s="1"/>
  <c r="SZ31" s="1"/>
  <c r="TG31" s="1"/>
  <c r="TN31" s="1"/>
  <c r="TU31" s="1"/>
  <c r="UB31" s="1"/>
  <c r="UI31" s="1"/>
  <c r="UP31" s="1"/>
  <c r="KQ18"/>
  <c r="KP29"/>
  <c r="KW29" s="1"/>
  <c r="LD29" s="1"/>
  <c r="LK29" s="1"/>
  <c r="LR29" s="1"/>
  <c r="LY29" s="1"/>
  <c r="MF29" s="1"/>
  <c r="MM29" s="1"/>
  <c r="MT29" s="1"/>
  <c r="NA29" s="1"/>
  <c r="NH29" s="1"/>
  <c r="NO29" s="1"/>
  <c r="NV29" s="1"/>
  <c r="OC29" s="1"/>
  <c r="OJ29" s="1"/>
  <c r="OQ29" s="1"/>
  <c r="OX29" s="1"/>
  <c r="PE29" s="1"/>
  <c r="PL29" s="1"/>
  <c r="PS29" s="1"/>
  <c r="PZ29" s="1"/>
  <c r="QG29" s="1"/>
  <c r="QN29" s="1"/>
  <c r="QU29" s="1"/>
  <c r="RB29" s="1"/>
  <c r="RI29" s="1"/>
  <c r="RP29" s="1"/>
  <c r="RW29" s="1"/>
  <c r="SD29" s="1"/>
  <c r="SK29" s="1"/>
  <c r="SR29" s="1"/>
  <c r="SY29" s="1"/>
  <c r="TF29" s="1"/>
  <c r="TM29" s="1"/>
  <c r="TT29" s="1"/>
  <c r="UA29" s="1"/>
  <c r="UH29" s="1"/>
  <c r="UO29" s="1"/>
  <c r="KP30"/>
  <c r="KQ5"/>
  <c r="KX5" s="1"/>
  <c r="LE5" s="1"/>
  <c r="LL5" s="1"/>
  <c r="LS5" s="1"/>
  <c r="LZ5" s="1"/>
  <c r="MG5" s="1"/>
  <c r="MN5" s="1"/>
  <c r="MU5" s="1"/>
  <c r="NB5" s="1"/>
  <c r="NI5" s="1"/>
  <c r="NP5" s="1"/>
  <c r="NW5" s="1"/>
  <c r="OD5" s="1"/>
  <c r="OK5" s="1"/>
  <c r="OR5" s="1"/>
  <c r="OY5" s="1"/>
  <c r="PF5" s="1"/>
  <c r="PM5" s="1"/>
  <c r="PT5" s="1"/>
  <c r="QA5" s="1"/>
  <c r="QH5" s="1"/>
  <c r="QO5" s="1"/>
  <c r="QV5" s="1"/>
  <c r="RC5" s="1"/>
  <c r="RJ5" s="1"/>
  <c r="RQ5" s="1"/>
  <c r="RX5" s="1"/>
  <c r="SE5" s="1"/>
  <c r="SL5" s="1"/>
  <c r="SS5" s="1"/>
  <c r="SZ5" s="1"/>
  <c r="TG5" s="1"/>
  <c r="TN5" s="1"/>
  <c r="TU5" s="1"/>
  <c r="UB5" s="1"/>
  <c r="UI5" s="1"/>
  <c r="UP5" s="1"/>
  <c r="KQ33"/>
  <c r="KP33"/>
  <c r="KW33" s="1"/>
  <c r="LD33" s="1"/>
  <c r="LK33" s="1"/>
  <c r="LR33" s="1"/>
  <c r="LY33" s="1"/>
  <c r="MF33" s="1"/>
  <c r="MM33" s="1"/>
  <c r="MT33" s="1"/>
  <c r="NA33" s="1"/>
  <c r="NH33" s="1"/>
  <c r="NO33" s="1"/>
  <c r="NV33" s="1"/>
  <c r="OC33" s="1"/>
  <c r="OJ33" s="1"/>
  <c r="OQ33" s="1"/>
  <c r="OX33" s="1"/>
  <c r="PE33" s="1"/>
  <c r="PL33" s="1"/>
  <c r="PS33" s="1"/>
  <c r="PZ33" s="1"/>
  <c r="QG33" s="1"/>
  <c r="QN33" s="1"/>
  <c r="QU33" s="1"/>
  <c r="RB33" s="1"/>
  <c r="RI33" s="1"/>
  <c r="RP33" s="1"/>
  <c r="RW33" s="1"/>
  <c r="SD33" s="1"/>
  <c r="SK33" s="1"/>
  <c r="SR33" s="1"/>
  <c r="SY33" s="1"/>
  <c r="TF33" s="1"/>
  <c r="TM33" s="1"/>
  <c r="TT33" s="1"/>
  <c r="UA33" s="1"/>
  <c r="UH33" s="1"/>
  <c r="UO33" s="1"/>
  <c r="KP4"/>
  <c r="KW4" s="1"/>
  <c r="LD4" s="1"/>
  <c r="LK4" s="1"/>
  <c r="LR4" s="1"/>
  <c r="LY4" s="1"/>
  <c r="MF4" s="1"/>
  <c r="MM4" s="1"/>
  <c r="MT4" s="1"/>
  <c r="NA4" s="1"/>
  <c r="NH4" s="1"/>
  <c r="NO4" s="1"/>
  <c r="NV4" s="1"/>
  <c r="OC4" s="1"/>
  <c r="OJ4" s="1"/>
  <c r="OQ4" s="1"/>
  <c r="OX4" s="1"/>
  <c r="PE4" s="1"/>
  <c r="PL4" s="1"/>
  <c r="PS4" s="1"/>
  <c r="PZ4" s="1"/>
  <c r="QG4" s="1"/>
  <c r="QN4" s="1"/>
  <c r="QU4" s="1"/>
  <c r="RB4" s="1"/>
  <c r="RI4" s="1"/>
  <c r="RP4" s="1"/>
  <c r="RW4" s="1"/>
  <c r="SD4" s="1"/>
  <c r="SK4" s="1"/>
  <c r="SR4" s="1"/>
  <c r="SY4" s="1"/>
  <c r="TF4" s="1"/>
  <c r="TM4" s="1"/>
  <c r="TT4" s="1"/>
  <c r="UA4" s="1"/>
  <c r="UH4" s="1"/>
  <c r="UO4" s="1"/>
  <c r="KV24"/>
  <c r="LC24" s="1"/>
  <c r="LJ24" s="1"/>
  <c r="LQ24" s="1"/>
  <c r="LX24" s="1"/>
  <c r="ME24" s="1"/>
  <c r="ML24" s="1"/>
  <c r="MS24" s="1"/>
  <c r="MZ24" s="1"/>
  <c r="NG24" s="1"/>
  <c r="NN24" s="1"/>
  <c r="NU24" s="1"/>
  <c r="OB24" s="1"/>
  <c r="OI24" s="1"/>
  <c r="OP24" s="1"/>
  <c r="OW24" s="1"/>
  <c r="PD24" s="1"/>
  <c r="PK24" s="1"/>
  <c r="PR24" s="1"/>
  <c r="PY24" s="1"/>
  <c r="QF24" s="1"/>
  <c r="QM24" s="1"/>
  <c r="QT24" s="1"/>
  <c r="RA24" s="1"/>
  <c r="RH24" s="1"/>
  <c r="RO24" s="1"/>
  <c r="RV24" s="1"/>
  <c r="SC24" s="1"/>
  <c r="SJ24" s="1"/>
  <c r="SQ24" s="1"/>
  <c r="SX24" s="1"/>
  <c r="TE24" s="1"/>
  <c r="TL24" s="1"/>
  <c r="TS24" s="1"/>
  <c r="TZ24" s="1"/>
  <c r="UG24" s="1"/>
  <c r="UN24" s="1"/>
  <c r="KW14"/>
  <c r="KQ4"/>
  <c r="KX4" s="1"/>
  <c r="LE4" s="1"/>
  <c r="LL4" s="1"/>
  <c r="LS4" s="1"/>
  <c r="LZ4" s="1"/>
  <c r="MG4" s="1"/>
  <c r="MN4" s="1"/>
  <c r="MU4" s="1"/>
  <c r="NB4" s="1"/>
  <c r="NI4" s="1"/>
  <c r="NP4" s="1"/>
  <c r="NW4" s="1"/>
  <c r="OD4" s="1"/>
  <c r="OK4" s="1"/>
  <c r="OR4" s="1"/>
  <c r="OY4" s="1"/>
  <c r="PF4" s="1"/>
  <c r="PM4" s="1"/>
  <c r="PT4" s="1"/>
  <c r="QA4" s="1"/>
  <c r="QH4" s="1"/>
  <c r="QO4" s="1"/>
  <c r="QV4" s="1"/>
  <c r="RC4" s="1"/>
  <c r="RJ4" s="1"/>
  <c r="RQ4" s="1"/>
  <c r="RX4" s="1"/>
  <c r="SE4" s="1"/>
  <c r="SL4" s="1"/>
  <c r="SS4" s="1"/>
  <c r="SZ4" s="1"/>
  <c r="TG4" s="1"/>
  <c r="TN4" s="1"/>
  <c r="TU4" s="1"/>
  <c r="UB4" s="1"/>
  <c r="UI4" s="1"/>
  <c r="UP4" s="1"/>
  <c r="KP17"/>
  <c r="KX30"/>
  <c r="LE30" s="1"/>
  <c r="LL30" s="1"/>
  <c r="LS30" s="1"/>
  <c r="LZ30" s="1"/>
  <c r="MG30" s="1"/>
  <c r="MN30" s="1"/>
  <c r="MU30" s="1"/>
  <c r="NB30" s="1"/>
  <c r="NI30" s="1"/>
  <c r="NP30" s="1"/>
  <c r="NW30" s="1"/>
  <c r="OD30" s="1"/>
  <c r="OK30" s="1"/>
  <c r="OR30" s="1"/>
  <c r="OY30" s="1"/>
  <c r="PF30" s="1"/>
  <c r="PM30" s="1"/>
  <c r="PT30" s="1"/>
  <c r="QA30" s="1"/>
  <c r="QH30" s="1"/>
  <c r="QO30" s="1"/>
  <c r="QV30" s="1"/>
  <c r="RC30" s="1"/>
  <c r="RJ30" s="1"/>
  <c r="RQ30" s="1"/>
  <c r="RX30" s="1"/>
  <c r="SE30" s="1"/>
  <c r="SL30" s="1"/>
  <c r="SS30" s="1"/>
  <c r="SZ30" s="1"/>
  <c r="TG30" s="1"/>
  <c r="TN30" s="1"/>
  <c r="TU30" s="1"/>
  <c r="UB30" s="1"/>
  <c r="UI30" s="1"/>
  <c r="UP30" s="1"/>
  <c r="KQ11"/>
  <c r="KQ15"/>
  <c r="KP6"/>
  <c r="KW6" s="1"/>
  <c r="LD6" s="1"/>
  <c r="LK6" s="1"/>
  <c r="LR6" s="1"/>
  <c r="LY6" s="1"/>
  <c r="MF6" s="1"/>
  <c r="MM6" s="1"/>
  <c r="MT6" s="1"/>
  <c r="NA6" s="1"/>
  <c r="NH6" s="1"/>
  <c r="NO6" s="1"/>
  <c r="NV6" s="1"/>
  <c r="OC6" s="1"/>
  <c r="OJ6" s="1"/>
  <c r="OQ6" s="1"/>
  <c r="OX6" s="1"/>
  <c r="PE6" s="1"/>
  <c r="PL6" s="1"/>
  <c r="PS6" s="1"/>
  <c r="PZ6" s="1"/>
  <c r="QG6" s="1"/>
  <c r="QN6" s="1"/>
  <c r="QU6" s="1"/>
  <c r="RB6" s="1"/>
  <c r="RI6" s="1"/>
  <c r="RP6" s="1"/>
  <c r="RW6" s="1"/>
  <c r="SD6" s="1"/>
  <c r="SK6" s="1"/>
  <c r="SR6" s="1"/>
  <c r="SY6" s="1"/>
  <c r="TF6" s="1"/>
  <c r="TM6" s="1"/>
  <c r="TT6" s="1"/>
  <c r="UA6" s="1"/>
  <c r="UH6" s="1"/>
  <c r="UO6" s="1"/>
  <c r="KP15"/>
  <c r="KV33"/>
  <c r="LC33" s="1"/>
  <c r="LJ33" s="1"/>
  <c r="LQ33" s="1"/>
  <c r="LX33" s="1"/>
  <c r="ME33" s="1"/>
  <c r="ML33" s="1"/>
  <c r="MS33" s="1"/>
  <c r="MZ33" s="1"/>
  <c r="NG33" s="1"/>
  <c r="NN33" s="1"/>
  <c r="NU33" s="1"/>
  <c r="OB33" s="1"/>
  <c r="OI33" s="1"/>
  <c r="OP33" s="1"/>
  <c r="OW33" s="1"/>
  <c r="PD33" s="1"/>
  <c r="PK33" s="1"/>
  <c r="PR33" s="1"/>
  <c r="PY33" s="1"/>
  <c r="QF33" s="1"/>
  <c r="QM33" s="1"/>
  <c r="QT33" s="1"/>
  <c r="RA33" s="1"/>
  <c r="RH33" s="1"/>
  <c r="RO33" s="1"/>
  <c r="RV33" s="1"/>
  <c r="SC33" s="1"/>
  <c r="SJ33" s="1"/>
  <c r="SQ33" s="1"/>
  <c r="SX33" s="1"/>
  <c r="TE33" s="1"/>
  <c r="TL33" s="1"/>
  <c r="TS33" s="1"/>
  <c r="TZ33" s="1"/>
  <c r="UG33" s="1"/>
  <c r="UN33" s="1"/>
  <c r="KQ12"/>
  <c r="KX12" s="1"/>
  <c r="LE12" s="1"/>
  <c r="LL12" s="1"/>
  <c r="LS12" s="1"/>
  <c r="LZ12" s="1"/>
  <c r="MG12" s="1"/>
  <c r="MN12" s="1"/>
  <c r="MU12" s="1"/>
  <c r="NB12" s="1"/>
  <c r="NI12" s="1"/>
  <c r="NP12" s="1"/>
  <c r="NW12" s="1"/>
  <c r="OD12" s="1"/>
  <c r="OK12" s="1"/>
  <c r="OR12" s="1"/>
  <c r="OY12" s="1"/>
  <c r="PF12" s="1"/>
  <c r="PM12" s="1"/>
  <c r="PT12" s="1"/>
  <c r="QA12" s="1"/>
  <c r="QH12" s="1"/>
  <c r="QO12" s="1"/>
  <c r="QV12" s="1"/>
  <c r="RC12" s="1"/>
  <c r="RJ12" s="1"/>
  <c r="RQ12" s="1"/>
  <c r="RX12" s="1"/>
  <c r="SE12" s="1"/>
  <c r="SL12" s="1"/>
  <c r="SS12" s="1"/>
  <c r="SZ12" s="1"/>
  <c r="TG12" s="1"/>
  <c r="TN12" s="1"/>
  <c r="TU12" s="1"/>
  <c r="UB12" s="1"/>
  <c r="UI12" s="1"/>
  <c r="UP12" s="1"/>
  <c r="KP18"/>
  <c r="KW18" s="1"/>
  <c r="LD18" s="1"/>
  <c r="LK18" s="1"/>
  <c r="LR18" s="1"/>
  <c r="LY18" s="1"/>
  <c r="MF18" s="1"/>
  <c r="MM18" s="1"/>
  <c r="MT18" s="1"/>
  <c r="NA18" s="1"/>
  <c r="NH18" s="1"/>
  <c r="NO18" s="1"/>
  <c r="NV18" s="1"/>
  <c r="OC18" s="1"/>
  <c r="OJ18" s="1"/>
  <c r="OQ18" s="1"/>
  <c r="OX18" s="1"/>
  <c r="PE18" s="1"/>
  <c r="PL18" s="1"/>
  <c r="PS18" s="1"/>
  <c r="PZ18" s="1"/>
  <c r="QG18" s="1"/>
  <c r="QN18" s="1"/>
  <c r="QU18" s="1"/>
  <c r="RB18" s="1"/>
  <c r="RI18" s="1"/>
  <c r="RP18" s="1"/>
  <c r="RW18" s="1"/>
  <c r="SD18" s="1"/>
  <c r="SK18" s="1"/>
  <c r="SR18" s="1"/>
  <c r="SY18" s="1"/>
  <c r="TF18" s="1"/>
  <c r="TM18" s="1"/>
  <c r="TT18" s="1"/>
  <c r="UA18" s="1"/>
  <c r="UH18" s="1"/>
  <c r="UO18" s="1"/>
  <c r="KP21"/>
  <c r="KW21" s="1"/>
  <c r="LD21" s="1"/>
  <c r="LK21" s="1"/>
  <c r="LR21" s="1"/>
  <c r="LY21" s="1"/>
  <c r="MF21" s="1"/>
  <c r="MM21" s="1"/>
  <c r="MT21" s="1"/>
  <c r="NA21" s="1"/>
  <c r="NH21" s="1"/>
  <c r="NO21" s="1"/>
  <c r="NV21" s="1"/>
  <c r="OC21" s="1"/>
  <c r="OJ21" s="1"/>
  <c r="OQ21" s="1"/>
  <c r="OX21" s="1"/>
  <c r="PE21" s="1"/>
  <c r="PL21" s="1"/>
  <c r="PS21" s="1"/>
  <c r="PZ21" s="1"/>
  <c r="QG21" s="1"/>
  <c r="QN21" s="1"/>
  <c r="QU21" s="1"/>
  <c r="RB21" s="1"/>
  <c r="RI21" s="1"/>
  <c r="RP21" s="1"/>
  <c r="RW21" s="1"/>
  <c r="SD21" s="1"/>
  <c r="SK21" s="1"/>
  <c r="SR21" s="1"/>
  <c r="SY21" s="1"/>
  <c r="TF21" s="1"/>
  <c r="TM21" s="1"/>
  <c r="TT21" s="1"/>
  <c r="UA21" s="1"/>
  <c r="UH21" s="1"/>
  <c r="UO21" s="1"/>
  <c r="KV29"/>
  <c r="LC29" s="1"/>
  <c r="LJ29" s="1"/>
  <c r="LQ29" s="1"/>
  <c r="LX29" s="1"/>
  <c r="ME29" s="1"/>
  <c r="ML29" s="1"/>
  <c r="MS29" s="1"/>
  <c r="MZ29" s="1"/>
  <c r="NG29" s="1"/>
  <c r="NN29" s="1"/>
  <c r="NU29" s="1"/>
  <c r="OB29" s="1"/>
  <c r="OI29" s="1"/>
  <c r="OP29" s="1"/>
  <c r="OW29" s="1"/>
  <c r="PD29" s="1"/>
  <c r="PK29" s="1"/>
  <c r="PR29" s="1"/>
  <c r="PY29" s="1"/>
  <c r="QF29" s="1"/>
  <c r="QM29" s="1"/>
  <c r="QT29" s="1"/>
  <c r="RA29" s="1"/>
  <c r="RH29" s="1"/>
  <c r="RO29" s="1"/>
  <c r="RV29" s="1"/>
  <c r="SC29" s="1"/>
  <c r="SJ29" s="1"/>
  <c r="SQ29" s="1"/>
  <c r="SX29" s="1"/>
  <c r="TE29" s="1"/>
  <c r="TL29" s="1"/>
  <c r="TS29" s="1"/>
  <c r="TZ29" s="1"/>
  <c r="UG29" s="1"/>
  <c r="UN29" s="1"/>
  <c r="KP5"/>
  <c r="KW5" s="1"/>
  <c r="LD5" s="1"/>
  <c r="LK5" s="1"/>
  <c r="LR5" s="1"/>
  <c r="LY5" s="1"/>
  <c r="MF5" s="1"/>
  <c r="MM5" s="1"/>
  <c r="MT5" s="1"/>
  <c r="NA5" s="1"/>
  <c r="NH5" s="1"/>
  <c r="NO5" s="1"/>
  <c r="NV5" s="1"/>
  <c r="OC5" s="1"/>
  <c r="OJ5" s="1"/>
  <c r="OQ5" s="1"/>
  <c r="OX5" s="1"/>
  <c r="PE5" s="1"/>
  <c r="PL5" s="1"/>
  <c r="PS5" s="1"/>
  <c r="PZ5" s="1"/>
  <c r="QG5" s="1"/>
  <c r="QN5" s="1"/>
  <c r="QU5" s="1"/>
  <c r="RB5" s="1"/>
  <c r="RI5" s="1"/>
  <c r="RP5" s="1"/>
  <c r="RW5" s="1"/>
  <c r="SD5" s="1"/>
  <c r="SK5" s="1"/>
  <c r="SR5" s="1"/>
  <c r="SY5" s="1"/>
  <c r="TF5" s="1"/>
  <c r="TM5" s="1"/>
  <c r="TT5" s="1"/>
  <c r="UA5" s="1"/>
  <c r="UH5" s="1"/>
  <c r="UO5" s="1"/>
  <c r="KX33"/>
  <c r="LE33" s="1"/>
  <c r="LL33" s="1"/>
  <c r="LS33" s="1"/>
  <c r="LZ33" s="1"/>
  <c r="MG33" s="1"/>
  <c r="MN33" s="1"/>
  <c r="MU33" s="1"/>
  <c r="NB33" s="1"/>
  <c r="NI33" s="1"/>
  <c r="NP33" s="1"/>
  <c r="NW33" s="1"/>
  <c r="OD33" s="1"/>
  <c r="OK33" s="1"/>
  <c r="OR33" s="1"/>
  <c r="OY33" s="1"/>
  <c r="PF33" s="1"/>
  <c r="PM33" s="1"/>
  <c r="PT33" s="1"/>
  <c r="QA33" s="1"/>
  <c r="QH33" s="1"/>
  <c r="QO33" s="1"/>
  <c r="QV33" s="1"/>
  <c r="RC33" s="1"/>
  <c r="RJ33" s="1"/>
  <c r="RQ33" s="1"/>
  <c r="RX33" s="1"/>
  <c r="SE33" s="1"/>
  <c r="SL33" s="1"/>
  <c r="SS33" s="1"/>
  <c r="SZ33" s="1"/>
  <c r="TG33" s="1"/>
  <c r="TN33" s="1"/>
  <c r="TU33" s="1"/>
  <c r="UB33" s="1"/>
  <c r="UI33" s="1"/>
  <c r="UP33" s="1"/>
  <c r="KW30"/>
  <c r="LD30" s="1"/>
  <c r="LK30" s="1"/>
  <c r="LR30" s="1"/>
  <c r="LY30" s="1"/>
  <c r="MF30" s="1"/>
  <c r="MM30" s="1"/>
  <c r="MT30" s="1"/>
  <c r="NA30" s="1"/>
  <c r="NH30" s="1"/>
  <c r="NO30" s="1"/>
  <c r="NV30" s="1"/>
  <c r="OC30" s="1"/>
  <c r="OJ30" s="1"/>
  <c r="OQ30" s="1"/>
  <c r="OX30" s="1"/>
  <c r="PE30" s="1"/>
  <c r="PL30" s="1"/>
  <c r="PS30" s="1"/>
  <c r="PZ30" s="1"/>
  <c r="QG30" s="1"/>
  <c r="QN30" s="1"/>
  <c r="QU30" s="1"/>
  <c r="RB30" s="1"/>
  <c r="RI30" s="1"/>
  <c r="RP30" s="1"/>
  <c r="RW30" s="1"/>
  <c r="SD30" s="1"/>
  <c r="SK30" s="1"/>
  <c r="SR30" s="1"/>
  <c r="SY30" s="1"/>
  <c r="TF30" s="1"/>
  <c r="TM30" s="1"/>
  <c r="TT30" s="1"/>
  <c r="UA30" s="1"/>
  <c r="UH30" s="1"/>
  <c r="UO30" s="1"/>
  <c r="KP7"/>
  <c r="KQ16"/>
  <c r="KX16" s="1"/>
  <c r="LE16" s="1"/>
  <c r="LL16" s="1"/>
  <c r="LS16" s="1"/>
  <c r="LZ16" s="1"/>
  <c r="MG16" s="1"/>
  <c r="MN16" s="1"/>
  <c r="MU16" s="1"/>
  <c r="NB16" s="1"/>
  <c r="NI16" s="1"/>
  <c r="NP16" s="1"/>
  <c r="NW16" s="1"/>
  <c r="OD16" s="1"/>
  <c r="OK16" s="1"/>
  <c r="OR16" s="1"/>
  <c r="OY16" s="1"/>
  <c r="PF16" s="1"/>
  <c r="PM16" s="1"/>
  <c r="PT16" s="1"/>
  <c r="QA16" s="1"/>
  <c r="QH16" s="1"/>
  <c r="QO16" s="1"/>
  <c r="QV16" s="1"/>
  <c r="RC16" s="1"/>
  <c r="RJ16" s="1"/>
  <c r="RQ16" s="1"/>
  <c r="RX16" s="1"/>
  <c r="SE16" s="1"/>
  <c r="SL16" s="1"/>
  <c r="SS16" s="1"/>
  <c r="SZ16" s="1"/>
  <c r="TG16" s="1"/>
  <c r="TN16" s="1"/>
  <c r="TU16" s="1"/>
  <c r="UB16" s="1"/>
  <c r="UI16" s="1"/>
  <c r="UP16" s="1"/>
  <c r="KQ19"/>
  <c r="KP12"/>
  <c r="KW12" s="1"/>
  <c r="LD12" s="1"/>
  <c r="LK12" s="1"/>
  <c r="LR12" s="1"/>
  <c r="LY12" s="1"/>
  <c r="MF12" s="1"/>
  <c r="MM12" s="1"/>
  <c r="MT12" s="1"/>
  <c r="NA12" s="1"/>
  <c r="NH12" s="1"/>
  <c r="NO12" s="1"/>
  <c r="NV12" s="1"/>
  <c r="OC12" s="1"/>
  <c r="OJ12" s="1"/>
  <c r="OQ12" s="1"/>
  <c r="OX12" s="1"/>
  <c r="PE12" s="1"/>
  <c r="PL12" s="1"/>
  <c r="PS12" s="1"/>
  <c r="PZ12" s="1"/>
  <c r="QG12" s="1"/>
  <c r="QN12" s="1"/>
  <c r="QU12" s="1"/>
  <c r="RB12" s="1"/>
  <c r="RI12" s="1"/>
  <c r="RP12" s="1"/>
  <c r="RW12" s="1"/>
  <c r="SD12" s="1"/>
  <c r="SK12" s="1"/>
  <c r="SR12" s="1"/>
  <c r="SY12" s="1"/>
  <c r="TF12" s="1"/>
  <c r="TM12" s="1"/>
  <c r="TT12" s="1"/>
  <c r="UA12" s="1"/>
  <c r="UH12" s="1"/>
  <c r="UO12" s="1"/>
  <c r="KQ23"/>
  <c r="KX23" s="1"/>
  <c r="LE23" s="1"/>
  <c r="LL23" s="1"/>
  <c r="LS23" s="1"/>
  <c r="LZ23" s="1"/>
  <c r="MG23" s="1"/>
  <c r="MN23" s="1"/>
  <c r="MU23" s="1"/>
  <c r="NB23" s="1"/>
  <c r="NI23" s="1"/>
  <c r="NP23" s="1"/>
  <c r="NW23" s="1"/>
  <c r="OD23" s="1"/>
  <c r="OK23" s="1"/>
  <c r="OR23" s="1"/>
  <c r="OY23" s="1"/>
  <c r="PF23" s="1"/>
  <c r="PM23" s="1"/>
  <c r="PT23" s="1"/>
  <c r="QA23" s="1"/>
  <c r="QH23" s="1"/>
  <c r="QO23" s="1"/>
  <c r="QV23" s="1"/>
  <c r="RC23" s="1"/>
  <c r="RJ23" s="1"/>
  <c r="RQ23" s="1"/>
  <c r="RX23" s="1"/>
  <c r="SE23" s="1"/>
  <c r="SL23" s="1"/>
  <c r="SS23" s="1"/>
  <c r="SZ23" s="1"/>
  <c r="TG23" s="1"/>
  <c r="TN23" s="1"/>
  <c r="TU23" s="1"/>
  <c r="UB23" s="1"/>
  <c r="UI23" s="1"/>
  <c r="UP23" s="1"/>
  <c r="KW25"/>
  <c r="LD25" s="1"/>
  <c r="LK25" s="1"/>
  <c r="LR25" s="1"/>
  <c r="LY25" s="1"/>
  <c r="MF25" s="1"/>
  <c r="MM25" s="1"/>
  <c r="MT25" s="1"/>
  <c r="NA25" s="1"/>
  <c r="NH25" s="1"/>
  <c r="NO25" s="1"/>
  <c r="NV25" s="1"/>
  <c r="OC25" s="1"/>
  <c r="OJ25" s="1"/>
  <c r="OQ25" s="1"/>
  <c r="OX25" s="1"/>
  <c r="PE25" s="1"/>
  <c r="PL25" s="1"/>
  <c r="PS25" s="1"/>
  <c r="PZ25" s="1"/>
  <c r="QG25" s="1"/>
  <c r="QN25" s="1"/>
  <c r="QU25" s="1"/>
  <c r="RB25" s="1"/>
  <c r="RI25" s="1"/>
  <c r="RP25" s="1"/>
  <c r="RW25" s="1"/>
  <c r="SD25" s="1"/>
  <c r="SK25" s="1"/>
  <c r="SR25" s="1"/>
  <c r="SY25" s="1"/>
  <c r="TF25" s="1"/>
  <c r="TM25" s="1"/>
  <c r="TT25" s="1"/>
  <c r="UA25" s="1"/>
  <c r="UH25" s="1"/>
  <c r="UO25" s="1"/>
  <c r="KW26"/>
  <c r="LD26" s="1"/>
  <c r="LK26" s="1"/>
  <c r="LR26" s="1"/>
  <c r="LY26" s="1"/>
  <c r="MF26" s="1"/>
  <c r="MM26" s="1"/>
  <c r="MT26" s="1"/>
  <c r="NA26" s="1"/>
  <c r="NH26" s="1"/>
  <c r="NO26" s="1"/>
  <c r="NV26" s="1"/>
  <c r="OC26" s="1"/>
  <c r="OJ26" s="1"/>
  <c r="OQ26" s="1"/>
  <c r="OX26" s="1"/>
  <c r="PE26" s="1"/>
  <c r="PL26" s="1"/>
  <c r="PS26" s="1"/>
  <c r="PZ26" s="1"/>
  <c r="QG26" s="1"/>
  <c r="QN26" s="1"/>
  <c r="QU26" s="1"/>
  <c r="RB26" s="1"/>
  <c r="RI26" s="1"/>
  <c r="RP26" s="1"/>
  <c r="RW26" s="1"/>
  <c r="SD26" s="1"/>
  <c r="SK26" s="1"/>
  <c r="SR26" s="1"/>
  <c r="SY26" s="1"/>
  <c r="TF26" s="1"/>
  <c r="TM26" s="1"/>
  <c r="TT26" s="1"/>
  <c r="UA26" s="1"/>
  <c r="UH26" s="1"/>
  <c r="UO26" s="1"/>
  <c r="KQ8"/>
  <c r="KX8" s="1"/>
  <c r="LE8" s="1"/>
  <c r="LL8" s="1"/>
  <c r="LS8" s="1"/>
  <c r="LZ8" s="1"/>
  <c r="MG8" s="1"/>
  <c r="MN8" s="1"/>
  <c r="MU8" s="1"/>
  <c r="NB8" s="1"/>
  <c r="NI8" s="1"/>
  <c r="NP8" s="1"/>
  <c r="NW8" s="1"/>
  <c r="OD8" s="1"/>
  <c r="OK8" s="1"/>
  <c r="OR8" s="1"/>
  <c r="OY8" s="1"/>
  <c r="PF8" s="1"/>
  <c r="PM8" s="1"/>
  <c r="PT8" s="1"/>
  <c r="QA8" s="1"/>
  <c r="QH8" s="1"/>
  <c r="QO8" s="1"/>
  <c r="QV8" s="1"/>
  <c r="RC8" s="1"/>
  <c r="RJ8" s="1"/>
  <c r="RQ8" s="1"/>
  <c r="RX8" s="1"/>
  <c r="SE8" s="1"/>
  <c r="SL8" s="1"/>
  <c r="SS8" s="1"/>
  <c r="SZ8" s="1"/>
  <c r="TG8" s="1"/>
  <c r="TN8" s="1"/>
  <c r="TU8" s="1"/>
  <c r="UB8" s="1"/>
  <c r="UI8" s="1"/>
  <c r="UP8" s="1"/>
  <c r="KP8"/>
  <c r="KX26"/>
  <c r="LE26" s="1"/>
  <c r="LL26" s="1"/>
  <c r="LS26" s="1"/>
  <c r="LZ26" s="1"/>
  <c r="MG26" s="1"/>
  <c r="MN26" s="1"/>
  <c r="MU26" s="1"/>
  <c r="NB26" s="1"/>
  <c r="NI26" s="1"/>
  <c r="NP26" s="1"/>
  <c r="NW26" s="1"/>
  <c r="OD26" s="1"/>
  <c r="OK26" s="1"/>
  <c r="OR26" s="1"/>
  <c r="OY26" s="1"/>
  <c r="PF26" s="1"/>
  <c r="PM26" s="1"/>
  <c r="PT26" s="1"/>
  <c r="QA26" s="1"/>
  <c r="QH26" s="1"/>
  <c r="QO26" s="1"/>
  <c r="QV26" s="1"/>
  <c r="RC26" s="1"/>
  <c r="RJ26" s="1"/>
  <c r="RQ26" s="1"/>
  <c r="RX26" s="1"/>
  <c r="SE26" s="1"/>
  <c r="SL26" s="1"/>
  <c r="SS26" s="1"/>
  <c r="SZ26" s="1"/>
  <c r="TG26" s="1"/>
  <c r="TN26" s="1"/>
  <c r="TU26" s="1"/>
  <c r="UB26" s="1"/>
  <c r="UI26" s="1"/>
  <c r="UP26" s="1"/>
  <c r="KX14"/>
  <c r="LE14" s="1"/>
  <c r="LL14" s="1"/>
  <c r="LS14" s="1"/>
  <c r="LZ14" s="1"/>
  <c r="MG14" s="1"/>
  <c r="MN14" s="1"/>
  <c r="MU14" s="1"/>
  <c r="NB14" s="1"/>
  <c r="NI14" s="1"/>
  <c r="NP14" s="1"/>
  <c r="NW14" s="1"/>
  <c r="OD14" s="1"/>
  <c r="OK14" s="1"/>
  <c r="OR14" s="1"/>
  <c r="OY14" s="1"/>
  <c r="PF14" s="1"/>
  <c r="PM14" s="1"/>
  <c r="PT14" s="1"/>
  <c r="QA14" s="1"/>
  <c r="QH14" s="1"/>
  <c r="QO14" s="1"/>
  <c r="QV14" s="1"/>
  <c r="RC14" s="1"/>
  <c r="RJ14" s="1"/>
  <c r="RQ14" s="1"/>
  <c r="RX14" s="1"/>
  <c r="SE14" s="1"/>
  <c r="SL14" s="1"/>
  <c r="SS14" s="1"/>
  <c r="SZ14" s="1"/>
  <c r="TG14" s="1"/>
  <c r="TN14" s="1"/>
  <c r="TU14" s="1"/>
  <c r="UB14" s="1"/>
  <c r="UI14" s="1"/>
  <c r="UP14" s="1"/>
  <c r="KP13"/>
  <c r="KW13" s="1"/>
  <c r="LD13" s="1"/>
  <c r="LK13" s="1"/>
  <c r="LR13" s="1"/>
  <c r="LY13" s="1"/>
  <c r="MF13" s="1"/>
  <c r="MM13" s="1"/>
  <c r="MT13" s="1"/>
  <c r="NA13" s="1"/>
  <c r="NH13" s="1"/>
  <c r="NO13" s="1"/>
  <c r="NV13" s="1"/>
  <c r="OC13" s="1"/>
  <c r="OJ13" s="1"/>
  <c r="OQ13" s="1"/>
  <c r="OX13" s="1"/>
  <c r="PE13" s="1"/>
  <c r="PL13" s="1"/>
  <c r="PS13" s="1"/>
  <c r="PZ13" s="1"/>
  <c r="QG13" s="1"/>
  <c r="QN13" s="1"/>
  <c r="QU13" s="1"/>
  <c r="RB13" s="1"/>
  <c r="RI13" s="1"/>
  <c r="RP13" s="1"/>
  <c r="RW13" s="1"/>
  <c r="SD13" s="1"/>
  <c r="SK13" s="1"/>
  <c r="SR13" s="1"/>
  <c r="SY13" s="1"/>
  <c r="TF13" s="1"/>
  <c r="TM13" s="1"/>
  <c r="TT13" s="1"/>
  <c r="UA13" s="1"/>
  <c r="UH13" s="1"/>
  <c r="UO13" s="1"/>
  <c r="KP16"/>
  <c r="KW16" s="1"/>
  <c r="LD16" s="1"/>
  <c r="LK16" s="1"/>
  <c r="LR16" s="1"/>
  <c r="LY16" s="1"/>
  <c r="MF16" s="1"/>
  <c r="MM16" s="1"/>
  <c r="MT16" s="1"/>
  <c r="NA16" s="1"/>
  <c r="NH16" s="1"/>
  <c r="NO16" s="1"/>
  <c r="NV16" s="1"/>
  <c r="OC16" s="1"/>
  <c r="OJ16" s="1"/>
  <c r="OQ16" s="1"/>
  <c r="OX16" s="1"/>
  <c r="PE16" s="1"/>
  <c r="PL16" s="1"/>
  <c r="PS16" s="1"/>
  <c r="PZ16" s="1"/>
  <c r="QG16" s="1"/>
  <c r="QN16" s="1"/>
  <c r="QU16" s="1"/>
  <c r="RB16" s="1"/>
  <c r="RI16" s="1"/>
  <c r="RP16" s="1"/>
  <c r="RW16" s="1"/>
  <c r="SD16" s="1"/>
  <c r="SK16" s="1"/>
  <c r="SR16" s="1"/>
  <c r="SY16" s="1"/>
  <c r="TF16" s="1"/>
  <c r="TM16" s="1"/>
  <c r="TT16" s="1"/>
  <c r="UA16" s="1"/>
  <c r="UH16" s="1"/>
  <c r="UO16" s="1"/>
  <c r="KP22"/>
  <c r="KW22" s="1"/>
  <c r="LD22" s="1"/>
  <c r="LK22" s="1"/>
  <c r="LR22" s="1"/>
  <c r="LY22" s="1"/>
  <c r="MF22" s="1"/>
  <c r="MM22" s="1"/>
  <c r="MT22" s="1"/>
  <c r="NA22" s="1"/>
  <c r="NH22" s="1"/>
  <c r="NO22" s="1"/>
  <c r="NV22" s="1"/>
  <c r="OC22" s="1"/>
  <c r="OJ22" s="1"/>
  <c r="OQ22" s="1"/>
  <c r="OX22" s="1"/>
  <c r="PE22" s="1"/>
  <c r="PL22" s="1"/>
  <c r="PS22" s="1"/>
  <c r="PZ22" s="1"/>
  <c r="QG22" s="1"/>
  <c r="QN22" s="1"/>
  <c r="QU22" s="1"/>
  <c r="RB22" s="1"/>
  <c r="RI22" s="1"/>
  <c r="RP22" s="1"/>
  <c r="RW22" s="1"/>
  <c r="SD22" s="1"/>
  <c r="SK22" s="1"/>
  <c r="SR22" s="1"/>
  <c r="SY22" s="1"/>
  <c r="TF22" s="1"/>
  <c r="TM22" s="1"/>
  <c r="TT22" s="1"/>
  <c r="UA22" s="1"/>
  <c r="UH22" s="1"/>
  <c r="UO22" s="1"/>
  <c r="KQ6"/>
  <c r="KX6" s="1"/>
  <c r="LE6" s="1"/>
  <c r="LL6" s="1"/>
  <c r="LS6" s="1"/>
  <c r="LZ6" s="1"/>
  <c r="MG6" s="1"/>
  <c r="MN6" s="1"/>
  <c r="MU6" s="1"/>
  <c r="NB6" s="1"/>
  <c r="NI6" s="1"/>
  <c r="NP6" s="1"/>
  <c r="NW6" s="1"/>
  <c r="OD6" s="1"/>
  <c r="OK6" s="1"/>
  <c r="OR6" s="1"/>
  <c r="OY6" s="1"/>
  <c r="PF6" s="1"/>
  <c r="PM6" s="1"/>
  <c r="PT6" s="1"/>
  <c r="QA6" s="1"/>
  <c r="QH6" s="1"/>
  <c r="QO6" s="1"/>
  <c r="QV6" s="1"/>
  <c r="RC6" s="1"/>
  <c r="RJ6" s="1"/>
  <c r="RQ6" s="1"/>
  <c r="RX6" s="1"/>
  <c r="SE6" s="1"/>
  <c r="SL6" s="1"/>
  <c r="SS6" s="1"/>
  <c r="SZ6" s="1"/>
  <c r="TG6" s="1"/>
  <c r="TN6" s="1"/>
  <c r="TU6" s="1"/>
  <c r="UB6" s="1"/>
  <c r="UI6" s="1"/>
  <c r="UP6" s="1"/>
  <c r="KX11"/>
  <c r="LE11" s="1"/>
  <c r="LL11" s="1"/>
  <c r="LS11" s="1"/>
  <c r="LZ11" s="1"/>
  <c r="MG11" s="1"/>
  <c r="MN11" s="1"/>
  <c r="MU11" s="1"/>
  <c r="NB11" s="1"/>
  <c r="NI11" s="1"/>
  <c r="NP11" s="1"/>
  <c r="NW11" s="1"/>
  <c r="OD11" s="1"/>
  <c r="OK11" s="1"/>
  <c r="OR11" s="1"/>
  <c r="OY11" s="1"/>
  <c r="PF11" s="1"/>
  <c r="PM11" s="1"/>
  <c r="PT11" s="1"/>
  <c r="QA11" s="1"/>
  <c r="QH11" s="1"/>
  <c r="QO11" s="1"/>
  <c r="QV11" s="1"/>
  <c r="RC11" s="1"/>
  <c r="RJ11" s="1"/>
  <c r="RQ11" s="1"/>
  <c r="RX11" s="1"/>
  <c r="SE11" s="1"/>
  <c r="SL11" s="1"/>
  <c r="SS11" s="1"/>
  <c r="SZ11" s="1"/>
  <c r="TG11" s="1"/>
  <c r="TN11" s="1"/>
  <c r="TU11" s="1"/>
  <c r="UB11" s="1"/>
  <c r="UI11" s="1"/>
  <c r="UP11" s="1"/>
  <c r="KQ22"/>
  <c r="KX22" s="1"/>
  <c r="LE22" s="1"/>
  <c r="LL22" s="1"/>
  <c r="LS22" s="1"/>
  <c r="LZ22" s="1"/>
  <c r="MG22" s="1"/>
  <c r="MN22" s="1"/>
  <c r="MU22" s="1"/>
  <c r="NB22" s="1"/>
  <c r="NI22" s="1"/>
  <c r="NP22" s="1"/>
  <c r="NW22" s="1"/>
  <c r="OD22" s="1"/>
  <c r="OK22" s="1"/>
  <c r="OR22" s="1"/>
  <c r="OY22" s="1"/>
  <c r="PF22" s="1"/>
  <c r="PM22" s="1"/>
  <c r="PT22" s="1"/>
  <c r="QA22" s="1"/>
  <c r="QH22" s="1"/>
  <c r="QO22" s="1"/>
  <c r="QV22" s="1"/>
  <c r="RC22" s="1"/>
  <c r="RJ22" s="1"/>
  <c r="RQ22" s="1"/>
  <c r="RX22" s="1"/>
  <c r="SE22" s="1"/>
  <c r="SL22" s="1"/>
  <c r="SS22" s="1"/>
  <c r="SZ22" s="1"/>
  <c r="TG22" s="1"/>
  <c r="TN22" s="1"/>
  <c r="TU22" s="1"/>
  <c r="UB22" s="1"/>
  <c r="UI22" s="1"/>
  <c r="UP22" s="1"/>
  <c r="KP23"/>
  <c r="KW23" s="1"/>
  <c r="LD23" s="1"/>
  <c r="LK23" s="1"/>
  <c r="LR23" s="1"/>
  <c r="LY23" s="1"/>
  <c r="MF23" s="1"/>
  <c r="MM23" s="1"/>
  <c r="MT23" s="1"/>
  <c r="NA23" s="1"/>
  <c r="NH23" s="1"/>
  <c r="NO23" s="1"/>
  <c r="NV23" s="1"/>
  <c r="OC23" s="1"/>
  <c r="OJ23" s="1"/>
  <c r="OQ23" s="1"/>
  <c r="OX23" s="1"/>
  <c r="PE23" s="1"/>
  <c r="PL23" s="1"/>
  <c r="PS23" s="1"/>
  <c r="PZ23" s="1"/>
  <c r="QG23" s="1"/>
  <c r="QN23" s="1"/>
  <c r="QU23" s="1"/>
  <c r="RB23" s="1"/>
  <c r="RI23" s="1"/>
  <c r="RP23" s="1"/>
  <c r="RW23" s="1"/>
  <c r="SD23" s="1"/>
  <c r="SK23" s="1"/>
  <c r="SR23" s="1"/>
  <c r="SY23" s="1"/>
  <c r="TF23" s="1"/>
  <c r="TM23" s="1"/>
  <c r="TT23" s="1"/>
  <c r="UA23" s="1"/>
  <c r="UH23" s="1"/>
  <c r="UO23" s="1"/>
  <c r="KX18"/>
  <c r="LE18" s="1"/>
  <c r="LL18" s="1"/>
  <c r="LS18" s="1"/>
  <c r="LZ18" s="1"/>
  <c r="MG18" s="1"/>
  <c r="MN18" s="1"/>
  <c r="MU18" s="1"/>
  <c r="NB18" s="1"/>
  <c r="NI18" s="1"/>
  <c r="NP18" s="1"/>
  <c r="NW18" s="1"/>
  <c r="OD18" s="1"/>
  <c r="OK18" s="1"/>
  <c r="OR18" s="1"/>
  <c r="OY18" s="1"/>
  <c r="PF18" s="1"/>
  <c r="PM18" s="1"/>
  <c r="PT18" s="1"/>
  <c r="QA18" s="1"/>
  <c r="QH18" s="1"/>
  <c r="QO18" s="1"/>
  <c r="QV18" s="1"/>
  <c r="RC18" s="1"/>
  <c r="RJ18" s="1"/>
  <c r="RQ18" s="1"/>
  <c r="RX18" s="1"/>
  <c r="SE18" s="1"/>
  <c r="SL18" s="1"/>
  <c r="SS18" s="1"/>
  <c r="SZ18" s="1"/>
  <c r="TG18" s="1"/>
  <c r="TN18" s="1"/>
  <c r="TU18" s="1"/>
  <c r="UB18" s="1"/>
  <c r="UI18" s="1"/>
  <c r="UP18" s="1"/>
  <c r="LD14"/>
  <c r="LK14" s="1"/>
  <c r="LR14" s="1"/>
  <c r="LY14" s="1"/>
  <c r="MF14" s="1"/>
  <c r="MM14" s="1"/>
  <c r="MT14" s="1"/>
  <c r="NA14" s="1"/>
  <c r="NH14" s="1"/>
  <c r="NO14" s="1"/>
  <c r="NV14" s="1"/>
  <c r="OC14" s="1"/>
  <c r="OJ14" s="1"/>
  <c r="OQ14" s="1"/>
  <c r="OX14" s="1"/>
  <c r="PE14" s="1"/>
  <c r="PL14" s="1"/>
  <c r="PS14" s="1"/>
  <c r="PZ14" s="1"/>
  <c r="QG14" s="1"/>
  <c r="QN14" s="1"/>
  <c r="QU14" s="1"/>
  <c r="RB14" s="1"/>
  <c r="RI14" s="1"/>
  <c r="RP14" s="1"/>
  <c r="RW14" s="1"/>
  <c r="SD14" s="1"/>
  <c r="SK14" s="1"/>
  <c r="SR14" s="1"/>
  <c r="SY14" s="1"/>
  <c r="TF14" s="1"/>
  <c r="TM14" s="1"/>
  <c r="TT14" s="1"/>
  <c r="UA14" s="1"/>
  <c r="UH14" s="1"/>
  <c r="UO14" s="1"/>
  <c r="KX19"/>
  <c r="LE19" s="1"/>
  <c r="LL19" s="1"/>
  <c r="LS19" s="1"/>
  <c r="LZ19" s="1"/>
  <c r="MG19" s="1"/>
  <c r="MN19" s="1"/>
  <c r="MU19" s="1"/>
  <c r="NB19" s="1"/>
  <c r="NI19" s="1"/>
  <c r="NP19" s="1"/>
  <c r="NW19" s="1"/>
  <c r="OD19" s="1"/>
  <c r="OK19" s="1"/>
  <c r="OR19" s="1"/>
  <c r="OY19" s="1"/>
  <c r="PF19" s="1"/>
  <c r="PM19" s="1"/>
  <c r="PT19" s="1"/>
  <c r="QA19" s="1"/>
  <c r="QH19" s="1"/>
  <c r="QO19" s="1"/>
  <c r="QV19" s="1"/>
  <c r="RC19" s="1"/>
  <c r="RJ19" s="1"/>
  <c r="RQ19" s="1"/>
  <c r="RX19" s="1"/>
  <c r="SE19" s="1"/>
  <c r="SL19" s="1"/>
  <c r="SS19" s="1"/>
  <c r="SZ19" s="1"/>
  <c r="TG19" s="1"/>
  <c r="TN19" s="1"/>
  <c r="TU19" s="1"/>
  <c r="UB19" s="1"/>
  <c r="UI19" s="1"/>
  <c r="UP19" s="1"/>
  <c r="KW10"/>
  <c r="LD10" s="1"/>
  <c r="LK10" s="1"/>
  <c r="LR10" s="1"/>
  <c r="LY10" s="1"/>
  <c r="MF10" s="1"/>
  <c r="MM10" s="1"/>
  <c r="MT10" s="1"/>
  <c r="NA10" s="1"/>
  <c r="NH10" s="1"/>
  <c r="NO10" s="1"/>
  <c r="NV10" s="1"/>
  <c r="OC10" s="1"/>
  <c r="OJ10" s="1"/>
  <c r="OQ10" s="1"/>
  <c r="OX10" s="1"/>
  <c r="PE10" s="1"/>
  <c r="PL10" s="1"/>
  <c r="PS10" s="1"/>
  <c r="PZ10" s="1"/>
  <c r="QG10" s="1"/>
  <c r="QN10" s="1"/>
  <c r="QU10" s="1"/>
  <c r="RB10" s="1"/>
  <c r="RI10" s="1"/>
  <c r="RP10" s="1"/>
  <c r="RW10" s="1"/>
  <c r="SD10" s="1"/>
  <c r="SK10" s="1"/>
  <c r="SR10" s="1"/>
  <c r="SY10" s="1"/>
  <c r="TF10" s="1"/>
  <c r="TM10" s="1"/>
  <c r="TT10" s="1"/>
  <c r="UA10" s="1"/>
  <c r="UH10" s="1"/>
  <c r="UO10" s="1"/>
  <c r="KQ13"/>
  <c r="KX13" s="1"/>
  <c r="LE13" s="1"/>
  <c r="LL13" s="1"/>
  <c r="LS13" s="1"/>
  <c r="LZ13" s="1"/>
  <c r="MG13" s="1"/>
  <c r="MN13" s="1"/>
  <c r="MU13" s="1"/>
  <c r="NB13" s="1"/>
  <c r="NI13" s="1"/>
  <c r="NP13" s="1"/>
  <c r="NW13" s="1"/>
  <c r="OD13" s="1"/>
  <c r="OK13" s="1"/>
  <c r="OR13" s="1"/>
  <c r="OY13" s="1"/>
  <c r="PF13" s="1"/>
  <c r="PM13" s="1"/>
  <c r="PT13" s="1"/>
  <c r="QA13" s="1"/>
  <c r="QH13" s="1"/>
  <c r="QO13" s="1"/>
  <c r="QV13" s="1"/>
  <c r="RC13" s="1"/>
  <c r="RJ13" s="1"/>
  <c r="RQ13" s="1"/>
  <c r="RX13" s="1"/>
  <c r="SE13" s="1"/>
  <c r="SL13" s="1"/>
  <c r="SS13" s="1"/>
  <c r="SZ13" s="1"/>
  <c r="TG13" s="1"/>
  <c r="TN13" s="1"/>
  <c r="TU13" s="1"/>
  <c r="UB13" s="1"/>
  <c r="UI13" s="1"/>
  <c r="UP13" s="1"/>
  <c r="KX15"/>
  <c r="LE15" s="1"/>
  <c r="LL15" s="1"/>
  <c r="LS15" s="1"/>
  <c r="LZ15" s="1"/>
  <c r="MG15" s="1"/>
  <c r="MN15" s="1"/>
  <c r="MU15" s="1"/>
  <c r="NB15" s="1"/>
  <c r="NI15" s="1"/>
  <c r="NP15" s="1"/>
  <c r="NW15" s="1"/>
  <c r="OD15" s="1"/>
  <c r="OK15" s="1"/>
  <c r="OR15" s="1"/>
  <c r="OY15" s="1"/>
  <c r="PF15" s="1"/>
  <c r="PM15" s="1"/>
  <c r="PT15" s="1"/>
  <c r="QA15" s="1"/>
  <c r="QH15" s="1"/>
  <c r="QO15" s="1"/>
  <c r="QV15" s="1"/>
  <c r="RC15" s="1"/>
  <c r="RJ15" s="1"/>
  <c r="RQ15" s="1"/>
  <c r="RX15" s="1"/>
  <c r="SE15" s="1"/>
  <c r="SL15" s="1"/>
  <c r="SS15" s="1"/>
  <c r="SZ15" s="1"/>
  <c r="TG15" s="1"/>
  <c r="TN15" s="1"/>
  <c r="TU15" s="1"/>
  <c r="UB15" s="1"/>
  <c r="UI15" s="1"/>
  <c r="UP15" s="1"/>
  <c r="KP20"/>
  <c r="KW20" s="1"/>
  <c r="LD20" s="1"/>
  <c r="LK20" s="1"/>
  <c r="LR20" s="1"/>
  <c r="LY20" s="1"/>
  <c r="MF20" s="1"/>
  <c r="MM20" s="1"/>
  <c r="MT20" s="1"/>
  <c r="NA20" s="1"/>
  <c r="NH20" s="1"/>
  <c r="NO20" s="1"/>
  <c r="NV20" s="1"/>
  <c r="OC20" s="1"/>
  <c r="OJ20" s="1"/>
  <c r="OQ20" s="1"/>
  <c r="OX20" s="1"/>
  <c r="PE20" s="1"/>
  <c r="PL20" s="1"/>
  <c r="PS20" s="1"/>
  <c r="PZ20" s="1"/>
  <c r="QG20" s="1"/>
  <c r="QN20" s="1"/>
  <c r="QU20" s="1"/>
  <c r="RB20" s="1"/>
  <c r="RI20" s="1"/>
  <c r="RP20" s="1"/>
  <c r="RW20" s="1"/>
  <c r="SD20" s="1"/>
  <c r="SK20" s="1"/>
  <c r="SR20" s="1"/>
  <c r="SY20" s="1"/>
  <c r="TF20" s="1"/>
  <c r="TM20" s="1"/>
  <c r="TT20" s="1"/>
  <c r="UA20" s="1"/>
  <c r="UH20" s="1"/>
  <c r="UO20" s="1"/>
  <c r="KX10"/>
  <c r="KO21"/>
  <c r="KV21" s="1"/>
  <c r="LC21" s="1"/>
  <c r="KO15"/>
  <c r="KR15" s="1"/>
  <c r="KO9"/>
  <c r="KV9" s="1"/>
  <c r="LC9" s="1"/>
  <c r="LJ9" s="1"/>
  <c r="LQ9" s="1"/>
  <c r="KP11"/>
  <c r="KW11" s="1"/>
  <c r="LD11" s="1"/>
  <c r="LK11" s="1"/>
  <c r="LR11" s="1"/>
  <c r="LY11" s="1"/>
  <c r="MF11" s="1"/>
  <c r="MM11" s="1"/>
  <c r="MT11" s="1"/>
  <c r="NA11" s="1"/>
  <c r="NH11" s="1"/>
  <c r="NO11" s="1"/>
  <c r="NV11" s="1"/>
  <c r="OC11" s="1"/>
  <c r="OJ11" s="1"/>
  <c r="OQ11" s="1"/>
  <c r="OX11" s="1"/>
  <c r="PE11" s="1"/>
  <c r="PL11" s="1"/>
  <c r="PS11" s="1"/>
  <c r="PZ11" s="1"/>
  <c r="QG11" s="1"/>
  <c r="QN11" s="1"/>
  <c r="QU11" s="1"/>
  <c r="RB11" s="1"/>
  <c r="RI11" s="1"/>
  <c r="RP11" s="1"/>
  <c r="RW11" s="1"/>
  <c r="SD11" s="1"/>
  <c r="SK11" s="1"/>
  <c r="SR11" s="1"/>
  <c r="SY11" s="1"/>
  <c r="TF11" s="1"/>
  <c r="TM11" s="1"/>
  <c r="TT11" s="1"/>
  <c r="UA11" s="1"/>
  <c r="UH11" s="1"/>
  <c r="UO11" s="1"/>
  <c r="KQ17"/>
  <c r="KX17" s="1"/>
  <c r="LE17" s="1"/>
  <c r="LL17" s="1"/>
  <c r="LS17" s="1"/>
  <c r="LZ17" s="1"/>
  <c r="MG17" s="1"/>
  <c r="MN17" s="1"/>
  <c r="MU17" s="1"/>
  <c r="NB17" s="1"/>
  <c r="NI17" s="1"/>
  <c r="NP17" s="1"/>
  <c r="NW17" s="1"/>
  <c r="OD17" s="1"/>
  <c r="OK17" s="1"/>
  <c r="OR17" s="1"/>
  <c r="OY17" s="1"/>
  <c r="PF17" s="1"/>
  <c r="PM17" s="1"/>
  <c r="PT17" s="1"/>
  <c r="QA17" s="1"/>
  <c r="QH17" s="1"/>
  <c r="QO17" s="1"/>
  <c r="QV17" s="1"/>
  <c r="RC17" s="1"/>
  <c r="RJ17" s="1"/>
  <c r="RQ17" s="1"/>
  <c r="RX17" s="1"/>
  <c r="SE17" s="1"/>
  <c r="SL17" s="1"/>
  <c r="SS17" s="1"/>
  <c r="SZ17" s="1"/>
  <c r="TG17" s="1"/>
  <c r="TN17" s="1"/>
  <c r="TU17" s="1"/>
  <c r="UB17" s="1"/>
  <c r="UI17" s="1"/>
  <c r="UP17" s="1"/>
  <c r="KP9"/>
  <c r="KW9" s="1"/>
  <c r="LD9" s="1"/>
  <c r="LK9" s="1"/>
  <c r="LR9" s="1"/>
  <c r="LY9" s="1"/>
  <c r="MF9" s="1"/>
  <c r="MM9" s="1"/>
  <c r="MT9" s="1"/>
  <c r="NA9" s="1"/>
  <c r="NH9" s="1"/>
  <c r="NO9" s="1"/>
  <c r="NV9" s="1"/>
  <c r="OC9" s="1"/>
  <c r="OJ9" s="1"/>
  <c r="OQ9" s="1"/>
  <c r="OX9" s="1"/>
  <c r="PE9" s="1"/>
  <c r="PL9" s="1"/>
  <c r="PS9" s="1"/>
  <c r="PZ9" s="1"/>
  <c r="QG9" s="1"/>
  <c r="QN9" s="1"/>
  <c r="QU9" s="1"/>
  <c r="RB9" s="1"/>
  <c r="RI9" s="1"/>
  <c r="RP9" s="1"/>
  <c r="RW9" s="1"/>
  <c r="SD9" s="1"/>
  <c r="SK9" s="1"/>
  <c r="SR9" s="1"/>
  <c r="SY9" s="1"/>
  <c r="TF9" s="1"/>
  <c r="TM9" s="1"/>
  <c r="TT9" s="1"/>
  <c r="UA9" s="1"/>
  <c r="UH9" s="1"/>
  <c r="UO9" s="1"/>
  <c r="KQ21"/>
  <c r="KX21" s="1"/>
  <c r="LE21" s="1"/>
  <c r="LL21" s="1"/>
  <c r="LS21" s="1"/>
  <c r="LZ21" s="1"/>
  <c r="MG21" s="1"/>
  <c r="MN21" s="1"/>
  <c r="MU21" s="1"/>
  <c r="NB21" s="1"/>
  <c r="NI21" s="1"/>
  <c r="NP21" s="1"/>
  <c r="NW21" s="1"/>
  <c r="OD21" s="1"/>
  <c r="OK21" s="1"/>
  <c r="OR21" s="1"/>
  <c r="OY21" s="1"/>
  <c r="PF21" s="1"/>
  <c r="PM21" s="1"/>
  <c r="PT21" s="1"/>
  <c r="QA21" s="1"/>
  <c r="QH21" s="1"/>
  <c r="QO21" s="1"/>
  <c r="QV21" s="1"/>
  <c r="RC21" s="1"/>
  <c r="RJ21" s="1"/>
  <c r="RQ21" s="1"/>
  <c r="RX21" s="1"/>
  <c r="SE21" s="1"/>
  <c r="SL21" s="1"/>
  <c r="SS21" s="1"/>
  <c r="SZ21" s="1"/>
  <c r="TG21" s="1"/>
  <c r="TN21" s="1"/>
  <c r="TU21" s="1"/>
  <c r="UB21" s="1"/>
  <c r="UI21" s="1"/>
  <c r="UP21" s="1"/>
  <c r="LE10"/>
  <c r="LL10" s="1"/>
  <c r="LS10" s="1"/>
  <c r="LZ10" s="1"/>
  <c r="MG10" s="1"/>
  <c r="MN10" s="1"/>
  <c r="MU10" s="1"/>
  <c r="NB10" s="1"/>
  <c r="NI10" s="1"/>
  <c r="NP10" s="1"/>
  <c r="NW10" s="1"/>
  <c r="OD10" s="1"/>
  <c r="OK10" s="1"/>
  <c r="OR10" s="1"/>
  <c r="OY10" s="1"/>
  <c r="PF10" s="1"/>
  <c r="PM10" s="1"/>
  <c r="PT10" s="1"/>
  <c r="QA10" s="1"/>
  <c r="QH10" s="1"/>
  <c r="QO10" s="1"/>
  <c r="QV10" s="1"/>
  <c r="RC10" s="1"/>
  <c r="RJ10" s="1"/>
  <c r="RQ10" s="1"/>
  <c r="RX10" s="1"/>
  <c r="SE10" s="1"/>
  <c r="SL10" s="1"/>
  <c r="SS10" s="1"/>
  <c r="SZ10" s="1"/>
  <c r="TG10" s="1"/>
  <c r="TN10" s="1"/>
  <c r="TU10" s="1"/>
  <c r="UB10" s="1"/>
  <c r="UI10" s="1"/>
  <c r="UP10" s="1"/>
  <c r="KX9"/>
  <c r="LE9" s="1"/>
  <c r="LL9" s="1"/>
  <c r="LS9" s="1"/>
  <c r="LZ9" s="1"/>
  <c r="MG9" s="1"/>
  <c r="MN9" s="1"/>
  <c r="MU9" s="1"/>
  <c r="NB9" s="1"/>
  <c r="NI9" s="1"/>
  <c r="NP9" s="1"/>
  <c r="NW9" s="1"/>
  <c r="OD9" s="1"/>
  <c r="OK9" s="1"/>
  <c r="OR9" s="1"/>
  <c r="OY9" s="1"/>
  <c r="PF9" s="1"/>
  <c r="PM9" s="1"/>
  <c r="PT9" s="1"/>
  <c r="QA9" s="1"/>
  <c r="QH9" s="1"/>
  <c r="QO9" s="1"/>
  <c r="QV9" s="1"/>
  <c r="RC9" s="1"/>
  <c r="RJ9" s="1"/>
  <c r="RQ9" s="1"/>
  <c r="RX9" s="1"/>
  <c r="SE9" s="1"/>
  <c r="SL9" s="1"/>
  <c r="SS9" s="1"/>
  <c r="SZ9" s="1"/>
  <c r="TG9" s="1"/>
  <c r="TN9" s="1"/>
  <c r="TU9" s="1"/>
  <c r="UB9" s="1"/>
  <c r="UI9" s="1"/>
  <c r="UP9" s="1"/>
  <c r="KW15"/>
  <c r="LD15" s="1"/>
  <c r="LK15" s="1"/>
  <c r="LR15" s="1"/>
  <c r="LY15" s="1"/>
  <c r="MF15" s="1"/>
  <c r="MM15" s="1"/>
  <c r="MT15" s="1"/>
  <c r="NA15" s="1"/>
  <c r="NH15" s="1"/>
  <c r="NO15" s="1"/>
  <c r="NV15" s="1"/>
  <c r="OC15" s="1"/>
  <c r="OJ15" s="1"/>
  <c r="OQ15" s="1"/>
  <c r="OX15" s="1"/>
  <c r="PE15" s="1"/>
  <c r="PL15" s="1"/>
  <c r="PS15" s="1"/>
  <c r="PZ15" s="1"/>
  <c r="QG15" s="1"/>
  <c r="QN15" s="1"/>
  <c r="QU15" s="1"/>
  <c r="RB15" s="1"/>
  <c r="RI15" s="1"/>
  <c r="RP15" s="1"/>
  <c r="RW15" s="1"/>
  <c r="SD15" s="1"/>
  <c r="SK15" s="1"/>
  <c r="SR15" s="1"/>
  <c r="SY15" s="1"/>
  <c r="TF15" s="1"/>
  <c r="TM15" s="1"/>
  <c r="TT15" s="1"/>
  <c r="UA15" s="1"/>
  <c r="UH15" s="1"/>
  <c r="UO15" s="1"/>
  <c r="KW17"/>
  <c r="LD17" s="1"/>
  <c r="LK17" s="1"/>
  <c r="LR17" s="1"/>
  <c r="LY17" s="1"/>
  <c r="MF17" s="1"/>
  <c r="MM17" s="1"/>
  <c r="MT17" s="1"/>
  <c r="NA17" s="1"/>
  <c r="NH17" s="1"/>
  <c r="NO17" s="1"/>
  <c r="NV17" s="1"/>
  <c r="OC17" s="1"/>
  <c r="OJ17" s="1"/>
  <c r="OQ17" s="1"/>
  <c r="OX17" s="1"/>
  <c r="PE17" s="1"/>
  <c r="PL17" s="1"/>
  <c r="PS17" s="1"/>
  <c r="PZ17" s="1"/>
  <c r="QG17" s="1"/>
  <c r="QN17" s="1"/>
  <c r="QU17" s="1"/>
  <c r="RB17" s="1"/>
  <c r="RI17" s="1"/>
  <c r="RP17" s="1"/>
  <c r="RW17" s="1"/>
  <c r="SD17" s="1"/>
  <c r="SK17" s="1"/>
  <c r="SR17" s="1"/>
  <c r="SY17" s="1"/>
  <c r="TF17" s="1"/>
  <c r="TM17" s="1"/>
  <c r="TT17" s="1"/>
  <c r="UA17" s="1"/>
  <c r="UH17" s="1"/>
  <c r="UO17" s="1"/>
  <c r="KW8"/>
  <c r="LD8" s="1"/>
  <c r="LK8" s="1"/>
  <c r="LR8" s="1"/>
  <c r="LY8" s="1"/>
  <c r="MF8" s="1"/>
  <c r="MM8" s="1"/>
  <c r="MT8" s="1"/>
  <c r="NA8" s="1"/>
  <c r="NH8" s="1"/>
  <c r="NO8" s="1"/>
  <c r="NV8" s="1"/>
  <c r="OC8" s="1"/>
  <c r="OJ8" s="1"/>
  <c r="OQ8" s="1"/>
  <c r="OX8" s="1"/>
  <c r="PE8" s="1"/>
  <c r="PL8" s="1"/>
  <c r="PS8" s="1"/>
  <c r="PZ8" s="1"/>
  <c r="QG8" s="1"/>
  <c r="QN8" s="1"/>
  <c r="QU8" s="1"/>
  <c r="RB8" s="1"/>
  <c r="RI8" s="1"/>
  <c r="RP8" s="1"/>
  <c r="RW8" s="1"/>
  <c r="SD8" s="1"/>
  <c r="SK8" s="1"/>
  <c r="SR8" s="1"/>
  <c r="SY8" s="1"/>
  <c r="TF8" s="1"/>
  <c r="TM8" s="1"/>
  <c r="TT8" s="1"/>
  <c r="UA8" s="1"/>
  <c r="UH8" s="1"/>
  <c r="UO8" s="1"/>
  <c r="KQ7"/>
  <c r="KX7" s="1"/>
  <c r="LE7" s="1"/>
  <c r="LL7" s="1"/>
  <c r="LS7" s="1"/>
  <c r="LZ7" s="1"/>
  <c r="MG7" s="1"/>
  <c r="MN7" s="1"/>
  <c r="MU7" s="1"/>
  <c r="NB7" s="1"/>
  <c r="NI7" s="1"/>
  <c r="NP7" s="1"/>
  <c r="NW7" s="1"/>
  <c r="OD7" s="1"/>
  <c r="OK7" s="1"/>
  <c r="OR7" s="1"/>
  <c r="OY7" s="1"/>
  <c r="PF7" s="1"/>
  <c r="PM7" s="1"/>
  <c r="PT7" s="1"/>
  <c r="QA7" s="1"/>
  <c r="QH7" s="1"/>
  <c r="QO7" s="1"/>
  <c r="QV7" s="1"/>
  <c r="RC7" s="1"/>
  <c r="RJ7" s="1"/>
  <c r="RQ7" s="1"/>
  <c r="RX7" s="1"/>
  <c r="SE7" s="1"/>
  <c r="SL7" s="1"/>
  <c r="SS7" s="1"/>
  <c r="SZ7" s="1"/>
  <c r="TG7" s="1"/>
  <c r="TN7" s="1"/>
  <c r="TU7" s="1"/>
  <c r="UB7" s="1"/>
  <c r="UI7" s="1"/>
  <c r="UP7" s="1"/>
  <c r="KW7"/>
  <c r="LD7" s="1"/>
  <c r="LK7" s="1"/>
  <c r="LR7" s="1"/>
  <c r="LY7" s="1"/>
  <c r="MF7" s="1"/>
  <c r="MM7" s="1"/>
  <c r="MT7" s="1"/>
  <c r="NA7" s="1"/>
  <c r="NH7" s="1"/>
  <c r="NO7" s="1"/>
  <c r="NV7" s="1"/>
  <c r="OC7" s="1"/>
  <c r="OJ7" s="1"/>
  <c r="OQ7" s="1"/>
  <c r="OX7" s="1"/>
  <c r="PE7" s="1"/>
  <c r="PL7" s="1"/>
  <c r="PS7" s="1"/>
  <c r="PZ7" s="1"/>
  <c r="QG7" s="1"/>
  <c r="QN7" s="1"/>
  <c r="QU7" s="1"/>
  <c r="RB7" s="1"/>
  <c r="RI7" s="1"/>
  <c r="RP7" s="1"/>
  <c r="RW7" s="1"/>
  <c r="SD7" s="1"/>
  <c r="SK7" s="1"/>
  <c r="SR7" s="1"/>
  <c r="SY7" s="1"/>
  <c r="TF7" s="1"/>
  <c r="TM7" s="1"/>
  <c r="TT7" s="1"/>
  <c r="UA7" s="1"/>
  <c r="UH7" s="1"/>
  <c r="UO7" s="1"/>
  <c r="KO18"/>
  <c r="KR18" s="1"/>
  <c r="KO6"/>
  <c r="KO8"/>
  <c r="KO13"/>
  <c r="KR13" s="1"/>
  <c r="KO11"/>
  <c r="KO22"/>
  <c r="KO5"/>
  <c r="KR5" s="1"/>
  <c r="KO17"/>
  <c r="KV17" s="1"/>
  <c r="LC17" s="1"/>
  <c r="KV18"/>
  <c r="LC18" s="1"/>
  <c r="LJ18" s="1"/>
  <c r="KO14"/>
  <c r="KR14" s="1"/>
  <c r="KO12"/>
  <c r="KO7"/>
  <c r="KO19"/>
  <c r="KR19" s="1"/>
  <c r="KO23"/>
  <c r="KR23" s="1"/>
  <c r="KO4"/>
  <c r="KR4" s="1"/>
  <c r="KV10"/>
  <c r="KO20"/>
  <c r="KO16"/>
  <c r="KR12" l="1"/>
  <c r="KR10"/>
  <c r="KV14"/>
  <c r="KY14" s="1"/>
  <c r="KV19"/>
  <c r="LC19" s="1"/>
  <c r="LF19" s="1"/>
  <c r="KR16"/>
  <c r="KR22"/>
  <c r="KR6"/>
  <c r="KY10"/>
  <c r="KR11"/>
  <c r="KR8"/>
  <c r="KV22"/>
  <c r="LC22" s="1"/>
  <c r="LJ22" s="1"/>
  <c r="LQ22" s="1"/>
  <c r="LX22" s="1"/>
  <c r="KV4"/>
  <c r="KY4" s="1"/>
  <c r="KV13"/>
  <c r="LC13" s="1"/>
  <c r="LJ13" s="1"/>
  <c r="LM13" s="1"/>
  <c r="KR20"/>
  <c r="KV12"/>
  <c r="KY12" s="1"/>
  <c r="KR7"/>
  <c r="KY18"/>
  <c r="KV6"/>
  <c r="LC6" s="1"/>
  <c r="LJ6" s="1"/>
  <c r="LQ6" s="1"/>
  <c r="LF17"/>
  <c r="LJ17"/>
  <c r="LT9"/>
  <c r="LX9"/>
  <c r="KV16"/>
  <c r="KV20"/>
  <c r="LF18"/>
  <c r="KV11"/>
  <c r="LF9"/>
  <c r="KV8"/>
  <c r="KV7"/>
  <c r="LC10"/>
  <c r="KV15"/>
  <c r="KY9"/>
  <c r="KR17"/>
  <c r="KU17" s="1"/>
  <c r="KR9"/>
  <c r="KU9" s="1"/>
  <c r="KR21"/>
  <c r="LF21"/>
  <c r="LM18"/>
  <c r="LQ18"/>
  <c r="KY17"/>
  <c r="LM9"/>
  <c r="LJ21"/>
  <c r="KY21"/>
  <c r="KY13"/>
  <c r="KV23"/>
  <c r="KV5"/>
  <c r="KU14" l="1"/>
  <c r="KU7"/>
  <c r="KU8"/>
  <c r="KU10"/>
  <c r="KU18"/>
  <c r="KU19"/>
  <c r="KU15"/>
  <c r="KU11"/>
  <c r="KU6"/>
  <c r="KU16"/>
  <c r="KU12"/>
  <c r="KU5"/>
  <c r="KU4"/>
  <c r="KU13"/>
  <c r="LC14"/>
  <c r="LJ14" s="1"/>
  <c r="KY22"/>
  <c r="LC12"/>
  <c r="LF12" s="1"/>
  <c r="LJ19"/>
  <c r="LC4"/>
  <c r="LF4" s="1"/>
  <c r="LT22"/>
  <c r="KY19"/>
  <c r="LB19" s="1"/>
  <c r="LF13"/>
  <c r="LF22"/>
  <c r="LM22"/>
  <c r="KY6"/>
  <c r="LB6" s="1"/>
  <c r="UW11"/>
  <c r="WN11" s="1"/>
  <c r="LM6"/>
  <c r="LF6"/>
  <c r="LQ13"/>
  <c r="LT13" s="1"/>
  <c r="KU21"/>
  <c r="UW21" s="1"/>
  <c r="UW16"/>
  <c r="KY5"/>
  <c r="LC5"/>
  <c r="LM21"/>
  <c r="LQ21"/>
  <c r="LT18"/>
  <c r="LX18"/>
  <c r="LM19"/>
  <c r="LQ19"/>
  <c r="KY15"/>
  <c r="LC15"/>
  <c r="LF10"/>
  <c r="LJ10"/>
  <c r="KY8"/>
  <c r="LC8"/>
  <c r="KY11"/>
  <c r="LC11"/>
  <c r="KY16"/>
  <c r="LC16"/>
  <c r="UW18"/>
  <c r="UW13"/>
  <c r="UW17"/>
  <c r="UW12"/>
  <c r="YG10" s="1"/>
  <c r="UW15"/>
  <c r="UW8"/>
  <c r="WN8" s="1"/>
  <c r="UW5"/>
  <c r="WN5" s="1"/>
  <c r="UW14"/>
  <c r="YG11" s="1"/>
  <c r="KU20"/>
  <c r="UW20" s="1"/>
  <c r="UW9"/>
  <c r="WN9" s="1"/>
  <c r="UW6"/>
  <c r="WN6" s="1"/>
  <c r="KU22"/>
  <c r="UW22" s="1"/>
  <c r="UW19"/>
  <c r="KU23"/>
  <c r="UW23" s="1"/>
  <c r="KU33"/>
  <c r="UW33" s="1"/>
  <c r="KU29"/>
  <c r="UW29" s="1"/>
  <c r="UW4"/>
  <c r="WN4" s="1"/>
  <c r="KU30"/>
  <c r="UW30" s="1"/>
  <c r="KU24"/>
  <c r="UW24" s="1"/>
  <c r="KU26"/>
  <c r="UW26" s="1"/>
  <c r="KY23"/>
  <c r="LC23"/>
  <c r="KY7"/>
  <c r="LC7"/>
  <c r="KY20"/>
  <c r="LC20"/>
  <c r="MA9"/>
  <c r="ME9"/>
  <c r="LM17"/>
  <c r="LQ17"/>
  <c r="LT6"/>
  <c r="LX6"/>
  <c r="MA22"/>
  <c r="ME22"/>
  <c r="UW7"/>
  <c r="WN7" s="1"/>
  <c r="UW10"/>
  <c r="WN10" s="1"/>
  <c r="YG5" s="1"/>
  <c r="KU25"/>
  <c r="UW25" s="1"/>
  <c r="KU31"/>
  <c r="UW31" s="1"/>
  <c r="KU28"/>
  <c r="UW28" s="1"/>
  <c r="KU32"/>
  <c r="UW32" s="1"/>
  <c r="KU27"/>
  <c r="UW27" s="1"/>
  <c r="LB20" l="1"/>
  <c r="LB7"/>
  <c r="LB23"/>
  <c r="LB16"/>
  <c r="LB11"/>
  <c r="LB8"/>
  <c r="LB15"/>
  <c r="LB5"/>
  <c r="LB22"/>
  <c r="LB14"/>
  <c r="LB18"/>
  <c r="LB17"/>
  <c r="LB9"/>
  <c r="LB27"/>
  <c r="LB33"/>
  <c r="LB29"/>
  <c r="LB32"/>
  <c r="LB26"/>
  <c r="LB4"/>
  <c r="LB12"/>
  <c r="LB13"/>
  <c r="LB10"/>
  <c r="LB21"/>
  <c r="LB31"/>
  <c r="LB30"/>
  <c r="LB24"/>
  <c r="LB25"/>
  <c r="LB28"/>
  <c r="YG6"/>
  <c r="LF14"/>
  <c r="LJ12"/>
  <c r="LM12" s="1"/>
  <c r="YG8"/>
  <c r="YG4"/>
  <c r="YG7"/>
  <c r="LJ4"/>
  <c r="LM4" s="1"/>
  <c r="UX13"/>
  <c r="WO13" s="1"/>
  <c r="UX9"/>
  <c r="WO9" s="1"/>
  <c r="UX22"/>
  <c r="WO22" s="1"/>
  <c r="UX21"/>
  <c r="WO21" s="1"/>
  <c r="UX20"/>
  <c r="WO20" s="1"/>
  <c r="LX13"/>
  <c r="MA13" s="1"/>
  <c r="LT17"/>
  <c r="LX17"/>
  <c r="MH9"/>
  <c r="ML9"/>
  <c r="LF23"/>
  <c r="LJ23"/>
  <c r="LF11"/>
  <c r="LJ11"/>
  <c r="LF8"/>
  <c r="LJ8"/>
  <c r="LT21"/>
  <c r="LX21"/>
  <c r="UX5"/>
  <c r="WO5" s="1"/>
  <c r="UX12"/>
  <c r="UX19"/>
  <c r="WO19" s="1"/>
  <c r="UX10"/>
  <c r="WO10" s="1"/>
  <c r="UX14"/>
  <c r="UX33"/>
  <c r="WO33" s="1"/>
  <c r="UX25"/>
  <c r="WO25" s="1"/>
  <c r="UX32"/>
  <c r="WO32" s="1"/>
  <c r="UX29"/>
  <c r="WO29" s="1"/>
  <c r="UX28"/>
  <c r="WO28" s="1"/>
  <c r="UX4"/>
  <c r="WO4" s="1"/>
  <c r="UX18"/>
  <c r="WO18" s="1"/>
  <c r="UX26"/>
  <c r="WO26" s="1"/>
  <c r="UX27"/>
  <c r="WO27" s="1"/>
  <c r="UX31"/>
  <c r="WO31" s="1"/>
  <c r="UX24"/>
  <c r="WO24" s="1"/>
  <c r="UX30"/>
  <c r="WO30" s="1"/>
  <c r="UX7"/>
  <c r="WO7" s="1"/>
  <c r="UX23"/>
  <c r="WO23" s="1"/>
  <c r="UX6"/>
  <c r="WO6" s="1"/>
  <c r="UX17"/>
  <c r="WO17" s="1"/>
  <c r="UX16"/>
  <c r="WO16" s="1"/>
  <c r="UX11"/>
  <c r="WO11" s="1"/>
  <c r="UX8"/>
  <c r="WO8" s="1"/>
  <c r="UX15"/>
  <c r="WO15" s="1"/>
  <c r="MH22"/>
  <c r="ML22"/>
  <c r="MA6"/>
  <c r="ME6"/>
  <c r="LF20"/>
  <c r="LJ20"/>
  <c r="LF7"/>
  <c r="LJ7"/>
  <c r="LF16"/>
  <c r="LJ16"/>
  <c r="LM10"/>
  <c r="LQ10"/>
  <c r="LF15"/>
  <c r="LI15" s="1"/>
  <c r="LJ15"/>
  <c r="LM14"/>
  <c r="LQ14"/>
  <c r="LT19"/>
  <c r="LX19"/>
  <c r="MA18"/>
  <c r="ME18"/>
  <c r="LF5"/>
  <c r="LI5" s="1"/>
  <c r="LJ5"/>
  <c r="YH10" l="1"/>
  <c r="WO12"/>
  <c r="YH11"/>
  <c r="WO14"/>
  <c r="LI19"/>
  <c r="LI16"/>
  <c r="LI7"/>
  <c r="LI20"/>
  <c r="LI18"/>
  <c r="LI9"/>
  <c r="LI22"/>
  <c r="LI28"/>
  <c r="LI33"/>
  <c r="UY33" s="1"/>
  <c r="WP33" s="1"/>
  <c r="LI24"/>
  <c r="LI29"/>
  <c r="LI26"/>
  <c r="YH8"/>
  <c r="LI8"/>
  <c r="LI11"/>
  <c r="LI23"/>
  <c r="LI14"/>
  <c r="LI21"/>
  <c r="LI17"/>
  <c r="LI12"/>
  <c r="LI13"/>
  <c r="LI6"/>
  <c r="LI10"/>
  <c r="UY10" s="1"/>
  <c r="WP10" s="1"/>
  <c r="LI25"/>
  <c r="LI30"/>
  <c r="LI31"/>
  <c r="LI32"/>
  <c r="LI27"/>
  <c r="LI4"/>
  <c r="LQ12"/>
  <c r="LX12" s="1"/>
  <c r="YH4"/>
  <c r="YH6"/>
  <c r="YH5"/>
  <c r="YH7"/>
  <c r="LQ4"/>
  <c r="LT4" s="1"/>
  <c r="UY26"/>
  <c r="WP26" s="1"/>
  <c r="ME13"/>
  <c r="MH13" s="1"/>
  <c r="MA19"/>
  <c r="ME19"/>
  <c r="LT10"/>
  <c r="LX10"/>
  <c r="LM16"/>
  <c r="LQ16"/>
  <c r="LM7"/>
  <c r="LQ7"/>
  <c r="LM20"/>
  <c r="LQ20"/>
  <c r="MH6"/>
  <c r="ML6"/>
  <c r="MO22"/>
  <c r="MS22"/>
  <c r="UY12"/>
  <c r="UY14"/>
  <c r="UY27"/>
  <c r="WP27" s="1"/>
  <c r="UY31"/>
  <c r="WP31" s="1"/>
  <c r="UY25"/>
  <c r="WP25" s="1"/>
  <c r="UY28"/>
  <c r="WP28" s="1"/>
  <c r="UY8"/>
  <c r="WP8" s="1"/>
  <c r="UY11"/>
  <c r="WP11" s="1"/>
  <c r="UY23"/>
  <c r="WP23" s="1"/>
  <c r="LM5"/>
  <c r="LQ5"/>
  <c r="MH18"/>
  <c r="ML18"/>
  <c r="LT14"/>
  <c r="LX14"/>
  <c r="LM15"/>
  <c r="LP15" s="1"/>
  <c r="LQ15"/>
  <c r="UY5"/>
  <c r="WP5" s="1"/>
  <c r="UY9"/>
  <c r="WP9" s="1"/>
  <c r="UY22"/>
  <c r="WP22" s="1"/>
  <c r="UY19"/>
  <c r="WP19" s="1"/>
  <c r="UY13"/>
  <c r="WP13" s="1"/>
  <c r="UY21"/>
  <c r="WP21" s="1"/>
  <c r="UY6"/>
  <c r="WP6" s="1"/>
  <c r="UY18"/>
  <c r="WP18" s="1"/>
  <c r="UY17"/>
  <c r="WP17" s="1"/>
  <c r="MA21"/>
  <c r="ME21"/>
  <c r="LX4"/>
  <c r="LM8"/>
  <c r="LQ8"/>
  <c r="LM11"/>
  <c r="LP11" s="1"/>
  <c r="LQ11"/>
  <c r="LM23"/>
  <c r="LP23" s="1"/>
  <c r="LQ23"/>
  <c r="MO9"/>
  <c r="MS9"/>
  <c r="MA17"/>
  <c r="ME17"/>
  <c r="UY15"/>
  <c r="WP15" s="1"/>
  <c r="UY16"/>
  <c r="WP16" s="1"/>
  <c r="UY7"/>
  <c r="WP7" s="1"/>
  <c r="UY20"/>
  <c r="WP20" s="1"/>
  <c r="UY29"/>
  <c r="WP29" s="1"/>
  <c r="UY30"/>
  <c r="WP30" s="1"/>
  <c r="UY4"/>
  <c r="WP4" s="1"/>
  <c r="YI8" s="1"/>
  <c r="UY24"/>
  <c r="WP24" s="1"/>
  <c r="UY32"/>
  <c r="WP32" s="1"/>
  <c r="YI11" l="1"/>
  <c r="WP14"/>
  <c r="YI10"/>
  <c r="WP12"/>
  <c r="LP4"/>
  <c r="LP20"/>
  <c r="LP7"/>
  <c r="LP16"/>
  <c r="LP17"/>
  <c r="LP19"/>
  <c r="LP10"/>
  <c r="LP13"/>
  <c r="UZ13" s="1"/>
  <c r="WQ13" s="1"/>
  <c r="LP12"/>
  <c r="LP29"/>
  <c r="LP31"/>
  <c r="LP28"/>
  <c r="UZ28" s="1"/>
  <c r="WQ28" s="1"/>
  <c r="LP30"/>
  <c r="LP24"/>
  <c r="LP8"/>
  <c r="LP5"/>
  <c r="UZ5" s="1"/>
  <c r="WQ5" s="1"/>
  <c r="LP6"/>
  <c r="LP21"/>
  <c r="LP22"/>
  <c r="LP14"/>
  <c r="LP18"/>
  <c r="LP9"/>
  <c r="UZ9" s="1"/>
  <c r="WQ9" s="1"/>
  <c r="LP26"/>
  <c r="LP25"/>
  <c r="LP27"/>
  <c r="LP33"/>
  <c r="LP32"/>
  <c r="LT12"/>
  <c r="YI6"/>
  <c r="YI4"/>
  <c r="YI7"/>
  <c r="YI5"/>
  <c r="ML13"/>
  <c r="MS13" s="1"/>
  <c r="UZ14"/>
  <c r="UZ10"/>
  <c r="WQ10" s="1"/>
  <c r="UZ23"/>
  <c r="WQ23" s="1"/>
  <c r="MV9"/>
  <c r="MZ9"/>
  <c r="LT23"/>
  <c r="LX23"/>
  <c r="LT11"/>
  <c r="LX11"/>
  <c r="LT8"/>
  <c r="LX8"/>
  <c r="MA4"/>
  <c r="ME4"/>
  <c r="MA12"/>
  <c r="ME12"/>
  <c r="MH21"/>
  <c r="ML21"/>
  <c r="UZ19"/>
  <c r="WQ19" s="1"/>
  <c r="UZ17"/>
  <c r="WQ17" s="1"/>
  <c r="UZ21"/>
  <c r="WQ21" s="1"/>
  <c r="UZ15"/>
  <c r="WQ15" s="1"/>
  <c r="UZ6"/>
  <c r="WQ6" s="1"/>
  <c r="UZ33"/>
  <c r="WQ33" s="1"/>
  <c r="UZ32"/>
  <c r="WQ32" s="1"/>
  <c r="UZ24"/>
  <c r="WQ24" s="1"/>
  <c r="UZ25"/>
  <c r="WQ25" s="1"/>
  <c r="UZ27"/>
  <c r="WQ27" s="1"/>
  <c r="UZ20"/>
  <c r="UZ7"/>
  <c r="WQ7" s="1"/>
  <c r="UZ16"/>
  <c r="WQ16" s="1"/>
  <c r="MH17"/>
  <c r="ML17"/>
  <c r="LT15"/>
  <c r="LX15"/>
  <c r="MA14"/>
  <c r="ME14"/>
  <c r="MO18"/>
  <c r="MS18"/>
  <c r="LT5"/>
  <c r="LX5"/>
  <c r="MV22"/>
  <c r="MZ22"/>
  <c r="MO6"/>
  <c r="MS6"/>
  <c r="LT20"/>
  <c r="LX20"/>
  <c r="LT7"/>
  <c r="LW7" s="1"/>
  <c r="LX7"/>
  <c r="LT16"/>
  <c r="LX16"/>
  <c r="MA10"/>
  <c r="ME10"/>
  <c r="MH19"/>
  <c r="ML19"/>
  <c r="UZ11"/>
  <c r="WQ11" s="1"/>
  <c r="UZ8"/>
  <c r="WQ8" s="1"/>
  <c r="UZ12"/>
  <c r="UZ18"/>
  <c r="WQ18" s="1"/>
  <c r="UZ22"/>
  <c r="WQ22" s="1"/>
  <c r="UZ31"/>
  <c r="WQ31" s="1"/>
  <c r="UZ29"/>
  <c r="WQ29" s="1"/>
  <c r="UZ4"/>
  <c r="WQ4" s="1"/>
  <c r="UZ26"/>
  <c r="WQ26" s="1"/>
  <c r="UZ30"/>
  <c r="WQ30" s="1"/>
  <c r="YJ7" l="1"/>
  <c r="WQ20"/>
  <c r="YJ10"/>
  <c r="WQ12"/>
  <c r="YJ11"/>
  <c r="WQ14"/>
  <c r="LW16"/>
  <c r="LW20"/>
  <c r="LW5"/>
  <c r="LW15"/>
  <c r="LW8"/>
  <c r="LW11"/>
  <c r="LW23"/>
  <c r="LW6"/>
  <c r="LW33"/>
  <c r="VA33" s="1"/>
  <c r="WR33" s="1"/>
  <c r="LW32"/>
  <c r="LW25"/>
  <c r="LW26"/>
  <c r="LW28"/>
  <c r="LW4"/>
  <c r="LW10"/>
  <c r="LW12"/>
  <c r="VA12" s="1"/>
  <c r="LW13"/>
  <c r="LW18"/>
  <c r="VA18" s="1"/>
  <c r="WR18" s="1"/>
  <c r="LW19"/>
  <c r="LW17"/>
  <c r="VA17" s="1"/>
  <c r="WR17" s="1"/>
  <c r="LW21"/>
  <c r="LW14"/>
  <c r="VA14" s="1"/>
  <c r="LW22"/>
  <c r="LW9"/>
  <c r="VA9" s="1"/>
  <c r="WR9" s="1"/>
  <c r="LW24"/>
  <c r="LW29"/>
  <c r="LW31"/>
  <c r="LW27"/>
  <c r="LW30"/>
  <c r="YJ6"/>
  <c r="VA16"/>
  <c r="WR16" s="1"/>
  <c r="YJ4"/>
  <c r="YJ8"/>
  <c r="YJ5"/>
  <c r="MO13"/>
  <c r="VA4"/>
  <c r="WR4" s="1"/>
  <c r="VA21"/>
  <c r="WR21" s="1"/>
  <c r="VA6"/>
  <c r="WR6" s="1"/>
  <c r="VA30"/>
  <c r="WR30" s="1"/>
  <c r="VA32"/>
  <c r="WR32" s="1"/>
  <c r="VA24"/>
  <c r="WR24" s="1"/>
  <c r="MH10"/>
  <c r="ML10"/>
  <c r="MA16"/>
  <c r="ME16"/>
  <c r="MA7"/>
  <c r="ME7"/>
  <c r="MV6"/>
  <c r="MZ6"/>
  <c r="NC22"/>
  <c r="NG22"/>
  <c r="MA5"/>
  <c r="ME5"/>
  <c r="MV18"/>
  <c r="MZ18"/>
  <c r="MH14"/>
  <c r="ML14"/>
  <c r="MO17"/>
  <c r="MS17"/>
  <c r="MH12"/>
  <c r="ML12"/>
  <c r="MA8"/>
  <c r="ME8"/>
  <c r="NC9"/>
  <c r="NG9"/>
  <c r="MV13"/>
  <c r="MZ13"/>
  <c r="MO19"/>
  <c r="MS19"/>
  <c r="MA20"/>
  <c r="ME20"/>
  <c r="MA15"/>
  <c r="MD15" s="1"/>
  <c r="ME15"/>
  <c r="MO21"/>
  <c r="MS21"/>
  <c r="MH4"/>
  <c r="ML4"/>
  <c r="MA11"/>
  <c r="MD11" s="1"/>
  <c r="ME11"/>
  <c r="MA23"/>
  <c r="ME23"/>
  <c r="VA5"/>
  <c r="WR5" s="1"/>
  <c r="VA19"/>
  <c r="WR19" s="1"/>
  <c r="VA7"/>
  <c r="WR7" s="1"/>
  <c r="VA20"/>
  <c r="WR20" s="1"/>
  <c r="VA15"/>
  <c r="WR15" s="1"/>
  <c r="VA13"/>
  <c r="WR13" s="1"/>
  <c r="VA22"/>
  <c r="WR22" s="1"/>
  <c r="VA25"/>
  <c r="WR25" s="1"/>
  <c r="VA31"/>
  <c r="WR31" s="1"/>
  <c r="VA26"/>
  <c r="WR26" s="1"/>
  <c r="VA29"/>
  <c r="WR29" s="1"/>
  <c r="VA28"/>
  <c r="WR28" s="1"/>
  <c r="VA27"/>
  <c r="WR27" s="1"/>
  <c r="VA10"/>
  <c r="WR10" s="1"/>
  <c r="VA8"/>
  <c r="WR8" s="1"/>
  <c r="VA11"/>
  <c r="WR11" s="1"/>
  <c r="VA23"/>
  <c r="WR23" s="1"/>
  <c r="WR14" l="1"/>
  <c r="YK11" s="1"/>
  <c r="WR12"/>
  <c r="YK10" s="1"/>
  <c r="MD23"/>
  <c r="VB23" s="1"/>
  <c r="WS23" s="1"/>
  <c r="MD20"/>
  <c r="MD8"/>
  <c r="MD5"/>
  <c r="MD7"/>
  <c r="MD16"/>
  <c r="MD17"/>
  <c r="MD14"/>
  <c r="MD10"/>
  <c r="VB10" s="1"/>
  <c r="WS10" s="1"/>
  <c r="MD6"/>
  <c r="VB6" s="1"/>
  <c r="WS6" s="1"/>
  <c r="MD22"/>
  <c r="VB22" s="1"/>
  <c r="WS22" s="1"/>
  <c r="MD30"/>
  <c r="VB30" s="1"/>
  <c r="WS30" s="1"/>
  <c r="MD32"/>
  <c r="VB32" s="1"/>
  <c r="WS32" s="1"/>
  <c r="MD33"/>
  <c r="MD31"/>
  <c r="VB31" s="1"/>
  <c r="WS31" s="1"/>
  <c r="MD28"/>
  <c r="MD13"/>
  <c r="VB13" s="1"/>
  <c r="WS13" s="1"/>
  <c r="MD12"/>
  <c r="VB12" s="1"/>
  <c r="MD19"/>
  <c r="MD21"/>
  <c r="MD9"/>
  <c r="VB9" s="1"/>
  <c r="WS9" s="1"/>
  <c r="MD25"/>
  <c r="VB25" s="1"/>
  <c r="WS25" s="1"/>
  <c r="MD24"/>
  <c r="VB24" s="1"/>
  <c r="WS24" s="1"/>
  <c r="MD27"/>
  <c r="VB27" s="1"/>
  <c r="WS27" s="1"/>
  <c r="MD26"/>
  <c r="VB26" s="1"/>
  <c r="WS26" s="1"/>
  <c r="MD29"/>
  <c r="MD4"/>
  <c r="VB4" s="1"/>
  <c r="WS4" s="1"/>
  <c r="YL6" s="1"/>
  <c r="MD18"/>
  <c r="YK4"/>
  <c r="VB29"/>
  <c r="WS29" s="1"/>
  <c r="VB14"/>
  <c r="VB18"/>
  <c r="WS18" s="1"/>
  <c r="VB28"/>
  <c r="WS28" s="1"/>
  <c r="VB33"/>
  <c r="WS33" s="1"/>
  <c r="YK6"/>
  <c r="YK5"/>
  <c r="YK7"/>
  <c r="YK8"/>
  <c r="MH23"/>
  <c r="ML23"/>
  <c r="MV21"/>
  <c r="MZ21"/>
  <c r="MH15"/>
  <c r="ML15"/>
  <c r="MH20"/>
  <c r="ML20"/>
  <c r="MV19"/>
  <c r="MZ19"/>
  <c r="NJ9"/>
  <c r="NN9"/>
  <c r="MH8"/>
  <c r="ML8"/>
  <c r="MV17"/>
  <c r="MZ17"/>
  <c r="NC18"/>
  <c r="NG18"/>
  <c r="MH5"/>
  <c r="ML5"/>
  <c r="NC6"/>
  <c r="NG6"/>
  <c r="VB5"/>
  <c r="WS5" s="1"/>
  <c r="VB17"/>
  <c r="WS17" s="1"/>
  <c r="VB21"/>
  <c r="WS21" s="1"/>
  <c r="VB19"/>
  <c r="WS19" s="1"/>
  <c r="VB11"/>
  <c r="WS11" s="1"/>
  <c r="VB15"/>
  <c r="WS15" s="1"/>
  <c r="VB20"/>
  <c r="WS20" s="1"/>
  <c r="VB8"/>
  <c r="WS8" s="1"/>
  <c r="VB7"/>
  <c r="WS7" s="1"/>
  <c r="YL8" s="1"/>
  <c r="VB16"/>
  <c r="MH11"/>
  <c r="ML11"/>
  <c r="MO4"/>
  <c r="MS4"/>
  <c r="NC13"/>
  <c r="NG13"/>
  <c r="MO12"/>
  <c r="MS12"/>
  <c r="MO14"/>
  <c r="MS14"/>
  <c r="NJ22"/>
  <c r="NN22"/>
  <c r="MH7"/>
  <c r="MK7" s="1"/>
  <c r="ML7"/>
  <c r="MH16"/>
  <c r="ML16"/>
  <c r="MO10"/>
  <c r="MS10"/>
  <c r="YL4" l="1"/>
  <c r="WS16"/>
  <c r="WS12"/>
  <c r="YL10" s="1"/>
  <c r="WS14"/>
  <c r="YL11" s="1"/>
  <c r="MK4"/>
  <c r="MK12"/>
  <c r="MK21"/>
  <c r="MK14"/>
  <c r="MK13"/>
  <c r="MK9"/>
  <c r="MK31"/>
  <c r="MK27"/>
  <c r="MK29"/>
  <c r="MK32"/>
  <c r="MK26"/>
  <c r="MK16"/>
  <c r="VC16" s="1"/>
  <c r="WT16" s="1"/>
  <c r="MK11"/>
  <c r="MK5"/>
  <c r="MK8"/>
  <c r="MK20"/>
  <c r="MK15"/>
  <c r="MK23"/>
  <c r="MK19"/>
  <c r="MK17"/>
  <c r="MK10"/>
  <c r="MK18"/>
  <c r="MK6"/>
  <c r="MK22"/>
  <c r="MK28"/>
  <c r="MK30"/>
  <c r="MK24"/>
  <c r="MK33"/>
  <c r="MK25"/>
  <c r="YL5"/>
  <c r="YL7"/>
  <c r="NJ6"/>
  <c r="NN6"/>
  <c r="MO5"/>
  <c r="MS5"/>
  <c r="NJ18"/>
  <c r="NN18"/>
  <c r="MV10"/>
  <c r="MZ10"/>
  <c r="MO16"/>
  <c r="MS16"/>
  <c r="MO7"/>
  <c r="MS7"/>
  <c r="NQ22"/>
  <c r="NU22"/>
  <c r="MV14"/>
  <c r="MZ14"/>
  <c r="MV12"/>
  <c r="MZ12"/>
  <c r="NJ13"/>
  <c r="NN13"/>
  <c r="MV4"/>
  <c r="MZ4"/>
  <c r="MO11"/>
  <c r="MS11"/>
  <c r="VC5"/>
  <c r="WT5" s="1"/>
  <c r="VC19"/>
  <c r="WT19" s="1"/>
  <c r="VC17"/>
  <c r="WT17" s="1"/>
  <c r="VC21"/>
  <c r="WT21" s="1"/>
  <c r="VC7"/>
  <c r="WT7" s="1"/>
  <c r="VC11"/>
  <c r="WT11" s="1"/>
  <c r="VC13"/>
  <c r="WT13" s="1"/>
  <c r="VC18"/>
  <c r="WT18" s="1"/>
  <c r="VC9"/>
  <c r="WT9" s="1"/>
  <c r="VC30"/>
  <c r="WT30" s="1"/>
  <c r="VC25"/>
  <c r="WT25" s="1"/>
  <c r="VC32"/>
  <c r="WT32" s="1"/>
  <c r="VC27"/>
  <c r="WT27" s="1"/>
  <c r="VC28"/>
  <c r="WT28" s="1"/>
  <c r="VC10"/>
  <c r="WT10" s="1"/>
  <c r="VC14"/>
  <c r="VC12"/>
  <c r="VC6"/>
  <c r="WT6" s="1"/>
  <c r="VC22"/>
  <c r="WT22" s="1"/>
  <c r="VC26"/>
  <c r="WT26" s="1"/>
  <c r="VC31"/>
  <c r="WT31" s="1"/>
  <c r="VC4"/>
  <c r="WT4" s="1"/>
  <c r="VC29"/>
  <c r="WT29" s="1"/>
  <c r="VC33"/>
  <c r="WT33" s="1"/>
  <c r="VC24"/>
  <c r="WT24" s="1"/>
  <c r="VC8"/>
  <c r="WT8" s="1"/>
  <c r="VC20"/>
  <c r="WT20" s="1"/>
  <c r="VC15"/>
  <c r="WT15" s="1"/>
  <c r="VC23"/>
  <c r="WT23" s="1"/>
  <c r="NC17"/>
  <c r="NG17"/>
  <c r="MO8"/>
  <c r="MR8" s="1"/>
  <c r="MS8"/>
  <c r="NQ9"/>
  <c r="NU9"/>
  <c r="NC19"/>
  <c r="NG19"/>
  <c r="MO20"/>
  <c r="MS20"/>
  <c r="MO15"/>
  <c r="MR15" s="1"/>
  <c r="MS15"/>
  <c r="NC21"/>
  <c r="NG21"/>
  <c r="MO23"/>
  <c r="MR23" s="1"/>
  <c r="MS23"/>
  <c r="WT14" l="1"/>
  <c r="YM11" s="1"/>
  <c r="YM10"/>
  <c r="WT12"/>
  <c r="YM8"/>
  <c r="MR11"/>
  <c r="MR7"/>
  <c r="MR16"/>
  <c r="MR5"/>
  <c r="MR19"/>
  <c r="VD19" s="1"/>
  <c r="WU19" s="1"/>
  <c r="MR13"/>
  <c r="MR6"/>
  <c r="MR22"/>
  <c r="MR27"/>
  <c r="VD27" s="1"/>
  <c r="WU27" s="1"/>
  <c r="MR28"/>
  <c r="MR29"/>
  <c r="MR25"/>
  <c r="MR32"/>
  <c r="MR18"/>
  <c r="MR20"/>
  <c r="MR21"/>
  <c r="MR17"/>
  <c r="MR14"/>
  <c r="MR10"/>
  <c r="MR9"/>
  <c r="MR26"/>
  <c r="VD26" s="1"/>
  <c r="WU26" s="1"/>
  <c r="MR33"/>
  <c r="MR31"/>
  <c r="VD31" s="1"/>
  <c r="WU31" s="1"/>
  <c r="MR30"/>
  <c r="MR24"/>
  <c r="MR4"/>
  <c r="MR12"/>
  <c r="VD12" s="1"/>
  <c r="YM6"/>
  <c r="YM4"/>
  <c r="YM7"/>
  <c r="YM5"/>
  <c r="VD23"/>
  <c r="WU23" s="1"/>
  <c r="VD10"/>
  <c r="WU10" s="1"/>
  <c r="MV11"/>
  <c r="MZ11"/>
  <c r="NC4"/>
  <c r="NG4"/>
  <c r="NQ13"/>
  <c r="NU13"/>
  <c r="NC14"/>
  <c r="NG14"/>
  <c r="MV23"/>
  <c r="MZ23"/>
  <c r="NJ21"/>
  <c r="NN21"/>
  <c r="MV15"/>
  <c r="MZ15"/>
  <c r="MV20"/>
  <c r="MZ20"/>
  <c r="NJ19"/>
  <c r="NN19"/>
  <c r="NX9"/>
  <c r="OB9"/>
  <c r="MV8"/>
  <c r="MZ8"/>
  <c r="NJ17"/>
  <c r="NN17"/>
  <c r="VD21"/>
  <c r="WU21" s="1"/>
  <c r="VD11"/>
  <c r="WU11" s="1"/>
  <c r="VD7"/>
  <c r="WU7" s="1"/>
  <c r="VD16"/>
  <c r="WU16" s="1"/>
  <c r="VD5"/>
  <c r="WU5" s="1"/>
  <c r="VD18"/>
  <c r="WU18" s="1"/>
  <c r="VD22"/>
  <c r="WU22" s="1"/>
  <c r="VD29"/>
  <c r="WU29" s="1"/>
  <c r="VD24"/>
  <c r="WU24" s="1"/>
  <c r="VD25"/>
  <c r="WU25" s="1"/>
  <c r="NC12"/>
  <c r="NG12"/>
  <c r="NX22"/>
  <c r="OB22"/>
  <c r="MV7"/>
  <c r="MZ7"/>
  <c r="MV16"/>
  <c r="MY16" s="1"/>
  <c r="MZ16"/>
  <c r="NC10"/>
  <c r="NG10"/>
  <c r="NQ18"/>
  <c r="NU18"/>
  <c r="MV5"/>
  <c r="MY5" s="1"/>
  <c r="MZ5"/>
  <c r="NQ6"/>
  <c r="NU6"/>
  <c r="VD15"/>
  <c r="WU15" s="1"/>
  <c r="VD20"/>
  <c r="WU20" s="1"/>
  <c r="VD8"/>
  <c r="WU8" s="1"/>
  <c r="VD17"/>
  <c r="WU17" s="1"/>
  <c r="VD14"/>
  <c r="VD13"/>
  <c r="WU13" s="1"/>
  <c r="VD6"/>
  <c r="WU6" s="1"/>
  <c r="VD9"/>
  <c r="WU9" s="1"/>
  <c r="VD32"/>
  <c r="WU32" s="1"/>
  <c r="VD4"/>
  <c r="WU4" s="1"/>
  <c r="VD28"/>
  <c r="WU28" s="1"/>
  <c r="VD30"/>
  <c r="WU30" s="1"/>
  <c r="VD33"/>
  <c r="WU33" s="1"/>
  <c r="YN11" l="1"/>
  <c r="WU14"/>
  <c r="YN10"/>
  <c r="WU12"/>
  <c r="YN8"/>
  <c r="MY12"/>
  <c r="MY17"/>
  <c r="MY13"/>
  <c r="MY9"/>
  <c r="VE9" s="1"/>
  <c r="WV9" s="1"/>
  <c r="MY29"/>
  <c r="MY27"/>
  <c r="MY32"/>
  <c r="MY28"/>
  <c r="MY31"/>
  <c r="MY4"/>
  <c r="VE4" s="1"/>
  <c r="WV4" s="1"/>
  <c r="MY7"/>
  <c r="MY8"/>
  <c r="MY20"/>
  <c r="MY15"/>
  <c r="MY23"/>
  <c r="MY11"/>
  <c r="MY21"/>
  <c r="MY19"/>
  <c r="MY10"/>
  <c r="MY14"/>
  <c r="MY18"/>
  <c r="MY6"/>
  <c r="VE6" s="1"/>
  <c r="WV6" s="1"/>
  <c r="MY22"/>
  <c r="MY25"/>
  <c r="VE25" s="1"/>
  <c r="WV25" s="1"/>
  <c r="MY24"/>
  <c r="MY26"/>
  <c r="MY33"/>
  <c r="MY30"/>
  <c r="YN6"/>
  <c r="YN4"/>
  <c r="YN7"/>
  <c r="YN5"/>
  <c r="VE33"/>
  <c r="WV33" s="1"/>
  <c r="VE12"/>
  <c r="VE13"/>
  <c r="WV13" s="1"/>
  <c r="VE27"/>
  <c r="WV27" s="1"/>
  <c r="VE29"/>
  <c r="WV29" s="1"/>
  <c r="NC5"/>
  <c r="NG5"/>
  <c r="NX18"/>
  <c r="OB18"/>
  <c r="NC16"/>
  <c r="NG16"/>
  <c r="NQ17"/>
  <c r="NU17"/>
  <c r="NQ19"/>
  <c r="NU19"/>
  <c r="NC20"/>
  <c r="NG20"/>
  <c r="NC15"/>
  <c r="NF15" s="1"/>
  <c r="NG15"/>
  <c r="NQ21"/>
  <c r="NU21"/>
  <c r="NJ14"/>
  <c r="NN14"/>
  <c r="NX13"/>
  <c r="OB13"/>
  <c r="VE5"/>
  <c r="WV5" s="1"/>
  <c r="VE17"/>
  <c r="WV17" s="1"/>
  <c r="VE21"/>
  <c r="WV21" s="1"/>
  <c r="VE19"/>
  <c r="WV19" s="1"/>
  <c r="VE16"/>
  <c r="WV16" s="1"/>
  <c r="VE7"/>
  <c r="WV7" s="1"/>
  <c r="VE10"/>
  <c r="WV10" s="1"/>
  <c r="VE14"/>
  <c r="VE18"/>
  <c r="WV18" s="1"/>
  <c r="VE22"/>
  <c r="WV22" s="1"/>
  <c r="VE24"/>
  <c r="WV24" s="1"/>
  <c r="VE30"/>
  <c r="WV30" s="1"/>
  <c r="VE26"/>
  <c r="WV26" s="1"/>
  <c r="VE32"/>
  <c r="WV32" s="1"/>
  <c r="VE28"/>
  <c r="WV28" s="1"/>
  <c r="VE31"/>
  <c r="WV31" s="1"/>
  <c r="VE8"/>
  <c r="WV8" s="1"/>
  <c r="VE20"/>
  <c r="WV20" s="1"/>
  <c r="VE15"/>
  <c r="WV15" s="1"/>
  <c r="VE23"/>
  <c r="WV23" s="1"/>
  <c r="VE11"/>
  <c r="WV11" s="1"/>
  <c r="NX6"/>
  <c r="OB6"/>
  <c r="NJ10"/>
  <c r="NN10"/>
  <c r="NC7"/>
  <c r="NG7"/>
  <c r="OE22"/>
  <c r="OI22"/>
  <c r="NJ12"/>
  <c r="NN12"/>
  <c r="NC8"/>
  <c r="NG8"/>
  <c r="OE9"/>
  <c r="OI9"/>
  <c r="NC23"/>
  <c r="NG23"/>
  <c r="NJ4"/>
  <c r="NN4"/>
  <c r="NC11"/>
  <c r="NG11"/>
  <c r="YO10" l="1"/>
  <c r="WV12"/>
  <c r="YO11"/>
  <c r="WV14"/>
  <c r="YO7"/>
  <c r="NF11"/>
  <c r="VF11" s="1"/>
  <c r="WW11" s="1"/>
  <c r="NF23"/>
  <c r="NF8"/>
  <c r="NF7"/>
  <c r="NF20"/>
  <c r="NF16"/>
  <c r="NF5"/>
  <c r="NF14"/>
  <c r="NF6"/>
  <c r="NF9"/>
  <c r="NF30"/>
  <c r="NF24"/>
  <c r="NF31"/>
  <c r="NF26"/>
  <c r="NF28"/>
  <c r="NF18"/>
  <c r="NF12"/>
  <c r="NF19"/>
  <c r="NF10"/>
  <c r="NF22"/>
  <c r="NF33"/>
  <c r="NF29"/>
  <c r="NF32"/>
  <c r="NF25"/>
  <c r="NF27"/>
  <c r="NF4"/>
  <c r="NF13"/>
  <c r="NF17"/>
  <c r="NF21"/>
  <c r="YO6"/>
  <c r="YO4"/>
  <c r="YO8"/>
  <c r="YO5"/>
  <c r="VF25"/>
  <c r="WW25" s="1"/>
  <c r="VF9"/>
  <c r="WW9" s="1"/>
  <c r="VF4"/>
  <c r="WW4" s="1"/>
  <c r="VF18"/>
  <c r="WW18" s="1"/>
  <c r="VF28"/>
  <c r="WW28" s="1"/>
  <c r="VF14"/>
  <c r="VF13"/>
  <c r="WW13" s="1"/>
  <c r="VF30"/>
  <c r="WW30" s="1"/>
  <c r="VF27"/>
  <c r="WW27" s="1"/>
  <c r="NJ11"/>
  <c r="NN11"/>
  <c r="NJ23"/>
  <c r="NN23"/>
  <c r="NJ8"/>
  <c r="NN8"/>
  <c r="OE6"/>
  <c r="OI6"/>
  <c r="NX21"/>
  <c r="OB21"/>
  <c r="NJ15"/>
  <c r="NN15"/>
  <c r="NX17"/>
  <c r="OB17"/>
  <c r="NJ16"/>
  <c r="NM16" s="1"/>
  <c r="NN16"/>
  <c r="VF5"/>
  <c r="WW5" s="1"/>
  <c r="VF21"/>
  <c r="WW21" s="1"/>
  <c r="VF17"/>
  <c r="WW17" s="1"/>
  <c r="VF19"/>
  <c r="WW19" s="1"/>
  <c r="VF23"/>
  <c r="WW23" s="1"/>
  <c r="VF8"/>
  <c r="WW8" s="1"/>
  <c r="VF7"/>
  <c r="WW7" s="1"/>
  <c r="VF12"/>
  <c r="VF10"/>
  <c r="WW10" s="1"/>
  <c r="VF6"/>
  <c r="WW6" s="1"/>
  <c r="YP6" s="1"/>
  <c r="VF22"/>
  <c r="WW22" s="1"/>
  <c r="VF32"/>
  <c r="WW32" s="1"/>
  <c r="VF31"/>
  <c r="WW31" s="1"/>
  <c r="VF33"/>
  <c r="WW33" s="1"/>
  <c r="VF26"/>
  <c r="WW26" s="1"/>
  <c r="VF24"/>
  <c r="WW24" s="1"/>
  <c r="VF29"/>
  <c r="WW29" s="1"/>
  <c r="VF15"/>
  <c r="WW15" s="1"/>
  <c r="VF20"/>
  <c r="WW20" s="1"/>
  <c r="VF16"/>
  <c r="NQ4"/>
  <c r="NU4"/>
  <c r="OL9"/>
  <c r="OP9"/>
  <c r="NQ12"/>
  <c r="NU12"/>
  <c r="OL22"/>
  <c r="OP22"/>
  <c r="NJ7"/>
  <c r="NN7"/>
  <c r="NQ10"/>
  <c r="NU10"/>
  <c r="OE13"/>
  <c r="OI13"/>
  <c r="NQ14"/>
  <c r="NU14"/>
  <c r="NJ20"/>
  <c r="NN20"/>
  <c r="NX19"/>
  <c r="OB19"/>
  <c r="OE18"/>
  <c r="OI18"/>
  <c r="NJ5"/>
  <c r="NM4" s="1"/>
  <c r="NN5"/>
  <c r="YP4" l="1"/>
  <c r="WW16"/>
  <c r="YP10"/>
  <c r="WW12"/>
  <c r="YP11"/>
  <c r="WW14"/>
  <c r="NM12"/>
  <c r="NM19"/>
  <c r="NM21"/>
  <c r="NM10"/>
  <c r="NM18"/>
  <c r="NM22"/>
  <c r="NM28"/>
  <c r="NM29"/>
  <c r="NM31"/>
  <c r="VG31" s="1"/>
  <c r="WX31" s="1"/>
  <c r="NM32"/>
  <c r="NM27"/>
  <c r="NM5"/>
  <c r="NM20"/>
  <c r="NM7"/>
  <c r="NM15"/>
  <c r="NM8"/>
  <c r="NM23"/>
  <c r="NM11"/>
  <c r="NM17"/>
  <c r="NM14"/>
  <c r="NM13"/>
  <c r="NM6"/>
  <c r="NM9"/>
  <c r="NM25"/>
  <c r="NM30"/>
  <c r="NM24"/>
  <c r="NM33"/>
  <c r="NM26"/>
  <c r="YP5"/>
  <c r="YP7"/>
  <c r="YP8"/>
  <c r="VG12"/>
  <c r="VG18"/>
  <c r="WX18" s="1"/>
  <c r="VG29"/>
  <c r="WX29" s="1"/>
  <c r="VG26"/>
  <c r="WX26" s="1"/>
  <c r="VG4"/>
  <c r="WX4" s="1"/>
  <c r="VG13"/>
  <c r="WX13" s="1"/>
  <c r="VG9"/>
  <c r="WX9" s="1"/>
  <c r="VG24"/>
  <c r="WX24" s="1"/>
  <c r="OE19"/>
  <c r="OI19"/>
  <c r="OL13"/>
  <c r="OP13"/>
  <c r="NQ7"/>
  <c r="NU7"/>
  <c r="NX4"/>
  <c r="OB4"/>
  <c r="NQ15"/>
  <c r="NU15"/>
  <c r="OE21"/>
  <c r="OI21"/>
  <c r="NQ8"/>
  <c r="NU8"/>
  <c r="NQ23"/>
  <c r="NU23"/>
  <c r="VG5"/>
  <c r="WX5" s="1"/>
  <c r="VG17"/>
  <c r="WX17" s="1"/>
  <c r="VG21"/>
  <c r="WX21" s="1"/>
  <c r="VG20"/>
  <c r="WX20" s="1"/>
  <c r="VG7"/>
  <c r="WX7" s="1"/>
  <c r="VG14"/>
  <c r="VG19"/>
  <c r="WX19" s="1"/>
  <c r="VG10"/>
  <c r="WX10" s="1"/>
  <c r="VG6"/>
  <c r="WX6" s="1"/>
  <c r="YQ6" s="1"/>
  <c r="VG22"/>
  <c r="WX22" s="1"/>
  <c r="VG30"/>
  <c r="WX30" s="1"/>
  <c r="VG33"/>
  <c r="WX33" s="1"/>
  <c r="VG28"/>
  <c r="WX28" s="1"/>
  <c r="VG27"/>
  <c r="WX27" s="1"/>
  <c r="VG25"/>
  <c r="WX25" s="1"/>
  <c r="VG32"/>
  <c r="WX32" s="1"/>
  <c r="VG16"/>
  <c r="WX16" s="1"/>
  <c r="VG15"/>
  <c r="WX15" s="1"/>
  <c r="VG8"/>
  <c r="WX8" s="1"/>
  <c r="VG23"/>
  <c r="WX23" s="1"/>
  <c r="VG11"/>
  <c r="WX11" s="1"/>
  <c r="NQ5"/>
  <c r="NU5"/>
  <c r="OL18"/>
  <c r="OP18"/>
  <c r="NQ20"/>
  <c r="NU20"/>
  <c r="NX14"/>
  <c r="OB14"/>
  <c r="NX10"/>
  <c r="OB10"/>
  <c r="OS22"/>
  <c r="OW22"/>
  <c r="NX12"/>
  <c r="OB12"/>
  <c r="OS9"/>
  <c r="OW9"/>
  <c r="NQ16"/>
  <c r="NT16" s="1"/>
  <c r="NU16"/>
  <c r="OE17"/>
  <c r="OI17"/>
  <c r="OL6"/>
  <c r="OP6"/>
  <c r="NQ11"/>
  <c r="NT11" s="1"/>
  <c r="NU11"/>
  <c r="YQ11" l="1"/>
  <c r="WX14"/>
  <c r="YQ10"/>
  <c r="WX12"/>
  <c r="NT19"/>
  <c r="VH19" s="1"/>
  <c r="WY19" s="1"/>
  <c r="NT20"/>
  <c r="NT5"/>
  <c r="NT17"/>
  <c r="NT10"/>
  <c r="VH10" s="1"/>
  <c r="WY10" s="1"/>
  <c r="NT14"/>
  <c r="NT6"/>
  <c r="NT9"/>
  <c r="NT29"/>
  <c r="NT25"/>
  <c r="NT31"/>
  <c r="VH31" s="1"/>
  <c r="WY31" s="1"/>
  <c r="NT33"/>
  <c r="NT32"/>
  <c r="VH32" s="1"/>
  <c r="WY32" s="1"/>
  <c r="NT18"/>
  <c r="NT12"/>
  <c r="NT23"/>
  <c r="NT8"/>
  <c r="VH8" s="1"/>
  <c r="WY8" s="1"/>
  <c r="NT15"/>
  <c r="NT7"/>
  <c r="VH7" s="1"/>
  <c r="WY7" s="1"/>
  <c r="NT22"/>
  <c r="NT27"/>
  <c r="VH27" s="1"/>
  <c r="WY27" s="1"/>
  <c r="NT26"/>
  <c r="NT28"/>
  <c r="VH28" s="1"/>
  <c r="WY28" s="1"/>
  <c r="NT30"/>
  <c r="NT24"/>
  <c r="NT4"/>
  <c r="NT13"/>
  <c r="VH13" s="1"/>
  <c r="WY13" s="1"/>
  <c r="NT21"/>
  <c r="YQ5"/>
  <c r="VH11"/>
  <c r="WY11" s="1"/>
  <c r="YQ7"/>
  <c r="YQ4"/>
  <c r="YQ8"/>
  <c r="NX11"/>
  <c r="OB11"/>
  <c r="OL17"/>
  <c r="OP17"/>
  <c r="NX16"/>
  <c r="OB16"/>
  <c r="OZ9"/>
  <c r="PD9"/>
  <c r="OE12"/>
  <c r="OI12"/>
  <c r="OE10"/>
  <c r="OI10"/>
  <c r="OE14"/>
  <c r="OI14"/>
  <c r="NX20"/>
  <c r="OB20"/>
  <c r="OS18"/>
  <c r="OW18"/>
  <c r="NX5"/>
  <c r="OB5"/>
  <c r="VH14"/>
  <c r="VH18"/>
  <c r="WY18" s="1"/>
  <c r="VH6"/>
  <c r="WY6" s="1"/>
  <c r="VH22"/>
  <c r="WY22" s="1"/>
  <c r="VH33"/>
  <c r="WY33" s="1"/>
  <c r="VH4"/>
  <c r="WY4" s="1"/>
  <c r="VH23"/>
  <c r="WY23" s="1"/>
  <c r="VH15"/>
  <c r="WY15" s="1"/>
  <c r="OS6"/>
  <c r="OW6"/>
  <c r="OZ22"/>
  <c r="PD22"/>
  <c r="VH5"/>
  <c r="WY5" s="1"/>
  <c r="VH21"/>
  <c r="WY21" s="1"/>
  <c r="VH17"/>
  <c r="WY17" s="1"/>
  <c r="NX23"/>
  <c r="OB23"/>
  <c r="NX8"/>
  <c r="OB8"/>
  <c r="OL21"/>
  <c r="OP21"/>
  <c r="NX15"/>
  <c r="OA15" s="1"/>
  <c r="OB15"/>
  <c r="OE4"/>
  <c r="OI4"/>
  <c r="NX7"/>
  <c r="OB7"/>
  <c r="OS13"/>
  <c r="OW13"/>
  <c r="OL19"/>
  <c r="OP19"/>
  <c r="VH16"/>
  <c r="WY16" s="1"/>
  <c r="VH20"/>
  <c r="VH12"/>
  <c r="VH9"/>
  <c r="WY9" s="1"/>
  <c r="VH26"/>
  <c r="WY26" s="1"/>
  <c r="VH25"/>
  <c r="WY25" s="1"/>
  <c r="VH29"/>
  <c r="WY29" s="1"/>
  <c r="VH30"/>
  <c r="WY30" s="1"/>
  <c r="VH24"/>
  <c r="WY24" s="1"/>
  <c r="YR10" l="1"/>
  <c r="WY12"/>
  <c r="YR7"/>
  <c r="WY20"/>
  <c r="YR11"/>
  <c r="WY14"/>
  <c r="YR8"/>
  <c r="OA21"/>
  <c r="OA6"/>
  <c r="OA22"/>
  <c r="VI22" s="1"/>
  <c r="WZ22" s="1"/>
  <c r="OA32"/>
  <c r="OA26"/>
  <c r="VI26" s="1"/>
  <c r="WZ26" s="1"/>
  <c r="OA27"/>
  <c r="OA25"/>
  <c r="OA29"/>
  <c r="OA17"/>
  <c r="VI17" s="1"/>
  <c r="WZ17" s="1"/>
  <c r="OA10"/>
  <c r="VI10" s="1"/>
  <c r="WZ10" s="1"/>
  <c r="OA18"/>
  <c r="VI18" s="1"/>
  <c r="WZ18" s="1"/>
  <c r="OA7"/>
  <c r="VI7" s="1"/>
  <c r="WZ7" s="1"/>
  <c r="OA8"/>
  <c r="OA23"/>
  <c r="VI23" s="1"/>
  <c r="WZ23" s="1"/>
  <c r="OA5"/>
  <c r="OA20"/>
  <c r="OA16"/>
  <c r="OA11"/>
  <c r="OA9"/>
  <c r="OA24"/>
  <c r="VI24" s="1"/>
  <c r="WZ24" s="1"/>
  <c r="OA31"/>
  <c r="OA33"/>
  <c r="OA28"/>
  <c r="OA30"/>
  <c r="VI30" s="1"/>
  <c r="WZ30" s="1"/>
  <c r="OA4"/>
  <c r="OA19"/>
  <c r="OA14"/>
  <c r="OA13"/>
  <c r="OA12"/>
  <c r="VI12" s="1"/>
  <c r="YR6"/>
  <c r="YR5"/>
  <c r="YR4"/>
  <c r="PG22"/>
  <c r="PK22"/>
  <c r="OZ18"/>
  <c r="PD18"/>
  <c r="OS19"/>
  <c r="OW19"/>
  <c r="OZ13"/>
  <c r="PD13"/>
  <c r="OE7"/>
  <c r="OI7"/>
  <c r="OL4"/>
  <c r="OP4"/>
  <c r="OE15"/>
  <c r="OI15"/>
  <c r="OS21"/>
  <c r="OW21"/>
  <c r="OE8"/>
  <c r="OI8"/>
  <c r="OE23"/>
  <c r="OI23"/>
  <c r="VI5"/>
  <c r="WZ5" s="1"/>
  <c r="VI19"/>
  <c r="WZ19" s="1"/>
  <c r="VI21"/>
  <c r="WZ21" s="1"/>
  <c r="VI6"/>
  <c r="WZ6" s="1"/>
  <c r="VI25"/>
  <c r="WZ25" s="1"/>
  <c r="VI27"/>
  <c r="WZ27" s="1"/>
  <c r="VI29"/>
  <c r="WZ29" s="1"/>
  <c r="VI28"/>
  <c r="WZ28" s="1"/>
  <c r="VI14"/>
  <c r="VI13"/>
  <c r="WZ13" s="1"/>
  <c r="VI9"/>
  <c r="WZ9" s="1"/>
  <c r="VI32"/>
  <c r="WZ32" s="1"/>
  <c r="VI4"/>
  <c r="WZ4" s="1"/>
  <c r="VI31"/>
  <c r="WZ31" s="1"/>
  <c r="VI33"/>
  <c r="WZ33" s="1"/>
  <c r="VI20"/>
  <c r="VI16"/>
  <c r="WZ16" s="1"/>
  <c r="VI11"/>
  <c r="WZ11" s="1"/>
  <c r="OZ6"/>
  <c r="PD6"/>
  <c r="OE5"/>
  <c r="OI5"/>
  <c r="OE20"/>
  <c r="OI20"/>
  <c r="OL14"/>
  <c r="OP14"/>
  <c r="OL10"/>
  <c r="OP10"/>
  <c r="OL12"/>
  <c r="OP12"/>
  <c r="PG9"/>
  <c r="PK9"/>
  <c r="OE16"/>
  <c r="OH16" s="1"/>
  <c r="OI16"/>
  <c r="OS17"/>
  <c r="OW17"/>
  <c r="OE11"/>
  <c r="OI11"/>
  <c r="VI15"/>
  <c r="WZ15" s="1"/>
  <c r="VI8"/>
  <c r="WZ8" s="1"/>
  <c r="YS7" l="1"/>
  <c r="WZ20"/>
  <c r="YS11"/>
  <c r="WZ14"/>
  <c r="YS10"/>
  <c r="WZ12"/>
  <c r="OH11"/>
  <c r="VJ11" s="1"/>
  <c r="XA11" s="1"/>
  <c r="OH20"/>
  <c r="OH5"/>
  <c r="OH23"/>
  <c r="VJ23" s="1"/>
  <c r="XA23" s="1"/>
  <c r="OH8"/>
  <c r="OH15"/>
  <c r="OH7"/>
  <c r="OH17"/>
  <c r="OH21"/>
  <c r="OH10"/>
  <c r="VJ10" s="1"/>
  <c r="XA10" s="1"/>
  <c r="OH13"/>
  <c r="VJ13" s="1"/>
  <c r="XA13" s="1"/>
  <c r="OH12"/>
  <c r="OH22"/>
  <c r="OH25"/>
  <c r="OH31"/>
  <c r="OH32"/>
  <c r="VJ32" s="1"/>
  <c r="XA32" s="1"/>
  <c r="OH26"/>
  <c r="VJ26" s="1"/>
  <c r="XA26" s="1"/>
  <c r="OH29"/>
  <c r="OH4"/>
  <c r="VJ4" s="1"/>
  <c r="XA4" s="1"/>
  <c r="OH19"/>
  <c r="VJ19" s="1"/>
  <c r="XA19" s="1"/>
  <c r="OH14"/>
  <c r="OH18"/>
  <c r="VJ18" s="1"/>
  <c r="XA18" s="1"/>
  <c r="OH6"/>
  <c r="OH9"/>
  <c r="OH30"/>
  <c r="OH24"/>
  <c r="VJ24" s="1"/>
  <c r="XA24" s="1"/>
  <c r="OH33"/>
  <c r="OH27"/>
  <c r="VJ27" s="1"/>
  <c r="XA27" s="1"/>
  <c r="OH28"/>
  <c r="YS6"/>
  <c r="YS8"/>
  <c r="YS5"/>
  <c r="YS4"/>
  <c r="VJ17"/>
  <c r="XA17" s="1"/>
  <c r="OL8"/>
  <c r="OP8"/>
  <c r="OZ21"/>
  <c r="PD21"/>
  <c r="OL15"/>
  <c r="OP15"/>
  <c r="OS4"/>
  <c r="OW4"/>
  <c r="OL7"/>
  <c r="OP7"/>
  <c r="PG13"/>
  <c r="PK13"/>
  <c r="OZ19"/>
  <c r="PD19"/>
  <c r="PG18"/>
  <c r="PK18"/>
  <c r="PN22"/>
  <c r="PR22"/>
  <c r="OL23"/>
  <c r="OP23"/>
  <c r="OL11"/>
  <c r="OP11"/>
  <c r="OZ17"/>
  <c r="PD17"/>
  <c r="OL16"/>
  <c r="OO16" s="1"/>
  <c r="OP16"/>
  <c r="PN9"/>
  <c r="PR9"/>
  <c r="OS12"/>
  <c r="OW12"/>
  <c r="OS10"/>
  <c r="OW10"/>
  <c r="OS14"/>
  <c r="OW14"/>
  <c r="OL20"/>
  <c r="OP20"/>
  <c r="OL5"/>
  <c r="OO5" s="1"/>
  <c r="OP5"/>
  <c r="PG6"/>
  <c r="PK6"/>
  <c r="VJ16"/>
  <c r="XA16" s="1"/>
  <c r="VJ20"/>
  <c r="XA20" s="1"/>
  <c r="VJ5"/>
  <c r="XA5" s="1"/>
  <c r="VJ9"/>
  <c r="XA9" s="1"/>
  <c r="VJ33"/>
  <c r="XA33" s="1"/>
  <c r="VJ25"/>
  <c r="XA25" s="1"/>
  <c r="VJ28"/>
  <c r="XA28" s="1"/>
  <c r="VJ31"/>
  <c r="XA31" s="1"/>
  <c r="VJ6"/>
  <c r="XA6" s="1"/>
  <c r="VJ22"/>
  <c r="XA22" s="1"/>
  <c r="VJ30"/>
  <c r="XA30" s="1"/>
  <c r="VJ29"/>
  <c r="XA29" s="1"/>
  <c r="VJ12"/>
  <c r="VJ14"/>
  <c r="VJ21"/>
  <c r="XA21" s="1"/>
  <c r="VJ8"/>
  <c r="XA8" s="1"/>
  <c r="VJ15"/>
  <c r="XA15" s="1"/>
  <c r="VJ7"/>
  <c r="XA7" s="1"/>
  <c r="YT10" l="1"/>
  <c r="XA12"/>
  <c r="YT11"/>
  <c r="XA14"/>
  <c r="OO13"/>
  <c r="VK13" s="1"/>
  <c r="XB13" s="1"/>
  <c r="OO6"/>
  <c r="VK6" s="1"/>
  <c r="XB6" s="1"/>
  <c r="OO33"/>
  <c r="VK33" s="1"/>
  <c r="XB33" s="1"/>
  <c r="OO27"/>
  <c r="VK27" s="1"/>
  <c r="XB27" s="1"/>
  <c r="OO26"/>
  <c r="VK26" s="1"/>
  <c r="XB26" s="1"/>
  <c r="OO12"/>
  <c r="VK12" s="1"/>
  <c r="OO21"/>
  <c r="OO17"/>
  <c r="OO14"/>
  <c r="VK14" s="1"/>
  <c r="OO9"/>
  <c r="VK9" s="1"/>
  <c r="XB9" s="1"/>
  <c r="OO31"/>
  <c r="VK31" s="1"/>
  <c r="XB31" s="1"/>
  <c r="OO24"/>
  <c r="VK24" s="1"/>
  <c r="XB24" s="1"/>
  <c r="OO20"/>
  <c r="OO11"/>
  <c r="OO23"/>
  <c r="OO7"/>
  <c r="OO15"/>
  <c r="OO8"/>
  <c r="OO19"/>
  <c r="OO10"/>
  <c r="VK10" s="1"/>
  <c r="XB10" s="1"/>
  <c r="OO22"/>
  <c r="VK22" s="1"/>
  <c r="XB22" s="1"/>
  <c r="OO25"/>
  <c r="VK25" s="1"/>
  <c r="XB25" s="1"/>
  <c r="OO29"/>
  <c r="VK29" s="1"/>
  <c r="XB29" s="1"/>
  <c r="OO28"/>
  <c r="VK28" s="1"/>
  <c r="XB28" s="1"/>
  <c r="OO30"/>
  <c r="VK30" s="1"/>
  <c r="XB30" s="1"/>
  <c r="OO32"/>
  <c r="VK32" s="1"/>
  <c r="XB32" s="1"/>
  <c r="OO4"/>
  <c r="VK4" s="1"/>
  <c r="XB4" s="1"/>
  <c r="YU6" s="1"/>
  <c r="OO18"/>
  <c r="VK18" s="1"/>
  <c r="XB18" s="1"/>
  <c r="YT6"/>
  <c r="YT5"/>
  <c r="YT8"/>
  <c r="YT7"/>
  <c r="YT4"/>
  <c r="OS5"/>
  <c r="OW5"/>
  <c r="OZ12"/>
  <c r="PD12"/>
  <c r="PG17"/>
  <c r="PK17"/>
  <c r="OS23"/>
  <c r="OW23"/>
  <c r="PN18"/>
  <c r="PR18"/>
  <c r="OS7"/>
  <c r="OW7"/>
  <c r="OS15"/>
  <c r="OW15"/>
  <c r="VK5"/>
  <c r="XB5" s="1"/>
  <c r="VK21"/>
  <c r="XB21" s="1"/>
  <c r="VK17"/>
  <c r="XB17" s="1"/>
  <c r="VK19"/>
  <c r="XB19" s="1"/>
  <c r="VK20"/>
  <c r="XB20" s="1"/>
  <c r="VK16"/>
  <c r="XB16" s="1"/>
  <c r="VK11"/>
  <c r="XB11" s="1"/>
  <c r="VK23"/>
  <c r="XB23" s="1"/>
  <c r="VK7"/>
  <c r="XB7" s="1"/>
  <c r="YU8" s="1"/>
  <c r="VK15"/>
  <c r="XB15" s="1"/>
  <c r="VK8"/>
  <c r="XB8" s="1"/>
  <c r="PN6"/>
  <c r="PR6"/>
  <c r="OS20"/>
  <c r="OW20"/>
  <c r="OZ14"/>
  <c r="PD14"/>
  <c r="OZ10"/>
  <c r="PD10"/>
  <c r="PU9"/>
  <c r="PY9"/>
  <c r="OS16"/>
  <c r="OV16" s="1"/>
  <c r="OW16"/>
  <c r="OS11"/>
  <c r="OW11"/>
  <c r="PU22"/>
  <c r="PY22"/>
  <c r="PG19"/>
  <c r="PK19"/>
  <c r="PN13"/>
  <c r="PR13"/>
  <c r="OZ4"/>
  <c r="PD4"/>
  <c r="PG21"/>
  <c r="PK21"/>
  <c r="OS8"/>
  <c r="OV8" s="1"/>
  <c r="OW8"/>
  <c r="YU11" l="1"/>
  <c r="XB14"/>
  <c r="YU10"/>
  <c r="XB12"/>
  <c r="OV15"/>
  <c r="OV19"/>
  <c r="OV5"/>
  <c r="VL5" s="1"/>
  <c r="XC5" s="1"/>
  <c r="OV21"/>
  <c r="OV7"/>
  <c r="VL7" s="1"/>
  <c r="XC7" s="1"/>
  <c r="OV23"/>
  <c r="OV10"/>
  <c r="OV6"/>
  <c r="OV22"/>
  <c r="VL22" s="1"/>
  <c r="XC22" s="1"/>
  <c r="OV26"/>
  <c r="OV28"/>
  <c r="VL28" s="1"/>
  <c r="XC28" s="1"/>
  <c r="OV30"/>
  <c r="OV25"/>
  <c r="OV32"/>
  <c r="OV13"/>
  <c r="OV12"/>
  <c r="OV11"/>
  <c r="VL11" s="1"/>
  <c r="XC11" s="1"/>
  <c r="OV20"/>
  <c r="OV17"/>
  <c r="OV14"/>
  <c r="OV9"/>
  <c r="VL9" s="1"/>
  <c r="XC9" s="1"/>
  <c r="OV31"/>
  <c r="OV33"/>
  <c r="VL33" s="1"/>
  <c r="XC33" s="1"/>
  <c r="OV29"/>
  <c r="OV27"/>
  <c r="OV24"/>
  <c r="VL24" s="1"/>
  <c r="XC24" s="1"/>
  <c r="OV4"/>
  <c r="VL4" s="1"/>
  <c r="XC4" s="1"/>
  <c r="OV18"/>
  <c r="VL18" s="1"/>
  <c r="XC18" s="1"/>
  <c r="VL8"/>
  <c r="XC8" s="1"/>
  <c r="YU5"/>
  <c r="YU7"/>
  <c r="YU4"/>
  <c r="VL10"/>
  <c r="XC10" s="1"/>
  <c r="VL6"/>
  <c r="XC6" s="1"/>
  <c r="VL32"/>
  <c r="XC32" s="1"/>
  <c r="VL26"/>
  <c r="XC26" s="1"/>
  <c r="VL25"/>
  <c r="XC25" s="1"/>
  <c r="PN21"/>
  <c r="PR21"/>
  <c r="PG4"/>
  <c r="PK4"/>
  <c r="QB22"/>
  <c r="QF22"/>
  <c r="QB9"/>
  <c r="QF9"/>
  <c r="PG14"/>
  <c r="PK14"/>
  <c r="OZ20"/>
  <c r="PD20"/>
  <c r="PU6"/>
  <c r="PY6"/>
  <c r="OZ23"/>
  <c r="PD23"/>
  <c r="PG12"/>
  <c r="PK12"/>
  <c r="VL21"/>
  <c r="XC21" s="1"/>
  <c r="VL19"/>
  <c r="XC19" s="1"/>
  <c r="VL17"/>
  <c r="XC17" s="1"/>
  <c r="VL16"/>
  <c r="XC16" s="1"/>
  <c r="VL20"/>
  <c r="XC20" s="1"/>
  <c r="VL12"/>
  <c r="VL14"/>
  <c r="VL13"/>
  <c r="XC13" s="1"/>
  <c r="VL30"/>
  <c r="XC30" s="1"/>
  <c r="VL27"/>
  <c r="XC27" s="1"/>
  <c r="VL29"/>
  <c r="XC29" s="1"/>
  <c r="VL31"/>
  <c r="XC31" s="1"/>
  <c r="VL15"/>
  <c r="XC15" s="1"/>
  <c r="VL23"/>
  <c r="XC23" s="1"/>
  <c r="OZ8"/>
  <c r="PD8"/>
  <c r="PU13"/>
  <c r="PY13"/>
  <c r="PN19"/>
  <c r="PR19"/>
  <c r="OZ11"/>
  <c r="PD11"/>
  <c r="OZ16"/>
  <c r="PD16"/>
  <c r="PG10"/>
  <c r="PK10"/>
  <c r="OZ15"/>
  <c r="PC15" s="1"/>
  <c r="PD15"/>
  <c r="OZ7"/>
  <c r="PD7"/>
  <c r="PU18"/>
  <c r="PY18"/>
  <c r="PN17"/>
  <c r="PR17"/>
  <c r="OZ5"/>
  <c r="PC5" s="1"/>
  <c r="PD5"/>
  <c r="YV10" l="1"/>
  <c r="XC12"/>
  <c r="YV11"/>
  <c r="XC14"/>
  <c r="PC19"/>
  <c r="VM19" s="1"/>
  <c r="XD19" s="1"/>
  <c r="PC10"/>
  <c r="PC9"/>
  <c r="VM9" s="1"/>
  <c r="XD9" s="1"/>
  <c r="PC27"/>
  <c r="PC32"/>
  <c r="VM32" s="1"/>
  <c r="XD32" s="1"/>
  <c r="PC33"/>
  <c r="PC25"/>
  <c r="PC31"/>
  <c r="PC4"/>
  <c r="VM4" s="1"/>
  <c r="XD4" s="1"/>
  <c r="PC18"/>
  <c r="PC12"/>
  <c r="PC7"/>
  <c r="PC16"/>
  <c r="VM16" s="1"/>
  <c r="XD16" s="1"/>
  <c r="PC11"/>
  <c r="PC8"/>
  <c r="VM8" s="1"/>
  <c r="XD8" s="1"/>
  <c r="PC23"/>
  <c r="PC20"/>
  <c r="PC21"/>
  <c r="PC14"/>
  <c r="VM14" s="1"/>
  <c r="PC6"/>
  <c r="PC22"/>
  <c r="PC24"/>
  <c r="PC29"/>
  <c r="VM29" s="1"/>
  <c r="XD29" s="1"/>
  <c r="PC26"/>
  <c r="PC28"/>
  <c r="VM28" s="1"/>
  <c r="XD28" s="1"/>
  <c r="PC30"/>
  <c r="PC17"/>
  <c r="PC13"/>
  <c r="YV8"/>
  <c r="YV6"/>
  <c r="YV4"/>
  <c r="YV5"/>
  <c r="YV7"/>
  <c r="VM5"/>
  <c r="XD5" s="1"/>
  <c r="VM17"/>
  <c r="XD17" s="1"/>
  <c r="PG5"/>
  <c r="PK5"/>
  <c r="PU17"/>
  <c r="PY17"/>
  <c r="QB18"/>
  <c r="QF18"/>
  <c r="PG7"/>
  <c r="PK7"/>
  <c r="PG15"/>
  <c r="PK15"/>
  <c r="PN10"/>
  <c r="PR10"/>
  <c r="PG16"/>
  <c r="PJ16" s="1"/>
  <c r="PK16"/>
  <c r="PG11"/>
  <c r="PK11"/>
  <c r="PU19"/>
  <c r="PY19"/>
  <c r="QB13"/>
  <c r="QF13"/>
  <c r="PG8"/>
  <c r="PJ8" s="1"/>
  <c r="PK8"/>
  <c r="VM7"/>
  <c r="XD7" s="1"/>
  <c r="VM15"/>
  <c r="XD15" s="1"/>
  <c r="VM11"/>
  <c r="XD11" s="1"/>
  <c r="VM21"/>
  <c r="XD21" s="1"/>
  <c r="VM10"/>
  <c r="XD10" s="1"/>
  <c r="VM18"/>
  <c r="XD18" s="1"/>
  <c r="VM6"/>
  <c r="XD6" s="1"/>
  <c r="VM22"/>
  <c r="XD22" s="1"/>
  <c r="VM33"/>
  <c r="XD33" s="1"/>
  <c r="VM26"/>
  <c r="XD26" s="1"/>
  <c r="VM27"/>
  <c r="XD27" s="1"/>
  <c r="VM12"/>
  <c r="VM13"/>
  <c r="XD13" s="1"/>
  <c r="VM30"/>
  <c r="XD30" s="1"/>
  <c r="VM31"/>
  <c r="XD31" s="1"/>
  <c r="VM24"/>
  <c r="XD24" s="1"/>
  <c r="VM25"/>
  <c r="XD25" s="1"/>
  <c r="VM23"/>
  <c r="XD23" s="1"/>
  <c r="VM20"/>
  <c r="XD20" s="1"/>
  <c r="PN12"/>
  <c r="PR12"/>
  <c r="PG23"/>
  <c r="PK23"/>
  <c r="QB6"/>
  <c r="QF6"/>
  <c r="PG20"/>
  <c r="PK20"/>
  <c r="PN14"/>
  <c r="PR14"/>
  <c r="QI9"/>
  <c r="QM9"/>
  <c r="QI22"/>
  <c r="QM22"/>
  <c r="PN4"/>
  <c r="PR4"/>
  <c r="PU21"/>
  <c r="PY21"/>
  <c r="YW10" l="1"/>
  <c r="XD12"/>
  <c r="YW11"/>
  <c r="XD14"/>
  <c r="YW7"/>
  <c r="PJ17"/>
  <c r="PJ28"/>
  <c r="PJ10"/>
  <c r="PJ6"/>
  <c r="PJ9"/>
  <c r="PJ33"/>
  <c r="PJ27"/>
  <c r="PJ24"/>
  <c r="PJ25"/>
  <c r="PJ13"/>
  <c r="PJ12"/>
  <c r="PJ19"/>
  <c r="PJ20"/>
  <c r="VN20" s="1"/>
  <c r="XE20" s="1"/>
  <c r="PJ23"/>
  <c r="PJ11"/>
  <c r="PJ15"/>
  <c r="PJ7"/>
  <c r="PJ5"/>
  <c r="PJ14"/>
  <c r="PJ22"/>
  <c r="PJ31"/>
  <c r="PJ30"/>
  <c r="PJ29"/>
  <c r="PJ32"/>
  <c r="PJ26"/>
  <c r="PJ4"/>
  <c r="PJ18"/>
  <c r="PJ21"/>
  <c r="YW6"/>
  <c r="YW8"/>
  <c r="YW5"/>
  <c r="YW4"/>
  <c r="PN8"/>
  <c r="PR8"/>
  <c r="QB21"/>
  <c r="QF21"/>
  <c r="PU4"/>
  <c r="PY4"/>
  <c r="QP22"/>
  <c r="QT22"/>
  <c r="QP9"/>
  <c r="QT9"/>
  <c r="PU14"/>
  <c r="PY14"/>
  <c r="PN20"/>
  <c r="PR20"/>
  <c r="QI6"/>
  <c r="QM6"/>
  <c r="PN23"/>
  <c r="PR23"/>
  <c r="PU12"/>
  <c r="PY12"/>
  <c r="VN5"/>
  <c r="XE5" s="1"/>
  <c r="VN21"/>
  <c r="XE21" s="1"/>
  <c r="VN19"/>
  <c r="XE19" s="1"/>
  <c r="VN17"/>
  <c r="XE17" s="1"/>
  <c r="VN10"/>
  <c r="XE10" s="1"/>
  <c r="VN18"/>
  <c r="XE18" s="1"/>
  <c r="VN9"/>
  <c r="XE9" s="1"/>
  <c r="VN31"/>
  <c r="XE31" s="1"/>
  <c r="VN25"/>
  <c r="XE25" s="1"/>
  <c r="VN29"/>
  <c r="XE29" s="1"/>
  <c r="VN27"/>
  <c r="XE27" s="1"/>
  <c r="VN24"/>
  <c r="XE24" s="1"/>
  <c r="VN26"/>
  <c r="XE26" s="1"/>
  <c r="VN8"/>
  <c r="XE8" s="1"/>
  <c r="VN11"/>
  <c r="XE11" s="1"/>
  <c r="VN16"/>
  <c r="XE16" s="1"/>
  <c r="VN15"/>
  <c r="XE15" s="1"/>
  <c r="VN7"/>
  <c r="XE7" s="1"/>
  <c r="QI13"/>
  <c r="QM13"/>
  <c r="QB19"/>
  <c r="QF19"/>
  <c r="PN11"/>
  <c r="PR11"/>
  <c r="PN16"/>
  <c r="PR16"/>
  <c r="PU10"/>
  <c r="PY10"/>
  <c r="PN15"/>
  <c r="PQ15" s="1"/>
  <c r="PR15"/>
  <c r="PN7"/>
  <c r="PR7"/>
  <c r="QI18"/>
  <c r="QM18"/>
  <c r="QB17"/>
  <c r="QF17"/>
  <c r="PN5"/>
  <c r="PQ21" s="1"/>
  <c r="PR5"/>
  <c r="VN23"/>
  <c r="XE23" s="1"/>
  <c r="VN14"/>
  <c r="VN12"/>
  <c r="VN13"/>
  <c r="XE13" s="1"/>
  <c r="VN6"/>
  <c r="XE6" s="1"/>
  <c r="VN22"/>
  <c r="XE22" s="1"/>
  <c r="VN30"/>
  <c r="XE30" s="1"/>
  <c r="VN32"/>
  <c r="XE32" s="1"/>
  <c r="VN4"/>
  <c r="XE4" s="1"/>
  <c r="VN33"/>
  <c r="XE33" s="1"/>
  <c r="VN28"/>
  <c r="XE28" s="1"/>
  <c r="YX11" l="1"/>
  <c r="XE14"/>
  <c r="YX10"/>
  <c r="XE12"/>
  <c r="PQ19"/>
  <c r="VO19" s="1"/>
  <c r="XF19" s="1"/>
  <c r="PQ13"/>
  <c r="VO13" s="1"/>
  <c r="XF13" s="1"/>
  <c r="PQ6"/>
  <c r="VO6" s="1"/>
  <c r="XF6" s="1"/>
  <c r="PQ9"/>
  <c r="PQ30"/>
  <c r="VO30" s="1"/>
  <c r="XF30" s="1"/>
  <c r="PQ31"/>
  <c r="PQ32"/>
  <c r="VO32" s="1"/>
  <c r="XF32" s="1"/>
  <c r="PQ27"/>
  <c r="VO27" s="1"/>
  <c r="XF27" s="1"/>
  <c r="PQ33"/>
  <c r="VO33" s="1"/>
  <c r="XF33" s="1"/>
  <c r="PQ5"/>
  <c r="VO5" s="1"/>
  <c r="XF5" s="1"/>
  <c r="PQ7"/>
  <c r="VO7" s="1"/>
  <c r="XF7" s="1"/>
  <c r="PQ16"/>
  <c r="VO16" s="1"/>
  <c r="XF16" s="1"/>
  <c r="PQ11"/>
  <c r="VO11" s="1"/>
  <c r="XF11" s="1"/>
  <c r="PQ23"/>
  <c r="PQ20"/>
  <c r="PQ8"/>
  <c r="PQ17"/>
  <c r="VO17" s="1"/>
  <c r="XF17" s="1"/>
  <c r="PQ10"/>
  <c r="PQ14"/>
  <c r="VO14" s="1"/>
  <c r="PQ18"/>
  <c r="PQ12"/>
  <c r="VO12" s="1"/>
  <c r="PQ22"/>
  <c r="VO22" s="1"/>
  <c r="XF22" s="1"/>
  <c r="PQ28"/>
  <c r="VO28" s="1"/>
  <c r="XF28" s="1"/>
  <c r="PQ25"/>
  <c r="PQ24"/>
  <c r="VO24" s="1"/>
  <c r="XF24" s="1"/>
  <c r="PQ29"/>
  <c r="VO29" s="1"/>
  <c r="XF29" s="1"/>
  <c r="PQ26"/>
  <c r="VO26" s="1"/>
  <c r="XF26" s="1"/>
  <c r="PQ4"/>
  <c r="VO4" s="1"/>
  <c r="XF4" s="1"/>
  <c r="YX6"/>
  <c r="YX8"/>
  <c r="YX7"/>
  <c r="YX4"/>
  <c r="YX5"/>
  <c r="VO18"/>
  <c r="XF18" s="1"/>
  <c r="VO10"/>
  <c r="XF10" s="1"/>
  <c r="PU5"/>
  <c r="PY5"/>
  <c r="QP18"/>
  <c r="QT18"/>
  <c r="PU15"/>
  <c r="PY15"/>
  <c r="PU11"/>
  <c r="PY11"/>
  <c r="QB12"/>
  <c r="QF12"/>
  <c r="QB14"/>
  <c r="QF14"/>
  <c r="QW22"/>
  <c r="RA22"/>
  <c r="QB4"/>
  <c r="QF4"/>
  <c r="PU8"/>
  <c r="PY8"/>
  <c r="QI17"/>
  <c r="QM17"/>
  <c r="PU7"/>
  <c r="PX7" s="1"/>
  <c r="PY7"/>
  <c r="QB10"/>
  <c r="QF10"/>
  <c r="PU16"/>
  <c r="PX16" s="1"/>
  <c r="PY16"/>
  <c r="QI19"/>
  <c r="QM19"/>
  <c r="QP13"/>
  <c r="QT13"/>
  <c r="PU23"/>
  <c r="PY23"/>
  <c r="QP6"/>
  <c r="QT6"/>
  <c r="PU20"/>
  <c r="PY20"/>
  <c r="QW9"/>
  <c r="RA9"/>
  <c r="QI21"/>
  <c r="QM21"/>
  <c r="VO15"/>
  <c r="XF15" s="1"/>
  <c r="VO9"/>
  <c r="XF9" s="1"/>
  <c r="VO25"/>
  <c r="XF25" s="1"/>
  <c r="VO31"/>
  <c r="XF31" s="1"/>
  <c r="VO21"/>
  <c r="XF21" s="1"/>
  <c r="VO23"/>
  <c r="XF23" s="1"/>
  <c r="VO20"/>
  <c r="XF20" s="1"/>
  <c r="VO8"/>
  <c r="XF8" s="1"/>
  <c r="YY10" l="1"/>
  <c r="XF12"/>
  <c r="YY11"/>
  <c r="XF14"/>
  <c r="YY8"/>
  <c r="PX8"/>
  <c r="VP8" s="1"/>
  <c r="XG8" s="1"/>
  <c r="PX11"/>
  <c r="PX15"/>
  <c r="VP15" s="1"/>
  <c r="XG15" s="1"/>
  <c r="PX5"/>
  <c r="PX19"/>
  <c r="PX17"/>
  <c r="PX14"/>
  <c r="VP14" s="1"/>
  <c r="PX10"/>
  <c r="PX6"/>
  <c r="VP6" s="1"/>
  <c r="XG6" s="1"/>
  <c r="PX22"/>
  <c r="PX26"/>
  <c r="VP26" s="1"/>
  <c r="XG26" s="1"/>
  <c r="PX28"/>
  <c r="VP28" s="1"/>
  <c r="XG28" s="1"/>
  <c r="PX30"/>
  <c r="VP30" s="1"/>
  <c r="XG30" s="1"/>
  <c r="PX33"/>
  <c r="PX32"/>
  <c r="VP32" s="1"/>
  <c r="XG32" s="1"/>
  <c r="PX13"/>
  <c r="PX12"/>
  <c r="VP12" s="1"/>
  <c r="PX21"/>
  <c r="VP20"/>
  <c r="XG20" s="1"/>
  <c r="PX20"/>
  <c r="PX23"/>
  <c r="PX9"/>
  <c r="PX29"/>
  <c r="VP29" s="1"/>
  <c r="XG29" s="1"/>
  <c r="PX25"/>
  <c r="VP25" s="1"/>
  <c r="XG25" s="1"/>
  <c r="PX27"/>
  <c r="PX31"/>
  <c r="PX24"/>
  <c r="VP24" s="1"/>
  <c r="XG24" s="1"/>
  <c r="PX4"/>
  <c r="PX18"/>
  <c r="VP18" s="1"/>
  <c r="XG18" s="1"/>
  <c r="YY6"/>
  <c r="YY7"/>
  <c r="YY5"/>
  <c r="YY4"/>
  <c r="VP10"/>
  <c r="XG10" s="1"/>
  <c r="VP31"/>
  <c r="XG31" s="1"/>
  <c r="VP22"/>
  <c r="XG22" s="1"/>
  <c r="VP27"/>
  <c r="XG27" s="1"/>
  <c r="VP13"/>
  <c r="XG13" s="1"/>
  <c r="VP9"/>
  <c r="XG9" s="1"/>
  <c r="VP33"/>
  <c r="XG33" s="1"/>
  <c r="VP4"/>
  <c r="XG4" s="1"/>
  <c r="QP21"/>
  <c r="QT21"/>
  <c r="RD9"/>
  <c r="RH9"/>
  <c r="QB20"/>
  <c r="QF20"/>
  <c r="QW6"/>
  <c r="RA6"/>
  <c r="QB23"/>
  <c r="QF23"/>
  <c r="QW13"/>
  <c r="RA13"/>
  <c r="QP19"/>
  <c r="QT19"/>
  <c r="QB16"/>
  <c r="QF16"/>
  <c r="QI10"/>
  <c r="QM10"/>
  <c r="QB7"/>
  <c r="QF7"/>
  <c r="QP17"/>
  <c r="QT17"/>
  <c r="VP5"/>
  <c r="XG5" s="1"/>
  <c r="VP19"/>
  <c r="XG19" s="1"/>
  <c r="VP21"/>
  <c r="XG21" s="1"/>
  <c r="VP17"/>
  <c r="XG17" s="1"/>
  <c r="VP11"/>
  <c r="XG11" s="1"/>
  <c r="QB8"/>
  <c r="QF8"/>
  <c r="QI4"/>
  <c r="QM4"/>
  <c r="RD22"/>
  <c r="RH22"/>
  <c r="QI14"/>
  <c r="QM14"/>
  <c r="QI12"/>
  <c r="QM12"/>
  <c r="QB11"/>
  <c r="QF11"/>
  <c r="QB15"/>
  <c r="QE12" s="1"/>
  <c r="QF15"/>
  <c r="QW18"/>
  <c r="RA18"/>
  <c r="QB5"/>
  <c r="QE4" s="1"/>
  <c r="QF5"/>
  <c r="VP23"/>
  <c r="XG23" s="1"/>
  <c r="VP16"/>
  <c r="XG16" s="1"/>
  <c r="VP7"/>
  <c r="XG7" s="1"/>
  <c r="YZ10" l="1"/>
  <c r="XG12"/>
  <c r="YZ11"/>
  <c r="XG14"/>
  <c r="QE10"/>
  <c r="QE18"/>
  <c r="QE9"/>
  <c r="QE33"/>
  <c r="QE32"/>
  <c r="QE31"/>
  <c r="QE29"/>
  <c r="QE28"/>
  <c r="QE5"/>
  <c r="QE21"/>
  <c r="QE15"/>
  <c r="QE17"/>
  <c r="VQ17" s="1"/>
  <c r="XH17" s="1"/>
  <c r="QE19"/>
  <c r="QE11"/>
  <c r="QE8"/>
  <c r="QE7"/>
  <c r="QE16"/>
  <c r="QE23"/>
  <c r="QE20"/>
  <c r="QE14"/>
  <c r="QE13"/>
  <c r="QE6"/>
  <c r="VQ6" s="1"/>
  <c r="XH6" s="1"/>
  <c r="QE22"/>
  <c r="QE24"/>
  <c r="VQ24" s="1"/>
  <c r="XH24" s="1"/>
  <c r="QE25"/>
  <c r="QE26"/>
  <c r="QE27"/>
  <c r="QE30"/>
  <c r="YZ8"/>
  <c r="YZ4"/>
  <c r="VQ25"/>
  <c r="XH25" s="1"/>
  <c r="YZ6"/>
  <c r="YZ5"/>
  <c r="YZ7"/>
  <c r="QW17"/>
  <c r="RA17"/>
  <c r="QI7"/>
  <c r="QM7"/>
  <c r="QI5"/>
  <c r="QM5"/>
  <c r="RD18"/>
  <c r="RH18"/>
  <c r="QI15"/>
  <c r="QM15"/>
  <c r="QI11"/>
  <c r="QM11"/>
  <c r="QP12"/>
  <c r="QT12"/>
  <c r="QP14"/>
  <c r="QT14"/>
  <c r="RK22"/>
  <c r="RO22"/>
  <c r="QP4"/>
  <c r="QT4"/>
  <c r="QI8"/>
  <c r="QL8" s="1"/>
  <c r="QM8"/>
  <c r="VQ10"/>
  <c r="XH10" s="1"/>
  <c r="VQ14"/>
  <c r="VQ9"/>
  <c r="XH9" s="1"/>
  <c r="VQ27"/>
  <c r="XH27" s="1"/>
  <c r="VQ31"/>
  <c r="XH31" s="1"/>
  <c r="VQ30"/>
  <c r="XH30" s="1"/>
  <c r="VQ4"/>
  <c r="XH4" s="1"/>
  <c r="VQ7"/>
  <c r="XH7" s="1"/>
  <c r="VQ16"/>
  <c r="XH16" s="1"/>
  <c r="VQ23"/>
  <c r="XH23" s="1"/>
  <c r="VQ20"/>
  <c r="XH20" s="1"/>
  <c r="VQ5"/>
  <c r="XH5" s="1"/>
  <c r="VQ21"/>
  <c r="XH21" s="1"/>
  <c r="VQ19"/>
  <c r="XH19" s="1"/>
  <c r="QP10"/>
  <c r="QT10"/>
  <c r="QI16"/>
  <c r="QL16" s="1"/>
  <c r="QM16"/>
  <c r="QW19"/>
  <c r="RA19"/>
  <c r="RD13"/>
  <c r="RH13"/>
  <c r="QI23"/>
  <c r="QM23"/>
  <c r="RD6"/>
  <c r="RH6"/>
  <c r="QI20"/>
  <c r="QM20"/>
  <c r="RK9"/>
  <c r="RO9"/>
  <c r="QW21"/>
  <c r="RA21"/>
  <c r="VQ15"/>
  <c r="XH15" s="1"/>
  <c r="VQ11"/>
  <c r="XH11" s="1"/>
  <c r="VQ8"/>
  <c r="XH8" s="1"/>
  <c r="VQ12"/>
  <c r="VQ13"/>
  <c r="XH13" s="1"/>
  <c r="VQ18"/>
  <c r="XH18" s="1"/>
  <c r="VQ22"/>
  <c r="XH22" s="1"/>
  <c r="VQ32"/>
  <c r="XH32" s="1"/>
  <c r="VQ26"/>
  <c r="XH26" s="1"/>
  <c r="VQ28"/>
  <c r="XH28" s="1"/>
  <c r="VQ29"/>
  <c r="XH29" s="1"/>
  <c r="VQ33"/>
  <c r="XH33" s="1"/>
  <c r="ZA10" l="1"/>
  <c r="XH12"/>
  <c r="ZA11"/>
  <c r="XH14"/>
  <c r="QL23"/>
  <c r="QL11"/>
  <c r="QL15"/>
  <c r="QL5"/>
  <c r="VR5" s="1"/>
  <c r="XI5" s="1"/>
  <c r="QL7"/>
  <c r="QL19"/>
  <c r="QL10"/>
  <c r="QL6"/>
  <c r="VR6" s="1"/>
  <c r="XI6" s="1"/>
  <c r="QL22"/>
  <c r="QL25"/>
  <c r="QL24"/>
  <c r="QL33"/>
  <c r="VR33" s="1"/>
  <c r="QL31"/>
  <c r="QL28"/>
  <c r="VR28" s="1"/>
  <c r="QL13"/>
  <c r="QL12"/>
  <c r="VR12" s="1"/>
  <c r="ZB10" s="1"/>
  <c r="QL21"/>
  <c r="QL20"/>
  <c r="VR20" s="1"/>
  <c r="QL17"/>
  <c r="QL14"/>
  <c r="QL9"/>
  <c r="VR9" s="1"/>
  <c r="XI9" s="1"/>
  <c r="QL27"/>
  <c r="QL30"/>
  <c r="VR30" s="1"/>
  <c r="QL32"/>
  <c r="QL26"/>
  <c r="VR26" s="1"/>
  <c r="QL29"/>
  <c r="QL4"/>
  <c r="VR4" s="1"/>
  <c r="XI4" s="1"/>
  <c r="QL18"/>
  <c r="ZA6"/>
  <c r="ZA7"/>
  <c r="ZA8"/>
  <c r="ZA4"/>
  <c r="ZA5"/>
  <c r="VR14"/>
  <c r="ZB11" s="1"/>
  <c r="VR19"/>
  <c r="RD21"/>
  <c r="RH21"/>
  <c r="RR9"/>
  <c r="RV9"/>
  <c r="QP8"/>
  <c r="QT8"/>
  <c r="QW4"/>
  <c r="RA4"/>
  <c r="RR22"/>
  <c r="RV22"/>
  <c r="QW14"/>
  <c r="RA14"/>
  <c r="QW12"/>
  <c r="RA12"/>
  <c r="QP11"/>
  <c r="QT11"/>
  <c r="QP15"/>
  <c r="QT15"/>
  <c r="RK18"/>
  <c r="RO18"/>
  <c r="QP5"/>
  <c r="QT5"/>
  <c r="QP7"/>
  <c r="QS7" s="1"/>
  <c r="QT7"/>
  <c r="RD17"/>
  <c r="RH17"/>
  <c r="VR23"/>
  <c r="VR16"/>
  <c r="VR22"/>
  <c r="VR27"/>
  <c r="VR32"/>
  <c r="VR24"/>
  <c r="VR31"/>
  <c r="QP20"/>
  <c r="QT20"/>
  <c r="RK6"/>
  <c r="RO6"/>
  <c r="QP23"/>
  <c r="QT23"/>
  <c r="RK13"/>
  <c r="RO13"/>
  <c r="RD19"/>
  <c r="RH19"/>
  <c r="QP16"/>
  <c r="QT16"/>
  <c r="QW10"/>
  <c r="RA10"/>
  <c r="VR21"/>
  <c r="VR18"/>
  <c r="VR13"/>
  <c r="VR29"/>
  <c r="VR25"/>
  <c r="VR10"/>
  <c r="XI10" s="1"/>
  <c r="VR17"/>
  <c r="VR8"/>
  <c r="XI8" s="1"/>
  <c r="VR11"/>
  <c r="XI11" s="1"/>
  <c r="VR15"/>
  <c r="VR7"/>
  <c r="XI7" s="1"/>
  <c r="ZB8" l="1"/>
  <c r="QS16"/>
  <c r="VS16" s="1"/>
  <c r="QS23"/>
  <c r="QS20"/>
  <c r="QS5"/>
  <c r="QS15"/>
  <c r="QS11"/>
  <c r="QS8"/>
  <c r="QS17"/>
  <c r="QS19"/>
  <c r="VS19" s="1"/>
  <c r="QS13"/>
  <c r="VS13" s="1"/>
  <c r="QS12"/>
  <c r="VS12" s="1"/>
  <c r="ZC10" s="1"/>
  <c r="QS22"/>
  <c r="QS31"/>
  <c r="QS25"/>
  <c r="QS27"/>
  <c r="VS27" s="1"/>
  <c r="QS29"/>
  <c r="VS29" s="1"/>
  <c r="QS32"/>
  <c r="VS32" s="1"/>
  <c r="QS4"/>
  <c r="VS4" s="1"/>
  <c r="XJ4" s="1"/>
  <c r="QS21"/>
  <c r="QS14"/>
  <c r="QS10"/>
  <c r="QS18"/>
  <c r="QS6"/>
  <c r="VS6" s="1"/>
  <c r="XJ6" s="1"/>
  <c r="QS9"/>
  <c r="VS9" s="1"/>
  <c r="XJ9" s="1"/>
  <c r="QS28"/>
  <c r="VS28" s="1"/>
  <c r="QS33"/>
  <c r="VS33" s="1"/>
  <c r="QS30"/>
  <c r="VS30" s="1"/>
  <c r="QS24"/>
  <c r="VS24" s="1"/>
  <c r="QS26"/>
  <c r="VS26" s="1"/>
  <c r="ZB6"/>
  <c r="ZB4"/>
  <c r="ZB7"/>
  <c r="ZB5"/>
  <c r="VS14"/>
  <c r="ZC11" s="1"/>
  <c r="VS18"/>
  <c r="VS22"/>
  <c r="VS25"/>
  <c r="VS31"/>
  <c r="VS10"/>
  <c r="XJ10" s="1"/>
  <c r="RD10"/>
  <c r="RH10"/>
  <c r="QW16"/>
  <c r="RA16"/>
  <c r="RR13"/>
  <c r="RV13"/>
  <c r="RR6"/>
  <c r="RV6"/>
  <c r="QW7"/>
  <c r="RA7"/>
  <c r="RR18"/>
  <c r="RV18"/>
  <c r="QW11"/>
  <c r="RA11"/>
  <c r="RD12"/>
  <c r="RH12"/>
  <c r="VS5"/>
  <c r="XJ5" s="1"/>
  <c r="VS17"/>
  <c r="VS21"/>
  <c r="VS23"/>
  <c r="VS20"/>
  <c r="VS7"/>
  <c r="XJ7" s="1"/>
  <c r="VS15"/>
  <c r="VS11"/>
  <c r="XJ11" s="1"/>
  <c r="VS8"/>
  <c r="XJ8" s="1"/>
  <c r="RK19"/>
  <c r="RO19"/>
  <c r="QW23"/>
  <c r="RA23"/>
  <c r="QW20"/>
  <c r="RA20"/>
  <c r="RK17"/>
  <c r="RO17"/>
  <c r="QW5"/>
  <c r="RA5"/>
  <c r="QW15"/>
  <c r="QZ15" s="1"/>
  <c r="RA15"/>
  <c r="RD14"/>
  <c r="RH14"/>
  <c r="RY22"/>
  <c r="SC22"/>
  <c r="RD4"/>
  <c r="RH4"/>
  <c r="QW8"/>
  <c r="RA8"/>
  <c r="RY9"/>
  <c r="SC9"/>
  <c r="RK21"/>
  <c r="RO21"/>
  <c r="ZC6" l="1"/>
  <c r="ZC7"/>
  <c r="QZ8"/>
  <c r="VT8" s="1"/>
  <c r="XK8" s="1"/>
  <c r="QZ5"/>
  <c r="QZ20"/>
  <c r="QZ23"/>
  <c r="QZ11"/>
  <c r="QZ7"/>
  <c r="QZ16"/>
  <c r="QZ14"/>
  <c r="QZ6"/>
  <c r="VT6" s="1"/>
  <c r="XK6" s="1"/>
  <c r="QZ9"/>
  <c r="QZ27"/>
  <c r="QZ28"/>
  <c r="QZ30"/>
  <c r="VT30" s="1"/>
  <c r="QZ25"/>
  <c r="QZ32"/>
  <c r="QZ13"/>
  <c r="QZ12"/>
  <c r="ZC8"/>
  <c r="QZ17"/>
  <c r="VT17" s="1"/>
  <c r="QZ21"/>
  <c r="QZ19"/>
  <c r="QZ10"/>
  <c r="QZ22"/>
  <c r="VT22" s="1"/>
  <c r="QZ26"/>
  <c r="QZ33"/>
  <c r="VT33" s="1"/>
  <c r="QZ29"/>
  <c r="QZ31"/>
  <c r="QZ24"/>
  <c r="QZ4"/>
  <c r="QZ18"/>
  <c r="ZC4"/>
  <c r="ZC5"/>
  <c r="VT4"/>
  <c r="XK4" s="1"/>
  <c r="RR21"/>
  <c r="RV21"/>
  <c r="SF9"/>
  <c r="SJ9"/>
  <c r="RD8"/>
  <c r="RH8"/>
  <c r="RK4"/>
  <c r="RO4"/>
  <c r="SF22"/>
  <c r="SJ22"/>
  <c r="RK14"/>
  <c r="RO14"/>
  <c r="RD15"/>
  <c r="RH15"/>
  <c r="RD5"/>
  <c r="RH5"/>
  <c r="RR17"/>
  <c r="RV17"/>
  <c r="RD20"/>
  <c r="RH20"/>
  <c r="RD23"/>
  <c r="RH23"/>
  <c r="RR19"/>
  <c r="RV19"/>
  <c r="VT14"/>
  <c r="ZD11" s="1"/>
  <c r="VT10"/>
  <c r="XK10" s="1"/>
  <c r="VT9"/>
  <c r="XK9" s="1"/>
  <c r="VT29"/>
  <c r="VT31"/>
  <c r="VT26"/>
  <c r="VT24"/>
  <c r="VT25"/>
  <c r="VT11"/>
  <c r="XK11" s="1"/>
  <c r="VT7"/>
  <c r="XK7" s="1"/>
  <c r="VT16"/>
  <c r="VT5"/>
  <c r="XK5" s="1"/>
  <c r="VT21"/>
  <c r="VT19"/>
  <c r="RK12"/>
  <c r="RO12"/>
  <c r="RD11"/>
  <c r="RH11"/>
  <c r="RY18"/>
  <c r="SC18"/>
  <c r="RD7"/>
  <c r="RG7" s="1"/>
  <c r="RH7"/>
  <c r="RY6"/>
  <c r="SC6"/>
  <c r="RY13"/>
  <c r="SC13"/>
  <c r="RD16"/>
  <c r="RH16"/>
  <c r="RK10"/>
  <c r="RO10"/>
  <c r="VT15"/>
  <c r="VT20"/>
  <c r="VT23"/>
  <c r="VT12"/>
  <c r="ZD10" s="1"/>
  <c r="VT18"/>
  <c r="VT13"/>
  <c r="VT27"/>
  <c r="VT32"/>
  <c r="VT28"/>
  <c r="RG16" l="1"/>
  <c r="VU16" s="1"/>
  <c r="RG11"/>
  <c r="RG23"/>
  <c r="VU23" s="1"/>
  <c r="RG20"/>
  <c r="RG5"/>
  <c r="VU5" s="1"/>
  <c r="XL5" s="1"/>
  <c r="RG15"/>
  <c r="RG8"/>
  <c r="VU8" s="1"/>
  <c r="XL8" s="1"/>
  <c r="RG10"/>
  <c r="RG14"/>
  <c r="VU14" s="1"/>
  <c r="ZE11" s="1"/>
  <c r="RG13"/>
  <c r="RG12"/>
  <c r="VU12" s="1"/>
  <c r="ZE10" s="1"/>
  <c r="RG22"/>
  <c r="RG25"/>
  <c r="RG24"/>
  <c r="VU24" s="1"/>
  <c r="RG26"/>
  <c r="VU26" s="1"/>
  <c r="RG28"/>
  <c r="RG31"/>
  <c r="VU31" s="1"/>
  <c r="RG4"/>
  <c r="RG17"/>
  <c r="VU17" s="1"/>
  <c r="RG19"/>
  <c r="RG21"/>
  <c r="RG18"/>
  <c r="VU18" s="1"/>
  <c r="RG6"/>
  <c r="VU6" s="1"/>
  <c r="XL6" s="1"/>
  <c r="RG9"/>
  <c r="RG27"/>
  <c r="RG32"/>
  <c r="RG29"/>
  <c r="VU29" s="1"/>
  <c r="RG33"/>
  <c r="RG30"/>
  <c r="ZD6"/>
  <c r="ZD4"/>
  <c r="ZD8"/>
  <c r="ZD5"/>
  <c r="ZD7"/>
  <c r="VU10"/>
  <c r="XL10" s="1"/>
  <c r="VU33"/>
  <c r="VU19"/>
  <c r="VU9"/>
  <c r="XL9" s="1"/>
  <c r="VU32"/>
  <c r="RK16"/>
  <c r="RO16"/>
  <c r="SF6"/>
  <c r="SJ6"/>
  <c r="RK7"/>
  <c r="RO7"/>
  <c r="RR12"/>
  <c r="RV12"/>
  <c r="RY19"/>
  <c r="SC19"/>
  <c r="RK23"/>
  <c r="RO23"/>
  <c r="RY17"/>
  <c r="SC17"/>
  <c r="RK5"/>
  <c r="RO5"/>
  <c r="RR14"/>
  <c r="RV14"/>
  <c r="SM22"/>
  <c r="SQ22"/>
  <c r="RK8"/>
  <c r="RO8"/>
  <c r="RY21"/>
  <c r="SC21"/>
  <c r="RR10"/>
  <c r="RV10"/>
  <c r="SF13"/>
  <c r="SJ13"/>
  <c r="SF18"/>
  <c r="SJ18"/>
  <c r="RK11"/>
  <c r="RN11" s="1"/>
  <c r="RO11"/>
  <c r="RK20"/>
  <c r="RO20"/>
  <c r="RK15"/>
  <c r="RO15"/>
  <c r="RR4"/>
  <c r="RV4"/>
  <c r="SM9"/>
  <c r="SQ9"/>
  <c r="VU7"/>
  <c r="XL7" s="1"/>
  <c r="VU11"/>
  <c r="XL11" s="1"/>
  <c r="VU13"/>
  <c r="VU22"/>
  <c r="VU27"/>
  <c r="VU28"/>
  <c r="VU30"/>
  <c r="VU4"/>
  <c r="XL4" s="1"/>
  <c r="VU25"/>
  <c r="VU21"/>
  <c r="VU20"/>
  <c r="VU15"/>
  <c r="ZE7" l="1"/>
  <c r="RN15"/>
  <c r="VV15" s="1"/>
  <c r="RN20"/>
  <c r="RN8"/>
  <c r="RN5"/>
  <c r="RN23"/>
  <c r="RN7"/>
  <c r="RN16"/>
  <c r="RN19"/>
  <c r="RN17"/>
  <c r="RN14"/>
  <c r="VV14" s="1"/>
  <c r="ZF11" s="1"/>
  <c r="RN6"/>
  <c r="VV6" s="1"/>
  <c r="XM6" s="1"/>
  <c r="RN9"/>
  <c r="VV9" s="1"/>
  <c r="XM9" s="1"/>
  <c r="RN30"/>
  <c r="VV30" s="1"/>
  <c r="RN24"/>
  <c r="VV24" s="1"/>
  <c r="RN31"/>
  <c r="VV31" s="1"/>
  <c r="RN26"/>
  <c r="VV26" s="1"/>
  <c r="RN27"/>
  <c r="VV27" s="1"/>
  <c r="RN18"/>
  <c r="VV18" s="1"/>
  <c r="RN12"/>
  <c r="VV12" s="1"/>
  <c r="ZF10" s="1"/>
  <c r="RN21"/>
  <c r="RN10"/>
  <c r="VV10" s="1"/>
  <c r="XM10" s="1"/>
  <c r="RN22"/>
  <c r="VV22" s="1"/>
  <c r="RN33"/>
  <c r="VV33" s="1"/>
  <c r="RN29"/>
  <c r="VV29" s="1"/>
  <c r="RN32"/>
  <c r="VV32" s="1"/>
  <c r="RN25"/>
  <c r="VV25" s="1"/>
  <c r="RN28"/>
  <c r="VV28" s="1"/>
  <c r="RN4"/>
  <c r="VV4" s="1"/>
  <c r="XM4" s="1"/>
  <c r="ZF6" s="1"/>
  <c r="RN13"/>
  <c r="VV13" s="1"/>
  <c r="ZE6"/>
  <c r="ZE4"/>
  <c r="ZE8"/>
  <c r="ZE5"/>
  <c r="RR20"/>
  <c r="RV20"/>
  <c r="SM13"/>
  <c r="SQ13"/>
  <c r="RY10"/>
  <c r="SC10"/>
  <c r="ST22"/>
  <c r="SX22"/>
  <c r="RR5"/>
  <c r="RV5"/>
  <c r="RR23"/>
  <c r="RV23"/>
  <c r="SF19"/>
  <c r="SJ19"/>
  <c r="SM6"/>
  <c r="SQ6"/>
  <c r="VV5"/>
  <c r="XM5" s="1"/>
  <c r="VV21"/>
  <c r="VV19"/>
  <c r="VV17"/>
  <c r="VV20"/>
  <c r="VV11"/>
  <c r="XM11" s="1"/>
  <c r="ZF5" s="1"/>
  <c r="VV8"/>
  <c r="XM8" s="1"/>
  <c r="VV23"/>
  <c r="VV7"/>
  <c r="XM7" s="1"/>
  <c r="ZF8" s="1"/>
  <c r="VV16"/>
  <c r="ZF4" s="1"/>
  <c r="ST9"/>
  <c r="SX9"/>
  <c r="RY4"/>
  <c r="SC4"/>
  <c r="RR15"/>
  <c r="RV15"/>
  <c r="RR11"/>
  <c r="RV11"/>
  <c r="SM18"/>
  <c r="SQ18"/>
  <c r="SF21"/>
  <c r="SJ21"/>
  <c r="RR8"/>
  <c r="RV8"/>
  <c r="RY14"/>
  <c r="SC14"/>
  <c r="SF17"/>
  <c r="SJ17"/>
  <c r="RY12"/>
  <c r="SC12"/>
  <c r="RR7"/>
  <c r="RU7" s="1"/>
  <c r="RV7"/>
  <c r="RR16"/>
  <c r="RV16"/>
  <c r="ZF7" l="1"/>
  <c r="RU16"/>
  <c r="VW16" s="1"/>
  <c r="RU8"/>
  <c r="RU11"/>
  <c r="RU15"/>
  <c r="RU23"/>
  <c r="RU5"/>
  <c r="RU20"/>
  <c r="RU17"/>
  <c r="RU13"/>
  <c r="RU12"/>
  <c r="RU9"/>
  <c r="RU33"/>
  <c r="RU29"/>
  <c r="RU31"/>
  <c r="RU32"/>
  <c r="VW32" s="1"/>
  <c r="RU27"/>
  <c r="RU4"/>
  <c r="RU19"/>
  <c r="RU21"/>
  <c r="RU14"/>
  <c r="RU10"/>
  <c r="RU18"/>
  <c r="RU6"/>
  <c r="RU22"/>
  <c r="RU28"/>
  <c r="RU30"/>
  <c r="RU24"/>
  <c r="RU25"/>
  <c r="RU26"/>
  <c r="RY16"/>
  <c r="SC16"/>
  <c r="RY7"/>
  <c r="SC7"/>
  <c r="SF14"/>
  <c r="SJ14"/>
  <c r="SM21"/>
  <c r="SQ21"/>
  <c r="ST18"/>
  <c r="SX18"/>
  <c r="RY11"/>
  <c r="SC11"/>
  <c r="RY15"/>
  <c r="SB15" s="1"/>
  <c r="SC15"/>
  <c r="SF4"/>
  <c r="SJ4"/>
  <c r="TA9"/>
  <c r="TE9"/>
  <c r="VW5"/>
  <c r="XN5" s="1"/>
  <c r="VW17"/>
  <c r="VW19"/>
  <c r="VW21"/>
  <c r="VW6"/>
  <c r="XN6" s="1"/>
  <c r="VW9"/>
  <c r="XN9" s="1"/>
  <c r="VW27"/>
  <c r="VW33"/>
  <c r="VW28"/>
  <c r="VW31"/>
  <c r="VW26"/>
  <c r="VW23"/>
  <c r="VW20"/>
  <c r="SF12"/>
  <c r="SJ12"/>
  <c r="SM17"/>
  <c r="SQ17"/>
  <c r="RY8"/>
  <c r="SC8"/>
  <c r="ST6"/>
  <c r="SX6"/>
  <c r="SM19"/>
  <c r="SQ19"/>
  <c r="RY23"/>
  <c r="SC23"/>
  <c r="RY5"/>
  <c r="SB5" s="1"/>
  <c r="SC5"/>
  <c r="TA22"/>
  <c r="TE22"/>
  <c r="SF10"/>
  <c r="SJ10"/>
  <c r="ST13"/>
  <c r="SX13"/>
  <c r="RY20"/>
  <c r="SC20"/>
  <c r="VW7"/>
  <c r="XN7" s="1"/>
  <c r="VW8"/>
  <c r="XN8" s="1"/>
  <c r="VW11"/>
  <c r="XN11" s="1"/>
  <c r="VW15"/>
  <c r="VW12"/>
  <c r="ZG10" s="1"/>
  <c r="VW14"/>
  <c r="ZG11" s="1"/>
  <c r="VW10"/>
  <c r="XN10" s="1"/>
  <c r="VW13"/>
  <c r="VW18"/>
  <c r="VW22"/>
  <c r="VW24"/>
  <c r="VW29"/>
  <c r="VW4"/>
  <c r="XN4" s="1"/>
  <c r="VW25"/>
  <c r="VW30"/>
  <c r="SB20" l="1"/>
  <c r="VX20" s="1"/>
  <c r="SB23"/>
  <c r="SB8"/>
  <c r="SB19"/>
  <c r="SB21"/>
  <c r="SB10"/>
  <c r="SB14"/>
  <c r="SB6"/>
  <c r="SB22"/>
  <c r="VX22" s="1"/>
  <c r="SB27"/>
  <c r="SB26"/>
  <c r="SB28"/>
  <c r="SB33"/>
  <c r="VX33" s="1"/>
  <c r="SB32"/>
  <c r="SB18"/>
  <c r="SB12"/>
  <c r="SB11"/>
  <c r="SB7"/>
  <c r="SB16"/>
  <c r="VX16" s="1"/>
  <c r="SB17"/>
  <c r="SB9"/>
  <c r="SB31"/>
  <c r="VX31" s="1"/>
  <c r="SB29"/>
  <c r="SB25"/>
  <c r="VX25" s="1"/>
  <c r="SB30"/>
  <c r="SB24"/>
  <c r="SB4"/>
  <c r="SB13"/>
  <c r="VX13" s="1"/>
  <c r="ZG8"/>
  <c r="ZG6"/>
  <c r="ZG4"/>
  <c r="ZG5"/>
  <c r="ZG7"/>
  <c r="VX14"/>
  <c r="ZH11" s="1"/>
  <c r="VX12"/>
  <c r="ZH10" s="1"/>
  <c r="VX21"/>
  <c r="VX24"/>
  <c r="VX17"/>
  <c r="VX6"/>
  <c r="XO6" s="1"/>
  <c r="VX28"/>
  <c r="VX26"/>
  <c r="VX32"/>
  <c r="VX10"/>
  <c r="XO10" s="1"/>
  <c r="TA13"/>
  <c r="TE13"/>
  <c r="SM10"/>
  <c r="SQ10"/>
  <c r="SF5"/>
  <c r="SJ5"/>
  <c r="ST19"/>
  <c r="SX19"/>
  <c r="SM12"/>
  <c r="SQ12"/>
  <c r="TH9"/>
  <c r="TL9"/>
  <c r="SM4"/>
  <c r="SQ4"/>
  <c r="SF11"/>
  <c r="SJ11"/>
  <c r="SF7"/>
  <c r="SJ7"/>
  <c r="SF20"/>
  <c r="SJ20"/>
  <c r="TH22"/>
  <c r="TL22"/>
  <c r="SF23"/>
  <c r="SJ23"/>
  <c r="TA6"/>
  <c r="TE6"/>
  <c r="SF8"/>
  <c r="SI8" s="1"/>
  <c r="SJ8"/>
  <c r="ST17"/>
  <c r="SX17"/>
  <c r="SF15"/>
  <c r="SJ15"/>
  <c r="TA18"/>
  <c r="TE18"/>
  <c r="ST21"/>
  <c r="SX21"/>
  <c r="SM14"/>
  <c r="SQ14"/>
  <c r="SF16"/>
  <c r="SI21" s="1"/>
  <c r="SJ16"/>
  <c r="VX5"/>
  <c r="XO5" s="1"/>
  <c r="VX23"/>
  <c r="VX18"/>
  <c r="VX9"/>
  <c r="XO9" s="1"/>
  <c r="VX30"/>
  <c r="VX29"/>
  <c r="VX27"/>
  <c r="VX4"/>
  <c r="XO4" s="1"/>
  <c r="VX8"/>
  <c r="XO8" s="1"/>
  <c r="VX19"/>
  <c r="VX15"/>
  <c r="VX11"/>
  <c r="XO11" s="1"/>
  <c r="VX7"/>
  <c r="XO7" s="1"/>
  <c r="SI14" l="1"/>
  <c r="VY14" s="1"/>
  <c r="ZI11" s="1"/>
  <c r="SI4"/>
  <c r="VY4" s="1"/>
  <c r="XP4" s="1"/>
  <c r="SI31"/>
  <c r="VY31" s="1"/>
  <c r="SI25"/>
  <c r="VY25" s="1"/>
  <c r="SI17"/>
  <c r="SI9"/>
  <c r="VY9" s="1"/>
  <c r="XP9" s="1"/>
  <c r="SI27"/>
  <c r="VY27" s="1"/>
  <c r="SI18"/>
  <c r="VY18" s="1"/>
  <c r="SI24"/>
  <c r="VY24" s="1"/>
  <c r="SI29"/>
  <c r="VY29" s="1"/>
  <c r="SI16"/>
  <c r="VY16" s="1"/>
  <c r="ZH8"/>
  <c r="SI15"/>
  <c r="VY15" s="1"/>
  <c r="SI23"/>
  <c r="SI20"/>
  <c r="SI7"/>
  <c r="SI11"/>
  <c r="SI5"/>
  <c r="SI6"/>
  <c r="VY6" s="1"/>
  <c r="XP6" s="1"/>
  <c r="ZI6" s="1"/>
  <c r="SI22"/>
  <c r="VY22" s="1"/>
  <c r="SI32"/>
  <c r="VY32" s="1"/>
  <c r="SI26"/>
  <c r="VY26" s="1"/>
  <c r="SI33"/>
  <c r="VY33" s="1"/>
  <c r="SI28"/>
  <c r="VY28" s="1"/>
  <c r="SI30"/>
  <c r="VY30" s="1"/>
  <c r="SI19"/>
  <c r="SI10"/>
  <c r="VY10" s="1"/>
  <c r="XP10" s="1"/>
  <c r="SI13"/>
  <c r="VY13" s="1"/>
  <c r="SI12"/>
  <c r="VY12" s="1"/>
  <c r="ZI10" s="1"/>
  <c r="ZH4"/>
  <c r="ZH6"/>
  <c r="ZH5"/>
  <c r="ZH7"/>
  <c r="ST14"/>
  <c r="SX14"/>
  <c r="SM15"/>
  <c r="SQ15"/>
  <c r="SM8"/>
  <c r="SQ8"/>
  <c r="TH6"/>
  <c r="TL6"/>
  <c r="SM20"/>
  <c r="SQ20"/>
  <c r="ST4"/>
  <c r="SX4"/>
  <c r="TA19"/>
  <c r="TE19"/>
  <c r="ST10"/>
  <c r="SX10"/>
  <c r="VY5"/>
  <c r="XP5" s="1"/>
  <c r="VY19"/>
  <c r="VY17"/>
  <c r="VY21"/>
  <c r="VY8"/>
  <c r="XP8" s="1"/>
  <c r="VY23"/>
  <c r="VY20"/>
  <c r="VY7"/>
  <c r="XP7" s="1"/>
  <c r="ZI8" s="1"/>
  <c r="VY11"/>
  <c r="XP11" s="1"/>
  <c r="ZI5" s="1"/>
  <c r="SM16"/>
  <c r="SP16" s="1"/>
  <c r="SQ16"/>
  <c r="TA21"/>
  <c r="TE21"/>
  <c r="TH18"/>
  <c r="TL18"/>
  <c r="TA17"/>
  <c r="TE17"/>
  <c r="SM23"/>
  <c r="SQ23"/>
  <c r="TO22"/>
  <c r="TS22"/>
  <c r="SM7"/>
  <c r="SQ7"/>
  <c r="SM11"/>
  <c r="SQ11"/>
  <c r="TO9"/>
  <c r="TS9"/>
  <c r="ST12"/>
  <c r="SX12"/>
  <c r="SM5"/>
  <c r="SQ5"/>
  <c r="TH13"/>
  <c r="TL13"/>
  <c r="ZI7" l="1"/>
  <c r="SP5"/>
  <c r="SP15"/>
  <c r="SP19"/>
  <c r="SP11"/>
  <c r="SP7"/>
  <c r="SP23"/>
  <c r="SP20"/>
  <c r="SP8"/>
  <c r="SP21"/>
  <c r="SP10"/>
  <c r="SP14"/>
  <c r="SP13"/>
  <c r="SP12"/>
  <c r="SP22"/>
  <c r="SP25"/>
  <c r="SP27"/>
  <c r="SP24"/>
  <c r="SP33"/>
  <c r="VZ33" s="1"/>
  <c r="SP29"/>
  <c r="SP4"/>
  <c r="SP17"/>
  <c r="SP18"/>
  <c r="SP6"/>
  <c r="SP9"/>
  <c r="SP30"/>
  <c r="SP31"/>
  <c r="SP32"/>
  <c r="SP26"/>
  <c r="SP28"/>
  <c r="ZI4"/>
  <c r="TO13"/>
  <c r="TS13"/>
  <c r="TA12"/>
  <c r="TE12"/>
  <c r="ST11"/>
  <c r="SX11"/>
  <c r="ST7"/>
  <c r="SX7"/>
  <c r="TV22"/>
  <c r="TZ22"/>
  <c r="ST23"/>
  <c r="SX23"/>
  <c r="TH17"/>
  <c r="TL17"/>
  <c r="TO18"/>
  <c r="TS18"/>
  <c r="TH21"/>
  <c r="TL21"/>
  <c r="ST16"/>
  <c r="SX16"/>
  <c r="VZ14"/>
  <c r="ZJ11" s="1"/>
  <c r="VZ18"/>
  <c r="VZ22"/>
  <c r="VZ26"/>
  <c r="VZ25"/>
  <c r="VZ30"/>
  <c r="VZ24"/>
  <c r="VZ4"/>
  <c r="XQ4" s="1"/>
  <c r="VZ20"/>
  <c r="VZ8"/>
  <c r="XQ8" s="1"/>
  <c r="VZ15"/>
  <c r="ST5"/>
  <c r="SX5"/>
  <c r="TV9"/>
  <c r="TZ9"/>
  <c r="VZ5"/>
  <c r="XQ5" s="1"/>
  <c r="VZ19"/>
  <c r="VZ21"/>
  <c r="VZ17"/>
  <c r="TA10"/>
  <c r="TE10"/>
  <c r="TH19"/>
  <c r="TL19"/>
  <c r="TA4"/>
  <c r="TE4"/>
  <c r="ST20"/>
  <c r="SX20"/>
  <c r="TO6"/>
  <c r="TS6"/>
  <c r="ST8"/>
  <c r="SW8" s="1"/>
  <c r="SX8"/>
  <c r="ST15"/>
  <c r="SX15"/>
  <c r="TA14"/>
  <c r="TE14"/>
  <c r="VZ11"/>
  <c r="XQ11" s="1"/>
  <c r="VZ7"/>
  <c r="XQ7" s="1"/>
  <c r="VZ23"/>
  <c r="VZ16"/>
  <c r="VZ10"/>
  <c r="XQ10" s="1"/>
  <c r="VZ12"/>
  <c r="ZJ10" s="1"/>
  <c r="VZ6"/>
  <c r="XQ6" s="1"/>
  <c r="ZJ6" s="1"/>
  <c r="VZ13"/>
  <c r="VZ9"/>
  <c r="XQ9" s="1"/>
  <c r="VZ28"/>
  <c r="VZ31"/>
  <c r="VZ27"/>
  <c r="VZ29"/>
  <c r="VZ32"/>
  <c r="SW15" l="1"/>
  <c r="WA15" s="1"/>
  <c r="SW20"/>
  <c r="SW5"/>
  <c r="SW19"/>
  <c r="SW10"/>
  <c r="SW6"/>
  <c r="SW22"/>
  <c r="SW31"/>
  <c r="SW25"/>
  <c r="SW30"/>
  <c r="SW24"/>
  <c r="SW26"/>
  <c r="SW18"/>
  <c r="SW12"/>
  <c r="SW16"/>
  <c r="SW23"/>
  <c r="SW7"/>
  <c r="SW11"/>
  <c r="SW21"/>
  <c r="WA21" s="1"/>
  <c r="SW17"/>
  <c r="SW14"/>
  <c r="SW9"/>
  <c r="SW29"/>
  <c r="SW28"/>
  <c r="SW27"/>
  <c r="SW33"/>
  <c r="SW32"/>
  <c r="SW4"/>
  <c r="SW13"/>
  <c r="ZJ5"/>
  <c r="ZJ8"/>
  <c r="ZJ4"/>
  <c r="ZJ7"/>
  <c r="WA8"/>
  <c r="XR8" s="1"/>
  <c r="WA5"/>
  <c r="XR5" s="1"/>
  <c r="WA17"/>
  <c r="WA19"/>
  <c r="TA16"/>
  <c r="TE16"/>
  <c r="TH14"/>
  <c r="TL14"/>
  <c r="TA15"/>
  <c r="TD15" s="1"/>
  <c r="TE15"/>
  <c r="TA8"/>
  <c r="TE8"/>
  <c r="TV6"/>
  <c r="TZ6"/>
  <c r="TA20"/>
  <c r="TE20"/>
  <c r="TH4"/>
  <c r="TL4"/>
  <c r="TO19"/>
  <c r="TS19"/>
  <c r="TH10"/>
  <c r="TL10"/>
  <c r="UC9"/>
  <c r="UG9"/>
  <c r="TA5"/>
  <c r="TE5"/>
  <c r="WA20"/>
  <c r="WA18"/>
  <c r="WA13"/>
  <c r="WA22"/>
  <c r="WA28"/>
  <c r="WA27"/>
  <c r="WA30"/>
  <c r="WA32"/>
  <c r="WA24"/>
  <c r="WA12"/>
  <c r="ZK10" s="1"/>
  <c r="WA14"/>
  <c r="ZK11" s="1"/>
  <c r="WA10"/>
  <c r="XR10" s="1"/>
  <c r="WA6"/>
  <c r="XR6" s="1"/>
  <c r="WA9"/>
  <c r="XR9" s="1"/>
  <c r="WA33"/>
  <c r="WA25"/>
  <c r="WA29"/>
  <c r="WA4"/>
  <c r="XR4" s="1"/>
  <c r="WA26"/>
  <c r="WA31"/>
  <c r="WA16"/>
  <c r="WA23"/>
  <c r="WA7"/>
  <c r="XR7" s="1"/>
  <c r="WA11"/>
  <c r="XR11" s="1"/>
  <c r="TO21"/>
  <c r="TS21"/>
  <c r="TV18"/>
  <c r="TZ18"/>
  <c r="TO17"/>
  <c r="TS17"/>
  <c r="TA23"/>
  <c r="TE23"/>
  <c r="UC22"/>
  <c r="UG22"/>
  <c r="TA7"/>
  <c r="TE7"/>
  <c r="TA11"/>
  <c r="TE11"/>
  <c r="TH12"/>
  <c r="TL12"/>
  <c r="TV13"/>
  <c r="TZ13"/>
  <c r="ZK8" l="1"/>
  <c r="TD4"/>
  <c r="TD21"/>
  <c r="TD18"/>
  <c r="TD12"/>
  <c r="TD10"/>
  <c r="TD14"/>
  <c r="TD9"/>
  <c r="TD26"/>
  <c r="TD28"/>
  <c r="TD30"/>
  <c r="TD25"/>
  <c r="TD32"/>
  <c r="TD11"/>
  <c r="WB11" s="1"/>
  <c r="XS11" s="1"/>
  <c r="TD7"/>
  <c r="TD23"/>
  <c r="TD5"/>
  <c r="TD20"/>
  <c r="TD8"/>
  <c r="TD16"/>
  <c r="TD17"/>
  <c r="TD19"/>
  <c r="TD13"/>
  <c r="TD6"/>
  <c r="TD22"/>
  <c r="TD33"/>
  <c r="TD29"/>
  <c r="TD27"/>
  <c r="TD24"/>
  <c r="TD31"/>
  <c r="ZK6"/>
  <c r="ZK4"/>
  <c r="ZK5"/>
  <c r="ZK7"/>
  <c r="WB21"/>
  <c r="TO12"/>
  <c r="TS12"/>
  <c r="TH11"/>
  <c r="TL11"/>
  <c r="UJ22"/>
  <c r="UN22"/>
  <c r="UQ22" s="1"/>
  <c r="TV17"/>
  <c r="TZ17"/>
  <c r="TV21"/>
  <c r="TZ21"/>
  <c r="UJ9"/>
  <c r="UN9"/>
  <c r="UQ9" s="1"/>
  <c r="TV19"/>
  <c r="TZ19"/>
  <c r="TH20"/>
  <c r="TL20"/>
  <c r="TH15"/>
  <c r="TL15"/>
  <c r="TO14"/>
  <c r="TS14"/>
  <c r="WB7"/>
  <c r="XS7" s="1"/>
  <c r="WB23"/>
  <c r="WB12"/>
  <c r="ZL10" s="1"/>
  <c r="WB17"/>
  <c r="WB19"/>
  <c r="WB10"/>
  <c r="XS10" s="1"/>
  <c r="WB14"/>
  <c r="ZL11" s="1"/>
  <c r="WB5"/>
  <c r="XS5" s="1"/>
  <c r="WB20"/>
  <c r="WB8"/>
  <c r="XS8" s="1"/>
  <c r="WB15"/>
  <c r="WB16"/>
  <c r="WB6"/>
  <c r="XS6" s="1"/>
  <c r="WB22"/>
  <c r="WB28"/>
  <c r="WB32"/>
  <c r="WB29"/>
  <c r="WB33"/>
  <c r="WB4"/>
  <c r="XS4" s="1"/>
  <c r="WB27"/>
  <c r="UC13"/>
  <c r="UG13"/>
  <c r="TH7"/>
  <c r="TL7"/>
  <c r="TH23"/>
  <c r="TL23"/>
  <c r="UC18"/>
  <c r="UG18"/>
  <c r="TH5"/>
  <c r="TL5"/>
  <c r="TO10"/>
  <c r="TS10"/>
  <c r="TO4"/>
  <c r="TS4"/>
  <c r="UC6"/>
  <c r="UG6"/>
  <c r="TH8"/>
  <c r="TK8" s="1"/>
  <c r="TL8"/>
  <c r="TH16"/>
  <c r="TL16"/>
  <c r="WB13"/>
  <c r="WB18"/>
  <c r="WB9"/>
  <c r="XS9" s="1"/>
  <c r="WB31"/>
  <c r="WB30"/>
  <c r="WB25"/>
  <c r="WB24"/>
  <c r="WB26"/>
  <c r="TK16" l="1"/>
  <c r="WC16" s="1"/>
  <c r="TK5"/>
  <c r="TK23"/>
  <c r="TK7"/>
  <c r="TK15"/>
  <c r="TK20"/>
  <c r="TK11"/>
  <c r="TK14"/>
  <c r="TK9"/>
  <c r="TK27"/>
  <c r="TK32"/>
  <c r="TK26"/>
  <c r="TK28"/>
  <c r="TK31"/>
  <c r="TK4"/>
  <c r="TK13"/>
  <c r="TK17"/>
  <c r="TK19"/>
  <c r="TK10"/>
  <c r="TK6"/>
  <c r="TK22"/>
  <c r="TK24"/>
  <c r="TK33"/>
  <c r="TK25"/>
  <c r="TK29"/>
  <c r="TK30"/>
  <c r="TK18"/>
  <c r="TK12"/>
  <c r="TK21"/>
  <c r="ZL6"/>
  <c r="ZL4"/>
  <c r="ZL5"/>
  <c r="ZL8"/>
  <c r="ZL7"/>
  <c r="WC33"/>
  <c r="TO8"/>
  <c r="TS8"/>
  <c r="UJ6"/>
  <c r="UN6"/>
  <c r="UQ6" s="1"/>
  <c r="TV4"/>
  <c r="TZ4"/>
  <c r="TV10"/>
  <c r="TZ10"/>
  <c r="TO5"/>
  <c r="TS5"/>
  <c r="UJ18"/>
  <c r="UN18"/>
  <c r="UQ18" s="1"/>
  <c r="TO23"/>
  <c r="TS23"/>
  <c r="TO7"/>
  <c r="TS7"/>
  <c r="UJ13"/>
  <c r="UN13"/>
  <c r="UQ13" s="1"/>
  <c r="WC18"/>
  <c r="WC9"/>
  <c r="XT9" s="1"/>
  <c r="WC29"/>
  <c r="WC31"/>
  <c r="WC27"/>
  <c r="WC32"/>
  <c r="WC28"/>
  <c r="WC15"/>
  <c r="WC20"/>
  <c r="WC11"/>
  <c r="XT11" s="1"/>
  <c r="TO16"/>
  <c r="TS16"/>
  <c r="WC5"/>
  <c r="XT5" s="1"/>
  <c r="WC19"/>
  <c r="WC21"/>
  <c r="WC17"/>
  <c r="TV14"/>
  <c r="TZ14"/>
  <c r="TO15"/>
  <c r="TR15" s="1"/>
  <c r="TS15"/>
  <c r="TO20"/>
  <c r="TS20"/>
  <c r="UC19"/>
  <c r="UG19"/>
  <c r="UC21"/>
  <c r="UG21"/>
  <c r="UC17"/>
  <c r="UG17"/>
  <c r="TO11"/>
  <c r="TS11"/>
  <c r="TV12"/>
  <c r="TZ12"/>
  <c r="WC8"/>
  <c r="XT8" s="1"/>
  <c r="WC23"/>
  <c r="WC7"/>
  <c r="XT7" s="1"/>
  <c r="WC14"/>
  <c r="ZM11" s="1"/>
  <c r="WC10"/>
  <c r="XT10" s="1"/>
  <c r="ZM5" s="1"/>
  <c r="WC12"/>
  <c r="ZM10" s="1"/>
  <c r="WC6"/>
  <c r="XT6" s="1"/>
  <c r="WC13"/>
  <c r="WC22"/>
  <c r="WC4"/>
  <c r="XT4" s="1"/>
  <c r="ZM8" s="1"/>
  <c r="WC26"/>
  <c r="WC24"/>
  <c r="WC30"/>
  <c r="WC25"/>
  <c r="TR11" l="1"/>
  <c r="WD11" s="1"/>
  <c r="XU11" s="1"/>
  <c r="TR20"/>
  <c r="TR16"/>
  <c r="TR7"/>
  <c r="TR23"/>
  <c r="TR5"/>
  <c r="TR8"/>
  <c r="TR21"/>
  <c r="TR13"/>
  <c r="TR12"/>
  <c r="TR9"/>
  <c r="TR31"/>
  <c r="TR30"/>
  <c r="TR24"/>
  <c r="TR27"/>
  <c r="TR26"/>
  <c r="TR4"/>
  <c r="TR17"/>
  <c r="WD17" s="1"/>
  <c r="TR19"/>
  <c r="WD19" s="1"/>
  <c r="TR14"/>
  <c r="TR10"/>
  <c r="WD10" s="1"/>
  <c r="XU10" s="1"/>
  <c r="TR18"/>
  <c r="TR6"/>
  <c r="TR22"/>
  <c r="TR33"/>
  <c r="TR29"/>
  <c r="TR32"/>
  <c r="TR25"/>
  <c r="TR28"/>
  <c r="ZM4"/>
  <c r="ZM6"/>
  <c r="ZM7"/>
  <c r="TV7"/>
  <c r="TZ7"/>
  <c r="TV23"/>
  <c r="TZ23"/>
  <c r="TV5"/>
  <c r="TZ5"/>
  <c r="UC10"/>
  <c r="UG10"/>
  <c r="UC4"/>
  <c r="UG4"/>
  <c r="TV8"/>
  <c r="TZ8"/>
  <c r="UC12"/>
  <c r="UG12"/>
  <c r="TV11"/>
  <c r="TY11" s="1"/>
  <c r="TZ11"/>
  <c r="UJ17"/>
  <c r="UN17"/>
  <c r="UQ17" s="1"/>
  <c r="UJ21"/>
  <c r="UN21"/>
  <c r="UQ21" s="1"/>
  <c r="UJ19"/>
  <c r="UN19"/>
  <c r="UQ19" s="1"/>
  <c r="TV20"/>
  <c r="TZ20"/>
  <c r="TV15"/>
  <c r="TZ15"/>
  <c r="UC14"/>
  <c r="UG14"/>
  <c r="TV16"/>
  <c r="TZ16"/>
  <c r="WD20"/>
  <c r="WD15"/>
  <c r="WD6"/>
  <c r="XU6" s="1"/>
  <c r="WD22"/>
  <c r="WD32"/>
  <c r="WD31"/>
  <c r="WD24"/>
  <c r="WD28"/>
  <c r="WD4"/>
  <c r="XU4" s="1"/>
  <c r="WD33"/>
  <c r="WD16"/>
  <c r="WD14"/>
  <c r="ZN11" s="1"/>
  <c r="WD21"/>
  <c r="WD13"/>
  <c r="WD18"/>
  <c r="WD9"/>
  <c r="XU9" s="1"/>
  <c r="WD30"/>
  <c r="WD26"/>
  <c r="WD27"/>
  <c r="WD25"/>
  <c r="WD29"/>
  <c r="WD12"/>
  <c r="ZN10" s="1"/>
  <c r="WD7"/>
  <c r="XU7" s="1"/>
  <c r="WD23"/>
  <c r="WD5"/>
  <c r="XU5" s="1"/>
  <c r="WD8"/>
  <c r="XU8" s="1"/>
  <c r="ZN5" s="1"/>
  <c r="TY12" l="1"/>
  <c r="WE12" s="1"/>
  <c r="ZO10" s="1"/>
  <c r="TY26"/>
  <c r="WE26" s="1"/>
  <c r="TY17"/>
  <c r="TY21"/>
  <c r="WE21" s="1"/>
  <c r="TY10"/>
  <c r="TY6"/>
  <c r="TY9"/>
  <c r="TY28"/>
  <c r="TY31"/>
  <c r="WE31" s="1"/>
  <c r="TY32"/>
  <c r="WE32" s="1"/>
  <c r="TY29"/>
  <c r="TY13"/>
  <c r="WE13" s="1"/>
  <c r="TY16"/>
  <c r="WE16" s="1"/>
  <c r="TY15"/>
  <c r="TY20"/>
  <c r="TY8"/>
  <c r="TY5"/>
  <c r="WE5" s="1"/>
  <c r="XV5" s="1"/>
  <c r="TY23"/>
  <c r="TY7"/>
  <c r="WE7" s="1"/>
  <c r="XV7" s="1"/>
  <c r="ZO8" s="1"/>
  <c r="TY19"/>
  <c r="TY14"/>
  <c r="WE14" s="1"/>
  <c r="ZO11" s="1"/>
  <c r="TY22"/>
  <c r="WE22" s="1"/>
  <c r="TY25"/>
  <c r="WE25" s="1"/>
  <c r="TY30"/>
  <c r="TY24"/>
  <c r="WE24" s="1"/>
  <c r="TY33"/>
  <c r="WE33" s="1"/>
  <c r="TY27"/>
  <c r="WE27" s="1"/>
  <c r="TY4"/>
  <c r="WE4" s="1"/>
  <c r="XV4" s="1"/>
  <c r="TY18"/>
  <c r="WE18" s="1"/>
  <c r="WE30"/>
  <c r="WE10"/>
  <c r="XV10" s="1"/>
  <c r="WE6"/>
  <c r="XV6" s="1"/>
  <c r="ZO6" s="1"/>
  <c r="WE9"/>
  <c r="XV9" s="1"/>
  <c r="WE29"/>
  <c r="WE28"/>
  <c r="ZN7"/>
  <c r="ZN6"/>
  <c r="ZN8"/>
  <c r="ZN4"/>
  <c r="UC16"/>
  <c r="UG16"/>
  <c r="UJ14"/>
  <c r="UN14"/>
  <c r="UQ14" s="1"/>
  <c r="UC15"/>
  <c r="UF15" s="1"/>
  <c r="UG15"/>
  <c r="UC20"/>
  <c r="UG20"/>
  <c r="UC11"/>
  <c r="UG11"/>
  <c r="UJ12"/>
  <c r="UN12"/>
  <c r="UQ12" s="1"/>
  <c r="WE19"/>
  <c r="WE17"/>
  <c r="WE8"/>
  <c r="XV8" s="1"/>
  <c r="WE23"/>
  <c r="UC8"/>
  <c r="UG8"/>
  <c r="UJ4"/>
  <c r="UN4"/>
  <c r="UQ4" s="1"/>
  <c r="UJ10"/>
  <c r="UN10"/>
  <c r="UQ10" s="1"/>
  <c r="UC5"/>
  <c r="UG5"/>
  <c r="UC23"/>
  <c r="UG23"/>
  <c r="UC7"/>
  <c r="UG7"/>
  <c r="WE15"/>
  <c r="ZO4" s="1"/>
  <c r="WE20"/>
  <c r="ZO7" s="1"/>
  <c r="WE11"/>
  <c r="XV11" s="1"/>
  <c r="ZO5" s="1"/>
  <c r="UF7" l="1"/>
  <c r="WF7" s="1"/>
  <c r="XW7" s="1"/>
  <c r="UF23"/>
  <c r="UF5"/>
  <c r="WF5" s="1"/>
  <c r="XW5" s="1"/>
  <c r="UF8"/>
  <c r="UF19"/>
  <c r="WF19" s="1"/>
  <c r="UF10"/>
  <c r="UF6"/>
  <c r="UF22"/>
  <c r="UF26"/>
  <c r="UF25"/>
  <c r="UF27"/>
  <c r="UF33"/>
  <c r="UF32"/>
  <c r="UF13"/>
  <c r="UF12"/>
  <c r="UF21"/>
  <c r="WF21" s="1"/>
  <c r="UF11"/>
  <c r="UF20"/>
  <c r="UF16"/>
  <c r="UF17"/>
  <c r="UF14"/>
  <c r="WF14" s="1"/>
  <c r="ZP11" s="1"/>
  <c r="UF9"/>
  <c r="UF29"/>
  <c r="UF31"/>
  <c r="UF28"/>
  <c r="UF30"/>
  <c r="UF24"/>
  <c r="UF4"/>
  <c r="UF18"/>
  <c r="WF17"/>
  <c r="UJ7"/>
  <c r="UN7"/>
  <c r="UQ7" s="1"/>
  <c r="UJ23"/>
  <c r="UN23"/>
  <c r="UQ23" s="1"/>
  <c r="UJ5"/>
  <c r="UN5"/>
  <c r="UQ5" s="1"/>
  <c r="UJ8"/>
  <c r="UN8"/>
  <c r="UQ8" s="1"/>
  <c r="WF23"/>
  <c r="WF8"/>
  <c r="XW8" s="1"/>
  <c r="WF13"/>
  <c r="WF6"/>
  <c r="XW6" s="1"/>
  <c r="WF22"/>
  <c r="WF28"/>
  <c r="WF33"/>
  <c r="WF29"/>
  <c r="WF25"/>
  <c r="WF27"/>
  <c r="WF12"/>
  <c r="ZP10" s="1"/>
  <c r="WF10"/>
  <c r="XW10" s="1"/>
  <c r="WF18"/>
  <c r="WF9"/>
  <c r="XW9" s="1"/>
  <c r="WF31"/>
  <c r="WF4"/>
  <c r="XW4" s="1"/>
  <c r="WF26"/>
  <c r="WF32"/>
  <c r="WF30"/>
  <c r="WF24"/>
  <c r="WF11"/>
  <c r="XW11" s="1"/>
  <c r="WF20"/>
  <c r="ZP7" s="1"/>
  <c r="WF15"/>
  <c r="WF16"/>
  <c r="ZP4" s="1"/>
  <c r="UJ11"/>
  <c r="UM11" s="1"/>
  <c r="UN11"/>
  <c r="UQ11" s="1"/>
  <c r="UT11" s="1"/>
  <c r="UJ20"/>
  <c r="UN20"/>
  <c r="UQ20" s="1"/>
  <c r="UJ15"/>
  <c r="UN15"/>
  <c r="UQ15" s="1"/>
  <c r="UJ16"/>
  <c r="UN16"/>
  <c r="UQ16" s="1"/>
  <c r="UT16" l="1"/>
  <c r="UM16"/>
  <c r="WG16" s="1"/>
  <c r="UT15"/>
  <c r="WH15" s="1"/>
  <c r="UT20"/>
  <c r="WH20" s="1"/>
  <c r="UT5"/>
  <c r="WH5" s="1"/>
  <c r="XY5" s="1"/>
  <c r="UT23"/>
  <c r="UM15"/>
  <c r="UM20"/>
  <c r="WG20" s="1"/>
  <c r="UM8"/>
  <c r="UM5"/>
  <c r="UM23"/>
  <c r="UM7"/>
  <c r="UT19"/>
  <c r="WH19" s="1"/>
  <c r="UM21"/>
  <c r="WG21" s="1"/>
  <c r="UT10"/>
  <c r="UM13"/>
  <c r="WG13" s="1"/>
  <c r="UT6"/>
  <c r="WH6" s="1"/>
  <c r="XY6" s="1"/>
  <c r="UT9"/>
  <c r="UT24"/>
  <c r="UT27"/>
  <c r="WH27" s="1"/>
  <c r="UT31"/>
  <c r="WH31" s="1"/>
  <c r="UT25"/>
  <c r="UT33"/>
  <c r="UT17"/>
  <c r="WH17" s="1"/>
  <c r="UT14"/>
  <c r="UM10"/>
  <c r="UT18"/>
  <c r="UM6"/>
  <c r="WG6" s="1"/>
  <c r="XX6" s="1"/>
  <c r="UM9"/>
  <c r="UM24"/>
  <c r="UM25"/>
  <c r="UM28"/>
  <c r="UM30"/>
  <c r="WG30" s="1"/>
  <c r="UM27"/>
  <c r="WG27" s="1"/>
  <c r="UM19"/>
  <c r="ZP8"/>
  <c r="UT8"/>
  <c r="UT7"/>
  <c r="UT21"/>
  <c r="UM14"/>
  <c r="WG14" s="1"/>
  <c r="ZQ11" s="1"/>
  <c r="UM18"/>
  <c r="UM12"/>
  <c r="UT22"/>
  <c r="WH22" s="1"/>
  <c r="UT30"/>
  <c r="WH30" s="1"/>
  <c r="UT32"/>
  <c r="UT26"/>
  <c r="WH26" s="1"/>
  <c r="UT28"/>
  <c r="WH28" s="1"/>
  <c r="UT29"/>
  <c r="WH29" s="1"/>
  <c r="UT4"/>
  <c r="UM17"/>
  <c r="WG17" s="1"/>
  <c r="UT13"/>
  <c r="UT12"/>
  <c r="WH12" s="1"/>
  <c r="ZR10" s="1"/>
  <c r="UM22"/>
  <c r="WG22" s="1"/>
  <c r="UM33"/>
  <c r="WG33" s="1"/>
  <c r="UM32"/>
  <c r="UM26"/>
  <c r="WG26" s="1"/>
  <c r="UM29"/>
  <c r="UM31"/>
  <c r="UM4"/>
  <c r="ZP5"/>
  <c r="ZP6"/>
  <c r="WG19"/>
  <c r="WG10"/>
  <c r="XX10" s="1"/>
  <c r="WH33"/>
  <c r="WH21"/>
  <c r="WG5"/>
  <c r="XX5" s="1"/>
  <c r="WH11"/>
  <c r="XY11" s="1"/>
  <c r="WH8"/>
  <c r="XY8" s="1"/>
  <c r="WH18"/>
  <c r="WH4"/>
  <c r="XY4" s="1"/>
  <c r="WH23"/>
  <c r="WG15"/>
  <c r="WG11"/>
  <c r="XX11" s="1"/>
  <c r="WG12"/>
  <c r="ZQ10" s="1"/>
  <c r="WH10"/>
  <c r="XY10" s="1"/>
  <c r="WG8"/>
  <c r="XX8" s="1"/>
  <c r="WH13"/>
  <c r="WH9"/>
  <c r="XY9" s="1"/>
  <c r="WH24"/>
  <c r="WH25"/>
  <c r="WH32"/>
  <c r="WG23"/>
  <c r="WG7"/>
  <c r="XX7" s="1"/>
  <c r="WG9"/>
  <c r="XX9" s="1"/>
  <c r="WG32"/>
  <c r="WG25"/>
  <c r="WG4"/>
  <c r="XX4" s="1"/>
  <c r="WH14"/>
  <c r="ZR11" s="1"/>
  <c r="WH16"/>
  <c r="WH7"/>
  <c r="XY7" s="1"/>
  <c r="WG18"/>
  <c r="WG28"/>
  <c r="WG31"/>
  <c r="WG29"/>
  <c r="WG24"/>
  <c r="ZQ6" l="1"/>
  <c r="ZR7"/>
  <c r="ZR5"/>
  <c r="ZR6"/>
  <c r="ZR8"/>
  <c r="ZR4"/>
  <c r="ZQ4"/>
  <c r="ZQ8"/>
  <c r="ZQ7"/>
  <c r="ZQ5"/>
</calcChain>
</file>

<file path=xl/sharedStrings.xml><?xml version="1.0" encoding="utf-8"?>
<sst xmlns="http://schemas.openxmlformats.org/spreadsheetml/2006/main" count="1506" uniqueCount="215">
  <si>
    <t>Language</t>
  </si>
  <si>
    <t>English</t>
  </si>
  <si>
    <t>www.excel-fixtures.com</t>
  </si>
  <si>
    <t>Follow</t>
  </si>
  <si>
    <t>&lt;- &amp; -&gt;</t>
  </si>
  <si>
    <t>"for more Soccer Fixtures of Tournaments around the World"</t>
  </si>
  <si>
    <t>Date</t>
  </si>
  <si>
    <t>Time</t>
  </si>
  <si>
    <t>Home</t>
  </si>
  <si>
    <t>R</t>
  </si>
  <si>
    <t>Away</t>
  </si>
  <si>
    <t>Jugados</t>
  </si>
  <si>
    <t>G</t>
  </si>
  <si>
    <t>E</t>
  </si>
  <si>
    <t>P</t>
  </si>
  <si>
    <t>GF</t>
  </si>
  <si>
    <t>GC</t>
  </si>
  <si>
    <t>J</t>
  </si>
  <si>
    <t>Ptos</t>
  </si>
  <si>
    <t>GF - GC</t>
  </si>
  <si>
    <t>GD</t>
  </si>
  <si>
    <t>Order By: Jor;Date;Time</t>
  </si>
  <si>
    <t>Jor</t>
  </si>
  <si>
    <t>R1</t>
  </si>
  <si>
    <t>r2</t>
  </si>
  <si>
    <t>F+h</t>
  </si>
  <si>
    <t>Ti-Zo</t>
  </si>
  <si>
    <t>- 12:00</t>
  </si>
  <si>
    <t>- 11:00</t>
  </si>
  <si>
    <t>- 10:00</t>
  </si>
  <si>
    <t>- 09:30</t>
  </si>
  <si>
    <t>- 09:00</t>
  </si>
  <si>
    <t>- 08:00</t>
  </si>
  <si>
    <t>- 07:00</t>
  </si>
  <si>
    <t>- 06:00</t>
  </si>
  <si>
    <t>- 05:00</t>
  </si>
  <si>
    <t>- 04:30</t>
  </si>
  <si>
    <t>- 03:30</t>
  </si>
  <si>
    <t>- 03:00</t>
  </si>
  <si>
    <t>- 02:00</t>
  </si>
  <si>
    <t>- 01:00</t>
  </si>
  <si>
    <t xml:space="preserve"> 00:00</t>
  </si>
  <si>
    <t>+ 01:00</t>
  </si>
  <si>
    <t>+ 02:00</t>
  </si>
  <si>
    <t>+ 03:00</t>
  </si>
  <si>
    <t>+ 03:30</t>
  </si>
  <si>
    <t>+ 04:00</t>
  </si>
  <si>
    <t>+ 04:30</t>
  </si>
  <si>
    <t>+ 05:00</t>
  </si>
  <si>
    <t>+ 05:30</t>
  </si>
  <si>
    <t>+ 05:45</t>
  </si>
  <si>
    <t>+ 06:00</t>
  </si>
  <si>
    <t>+ 06:30</t>
  </si>
  <si>
    <t>+ 07:00</t>
  </si>
  <si>
    <t>+ 08:00</t>
  </si>
  <si>
    <t>+ 09:00</t>
  </si>
  <si>
    <t>+ 09:30</t>
  </si>
  <si>
    <t>+ 10:00</t>
  </si>
  <si>
    <t>+ 10:30</t>
  </si>
  <si>
    <t>+ 11:00</t>
  </si>
  <si>
    <t>+ 11:30</t>
  </si>
  <si>
    <t>+ 12:00</t>
  </si>
  <si>
    <t>TiZo</t>
  </si>
  <si>
    <t>menos</t>
  </si>
  <si>
    <t>mas</t>
  </si>
  <si>
    <t>g4</t>
  </si>
  <si>
    <t>Teams</t>
  </si>
  <si>
    <t>#</t>
  </si>
  <si>
    <t>General</t>
  </si>
  <si>
    <t>Most Wins</t>
  </si>
  <si>
    <t>Fewest Wins</t>
  </si>
  <si>
    <t>Most Losses</t>
  </si>
  <si>
    <t>Fewest Losses</t>
  </si>
  <si>
    <t>Most Goal Scored</t>
  </si>
  <si>
    <t>Fewest Goals Conceded</t>
  </si>
  <si>
    <t>Highest Goal Difference</t>
  </si>
  <si>
    <t>Lowest Goal Difference</t>
  </si>
  <si>
    <t>Most Clean Sheets</t>
  </si>
  <si>
    <t>Fewest Games Failed to Score</t>
  </si>
  <si>
    <t>Fewest Clean Sheets</t>
  </si>
  <si>
    <t>Most Games Failed to Score</t>
  </si>
  <si>
    <t>Most Points</t>
  </si>
  <si>
    <t>Fewest Goals Scored</t>
  </si>
  <si>
    <t>Most Goals Conceded</t>
  </si>
  <si>
    <t>CleanSheet-GC</t>
  </si>
  <si>
    <t>CleanSheet-GF</t>
  </si>
  <si>
    <t>CS-GF</t>
  </si>
  <si>
    <t>CS-GC</t>
  </si>
  <si>
    <t>General                                       -                                       General                                       -                                       General                                       -                                       General</t>
  </si>
  <si>
    <t>Home                                       -                                       Home                                       -                                       Home                                       -                                       Home</t>
  </si>
  <si>
    <t>Away                                       -                                       Away                                       -                                       Away                                       -                                       Away</t>
  </si>
  <si>
    <t>Type</t>
  </si>
  <si>
    <t>Fewest Points</t>
  </si>
  <si>
    <t>&lt;- change in Fixture Sheet -&gt;</t>
  </si>
  <si>
    <t>Choose                                      -                                       Choose                                       -                                       Choose                                       -                                       Choose</t>
  </si>
  <si>
    <t>Team</t>
  </si>
  <si>
    <t>W</t>
  </si>
  <si>
    <t>D</t>
  </si>
  <si>
    <t>L</t>
  </si>
  <si>
    <t>Pts</t>
  </si>
  <si>
    <t>Français</t>
  </si>
  <si>
    <t>Heure</t>
  </si>
  <si>
    <t>Suivre</t>
  </si>
  <si>
    <t>Mj</t>
  </si>
  <si>
    <t>N</t>
  </si>
  <si>
    <t>BP - BC</t>
  </si>
  <si>
    <t>BD</t>
  </si>
  <si>
    <t>Deutsch</t>
  </si>
  <si>
    <t>Datum</t>
  </si>
  <si>
    <t>Uhrzeit</t>
  </si>
  <si>
    <t>Heim</t>
  </si>
  <si>
    <t>Gast</t>
  </si>
  <si>
    <t>Folgen</t>
  </si>
  <si>
    <t>Sp</t>
  </si>
  <si>
    <t>S</t>
  </si>
  <si>
    <t>U</t>
  </si>
  <si>
    <t>Punkte</t>
  </si>
  <si>
    <t>Tore</t>
  </si>
  <si>
    <t>Español</t>
  </si>
  <si>
    <t>Fecha</t>
  </si>
  <si>
    <t>Hora</t>
  </si>
  <si>
    <t>Local</t>
  </si>
  <si>
    <t>Visita</t>
  </si>
  <si>
    <t>Seguir</t>
  </si>
  <si>
    <t>Equipo</t>
  </si>
  <si>
    <t>T - GT</t>
  </si>
  <si>
    <t>Overall</t>
  </si>
  <si>
    <t>Points</t>
  </si>
  <si>
    <t>No</t>
  </si>
  <si>
    <t>Total</t>
  </si>
  <si>
    <t>%</t>
  </si>
  <si>
    <t>Pos</t>
  </si>
  <si>
    <t>Choose                     pos                 -                                       Choose      pos                                 -                                       Choose             pos                          -                                       Choosepos</t>
  </si>
  <si>
    <t>Choose                    team                  -                                       Choose                      team                 -                                       Choose                 team                      -                                       Choose</t>
  </si>
  <si>
    <t>Choose     pos     2                            -                                       Choose        pos          2                     -                                       Choose         pos            2                  -                                       Choose  pos2</t>
  </si>
  <si>
    <t>Choose                    team       2           -                                       Choose                      team           2      -                                       Choose                 team           2           -                                       Choose    team 2</t>
  </si>
  <si>
    <t>Most Goals Scored</t>
  </si>
  <si>
    <t>Most Goal Diference</t>
  </si>
  <si>
    <t>Fewest  Games Failed to Score</t>
  </si>
  <si>
    <t>Historic Chart</t>
  </si>
  <si>
    <t>-</t>
  </si>
  <si>
    <t>&amp;</t>
  </si>
  <si>
    <t>type</t>
  </si>
  <si>
    <t>Tipo</t>
  </si>
  <si>
    <t>Typ.</t>
  </si>
  <si>
    <t>Mas Puntos</t>
  </si>
  <si>
    <t>Mas Victorias</t>
  </si>
  <si>
    <t>Mas Goles hechos</t>
  </si>
  <si>
    <t>Mayor Gol Diferencia</t>
  </si>
  <si>
    <t>Mas juegos sin que le marquen</t>
  </si>
  <si>
    <t>Höchste Tordifferenz</t>
  </si>
  <si>
    <t>La plupart des points</t>
  </si>
  <si>
    <t>La plupart des Victoires</t>
  </si>
  <si>
    <t>La plupart des buts marqués</t>
  </si>
  <si>
    <t>Différence de buts le plus élevé</t>
  </si>
  <si>
    <t>Plus de jeux sans être marqué</t>
  </si>
  <si>
    <t>Goals Scored</t>
  </si>
  <si>
    <t>Goals Conceded</t>
  </si>
  <si>
    <t>Goal Diference</t>
  </si>
  <si>
    <t>Die meisten Siege</t>
  </si>
  <si>
    <t>Die meisten Punkte</t>
  </si>
  <si>
    <t>Die meisten Tor geschossen</t>
  </si>
  <si>
    <t>Die meisten Spiele Failed to Score</t>
  </si>
  <si>
    <t>Mehr Spiele ohne markiert</t>
  </si>
  <si>
    <t>Equipe</t>
  </si>
  <si>
    <t>Menos Perdidas</t>
  </si>
  <si>
    <t>Menos Goles Concedidos</t>
  </si>
  <si>
    <t>Menos juegos sin Marcar</t>
  </si>
  <si>
    <t>Least Kassierte Tore</t>
  </si>
  <si>
    <t>Buts encaissés moins</t>
  </si>
  <si>
    <t>Moins de matchs n'a pas marqué</t>
  </si>
  <si>
    <t>Moins de défaites</t>
  </si>
  <si>
    <t>Am wenigsten Verluste</t>
  </si>
  <si>
    <t>Ave.</t>
  </si>
  <si>
    <t>Prom.</t>
  </si>
  <si>
    <t>Durchs.</t>
  </si>
  <si>
    <t>Moy.</t>
  </si>
  <si>
    <t>x</t>
  </si>
  <si>
    <t>Seattle Sounders FC</t>
  </si>
  <si>
    <t>Philadelphia Union</t>
  </si>
  <si>
    <t>Chivas USA</t>
  </si>
  <si>
    <t>Colorado</t>
  </si>
  <si>
    <t>Dallas</t>
  </si>
  <si>
    <t>Houston</t>
  </si>
  <si>
    <t>Columbus</t>
  </si>
  <si>
    <t>Toronto FC</t>
  </si>
  <si>
    <t>New York Red Bulls</t>
  </si>
  <si>
    <t>Chicago</t>
  </si>
  <si>
    <t>Kansas City</t>
  </si>
  <si>
    <t>DC United</t>
  </si>
  <si>
    <t>San Jose</t>
  </si>
  <si>
    <t>Real Salt Lake</t>
  </si>
  <si>
    <t>Los Angeles</t>
  </si>
  <si>
    <t>New England</t>
  </si>
  <si>
    <t>20:30</t>
  </si>
  <si>
    <t>13:00</t>
  </si>
  <si>
    <t>16:00</t>
  </si>
  <si>
    <t>19:30</t>
  </si>
  <si>
    <t>14:00</t>
  </si>
  <si>
    <t>19:00</t>
  </si>
  <si>
    <t>21:30</t>
  </si>
  <si>
    <t>22:30</t>
  </si>
  <si>
    <t>22:00</t>
  </si>
  <si>
    <t>15:00</t>
  </si>
  <si>
    <t>17:00</t>
  </si>
  <si>
    <t>21:00</t>
  </si>
  <si>
    <t>18:30</t>
  </si>
  <si>
    <t>20:00</t>
  </si>
  <si>
    <t>17:30</t>
  </si>
  <si>
    <t>18:00</t>
  </si>
  <si>
    <t>Eastern Conference</t>
  </si>
  <si>
    <t>Western Conference</t>
  </si>
  <si>
    <t>- 04:00 ET</t>
  </si>
  <si>
    <t>14:30</t>
  </si>
  <si>
    <t>15:30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</si>
</sst>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yyyy\-mm\-dd\ hh:mm"/>
    <numFmt numFmtId="166" formatCode="mmmm"/>
  </numFmts>
  <fonts count="37"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color theme="1"/>
      <name val="Tahoma"/>
      <family val="2"/>
    </font>
    <font>
      <u/>
      <sz val="11"/>
      <color theme="10"/>
      <name val="Calibri"/>
      <family val="2"/>
    </font>
    <font>
      <b/>
      <u/>
      <sz val="20"/>
      <color theme="10"/>
      <name val="Tahoma"/>
      <family val="2"/>
    </font>
    <font>
      <sz val="11"/>
      <color theme="1"/>
      <name val="Tahoma"/>
      <family val="2"/>
    </font>
    <font>
      <sz val="10"/>
      <name val="Tahoma"/>
      <family val="2"/>
    </font>
    <font>
      <sz val="10"/>
      <color rgb="FF001945"/>
      <name val="Tahoma"/>
      <family val="2"/>
    </font>
    <font>
      <sz val="11"/>
      <color theme="10"/>
      <name val="Wingdings"/>
      <charset val="2"/>
    </font>
    <font>
      <sz val="10"/>
      <name val="Arial"/>
      <family val="2"/>
    </font>
    <font>
      <sz val="10"/>
      <color rgb="FF000000"/>
      <name val="Tahoma"/>
      <family val="2"/>
    </font>
    <font>
      <sz val="10"/>
      <color theme="0"/>
      <name val="Tahoma"/>
      <family val="2"/>
    </font>
    <font>
      <sz val="12"/>
      <name val="Tahoma"/>
      <family val="2"/>
    </font>
    <font>
      <b/>
      <sz val="10"/>
      <color theme="1"/>
      <name val="Tahoma"/>
      <family val="2"/>
    </font>
    <font>
      <sz val="10"/>
      <color theme="0" tint="-0.249977111117893"/>
      <name val="Tahoma"/>
      <family val="2"/>
    </font>
    <font>
      <sz val="11"/>
      <color theme="0" tint="-0.249977111117893"/>
      <name val="Calibri"/>
      <family val="2"/>
      <scheme val="minor"/>
    </font>
    <font>
      <sz val="10"/>
      <color theme="4" tint="-0.249977111117893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0"/>
      <name val="Tahoma"/>
      <family val="2"/>
    </font>
    <font>
      <sz val="18"/>
      <color theme="1"/>
      <name val="Calibri"/>
      <family val="2"/>
      <scheme val="minor"/>
    </font>
    <font>
      <sz val="8"/>
      <color theme="1"/>
      <name val="Tahoma"/>
      <family val="2"/>
    </font>
    <font>
      <b/>
      <sz val="12"/>
      <color theme="0"/>
      <name val="Calibri"/>
      <family val="2"/>
      <scheme val="minor"/>
    </font>
    <font>
      <sz val="12"/>
      <color theme="1"/>
      <name val="Tahoma"/>
      <family val="2"/>
    </font>
    <font>
      <b/>
      <sz val="12"/>
      <name val="Tahoma"/>
      <family val="2"/>
    </font>
    <font>
      <b/>
      <sz val="12"/>
      <color theme="1"/>
      <name val="Tahoma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b/>
      <sz val="10"/>
      <color theme="0" tint="-0.14999847407452621"/>
      <name val="Tahoma"/>
      <family val="2"/>
    </font>
    <font>
      <u/>
      <sz val="11"/>
      <color theme="10"/>
      <name val="Tahoma"/>
      <family val="2"/>
    </font>
    <font>
      <u/>
      <sz val="16"/>
      <color theme="10"/>
      <name val="Tahoma"/>
      <family val="2"/>
    </font>
    <font>
      <sz val="16"/>
      <color theme="1"/>
      <name val="Calibri"/>
      <family val="2"/>
      <scheme val="minor"/>
    </font>
    <font>
      <sz val="10"/>
      <color theme="0" tint="-0.34998626667073579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ck">
        <color indexed="64"/>
      </left>
      <right/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/>
      <top style="dotted">
        <color auto="1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9" fillId="0" borderId="0"/>
    <xf numFmtId="9" fontId="17" fillId="0" borderId="0" applyFont="0" applyFill="0" applyBorder="0" applyAlignment="0" applyProtection="0"/>
  </cellStyleXfs>
  <cellXfs count="282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1" fillId="0" borderId="4" xfId="0" applyFont="1" applyFill="1" applyBorder="1" applyAlignment="1" applyProtection="1">
      <alignment horizontal="center" vertical="center"/>
      <protection hidden="1"/>
    </xf>
    <xf numFmtId="0" fontId="2" fillId="0" borderId="4" xfId="0" applyFont="1" applyFill="1" applyBorder="1" applyAlignment="1" applyProtection="1">
      <alignment horizontal="center"/>
      <protection hidden="1"/>
    </xf>
    <xf numFmtId="0" fontId="1" fillId="0" borderId="5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/>
      <protection locked="0" hidden="1"/>
    </xf>
    <xf numFmtId="0" fontId="2" fillId="0" borderId="0" xfId="0" applyFont="1" applyAlignment="1" applyProtection="1">
      <alignment horizontal="center"/>
      <protection hidden="1"/>
    </xf>
    <xf numFmtId="0" fontId="2" fillId="4" borderId="1" xfId="0" applyFont="1" applyFill="1" applyBorder="1" applyAlignment="1" applyProtection="1">
      <alignment horizontal="center"/>
      <protection locked="0" hidden="1"/>
    </xf>
    <xf numFmtId="0" fontId="0" fillId="0" borderId="0" xfId="0" applyProtection="1">
      <protection hidden="1"/>
    </xf>
    <xf numFmtId="0" fontId="6" fillId="0" borderId="1" xfId="1" applyFont="1" applyFill="1" applyBorder="1" applyAlignment="1" applyProtection="1">
      <alignment horizontal="left" vertical="center" wrapText="1"/>
      <protection hidden="1"/>
    </xf>
    <xf numFmtId="0" fontId="8" fillId="0" borderId="0" xfId="1" applyFont="1" applyAlignment="1" applyProtection="1">
      <alignment horizontal="center" vertical="top" wrapText="1"/>
      <protection hidden="1"/>
    </xf>
    <xf numFmtId="0" fontId="1" fillId="2" borderId="1" xfId="2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Protection="1">
      <protection hidden="1"/>
    </xf>
    <xf numFmtId="0" fontId="10" fillId="6" borderId="1" xfId="2" applyFont="1" applyFill="1" applyBorder="1" applyAlignment="1" applyProtection="1">
      <alignment horizontal="center" vertical="center"/>
      <protection hidden="1"/>
    </xf>
    <xf numFmtId="0" fontId="6" fillId="0" borderId="1" xfId="2" applyFont="1" applyBorder="1" applyAlignment="1" applyProtection="1">
      <alignment horizontal="center"/>
      <protection hidden="1"/>
    </xf>
    <xf numFmtId="0" fontId="11" fillId="5" borderId="1" xfId="0" applyFont="1" applyFill="1" applyBorder="1" applyProtection="1">
      <protection hidden="1"/>
    </xf>
    <xf numFmtId="0" fontId="11" fillId="5" borderId="1" xfId="0" applyFont="1" applyFill="1" applyBorder="1" applyAlignment="1" applyProtection="1">
      <alignment horizontal="center"/>
      <protection hidden="1"/>
    </xf>
    <xf numFmtId="0" fontId="0" fillId="0" borderId="0" xfId="0" applyBorder="1"/>
    <xf numFmtId="0" fontId="12" fillId="0" borderId="0" xfId="2" applyFont="1" applyFill="1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12" fillId="0" borderId="0" xfId="2" applyFont="1" applyBorder="1" applyAlignment="1" applyProtection="1">
      <alignment horizontal="center"/>
      <protection hidden="1"/>
    </xf>
    <xf numFmtId="2" fontId="0" fillId="0" borderId="0" xfId="0" applyNumberFormat="1" applyBorder="1" applyProtection="1">
      <protection hidden="1"/>
    </xf>
    <xf numFmtId="0" fontId="6" fillId="0" borderId="1" xfId="1" applyFont="1" applyFill="1" applyBorder="1" applyAlignment="1" applyProtection="1">
      <alignment horizontal="center" vertical="center" wrapText="1"/>
      <protection hidden="1"/>
    </xf>
    <xf numFmtId="0" fontId="14" fillId="0" borderId="1" xfId="2" applyFont="1" applyFill="1" applyBorder="1" applyAlignment="1" applyProtection="1">
      <alignment horizontal="center"/>
      <protection hidden="1"/>
    </xf>
    <xf numFmtId="0" fontId="14" fillId="0" borderId="0" xfId="0" applyFont="1" applyFill="1" applyProtection="1">
      <protection hidden="1"/>
    </xf>
    <xf numFmtId="2" fontId="15" fillId="0" borderId="1" xfId="0" applyNumberFormat="1" applyFont="1" applyFill="1" applyBorder="1" applyProtection="1">
      <protection hidden="1"/>
    </xf>
    <xf numFmtId="2" fontId="14" fillId="0" borderId="1" xfId="0" applyNumberFormat="1" applyFont="1" applyFill="1" applyBorder="1" applyProtection="1">
      <protection hidden="1"/>
    </xf>
    <xf numFmtId="0" fontId="14" fillId="0" borderId="1" xfId="0" applyFont="1" applyFill="1" applyBorder="1" applyAlignment="1" applyProtection="1">
      <alignment horizontal="center"/>
      <protection hidden="1"/>
    </xf>
    <xf numFmtId="0" fontId="14" fillId="0" borderId="1" xfId="1" applyFont="1" applyFill="1" applyBorder="1" applyAlignment="1" applyProtection="1">
      <alignment horizontal="left" vertical="center" wrapText="1"/>
      <protection hidden="1"/>
    </xf>
    <xf numFmtId="0" fontId="6" fillId="7" borderId="1" xfId="1" applyFont="1" applyFill="1" applyBorder="1" applyAlignment="1" applyProtection="1">
      <alignment horizontal="left" vertical="center" wrapText="1"/>
      <protection hidden="1"/>
    </xf>
    <xf numFmtId="0" fontId="6" fillId="0" borderId="1" xfId="1" applyFont="1" applyFill="1" applyBorder="1" applyAlignment="1" applyProtection="1">
      <alignment horizontal="center" vertical="center" wrapText="1"/>
      <protection locked="0" hidden="1"/>
    </xf>
    <xf numFmtId="0" fontId="1" fillId="2" borderId="9" xfId="0" applyFont="1" applyFill="1" applyBorder="1" applyAlignment="1" applyProtection="1">
      <alignment horizontal="center" vertical="center"/>
      <protection hidden="1"/>
    </xf>
    <xf numFmtId="14" fontId="6" fillId="0" borderId="0" xfId="0" applyNumberFormat="1" applyFont="1" applyFill="1" applyBorder="1" applyAlignment="1" applyProtection="1">
      <alignment horizontal="center"/>
      <protection locked="0"/>
    </xf>
    <xf numFmtId="2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1" applyFont="1" applyFill="1" applyBorder="1" applyAlignment="1" applyProtection="1">
      <alignment horizontal="left" vertical="center" wrapText="1"/>
      <protection hidden="1"/>
    </xf>
    <xf numFmtId="0" fontId="6" fillId="0" borderId="0" xfId="1" applyFont="1" applyFill="1" applyBorder="1" applyAlignment="1" applyProtection="1">
      <alignment horizontal="center" vertical="center" wrapText="1"/>
      <protection locked="0"/>
    </xf>
    <xf numFmtId="14" fontId="6" fillId="0" borderId="1" xfId="0" applyNumberFormat="1" applyFont="1" applyFill="1" applyBorder="1" applyAlignment="1" applyProtection="1">
      <alignment horizontal="center"/>
      <protection locked="0" hidden="1"/>
    </xf>
    <xf numFmtId="20" fontId="6" fillId="0" borderId="1" xfId="0" applyNumberFormat="1" applyFont="1" applyFill="1" applyBorder="1" applyAlignment="1" applyProtection="1">
      <alignment horizontal="center" vertical="center" wrapText="1"/>
      <protection locked="0" hidden="1"/>
    </xf>
    <xf numFmtId="17" fontId="0" fillId="0" borderId="0" xfId="0" applyNumberFormat="1"/>
    <xf numFmtId="17" fontId="3" fillId="0" borderId="4" xfId="1" applyNumberFormat="1" applyFill="1" applyBorder="1" applyAlignment="1" applyProtection="1">
      <alignment horizontal="center"/>
    </xf>
    <xf numFmtId="17" fontId="0" fillId="0" borderId="4" xfId="0" applyNumberFormat="1" applyFill="1" applyBorder="1" applyProtection="1">
      <protection hidden="1"/>
    </xf>
    <xf numFmtId="17" fontId="3" fillId="0" borderId="0" xfId="1" applyNumberFormat="1" applyFill="1" applyBorder="1" applyAlignment="1" applyProtection="1">
      <alignment horizontal="center"/>
    </xf>
    <xf numFmtId="17" fontId="0" fillId="0" borderId="0" xfId="0" applyNumberFormat="1" applyFill="1" applyBorder="1" applyProtection="1">
      <protection hidden="1"/>
    </xf>
    <xf numFmtId="17" fontId="6" fillId="0" borderId="0" xfId="0" applyNumberFormat="1" applyFont="1" applyFill="1" applyBorder="1" applyAlignment="1" applyProtection="1">
      <alignment horizontal="center"/>
      <protection hidden="1"/>
    </xf>
    <xf numFmtId="17" fontId="0" fillId="0" borderId="0" xfId="0" applyNumberFormat="1" applyFill="1" applyBorder="1"/>
    <xf numFmtId="17" fontId="0" fillId="0" borderId="0" xfId="0" applyNumberFormat="1" applyProtection="1">
      <protection hidden="1"/>
    </xf>
    <xf numFmtId="17" fontId="6" fillId="0" borderId="0" xfId="0" applyNumberFormat="1" applyFont="1" applyFill="1" applyBorder="1" applyAlignment="1" applyProtection="1">
      <alignment horizontal="left"/>
      <protection hidden="1"/>
    </xf>
    <xf numFmtId="17" fontId="2" fillId="0" borderId="0" xfId="0" applyNumberFormat="1" applyFont="1" applyProtection="1">
      <protection hidden="1"/>
    </xf>
    <xf numFmtId="17" fontId="0" fillId="0" borderId="0" xfId="0" applyNumberFormat="1" applyBorder="1" applyProtection="1">
      <protection hidden="1"/>
    </xf>
    <xf numFmtId="17" fontId="2" fillId="0" borderId="0" xfId="0" applyNumberFormat="1" applyFont="1" applyBorder="1" applyProtection="1">
      <protection hidden="1"/>
    </xf>
    <xf numFmtId="17" fontId="4" fillId="0" borderId="0" xfId="1" applyNumberFormat="1" applyFont="1" applyBorder="1" applyAlignment="1" applyProtection="1">
      <alignment vertical="center"/>
    </xf>
    <xf numFmtId="17" fontId="1" fillId="2" borderId="1" xfId="2" applyNumberFormat="1" applyFont="1" applyFill="1" applyBorder="1" applyAlignment="1" applyProtection="1">
      <alignment horizontal="center" vertical="center"/>
      <protection hidden="1"/>
    </xf>
    <xf numFmtId="166" fontId="3" fillId="0" borderId="1" xfId="1" applyNumberFormat="1" applyFill="1" applyBorder="1" applyAlignment="1" applyProtection="1">
      <alignment horizontal="center"/>
    </xf>
    <xf numFmtId="0" fontId="14" fillId="0" borderId="0" xfId="2" applyFont="1" applyFill="1" applyBorder="1" applyAlignment="1" applyProtection="1">
      <alignment horizontal="center"/>
      <protection hidden="1"/>
    </xf>
    <xf numFmtId="0" fontId="1" fillId="2" borderId="11" xfId="0" applyFont="1" applyFill="1" applyBorder="1" applyAlignment="1" applyProtection="1">
      <alignment horizontal="center" vertical="center"/>
      <protection hidden="1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4" fillId="0" borderId="0" xfId="1" applyFont="1" applyBorder="1" applyAlignment="1" applyProtection="1">
      <alignment vertical="center"/>
      <protection hidden="1"/>
    </xf>
    <xf numFmtId="0" fontId="4" fillId="0" borderId="10" xfId="1" applyFont="1" applyBorder="1" applyAlignment="1" applyProtection="1">
      <alignment vertical="center"/>
      <protection hidden="1"/>
    </xf>
    <xf numFmtId="0" fontId="5" fillId="0" borderId="0" xfId="0" applyFont="1" applyBorder="1" applyAlignment="1" applyProtection="1">
      <protection hidden="1"/>
    </xf>
    <xf numFmtId="0" fontId="6" fillId="0" borderId="1" xfId="2" applyNumberFormat="1" applyFont="1" applyBorder="1" applyAlignment="1" applyProtection="1">
      <alignment horizontal="center"/>
      <protection hidden="1"/>
    </xf>
    <xf numFmtId="0" fontId="11" fillId="5" borderId="1" xfId="0" applyNumberFormat="1" applyFont="1" applyFill="1" applyBorder="1" applyAlignment="1" applyProtection="1">
      <alignment horizontal="center"/>
      <protection hidden="1"/>
    </xf>
    <xf numFmtId="17" fontId="1" fillId="0" borderId="1" xfId="2" applyNumberFormat="1" applyFont="1" applyFill="1" applyBorder="1" applyAlignment="1" applyProtection="1">
      <alignment horizontal="center" vertical="center"/>
      <protection hidden="1"/>
    </xf>
    <xf numFmtId="0" fontId="14" fillId="0" borderId="15" xfId="2" applyFont="1" applyFill="1" applyBorder="1" applyAlignment="1" applyProtection="1">
      <alignment horizontal="center"/>
      <protection hidden="1"/>
    </xf>
    <xf numFmtId="0" fontId="6" fillId="0" borderId="0" xfId="1" applyFont="1" applyFill="1" applyBorder="1" applyAlignment="1" applyProtection="1">
      <alignment horizontal="center" vertical="center" wrapText="1"/>
      <protection hidden="1"/>
    </xf>
    <xf numFmtId="0" fontId="6" fillId="0" borderId="11" xfId="1" applyFont="1" applyFill="1" applyBorder="1" applyAlignment="1" applyProtection="1">
      <alignment horizontal="center" vertical="center" wrapText="1"/>
      <protection hidden="1"/>
    </xf>
    <xf numFmtId="0" fontId="1" fillId="0" borderId="14" xfId="0" applyFont="1" applyFill="1" applyBorder="1" applyAlignment="1" applyProtection="1">
      <alignment horizontal="center" vertical="center"/>
      <protection hidden="1"/>
    </xf>
    <xf numFmtId="0" fontId="2" fillId="0" borderId="14" xfId="0" applyFont="1" applyFill="1" applyBorder="1" applyAlignment="1" applyProtection="1">
      <alignment horizontal="center"/>
      <protection hidden="1"/>
    </xf>
    <xf numFmtId="0" fontId="2" fillId="0" borderId="5" xfId="0" applyFont="1" applyFill="1" applyBorder="1" applyAlignment="1" applyProtection="1">
      <alignment horizontal="center"/>
      <protection hidden="1"/>
    </xf>
    <xf numFmtId="0" fontId="1" fillId="2" borderId="16" xfId="0" applyFont="1" applyFill="1" applyBorder="1" applyAlignment="1" applyProtection="1">
      <alignment horizontal="center" vertical="center"/>
      <protection hidden="1"/>
    </xf>
    <xf numFmtId="0" fontId="6" fillId="12" borderId="1" xfId="1" applyFont="1" applyFill="1" applyBorder="1" applyAlignment="1" applyProtection="1">
      <alignment horizontal="center" vertical="center" wrapText="1"/>
      <protection hidden="1"/>
    </xf>
    <xf numFmtId="0" fontId="6" fillId="12" borderId="11" xfId="1" applyFont="1" applyFill="1" applyBorder="1" applyAlignment="1" applyProtection="1">
      <alignment horizontal="center" vertical="center" wrapText="1"/>
      <protection hidden="1"/>
    </xf>
    <xf numFmtId="0" fontId="6" fillId="12" borderId="1" xfId="1" applyFont="1" applyFill="1" applyBorder="1" applyAlignment="1" applyProtection="1">
      <alignment horizontal="left" vertical="center" wrapText="1"/>
      <protection hidden="1"/>
    </xf>
    <xf numFmtId="0" fontId="13" fillId="2" borderId="1" xfId="0" applyFont="1" applyFill="1" applyBorder="1" applyAlignment="1" applyProtection="1">
      <alignment horizontal="center"/>
      <protection hidden="1"/>
    </xf>
    <xf numFmtId="0" fontId="1" fillId="8" borderId="0" xfId="0" applyFont="1" applyFill="1" applyBorder="1" applyAlignment="1" applyProtection="1">
      <alignment vertical="center"/>
      <protection hidden="1"/>
    </xf>
    <xf numFmtId="0" fontId="2" fillId="0" borderId="0" xfId="0" applyFont="1" applyBorder="1" applyAlignment="1" applyProtection="1">
      <protection hidden="1"/>
    </xf>
    <xf numFmtId="0" fontId="24" fillId="2" borderId="2" xfId="0" applyFont="1" applyFill="1" applyBorder="1" applyAlignment="1" applyProtection="1">
      <alignment horizontal="center" vertical="center"/>
      <protection hidden="1"/>
    </xf>
    <xf numFmtId="0" fontId="24" fillId="2" borderId="1" xfId="0" applyFont="1" applyFill="1" applyBorder="1" applyAlignment="1" applyProtection="1">
      <alignment horizontal="center" vertical="center"/>
      <protection hidden="1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12" fillId="0" borderId="0" xfId="1" applyFont="1" applyFill="1" applyBorder="1" applyAlignment="1" applyProtection="1">
      <alignment horizontal="left" vertical="center" wrapText="1"/>
      <protection hidden="1"/>
    </xf>
    <xf numFmtId="0" fontId="24" fillId="13" borderId="2" xfId="0" applyFont="1" applyFill="1" applyBorder="1" applyAlignment="1" applyProtection="1">
      <alignment vertical="center"/>
      <protection hidden="1"/>
    </xf>
    <xf numFmtId="0" fontId="23" fillId="0" borderId="14" xfId="0" applyFont="1" applyBorder="1" applyAlignment="1" applyProtection="1">
      <alignment horizontal="center" vertical="center"/>
      <protection hidden="1"/>
    </xf>
    <xf numFmtId="0" fontId="25" fillId="2" borderId="18" xfId="0" applyFont="1" applyFill="1" applyBorder="1" applyAlignment="1" applyProtection="1">
      <alignment horizontal="center" vertical="center"/>
      <protection hidden="1"/>
    </xf>
    <xf numFmtId="0" fontId="1" fillId="2" borderId="1" xfId="2" applyNumberFormat="1" applyFont="1" applyFill="1" applyBorder="1" applyAlignment="1" applyProtection="1">
      <alignment horizontal="center" vertical="center"/>
      <protection hidden="1"/>
    </xf>
    <xf numFmtId="2" fontId="28" fillId="0" borderId="0" xfId="0" applyNumberFormat="1" applyFont="1" applyFill="1" applyBorder="1" applyProtection="1">
      <protection hidden="1"/>
    </xf>
    <xf numFmtId="0" fontId="27" fillId="0" borderId="0" xfId="2" applyFont="1" applyFill="1" applyBorder="1" applyAlignment="1" applyProtection="1">
      <alignment horizontal="center" vertical="center"/>
      <protection hidden="1"/>
    </xf>
    <xf numFmtId="17" fontId="27" fillId="0" borderId="0" xfId="2" applyNumberFormat="1" applyFont="1" applyFill="1" applyBorder="1" applyAlignment="1" applyProtection="1">
      <alignment horizontal="center" vertical="center"/>
      <protection hidden="1"/>
    </xf>
    <xf numFmtId="0" fontId="14" fillId="0" borderId="0" xfId="0" applyFont="1" applyFill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vertical="top" wrapText="1"/>
      <protection locked="0"/>
    </xf>
    <xf numFmtId="0" fontId="2" fillId="0" borderId="0" xfId="0" applyFont="1" applyProtection="1">
      <protection locked="0"/>
    </xf>
    <xf numFmtId="0" fontId="7" fillId="0" borderId="0" xfId="0" applyFont="1" applyAlignment="1" applyProtection="1">
      <alignment vertical="top" wrapText="1"/>
      <protection locked="0" hidden="1"/>
    </xf>
    <xf numFmtId="0" fontId="2" fillId="0" borderId="0" xfId="0" applyFont="1" applyProtection="1">
      <protection locked="0" hidden="1"/>
    </xf>
    <xf numFmtId="0" fontId="8" fillId="0" borderId="0" xfId="1" applyFont="1" applyAlignment="1" applyProtection="1">
      <alignment horizontal="center" vertical="top" wrapText="1"/>
      <protection locked="0" hidden="1"/>
    </xf>
    <xf numFmtId="0" fontId="1" fillId="0" borderId="0" xfId="0" applyFont="1" applyFill="1" applyBorder="1" applyAlignment="1" applyProtection="1">
      <alignment vertical="center"/>
      <protection hidden="1"/>
    </xf>
    <xf numFmtId="0" fontId="6" fillId="0" borderId="22" xfId="1" applyFont="1" applyFill="1" applyBorder="1" applyAlignment="1" applyProtection="1">
      <alignment horizontal="left" vertical="center" wrapText="1"/>
      <protection hidden="1"/>
    </xf>
    <xf numFmtId="0" fontId="5" fillId="0" borderId="0" xfId="0" applyFont="1" applyProtection="1"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0" fontId="2" fillId="4" borderId="1" xfId="0" applyFont="1" applyFill="1" applyBorder="1" applyAlignment="1" applyProtection="1">
      <alignment horizontal="center"/>
      <protection hidden="1"/>
    </xf>
    <xf numFmtId="0" fontId="5" fillId="0" borderId="0" xfId="0" applyFont="1" applyFill="1" applyBorder="1" applyProtection="1"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vertical="center"/>
      <protection hidden="1"/>
    </xf>
    <xf numFmtId="0" fontId="23" fillId="0" borderId="0" xfId="0" applyFont="1" applyFill="1" applyBorder="1" applyAlignment="1" applyProtection="1">
      <alignment vertical="center"/>
      <protection hidden="1"/>
    </xf>
    <xf numFmtId="0" fontId="23" fillId="0" borderId="1" xfId="0" applyFont="1" applyBorder="1" applyAlignment="1" applyProtection="1">
      <alignment horizontal="center" vertical="center"/>
      <protection hidden="1"/>
    </xf>
    <xf numFmtId="9" fontId="23" fillId="0" borderId="1" xfId="3" applyFont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9" fontId="23" fillId="0" borderId="0" xfId="3" applyFont="1" applyAlignment="1" applyProtection="1">
      <alignment vertical="center"/>
      <protection hidden="1"/>
    </xf>
    <xf numFmtId="0" fontId="0" fillId="0" borderId="0" xfId="0" applyFill="1" applyBorder="1" applyProtection="1">
      <protection hidden="1"/>
    </xf>
    <xf numFmtId="0" fontId="13" fillId="14" borderId="21" xfId="0" applyFont="1" applyFill="1" applyBorder="1" applyAlignment="1" applyProtection="1">
      <alignment horizontal="center" vertical="center"/>
      <protection hidden="1"/>
    </xf>
    <xf numFmtId="0" fontId="13" fillId="14" borderId="21" xfId="0" quotePrefix="1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5" fillId="0" borderId="0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30" fillId="0" borderId="0" xfId="1" applyFont="1" applyFill="1" applyBorder="1" applyAlignment="1" applyProtection="1">
      <alignment vertical="center" wrapText="1"/>
      <protection hidden="1"/>
    </xf>
    <xf numFmtId="0" fontId="21" fillId="0" borderId="0" xfId="0" applyFont="1" applyBorder="1" applyAlignment="1" applyProtection="1">
      <protection hidden="1"/>
    </xf>
    <xf numFmtId="0" fontId="32" fillId="0" borderId="0" xfId="0" applyFont="1" applyProtection="1">
      <protection hidden="1"/>
    </xf>
    <xf numFmtId="0" fontId="2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20" fontId="0" fillId="0" borderId="0" xfId="0" applyNumberFormat="1" applyProtection="1">
      <protection hidden="1"/>
    </xf>
    <xf numFmtId="0" fontId="18" fillId="0" borderId="0" xfId="0" applyFont="1" applyAlignment="1" applyProtection="1">
      <alignment horizontal="center"/>
      <protection hidden="1"/>
    </xf>
    <xf numFmtId="0" fontId="18" fillId="0" borderId="0" xfId="0" applyFont="1" applyAlignment="1" applyProtection="1">
      <protection hidden="1"/>
    </xf>
    <xf numFmtId="0" fontId="26" fillId="0" borderId="0" xfId="0" applyFont="1" applyFill="1" applyBorder="1" applyProtection="1">
      <protection hidden="1"/>
    </xf>
    <xf numFmtId="0" fontId="13" fillId="0" borderId="1" xfId="0" applyFont="1" applyBorder="1" applyAlignment="1" applyProtection="1">
      <alignment horizontal="center"/>
      <protection hidden="1"/>
    </xf>
    <xf numFmtId="0" fontId="18" fillId="2" borderId="1" xfId="0" applyFont="1" applyFill="1" applyBorder="1" applyAlignment="1" applyProtection="1">
      <alignment horizontal="center"/>
      <protection hidden="1"/>
    </xf>
    <xf numFmtId="0" fontId="26" fillId="0" borderId="0" xfId="0" applyFont="1" applyFill="1" applyBorder="1" applyAlignment="1" applyProtection="1">
      <alignment horizontal="center"/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2" fontId="0" fillId="0" borderId="16" xfId="0" applyNumberFormat="1" applyBorder="1" applyAlignment="1" applyProtection="1">
      <alignment horizontal="center"/>
      <protection hidden="1"/>
    </xf>
    <xf numFmtId="2" fontId="0" fillId="0" borderId="0" xfId="0" applyNumberFormat="1" applyBorder="1" applyAlignment="1" applyProtection="1">
      <alignment horizontal="center"/>
      <protection hidden="1"/>
    </xf>
    <xf numFmtId="0" fontId="5" fillId="0" borderId="0" xfId="0" applyFont="1" applyFill="1" applyBorder="1" applyAlignment="1" applyProtection="1">
      <alignment horizontal="center"/>
      <protection hidden="1"/>
    </xf>
    <xf numFmtId="9" fontId="5" fillId="0" borderId="0" xfId="3" applyFont="1" applyFill="1" applyBorder="1" applyAlignment="1" applyProtection="1">
      <alignment horizontal="center"/>
      <protection hidden="1"/>
    </xf>
    <xf numFmtId="0" fontId="2" fillId="7" borderId="1" xfId="0" applyFont="1" applyFill="1" applyBorder="1" applyProtection="1">
      <protection hidden="1"/>
    </xf>
    <xf numFmtId="0" fontId="0" fillId="7" borderId="1" xfId="0" applyFill="1" applyBorder="1" applyProtection="1">
      <protection hidden="1"/>
    </xf>
    <xf numFmtId="0" fontId="15" fillId="0" borderId="0" xfId="0" applyFont="1" applyFill="1" applyProtection="1">
      <protection hidden="1"/>
    </xf>
    <xf numFmtId="0" fontId="5" fillId="0" borderId="0" xfId="0" applyFont="1" applyFill="1" applyProtection="1">
      <protection hidden="1"/>
    </xf>
    <xf numFmtId="14" fontId="0" fillId="0" borderId="0" xfId="0" applyNumberFormat="1" applyProtection="1">
      <protection hidden="1"/>
    </xf>
    <xf numFmtId="14" fontId="0" fillId="0" borderId="0" xfId="0" applyNumberFormat="1" applyFill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164" fontId="6" fillId="0" borderId="1" xfId="0" applyNumberFormat="1" applyFont="1" applyFill="1" applyBorder="1" applyAlignment="1" applyProtection="1">
      <alignment horizontal="center"/>
      <protection hidden="1"/>
    </xf>
    <xf numFmtId="20" fontId="6" fillId="0" borderId="1" xfId="0" applyNumberFormat="1" applyFont="1" applyFill="1" applyBorder="1" applyAlignment="1" applyProtection="1">
      <alignment horizontal="center" vertical="center" wrapText="1"/>
      <protection hidden="1"/>
    </xf>
    <xf numFmtId="165" fontId="0" fillId="0" borderId="1" xfId="0" applyNumberFormat="1" applyBorder="1" applyAlignment="1" applyProtection="1">
      <alignment horizontal="center"/>
      <protection hidden="1"/>
    </xf>
    <xf numFmtId="164" fontId="0" fillId="0" borderId="1" xfId="0" applyNumberFormat="1" applyBorder="1" applyProtection="1">
      <protection hidden="1"/>
    </xf>
    <xf numFmtId="0" fontId="0" fillId="0" borderId="0" xfId="0" applyNumberFormat="1" applyProtection="1">
      <protection hidden="1"/>
    </xf>
    <xf numFmtId="0" fontId="5" fillId="0" borderId="0" xfId="0" applyFont="1" applyAlignment="1" applyProtection="1">
      <protection hidden="1"/>
    </xf>
    <xf numFmtId="0" fontId="5" fillId="0" borderId="1" xfId="0" applyFont="1" applyBorder="1" applyAlignment="1" applyProtection="1">
      <alignment horizontal="center"/>
      <protection locked="0" hidden="1"/>
    </xf>
    <xf numFmtId="0" fontId="2" fillId="0" borderId="1" xfId="0" applyFont="1" applyBorder="1" applyAlignment="1" applyProtection="1">
      <alignment horizontal="left" indent="1"/>
      <protection locked="0"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0" borderId="0" xfId="0" applyFont="1" applyBorder="1" applyAlignment="1" applyProtection="1">
      <alignment horizontal="center" vertical="center"/>
      <protection hidden="1"/>
    </xf>
    <xf numFmtId="9" fontId="23" fillId="0" borderId="0" xfId="3" applyFont="1" applyBorder="1" applyAlignment="1" applyProtection="1">
      <alignment horizontal="center" vertical="center"/>
      <protection hidden="1"/>
    </xf>
    <xf numFmtId="0" fontId="24" fillId="0" borderId="0" xfId="0" applyFont="1" applyFill="1" applyBorder="1" applyAlignment="1" applyProtection="1">
      <alignment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2" fontId="23" fillId="0" borderId="1" xfId="0" applyNumberFormat="1" applyFont="1" applyBorder="1" applyAlignment="1" applyProtection="1">
      <alignment horizontal="center" vertical="center"/>
      <protection hidden="1"/>
    </xf>
    <xf numFmtId="2" fontId="23" fillId="0" borderId="0" xfId="3" applyNumberFormat="1" applyFont="1" applyAlignment="1" applyProtection="1">
      <alignment vertical="center"/>
      <protection hidden="1"/>
    </xf>
    <xf numFmtId="0" fontId="1" fillId="2" borderId="0" xfId="2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Fill="1" applyBorder="1" applyAlignment="1" applyProtection="1">
      <alignment horizontal="center"/>
      <protection hidden="1"/>
    </xf>
    <xf numFmtId="2" fontId="11" fillId="0" borderId="0" xfId="0" applyNumberFormat="1" applyFont="1" applyFill="1" applyBorder="1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17" fontId="5" fillId="0" borderId="1" xfId="0" applyNumberFormat="1" applyFont="1" applyBorder="1" applyAlignment="1" applyProtection="1">
      <alignment horizontal="center"/>
      <protection hidden="1"/>
    </xf>
    <xf numFmtId="17" fontId="4" fillId="0" borderId="1" xfId="1" applyNumberFormat="1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2" fillId="9" borderId="1" xfId="0" applyFont="1" applyFill="1" applyBorder="1" applyAlignment="1" applyProtection="1">
      <alignment horizontal="center" vertical="center"/>
      <protection hidden="1"/>
    </xf>
    <xf numFmtId="0" fontId="22" fillId="11" borderId="1" xfId="0" applyFont="1" applyFill="1" applyBorder="1" applyAlignment="1" applyProtection="1">
      <alignment horizontal="center" vertical="center"/>
      <protection hidden="1"/>
    </xf>
    <xf numFmtId="0" fontId="22" fillId="10" borderId="1" xfId="0" applyFont="1" applyFill="1" applyBorder="1" applyAlignment="1" applyProtection="1">
      <alignment horizontal="center" vertical="center"/>
      <protection hidden="1"/>
    </xf>
    <xf numFmtId="0" fontId="19" fillId="0" borderId="7" xfId="1" applyFont="1" applyBorder="1" applyAlignment="1" applyProtection="1">
      <alignment horizontal="center" vertical="center"/>
      <protection hidden="1"/>
    </xf>
    <xf numFmtId="0" fontId="19" fillId="0" borderId="4" xfId="1" applyFont="1" applyBorder="1" applyAlignment="1" applyProtection="1">
      <alignment horizontal="center" vertical="center"/>
      <protection hidden="1"/>
    </xf>
    <xf numFmtId="0" fontId="19" fillId="0" borderId="8" xfId="1" applyFont="1" applyBorder="1" applyAlignment="1" applyProtection="1">
      <alignment horizontal="center" vertical="center"/>
      <protection hidden="1"/>
    </xf>
    <xf numFmtId="0" fontId="19" fillId="0" borderId="9" xfId="1" applyFont="1" applyBorder="1" applyAlignment="1" applyProtection="1">
      <alignment horizontal="center" vertical="center"/>
      <protection hidden="1"/>
    </xf>
    <xf numFmtId="0" fontId="19" fillId="0" borderId="0" xfId="1" applyFont="1" applyBorder="1" applyAlignment="1" applyProtection="1">
      <alignment horizontal="center" vertical="center"/>
      <protection hidden="1"/>
    </xf>
    <xf numFmtId="0" fontId="19" fillId="0" borderId="10" xfId="1" applyFont="1" applyBorder="1" applyAlignment="1" applyProtection="1">
      <alignment horizontal="center" vertical="center"/>
      <protection hidden="1"/>
    </xf>
    <xf numFmtId="0" fontId="19" fillId="0" borderId="6" xfId="1" applyFont="1" applyBorder="1" applyAlignment="1" applyProtection="1">
      <alignment horizontal="center" vertical="center"/>
      <protection hidden="1"/>
    </xf>
    <xf numFmtId="0" fontId="19" fillId="0" borderId="5" xfId="1" applyFont="1" applyBorder="1" applyAlignment="1" applyProtection="1">
      <alignment horizontal="center" vertical="center"/>
      <protection hidden="1"/>
    </xf>
    <xf numFmtId="0" fontId="19" fillId="0" borderId="13" xfId="1" applyFont="1" applyBorder="1" applyAlignment="1" applyProtection="1">
      <alignment horizontal="center" vertical="center"/>
      <protection hidden="1"/>
    </xf>
    <xf numFmtId="0" fontId="21" fillId="0" borderId="2" xfId="0" applyFont="1" applyBorder="1" applyAlignment="1" applyProtection="1">
      <alignment horizontal="center"/>
      <protection hidden="1"/>
    </xf>
    <xf numFmtId="0" fontId="21" fillId="0" borderId="14" xfId="0" applyFont="1" applyBorder="1" applyAlignment="1" applyProtection="1">
      <alignment horizontal="center"/>
      <protection hidden="1"/>
    </xf>
    <xf numFmtId="0" fontId="21" fillId="0" borderId="3" xfId="0" applyFont="1" applyBorder="1" applyAlignment="1" applyProtection="1">
      <alignment horizontal="center"/>
      <protection hidden="1"/>
    </xf>
    <xf numFmtId="0" fontId="1" fillId="0" borderId="22" xfId="0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30" fillId="0" borderId="1" xfId="1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3" fillId="0" borderId="1" xfId="0" applyFont="1" applyBorder="1" applyAlignment="1" applyProtection="1">
      <alignment horizontal="center" vertical="center"/>
      <protection locked="0" hidden="1"/>
    </xf>
    <xf numFmtId="0" fontId="23" fillId="4" borderId="1" xfId="0" applyFont="1" applyFill="1" applyBorder="1" applyAlignment="1" applyProtection="1">
      <alignment horizontal="center" vertical="center"/>
      <protection hidden="1"/>
    </xf>
    <xf numFmtId="0" fontId="31" fillId="0" borderId="1" xfId="1" applyFont="1" applyFill="1" applyBorder="1" applyAlignment="1" applyProtection="1">
      <alignment horizontal="center" vertical="center" wrapText="1"/>
      <protection hidden="1"/>
    </xf>
    <xf numFmtId="0" fontId="21" fillId="0" borderId="1" xfId="0" applyFont="1" applyBorder="1" applyAlignment="1" applyProtection="1">
      <alignment horizontal="center"/>
      <protection hidden="1"/>
    </xf>
    <xf numFmtId="17" fontId="21" fillId="0" borderId="1" xfId="0" applyNumberFormat="1" applyFont="1" applyBorder="1" applyAlignment="1" applyProtection="1">
      <alignment horizontal="center"/>
      <protection hidden="1"/>
    </xf>
    <xf numFmtId="0" fontId="13" fillId="14" borderId="19" xfId="0" applyFont="1" applyFill="1" applyBorder="1" applyAlignment="1" applyProtection="1">
      <alignment horizontal="center" vertical="center"/>
      <protection hidden="1"/>
    </xf>
    <xf numFmtId="0" fontId="13" fillId="0" borderId="19" xfId="0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0" fontId="2" fillId="0" borderId="20" xfId="0" applyFont="1" applyBorder="1" applyAlignment="1" applyProtection="1">
      <alignment horizontal="center" vertical="center"/>
      <protection hidden="1"/>
    </xf>
    <xf numFmtId="0" fontId="2" fillId="0" borderId="21" xfId="0" applyFont="1" applyBorder="1" applyAlignment="1" applyProtection="1">
      <alignment horizontal="center" vertical="center"/>
      <protection hidden="1"/>
    </xf>
    <xf numFmtId="0" fontId="29" fillId="0" borderId="19" xfId="0" applyFont="1" applyBorder="1" applyAlignment="1" applyProtection="1">
      <alignment horizontal="center" vertical="center"/>
      <protection hidden="1"/>
    </xf>
    <xf numFmtId="0" fontId="2" fillId="14" borderId="19" xfId="0" applyFont="1" applyFill="1" applyBorder="1" applyAlignment="1" applyProtection="1">
      <alignment horizontal="center" vertical="center"/>
      <protection hidden="1"/>
    </xf>
    <xf numFmtId="0" fontId="2" fillId="14" borderId="20" xfId="0" applyFont="1" applyFill="1" applyBorder="1" applyAlignment="1" applyProtection="1">
      <alignment horizontal="center" vertical="center"/>
      <protection hidden="1"/>
    </xf>
    <xf numFmtId="0" fontId="2" fillId="14" borderId="21" xfId="0" applyFont="1" applyFill="1" applyBorder="1" applyAlignment="1" applyProtection="1">
      <alignment horizontal="center" vertical="center"/>
      <protection hidden="1"/>
    </xf>
    <xf numFmtId="0" fontId="29" fillId="14" borderId="19" xfId="0" applyFont="1" applyFill="1" applyBorder="1" applyAlignment="1" applyProtection="1">
      <alignment horizontal="center" vertical="center"/>
      <protection hidden="1"/>
    </xf>
    <xf numFmtId="0" fontId="33" fillId="14" borderId="19" xfId="0" applyFont="1" applyFill="1" applyBorder="1" applyAlignment="1" applyProtection="1">
      <alignment horizontal="left" vertical="center"/>
      <protection hidden="1"/>
    </xf>
    <xf numFmtId="0" fontId="33" fillId="0" borderId="19" xfId="0" applyFont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3" fillId="14" borderId="21" xfId="0" applyFont="1" applyFill="1" applyBorder="1" applyAlignment="1" applyProtection="1">
      <alignment horizontal="left" vertical="center"/>
      <protection hidden="1"/>
    </xf>
    <xf numFmtId="0" fontId="18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2" xfId="0" applyFont="1" applyFill="1" applyBorder="1" applyAlignment="1" applyProtection="1">
      <alignment horizontal="center"/>
      <protection hidden="1"/>
    </xf>
    <xf numFmtId="0" fontId="2" fillId="0" borderId="14" xfId="0" applyFont="1" applyFill="1" applyBorder="1" applyAlignment="1" applyProtection="1">
      <alignment horizontal="center"/>
      <protection hidden="1"/>
    </xf>
    <xf numFmtId="0" fontId="2" fillId="0" borderId="3" xfId="0" applyFont="1" applyFill="1" applyBorder="1" applyAlignment="1" applyProtection="1">
      <alignment horizontal="center"/>
      <protection hidden="1"/>
    </xf>
    <xf numFmtId="0" fontId="2" fillId="0" borderId="5" xfId="0" applyFont="1" applyFill="1" applyBorder="1" applyAlignment="1" applyProtection="1">
      <alignment horizontal="center"/>
      <protection hidden="1"/>
    </xf>
    <xf numFmtId="0" fontId="18" fillId="0" borderId="0" xfId="0" applyFont="1" applyProtection="1"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6" fillId="0" borderId="4" xfId="1" applyFont="1" applyFill="1" applyBorder="1" applyAlignment="1" applyProtection="1">
      <alignment horizontal="center" vertical="center" wrapText="1"/>
      <protection hidden="1"/>
    </xf>
    <xf numFmtId="0" fontId="6" fillId="0" borderId="4" xfId="1" applyFont="1" applyFill="1" applyBorder="1" applyAlignment="1" applyProtection="1">
      <alignment horizontal="left" vertical="center" wrapText="1"/>
      <protection hidden="1"/>
    </xf>
    <xf numFmtId="14" fontId="6" fillId="0" borderId="0" xfId="0" applyNumberFormat="1" applyFont="1" applyFill="1" applyBorder="1" applyAlignment="1" applyProtection="1">
      <alignment horizontal="center"/>
      <protection locked="0" hidden="1"/>
    </xf>
    <xf numFmtId="20" fontId="6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6" fillId="0" borderId="0" xfId="1" applyFont="1" applyFill="1" applyBorder="1" applyAlignment="1" applyProtection="1">
      <alignment horizontal="center" vertical="center" wrapText="1"/>
      <protection locked="0" hidden="1"/>
    </xf>
    <xf numFmtId="0" fontId="2" fillId="0" borderId="0" xfId="0" applyFont="1" applyBorder="1" applyProtection="1">
      <protection locked="0" hidden="1"/>
    </xf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locked="0" hidden="1"/>
    </xf>
    <xf numFmtId="0" fontId="8" fillId="0" borderId="0" xfId="1" applyFont="1" applyFill="1" applyBorder="1" applyAlignment="1" applyProtection="1">
      <alignment horizontal="center" vertical="top" wrapText="1"/>
      <protection hidden="1"/>
    </xf>
    <xf numFmtId="0" fontId="8" fillId="0" borderId="0" xfId="1" applyFont="1" applyFill="1" applyBorder="1" applyAlignment="1" applyProtection="1">
      <alignment horizontal="center" vertical="top" wrapText="1"/>
      <protection locked="0" hidden="1"/>
    </xf>
    <xf numFmtId="14" fontId="16" fillId="0" borderId="0" xfId="0" applyNumberFormat="1" applyFont="1" applyFill="1" applyBorder="1" applyAlignment="1" applyProtection="1">
      <alignment horizontal="center"/>
      <protection locked="0" hidden="1"/>
    </xf>
    <xf numFmtId="0" fontId="1" fillId="0" borderId="0" xfId="0" applyFont="1" applyFill="1" applyBorder="1" applyAlignment="1" applyProtection="1">
      <alignment vertical="center" wrapText="1"/>
      <protection locked="0" hidden="1"/>
    </xf>
    <xf numFmtId="0" fontId="1" fillId="0" borderId="0" xfId="0" applyFont="1" applyFill="1" applyBorder="1" applyAlignment="1" applyProtection="1">
      <alignment vertical="center" wrapText="1"/>
      <protection hidden="1"/>
    </xf>
    <xf numFmtId="0" fontId="1" fillId="0" borderId="0" xfId="0" applyFont="1" applyFill="1" applyBorder="1" applyAlignment="1" applyProtection="1">
      <alignment horizontal="center" vertical="center" wrapText="1"/>
      <protection locked="0" hidden="1"/>
    </xf>
    <xf numFmtId="0" fontId="2" fillId="0" borderId="0" xfId="0" applyFont="1" applyFill="1" applyBorder="1" applyProtection="1">
      <protection hidden="1"/>
    </xf>
    <xf numFmtId="17" fontId="2" fillId="0" borderId="0" xfId="0" applyNumberFormat="1" applyFont="1" applyFill="1" applyBorder="1" applyProtection="1">
      <protection hidden="1"/>
    </xf>
    <xf numFmtId="0" fontId="0" fillId="0" borderId="0" xfId="0" applyFill="1" applyBorder="1"/>
    <xf numFmtId="17" fontId="4" fillId="0" borderId="0" xfId="1" applyNumberFormat="1" applyFont="1" applyFill="1" applyBorder="1" applyAlignment="1" applyProtection="1">
      <alignment vertical="center"/>
    </xf>
    <xf numFmtId="17" fontId="5" fillId="0" borderId="0" xfId="0" applyNumberFormat="1" applyFont="1" applyFill="1" applyBorder="1" applyAlignment="1" applyProtection="1">
      <protection hidden="1"/>
    </xf>
    <xf numFmtId="17" fontId="5" fillId="0" borderId="0" xfId="0" applyNumberFormat="1" applyFont="1" applyBorder="1" applyAlignment="1" applyProtection="1">
      <protection hidden="1"/>
    </xf>
    <xf numFmtId="20" fontId="6" fillId="0" borderId="1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35" fillId="0" borderId="0" xfId="0" applyFont="1" applyProtection="1">
      <protection hidden="1"/>
    </xf>
    <xf numFmtId="0" fontId="2" fillId="0" borderId="7" xfId="0" applyFont="1" applyBorder="1" applyAlignment="1" applyProtection="1">
      <alignment horizontal="center"/>
      <protection locked="0" hidden="1"/>
    </xf>
    <xf numFmtId="0" fontId="2" fillId="0" borderId="4" xfId="0" applyFont="1" applyBorder="1" applyAlignment="1" applyProtection="1">
      <alignment horizontal="center"/>
      <protection locked="0" hidden="1"/>
    </xf>
    <xf numFmtId="0" fontId="2" fillId="0" borderId="8" xfId="0" applyFont="1" applyBorder="1" applyAlignment="1" applyProtection="1">
      <alignment horizontal="center"/>
      <protection locked="0" hidden="1"/>
    </xf>
    <xf numFmtId="0" fontId="33" fillId="14" borderId="23" xfId="0" applyFont="1" applyFill="1" applyBorder="1" applyAlignment="1" applyProtection="1">
      <alignment horizontal="left" vertical="center"/>
      <protection hidden="1"/>
    </xf>
    <xf numFmtId="0" fontId="33" fillId="0" borderId="18" xfId="0" applyFont="1" applyBorder="1" applyAlignment="1" applyProtection="1">
      <alignment horizontal="center" vertical="center"/>
      <protection hidden="1"/>
    </xf>
    <xf numFmtId="0" fontId="33" fillId="0" borderId="15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13" fillId="15" borderId="0" xfId="0" applyFont="1" applyFill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0" fontId="13" fillId="0" borderId="24" xfId="0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Alignment="1" applyProtection="1">
      <alignment horizontal="center" vertical="center"/>
      <protection hidden="1"/>
    </xf>
    <xf numFmtId="0" fontId="13" fillId="0" borderId="0" xfId="0" quotePrefix="1" applyFont="1" applyFill="1" applyBorder="1" applyAlignment="1" applyProtection="1">
      <alignment horizontal="center" vertical="center"/>
      <protection hidden="1"/>
    </xf>
    <xf numFmtId="0" fontId="2" fillId="0" borderId="24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horizontal="center" vertical="center"/>
      <protection hidden="1"/>
    </xf>
    <xf numFmtId="0" fontId="33" fillId="0" borderId="25" xfId="0" applyFont="1" applyBorder="1" applyAlignment="1" applyProtection="1">
      <alignment horizontal="left" vertical="center"/>
      <protection hidden="1"/>
    </xf>
    <xf numFmtId="0" fontId="13" fillId="0" borderId="25" xfId="0" applyFont="1" applyBorder="1" applyAlignment="1" applyProtection="1">
      <alignment horizontal="center" vertical="center"/>
      <protection hidden="1"/>
    </xf>
    <xf numFmtId="0" fontId="2" fillId="0" borderId="25" xfId="0" applyFont="1" applyBorder="1" applyAlignment="1" applyProtection="1">
      <alignment horizontal="center" vertical="center"/>
      <protection hidden="1"/>
    </xf>
    <xf numFmtId="0" fontId="29" fillId="0" borderId="25" xfId="0" applyFont="1" applyBorder="1" applyAlignment="1" applyProtection="1">
      <alignment horizontal="center" vertical="center"/>
      <protection hidden="1"/>
    </xf>
    <xf numFmtId="0" fontId="33" fillId="0" borderId="0" xfId="0" applyFont="1" applyBorder="1" applyAlignment="1" applyProtection="1">
      <alignment horizontal="left" vertical="center"/>
      <protection hidden="1"/>
    </xf>
    <xf numFmtId="0" fontId="29" fillId="0" borderId="0" xfId="0" applyFont="1" applyBorder="1" applyAlignment="1" applyProtection="1">
      <alignment horizontal="center" vertical="center"/>
      <protection hidden="1"/>
    </xf>
    <xf numFmtId="0" fontId="36" fillId="3" borderId="1" xfId="0" applyFont="1" applyFill="1" applyBorder="1" applyAlignment="1" applyProtection="1">
      <alignment horizontal="center"/>
      <protection hidden="1"/>
    </xf>
    <xf numFmtId="0" fontId="36" fillId="0" borderId="7" xfId="0" applyFont="1" applyFill="1" applyBorder="1" applyAlignment="1" applyProtection="1">
      <protection hidden="1"/>
    </xf>
    <xf numFmtId="0" fontId="36" fillId="0" borderId="4" xfId="0" applyFont="1" applyFill="1" applyBorder="1" applyAlignment="1" applyProtection="1">
      <protection hidden="1"/>
    </xf>
    <xf numFmtId="0" fontId="36" fillId="0" borderId="9" xfId="0" applyFont="1" applyFill="1" applyBorder="1" applyAlignment="1" applyProtection="1">
      <protection hidden="1"/>
    </xf>
    <xf numFmtId="0" fontId="36" fillId="0" borderId="0" xfId="0" applyFont="1" applyFill="1" applyBorder="1" applyAlignment="1" applyProtection="1">
      <protection hidden="1"/>
    </xf>
    <xf numFmtId="0" fontId="22" fillId="16" borderId="6" xfId="0" applyFont="1" applyFill="1" applyBorder="1" applyAlignment="1" applyProtection="1">
      <alignment horizontal="center" vertical="center"/>
      <protection hidden="1"/>
    </xf>
    <xf numFmtId="0" fontId="22" fillId="16" borderId="5" xfId="0" applyFont="1" applyFill="1" applyBorder="1" applyAlignment="1" applyProtection="1">
      <alignment horizontal="center" vertical="center"/>
      <protection hidden="1"/>
    </xf>
    <xf numFmtId="0" fontId="1" fillId="0" borderId="1" xfId="1" applyFont="1" applyFill="1" applyBorder="1" applyAlignment="1" applyProtection="1">
      <alignment horizontal="center" vertical="center" wrapText="1"/>
      <protection hidden="1"/>
    </xf>
    <xf numFmtId="0" fontId="1" fillId="0" borderId="1" xfId="1" applyFont="1" applyFill="1" applyBorder="1" applyAlignment="1" applyProtection="1">
      <alignment horizontal="left" vertical="center" wrapText="1"/>
      <protection hidden="1"/>
    </xf>
    <xf numFmtId="0" fontId="13" fillId="0" borderId="11" xfId="0" applyFont="1" applyBorder="1" applyAlignment="1" applyProtection="1">
      <alignment horizontal="center"/>
      <protection hidden="1"/>
    </xf>
    <xf numFmtId="0" fontId="13" fillId="0" borderId="12" xfId="0" applyFont="1" applyBorder="1" applyAlignment="1" applyProtection="1">
      <alignment horizontal="center"/>
      <protection hidden="1"/>
    </xf>
    <xf numFmtId="17" fontId="0" fillId="0" borderId="9" xfId="0" applyNumberFormat="1" applyBorder="1"/>
    <xf numFmtId="166" fontId="3" fillId="0" borderId="9" xfId="1" applyNumberFormat="1" applyFill="1" applyBorder="1" applyAlignment="1" applyProtection="1">
      <alignment horizontal="center"/>
    </xf>
    <xf numFmtId="0" fontId="0" fillId="0" borderId="0" xfId="0" quotePrefix="1" applyProtection="1">
      <protection hidden="1"/>
    </xf>
    <xf numFmtId="0" fontId="34" fillId="0" borderId="0" xfId="0" applyFont="1" applyFill="1" applyProtection="1">
      <protection hidden="1"/>
    </xf>
    <xf numFmtId="0" fontId="23" fillId="3" borderId="1" xfId="0" applyFont="1" applyFill="1" applyBorder="1" applyAlignment="1" applyProtection="1">
      <alignment horizontal="center" vertical="center"/>
      <protection hidden="1"/>
    </xf>
  </cellXfs>
  <cellStyles count="4">
    <cellStyle name="Hyperlink" xfId="1" builtinId="8"/>
    <cellStyle name="Normal" xfId="0" builtinId="0"/>
    <cellStyle name="Normal 2" xfId="2"/>
    <cellStyle name="Percent" xfId="3" builtinId="5"/>
  </cellStyles>
  <dxfs count="17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F8F8F8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C"/>
  <c:chart>
    <c:plotArea>
      <c:layout>
        <c:manualLayout>
          <c:layoutTarget val="inner"/>
          <c:xMode val="edge"/>
          <c:yMode val="edge"/>
          <c:x val="1.5422362425517E-2"/>
          <c:y val="8.7054360736269931E-2"/>
          <c:w val="0.96915527514896604"/>
          <c:h val="0.87206072629040199"/>
        </c:manualLayout>
      </c:layout>
      <c:lineChart>
        <c:grouping val="standard"/>
        <c:ser>
          <c:idx val="0"/>
          <c:order val="0"/>
          <c:spPr>
            <a:ln w="12700">
              <a:solidFill>
                <a:schemeClr val="accent6">
                  <a:lumMod val="60000"/>
                  <a:lumOff val="40000"/>
                </a:schemeClr>
              </a:solidFill>
              <a:headEnd type="diamond" w="med" len="med"/>
              <a:tailEnd type="diamond" w="med" len="med"/>
            </a:ln>
          </c:spPr>
          <c:marker>
            <c:symbol val="none"/>
          </c:marker>
          <c:val>
            <c:numRef>
              <c:f>'ef-FT'!$YE$4:$ZR$4</c:f>
              <c:numCache>
                <c:formatCode>0.00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</c:ser>
        <c:ser>
          <c:idx val="1"/>
          <c:order val="1"/>
          <c:spPr>
            <a:ln w="12700">
              <a:headEnd type="none"/>
              <a:tailEnd type="diamond"/>
            </a:ln>
          </c:spPr>
          <c:marker>
            <c:symbol val="none"/>
          </c:marker>
          <c:val>
            <c:numRef>
              <c:f>'ef-FT'!$YE$5:$ZR$5</c:f>
              <c:numCache>
                <c:formatCode>0.00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</c:ser>
        <c:ser>
          <c:idx val="2"/>
          <c:order val="2"/>
          <c:spPr>
            <a:ln w="12700">
              <a:headEnd type="none"/>
              <a:tailEnd type="diamond"/>
            </a:ln>
          </c:spPr>
          <c:marker>
            <c:symbol val="none"/>
          </c:marker>
          <c:val>
            <c:numRef>
              <c:f>'ef-FT'!$YE$6:$ZR$6</c:f>
              <c:numCache>
                <c:formatCode>0.00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</c:ser>
        <c:ser>
          <c:idx val="3"/>
          <c:order val="3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'ef-FT'!$YE$7:$ZR$7</c:f>
              <c:numCache>
                <c:formatCode>0.00</c:formatCode>
                <c:ptCount val="40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7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</c:ser>
        <c:ser>
          <c:idx val="4"/>
          <c:order val="4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'ef-FT'!$YE$8:$ZR$8</c:f>
              <c:numCache>
                <c:formatCode>0.00</c:formatCode>
                <c:ptCount val="4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</c:ser>
        <c:marker val="1"/>
        <c:axId val="82097664"/>
        <c:axId val="82099200"/>
      </c:lineChart>
      <c:catAx>
        <c:axId val="82097664"/>
        <c:scaling>
          <c:orientation val="minMax"/>
        </c:scaling>
        <c:delete val="1"/>
        <c:axPos val="t"/>
        <c:tickLblPos val="none"/>
        <c:crossAx val="82099200"/>
        <c:crosses val="autoZero"/>
        <c:auto val="1"/>
        <c:lblAlgn val="ctr"/>
        <c:lblOffset val="100"/>
      </c:catAx>
      <c:valAx>
        <c:axId val="82099200"/>
        <c:scaling>
          <c:orientation val="maxMin"/>
          <c:max val="8.5"/>
          <c:min val="0.5"/>
        </c:scaling>
        <c:axPos val="l"/>
        <c:numFmt formatCode="0.00" sourceLinked="1"/>
        <c:tickLblPos val="none"/>
        <c:crossAx val="82097664"/>
        <c:crosses val="autoZero"/>
        <c:crossBetween val="between"/>
        <c:majorUnit val="1"/>
        <c:minorUnit val="1"/>
      </c:valAx>
      <c:spPr>
        <a:noFill/>
        <a:ln>
          <a:noFill/>
        </a:ln>
      </c:spPr>
    </c:plotArea>
    <c:plotVisOnly val="1"/>
  </c:chart>
  <c:spPr>
    <a:noFill/>
    <a:ln>
      <a:noFill/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C"/>
  <c:chart>
    <c:plotArea>
      <c:layout>
        <c:manualLayout>
          <c:layoutTarget val="inner"/>
          <c:xMode val="edge"/>
          <c:yMode val="edge"/>
          <c:x val="1.5422362425517004E-2"/>
          <c:y val="9.4380372288294129E-2"/>
          <c:w val="0.96775324220119174"/>
          <c:h val="0.87938673784242616"/>
        </c:manualLayout>
      </c:layout>
      <c:lineChart>
        <c:grouping val="standard"/>
        <c:ser>
          <c:idx val="0"/>
          <c:order val="0"/>
          <c:spPr>
            <a:ln w="12700">
              <a:solidFill>
                <a:schemeClr val="accent6">
                  <a:lumMod val="60000"/>
                  <a:lumOff val="40000"/>
                </a:schemeClr>
              </a:solidFill>
              <a:headEnd type="diamond" w="med" len="med"/>
              <a:tailEnd type="diamond" w="med" len="med"/>
            </a:ln>
          </c:spPr>
          <c:marker>
            <c:symbol val="none"/>
          </c:marker>
          <c:val>
            <c:numRef>
              <c:f>'ef-FT'!$YE$10:$ZR$10</c:f>
              <c:numCache>
                <c:formatCode>0.00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</c:ser>
        <c:ser>
          <c:idx val="1"/>
          <c:order val="1"/>
          <c:spPr>
            <a:ln w="12700">
              <a:headEnd type="none"/>
              <a:tailEnd type="diamond"/>
            </a:ln>
          </c:spPr>
          <c:marker>
            <c:symbol val="none"/>
          </c:marker>
          <c:val>
            <c:numRef>
              <c:f>'ef-FT'!$YE$11:$ZR$11</c:f>
              <c:numCache>
                <c:formatCode>0.00</c:formatCode>
                <c:ptCount val="40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</c:ser>
        <c:ser>
          <c:idx val="2"/>
          <c:order val="2"/>
          <c:spPr>
            <a:ln w="12700">
              <a:headEnd type="none"/>
              <a:tailEnd type="diamond"/>
            </a:ln>
          </c:spPr>
          <c:marker>
            <c:symbol val="none"/>
          </c:marker>
          <c:val>
            <c:numRef>
              <c:f>'ef-FT'!$YE$12:$ZR$12</c:f>
              <c:numCache>
                <c:formatCode>0.00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</c:ser>
        <c:ser>
          <c:idx val="3"/>
          <c:order val="3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'ef-FT'!$YE$13:$ZR$13</c:f>
              <c:numCache>
                <c:formatCode>0.00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</c:ser>
        <c:ser>
          <c:idx val="4"/>
          <c:order val="4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'ef-FT'!$YE$14:$ZR$14</c:f>
              <c:numCache>
                <c:formatCode>0.00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</c:ser>
        <c:ser>
          <c:idx val="5"/>
          <c:order val="5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'ef-FT'!$YE$15:$ZR$15</c:f>
              <c:numCache>
                <c:formatCode>0.00</c:formatCode>
                <c:ptCount val="40"/>
              </c:numCache>
            </c:numRef>
          </c:val>
        </c:ser>
        <c:ser>
          <c:idx val="6"/>
          <c:order val="6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'ef-FT'!$YE$16:$ZR$16</c:f>
              <c:numCache>
                <c:formatCode>0.00</c:formatCode>
                <c:ptCount val="40"/>
              </c:numCache>
            </c:numRef>
          </c:val>
        </c:ser>
        <c:ser>
          <c:idx val="7"/>
          <c:order val="7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'ef-FT'!$YE$17:$ZR$17</c:f>
              <c:numCache>
                <c:formatCode>0.00</c:formatCode>
                <c:ptCount val="40"/>
              </c:numCache>
            </c:numRef>
          </c:val>
        </c:ser>
        <c:ser>
          <c:idx val="8"/>
          <c:order val="8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'ef-FT'!$YE$18:$ZR$18</c:f>
              <c:numCache>
                <c:formatCode>0.00</c:formatCode>
                <c:ptCount val="40"/>
              </c:numCache>
            </c:numRef>
          </c:val>
        </c:ser>
        <c:ser>
          <c:idx val="9"/>
          <c:order val="9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'ef-FT'!$YE$19:$ZR$19</c:f>
              <c:numCache>
                <c:formatCode>0.00</c:formatCode>
                <c:ptCount val="40"/>
              </c:numCache>
            </c:numRef>
          </c:val>
        </c:ser>
        <c:ser>
          <c:idx val="10"/>
          <c:order val="10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'ef-FT'!$YE$20:$ZR$20</c:f>
              <c:numCache>
                <c:formatCode>0.00</c:formatCode>
                <c:ptCount val="40"/>
              </c:numCache>
            </c:numRef>
          </c:val>
        </c:ser>
        <c:ser>
          <c:idx val="11"/>
          <c:order val="11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'ef-FT'!$YE$21:$ZR$21</c:f>
              <c:numCache>
                <c:formatCode>0.00</c:formatCode>
                <c:ptCount val="40"/>
              </c:numCache>
            </c:numRef>
          </c:val>
        </c:ser>
        <c:ser>
          <c:idx val="12"/>
          <c:order val="12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'ef-FT'!$YE$22:$ZR$22</c:f>
              <c:numCache>
                <c:formatCode>0.00</c:formatCode>
                <c:ptCount val="40"/>
              </c:numCache>
            </c:numRef>
          </c:val>
        </c:ser>
        <c:ser>
          <c:idx val="13"/>
          <c:order val="13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'ef-FT'!$YE$23:$ZR$23</c:f>
              <c:numCache>
                <c:formatCode>0.00</c:formatCode>
                <c:ptCount val="40"/>
              </c:numCache>
            </c:numRef>
          </c:val>
        </c:ser>
        <c:ser>
          <c:idx val="14"/>
          <c:order val="14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'ef-FT'!$YE$24:$ZR$24</c:f>
              <c:numCache>
                <c:formatCode>0.00</c:formatCode>
                <c:ptCount val="40"/>
              </c:numCache>
            </c:numRef>
          </c:val>
        </c:ser>
        <c:ser>
          <c:idx val="15"/>
          <c:order val="15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'ef-FT'!$YE$25:$ZR$25</c:f>
              <c:numCache>
                <c:formatCode>0.00</c:formatCode>
                <c:ptCount val="40"/>
              </c:numCache>
            </c:numRef>
          </c:val>
        </c:ser>
        <c:ser>
          <c:idx val="16"/>
          <c:order val="16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'ef-FT'!$YE$26:$ZR$26</c:f>
              <c:numCache>
                <c:formatCode>0.00</c:formatCode>
                <c:ptCount val="40"/>
              </c:numCache>
            </c:numRef>
          </c:val>
        </c:ser>
        <c:ser>
          <c:idx val="17"/>
          <c:order val="17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'ef-FT'!$YE$27:$ZR$27</c:f>
              <c:numCache>
                <c:formatCode>0.00</c:formatCode>
                <c:ptCount val="40"/>
              </c:numCache>
            </c:numRef>
          </c:val>
        </c:ser>
        <c:ser>
          <c:idx val="18"/>
          <c:order val="18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'ef-FT'!$YE$28:$ZR$28</c:f>
              <c:numCache>
                <c:formatCode>0.00</c:formatCode>
                <c:ptCount val="40"/>
              </c:numCache>
            </c:numRef>
          </c:val>
        </c:ser>
        <c:ser>
          <c:idx val="19"/>
          <c:order val="19"/>
          <c:spPr>
            <a:ln w="12700">
              <a:tailEnd type="diamond"/>
            </a:ln>
          </c:spPr>
          <c:marker>
            <c:symbol val="none"/>
          </c:marker>
          <c:val>
            <c:numRef>
              <c:f>'ef-FT'!$YE$29:$ZR$29</c:f>
              <c:numCache>
                <c:formatCode>0.00</c:formatCode>
                <c:ptCount val="40"/>
              </c:numCache>
            </c:numRef>
          </c:val>
        </c:ser>
        <c:ser>
          <c:idx val="20"/>
          <c:order val="20"/>
          <c:marker>
            <c:symbol val="none"/>
          </c:marker>
          <c:val>
            <c:numRef>
              <c:f>'ef-FT'!$YE$30:$ZR$30</c:f>
              <c:numCache>
                <c:formatCode>0.00</c:formatCode>
                <c:ptCount val="40"/>
              </c:numCache>
            </c:numRef>
          </c:val>
        </c:ser>
        <c:ser>
          <c:idx val="21"/>
          <c:order val="21"/>
          <c:marker>
            <c:symbol val="none"/>
          </c:marker>
          <c:val>
            <c:numRef>
              <c:f>'ef-FT'!$YE$31:$ZR$31</c:f>
              <c:numCache>
                <c:formatCode>0.00</c:formatCode>
                <c:ptCount val="40"/>
              </c:numCache>
            </c:numRef>
          </c:val>
        </c:ser>
        <c:ser>
          <c:idx val="22"/>
          <c:order val="22"/>
          <c:marker>
            <c:symbol val="none"/>
          </c:marker>
          <c:val>
            <c:numRef>
              <c:f>'ef-FT'!$YE$32:$ZR$32</c:f>
              <c:numCache>
                <c:formatCode>0.00</c:formatCode>
                <c:ptCount val="40"/>
              </c:numCache>
            </c:numRef>
          </c:val>
        </c:ser>
        <c:ser>
          <c:idx val="23"/>
          <c:order val="23"/>
          <c:marker>
            <c:symbol val="none"/>
          </c:marker>
          <c:val>
            <c:numRef>
              <c:f>'ef-FT'!$YE$33:$ZR$33</c:f>
              <c:numCache>
                <c:formatCode>0.00</c:formatCode>
                <c:ptCount val="40"/>
              </c:numCache>
            </c:numRef>
          </c:val>
        </c:ser>
        <c:marker val="1"/>
        <c:axId val="178280320"/>
        <c:axId val="178281856"/>
      </c:lineChart>
      <c:catAx>
        <c:axId val="178280320"/>
        <c:scaling>
          <c:orientation val="minMax"/>
        </c:scaling>
        <c:delete val="1"/>
        <c:axPos val="t"/>
        <c:tickLblPos val="none"/>
        <c:crossAx val="178281856"/>
        <c:crosses val="autoZero"/>
        <c:auto val="1"/>
        <c:lblAlgn val="ctr"/>
        <c:lblOffset val="100"/>
      </c:catAx>
      <c:valAx>
        <c:axId val="178281856"/>
        <c:scaling>
          <c:orientation val="maxMin"/>
          <c:max val="8.5"/>
          <c:min val="0.5"/>
        </c:scaling>
        <c:axPos val="l"/>
        <c:numFmt formatCode="0.00" sourceLinked="1"/>
        <c:tickLblPos val="none"/>
        <c:crossAx val="178280320"/>
        <c:crosses val="autoZero"/>
        <c:crossBetween val="between"/>
        <c:majorUnit val="1"/>
        <c:minorUnit val="1"/>
      </c:valAx>
      <c:spPr>
        <a:noFill/>
        <a:ln>
          <a:noFill/>
        </a:ln>
      </c:spPr>
    </c:plotArea>
    <c:plotVisOnly val="1"/>
  </c:chart>
  <c:spPr>
    <a:noFill/>
    <a:ln>
      <a:noFill/>
    </a:ln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37</xdr:row>
      <xdr:rowOff>0</xdr:rowOff>
    </xdr:from>
    <xdr:to>
      <xdr:col>8</xdr:col>
      <xdr:colOff>9525</xdr:colOff>
      <xdr:row>37</xdr:row>
      <xdr:rowOff>0</xdr:rowOff>
    </xdr:to>
    <xdr:pic>
      <xdr:nvPicPr>
        <xdr:cNvPr id="2" name="Picture 1" descr="http://www.premierleague.com/shim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91200" y="721995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1600200</xdr:colOff>
      <xdr:row>2</xdr:row>
      <xdr:rowOff>47626</xdr:rowOff>
    </xdr:from>
    <xdr:to>
      <xdr:col>41</xdr:col>
      <xdr:colOff>152400</xdr:colOff>
      <xdr:row>19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1609725</xdr:colOff>
      <xdr:row>22</xdr:row>
      <xdr:rowOff>28575</xdr:rowOff>
    </xdr:from>
    <xdr:to>
      <xdr:col>41</xdr:col>
      <xdr:colOff>161925</xdr:colOff>
      <xdr:row>39</xdr:row>
      <xdr:rowOff>47624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excel-fixtures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excel-fixtures.com/" TargetMode="External"/><Relationship Id="rId1" Type="http://schemas.openxmlformats.org/officeDocument/2006/relationships/hyperlink" Target="http://www.excel-fixtures.com/" TargetMode="External"/><Relationship Id="rId6" Type="http://schemas.openxmlformats.org/officeDocument/2006/relationships/hyperlink" Target="http://www.excel-fixtures.com/" TargetMode="External"/><Relationship Id="rId5" Type="http://schemas.openxmlformats.org/officeDocument/2006/relationships/hyperlink" Target="http://www.excel-fixtures.com/" TargetMode="External"/><Relationship Id="rId4" Type="http://schemas.openxmlformats.org/officeDocument/2006/relationships/hyperlink" Target="http://www.excel-fixtures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xcel-fixtures.com/" TargetMode="External"/><Relationship Id="rId2" Type="http://schemas.openxmlformats.org/officeDocument/2006/relationships/hyperlink" Target="http://www.excel-fixtures.com/" TargetMode="External"/><Relationship Id="rId1" Type="http://schemas.openxmlformats.org/officeDocument/2006/relationships/hyperlink" Target="http://www.excel-fixtures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xcel-fixtures.com/" TargetMode="External"/><Relationship Id="rId2" Type="http://schemas.openxmlformats.org/officeDocument/2006/relationships/hyperlink" Target="http://www.excel-fixtures.com/" TargetMode="External"/><Relationship Id="rId1" Type="http://schemas.openxmlformats.org/officeDocument/2006/relationships/hyperlink" Target="http://www.excel-fixtures.com/" TargetMode="External"/><Relationship Id="rId4" Type="http://schemas.openxmlformats.org/officeDocument/2006/relationships/hyperlink" Target="http://www.excel-fixtures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excel-fixtures.com/" TargetMode="External"/><Relationship Id="rId1" Type="http://schemas.openxmlformats.org/officeDocument/2006/relationships/hyperlink" Target="http://www.excel-fixtures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excel-fixtures.com/" TargetMode="External"/><Relationship Id="rId1" Type="http://schemas.openxmlformats.org/officeDocument/2006/relationships/hyperlink" Target="http://www.excel-fixtures.com/" TargetMode="Externa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24"/>
  <sheetViews>
    <sheetView tabSelected="1" zoomScale="85" zoomScaleNormal="85" workbookViewId="0">
      <pane ySplit="3" topLeftCell="A4" activePane="bottomLeft" state="frozen"/>
      <selection pane="bottomLeft" activeCell="H9" sqref="H9"/>
    </sheetView>
  </sheetViews>
  <sheetFormatPr defaultRowHeight="15"/>
  <cols>
    <col min="1" max="1" width="10.5703125" bestFit="1" customWidth="1"/>
    <col min="2" max="2" width="6.5703125" bestFit="1" customWidth="1"/>
    <col min="3" max="3" width="29" customWidth="1"/>
    <col min="4" max="4" width="8.85546875" customWidth="1"/>
    <col min="5" max="5" width="29" customWidth="1"/>
    <col min="6" max="6" width="8.85546875" customWidth="1"/>
    <col min="10" max="14" width="15.28515625" style="40" customWidth="1"/>
    <col min="20" max="20" width="2.5703125" bestFit="1" customWidth="1"/>
    <col min="21" max="21" width="2.85546875" bestFit="1" customWidth="1"/>
    <col min="22" max="23" width="2.5703125" bestFit="1" customWidth="1"/>
    <col min="24" max="24" width="5.7109375" bestFit="1" customWidth="1"/>
    <col min="25" max="25" width="4" bestFit="1" customWidth="1"/>
    <col min="26" max="26" width="4.28515625" bestFit="1" customWidth="1"/>
    <col min="27" max="27" width="9.28515625" bestFit="1" customWidth="1"/>
    <col min="28" max="28" width="4.42578125" bestFit="1" customWidth="1"/>
    <col min="30" max="30" width="4.7109375" bestFit="1" customWidth="1"/>
    <col min="31" max="31" width="17" bestFit="1" customWidth="1"/>
    <col min="33" max="33" width="6.140625" bestFit="1" customWidth="1"/>
    <col min="34" max="35" width="2.140625" bestFit="1" customWidth="1"/>
  </cols>
  <sheetData>
    <row r="1" spans="1:36">
      <c r="A1" s="1" t="s">
        <v>0</v>
      </c>
      <c r="B1" s="168" t="s">
        <v>1</v>
      </c>
      <c r="C1" s="169"/>
      <c r="D1" s="1" t="s">
        <v>26</v>
      </c>
      <c r="E1" s="150" t="s">
        <v>212</v>
      </c>
      <c r="F1" s="2"/>
      <c r="G1" s="2"/>
      <c r="H1" s="2"/>
      <c r="I1" s="2"/>
      <c r="J1" s="54" t="str">
        <f ca="1">HYPERLINK('ef-FT'!$C$37&amp;"g"&amp;HLOOKUP('ef-FT'!E36,'ef-FT'!$E$36:$N$38,2,),PROPER(TEXT('ef-FT'!E36,"mmmm")))</f>
        <v>Marzo</v>
      </c>
      <c r="K1" s="54" t="str">
        <f ca="1">HYPERLINK('ef-FT'!$C$37&amp;"g"&amp;HLOOKUP('ef-FT'!F36,'ef-FT'!$E$36:$N$38,2,),PROPER(TEXT('ef-FT'!F36,"mmmm")))</f>
        <v>Abril</v>
      </c>
      <c r="L1" s="54" t="str">
        <f ca="1">HYPERLINK('ef-FT'!$C$37&amp;"g"&amp;HLOOKUP('ef-FT'!G36,'ef-FT'!$E$36:$N$38,2,),PROPER(TEXT('ef-FT'!G36,"mmmm")))</f>
        <v>Mayo</v>
      </c>
      <c r="M1" s="54" t="str">
        <f ca="1">HYPERLINK('ef-FT'!$C$37&amp;"g"&amp;HLOOKUP('ef-FT'!H36,'ef-FT'!$E$36:$N$38,2,),PROPER(TEXT('ef-FT'!H36,"mmmm")))</f>
        <v>Junio</v>
      </c>
      <c r="N1" s="277"/>
    </row>
    <row r="2" spans="1:36">
      <c r="A2" s="3"/>
      <c r="B2" s="4"/>
      <c r="C2" s="4"/>
      <c r="D2" s="2"/>
      <c r="E2" s="2"/>
      <c r="F2" s="2"/>
      <c r="G2" s="2"/>
      <c r="H2" s="2"/>
      <c r="I2" s="2"/>
      <c r="J2" s="54" t="str">
        <f ca="1">HYPERLINK('ef-FT'!$C$37&amp;"g"&amp;HLOOKUP('ef-FT'!I36,'ef-FT'!$E$36:$N$38,2,),PROPER(TEXT('ef-FT'!I36,"mmmm")))</f>
        <v>Julio</v>
      </c>
      <c r="K2" s="54" t="str">
        <f ca="1">HYPERLINK('ef-FT'!$C$37&amp;"g"&amp;HLOOKUP('ef-FT'!J36,'ef-FT'!$E$36:$N$38,2,),PROPER(TEXT('ef-FT'!J36,"mmmm")))</f>
        <v>Agosto</v>
      </c>
      <c r="L2" s="54" t="str">
        <f ca="1">HYPERLINK('ef-FT'!$C$37&amp;"g"&amp;HLOOKUP('ef-FT'!K36,'ef-FT'!$E$36:$N$38,2,),PROPER(TEXT('ef-FT'!K36,"mmmm")))</f>
        <v>Septiembre</v>
      </c>
      <c r="M2" s="54" t="str">
        <f ca="1">HYPERLINK('ef-FT'!$C$37&amp;"g"&amp;HLOOKUP('ef-FT'!L36,'ef-FT'!$E$36:$N$38,2,),PROPER(TEXT('ef-FT'!L36,"mmmm")))</f>
        <v>Octubre</v>
      </c>
      <c r="N2" s="278"/>
    </row>
    <row r="3" spans="1:36">
      <c r="A3" s="5"/>
      <c r="B3" s="6" t="str">
        <f>lg!H4</f>
        <v>Follow</v>
      </c>
      <c r="C3" s="7" t="s">
        <v>192</v>
      </c>
      <c r="D3" s="8" t="s">
        <v>4</v>
      </c>
      <c r="E3" s="9" t="s">
        <v>182</v>
      </c>
      <c r="F3" s="2"/>
      <c r="G3" s="2"/>
      <c r="H3" s="2"/>
      <c r="I3" s="2"/>
    </row>
    <row r="4" spans="1:36">
      <c r="A4" s="1" t="str">
        <f>lg!B4</f>
        <v>Date</v>
      </c>
      <c r="B4" s="1" t="str">
        <f>lg!C4</f>
        <v>Time</v>
      </c>
      <c r="C4" s="1" t="str">
        <f>lg!D4</f>
        <v>Home</v>
      </c>
      <c r="D4" s="1" t="str">
        <f>lg!E4</f>
        <v>R</v>
      </c>
      <c r="E4" s="1" t="str">
        <f>lg!F4</f>
        <v>Away</v>
      </c>
      <c r="F4" s="1" t="str">
        <f>lg!G4</f>
        <v>R</v>
      </c>
      <c r="G4" s="2"/>
      <c r="H4" s="2"/>
      <c r="I4" s="2"/>
      <c r="J4" s="167" t="s">
        <v>2</v>
      </c>
      <c r="K4" s="167"/>
      <c r="L4" s="167"/>
      <c r="M4" s="167"/>
      <c r="N4" s="167"/>
    </row>
    <row r="5" spans="1:36" ht="15.75">
      <c r="A5" s="38">
        <f>'ef-FT'!K44</f>
        <v>40262.5</v>
      </c>
      <c r="B5" s="240" t="s">
        <v>140</v>
      </c>
      <c r="C5" s="11" t="str">
        <f>'ef-FT'!E44</f>
        <v>Seattle Sounders FC</v>
      </c>
      <c r="D5" s="32">
        <f>'ef-FT'!M44</f>
        <v>2</v>
      </c>
      <c r="E5" s="11" t="str">
        <f>'ef-FT'!G44</f>
        <v>Philadelphia Union</v>
      </c>
      <c r="F5" s="32">
        <f>'ef-FT'!O44</f>
        <v>0</v>
      </c>
      <c r="G5" s="94"/>
      <c r="H5" s="94"/>
      <c r="I5" s="95"/>
      <c r="J5" s="167"/>
      <c r="K5" s="167"/>
      <c r="L5" s="167"/>
      <c r="M5" s="167"/>
      <c r="N5" s="167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1"/>
      <c r="AD5" s="21"/>
      <c r="AE5" s="21"/>
      <c r="AF5" s="21"/>
      <c r="AG5" s="21"/>
      <c r="AH5" s="21"/>
      <c r="AI5" s="21"/>
      <c r="AJ5" s="19"/>
    </row>
    <row r="6" spans="1:36" ht="15.75">
      <c r="A6" s="38">
        <f>'ef-FT'!K45</f>
        <v>40262.5</v>
      </c>
      <c r="B6" s="240" t="s">
        <v>140</v>
      </c>
      <c r="C6" s="11" t="str">
        <f>'ef-FT'!E45</f>
        <v>Chivas USA</v>
      </c>
      <c r="D6" s="32">
        <f>'ef-FT'!M45</f>
        <v>0</v>
      </c>
      <c r="E6" s="11" t="str">
        <f>'ef-FT'!G45</f>
        <v>Colorado</v>
      </c>
      <c r="F6" s="32">
        <f>'ef-FT'!O45</f>
        <v>1</v>
      </c>
      <c r="G6" s="94"/>
      <c r="H6" s="94"/>
      <c r="I6" s="95"/>
      <c r="J6" s="166" t="s">
        <v>5</v>
      </c>
      <c r="K6" s="166"/>
      <c r="L6" s="166"/>
      <c r="M6" s="166"/>
      <c r="N6" s="166"/>
      <c r="R6" s="19"/>
      <c r="S6" s="19"/>
      <c r="T6" s="22"/>
      <c r="U6" s="22"/>
      <c r="V6" s="22"/>
      <c r="W6" s="22"/>
      <c r="X6" s="22"/>
      <c r="Y6" s="22"/>
      <c r="Z6" s="22"/>
      <c r="AA6" s="22"/>
      <c r="AB6" s="22"/>
      <c r="AC6" s="21"/>
      <c r="AD6" s="23"/>
      <c r="AE6" s="23"/>
      <c r="AF6" s="21"/>
      <c r="AG6" s="21"/>
      <c r="AH6" s="21"/>
      <c r="AI6" s="21"/>
      <c r="AJ6" s="19"/>
    </row>
    <row r="7" spans="1:36" ht="15.75">
      <c r="A7" s="38">
        <f>'ef-FT'!K46</f>
        <v>40264.5</v>
      </c>
      <c r="B7" s="240" t="s">
        <v>140</v>
      </c>
      <c r="C7" s="11" t="str">
        <f>'ef-FT'!E46</f>
        <v>Dallas</v>
      </c>
      <c r="D7" s="32">
        <f>'ef-FT'!M46</f>
        <v>1</v>
      </c>
      <c r="E7" s="11" t="str">
        <f>'ef-FT'!G46</f>
        <v>Houston</v>
      </c>
      <c r="F7" s="32">
        <f>'ef-FT'!O46</f>
        <v>1</v>
      </c>
      <c r="G7" s="94"/>
      <c r="H7" s="94"/>
      <c r="I7" s="95"/>
      <c r="J7" s="41"/>
      <c r="K7" s="41"/>
      <c r="L7" s="41"/>
      <c r="M7" s="41"/>
      <c r="N7" s="42"/>
      <c r="R7" s="19"/>
      <c r="S7" s="19"/>
      <c r="T7" s="22"/>
      <c r="U7" s="22"/>
      <c r="V7" s="22"/>
      <c r="W7" s="22"/>
      <c r="X7" s="22"/>
      <c r="Y7" s="22"/>
      <c r="Z7" s="22"/>
      <c r="AA7" s="22"/>
      <c r="AB7" s="22"/>
      <c r="AC7" s="21"/>
      <c r="AD7" s="23"/>
      <c r="AE7" s="23"/>
      <c r="AF7" s="21"/>
      <c r="AG7" s="21"/>
      <c r="AH7" s="21"/>
      <c r="AI7" s="21"/>
      <c r="AJ7" s="19"/>
    </row>
    <row r="8" spans="1:36" ht="15.75">
      <c r="A8" s="38">
        <f>'ef-FT'!K47</f>
        <v>40264.5</v>
      </c>
      <c r="B8" s="240" t="s">
        <v>140</v>
      </c>
      <c r="C8" s="11" t="str">
        <f>'ef-FT'!E47</f>
        <v>Columbus</v>
      </c>
      <c r="D8" s="32">
        <f>'ef-FT'!M47</f>
        <v>2</v>
      </c>
      <c r="E8" s="11" t="str">
        <f>'ef-FT'!G47</f>
        <v>Toronto FC</v>
      </c>
      <c r="F8" s="32">
        <f>'ef-FT'!O47</f>
        <v>0</v>
      </c>
      <c r="G8" s="94"/>
      <c r="H8" s="94"/>
      <c r="I8" s="95"/>
      <c r="J8" s="43"/>
      <c r="K8" s="43"/>
      <c r="L8" s="43"/>
      <c r="M8" s="43"/>
      <c r="N8" s="43"/>
      <c r="R8" s="19"/>
      <c r="S8" s="19"/>
      <c r="T8" s="22"/>
      <c r="U8" s="22"/>
      <c r="V8" s="22"/>
      <c r="W8" s="22"/>
      <c r="X8" s="22"/>
      <c r="Y8" s="22"/>
      <c r="Z8" s="22"/>
      <c r="AA8" s="22"/>
      <c r="AB8" s="22"/>
      <c r="AC8" s="21"/>
      <c r="AD8" s="23"/>
      <c r="AE8" s="23"/>
      <c r="AF8" s="21"/>
      <c r="AG8" s="21"/>
      <c r="AH8" s="21"/>
      <c r="AI8" s="21"/>
      <c r="AJ8" s="19"/>
    </row>
    <row r="9" spans="1:36" ht="15.75">
      <c r="A9" s="38">
        <f>'ef-FT'!K48</f>
        <v>40264.5</v>
      </c>
      <c r="B9" s="240" t="s">
        <v>140</v>
      </c>
      <c r="C9" s="11" t="str">
        <f>'ef-FT'!E48</f>
        <v>New York Red Bulls</v>
      </c>
      <c r="D9" s="32">
        <f>'ef-FT'!M48</f>
        <v>1</v>
      </c>
      <c r="E9" s="11" t="str">
        <f>'ef-FT'!G48</f>
        <v>Chicago</v>
      </c>
      <c r="F9" s="32">
        <f>'ef-FT'!O48</f>
        <v>0</v>
      </c>
      <c r="G9" s="94"/>
      <c r="H9" s="94"/>
      <c r="I9" s="95"/>
      <c r="J9" s="43"/>
      <c r="K9" s="43"/>
      <c r="L9" s="43"/>
      <c r="M9" s="43"/>
      <c r="N9" s="44"/>
      <c r="R9" s="19"/>
      <c r="S9" s="19"/>
      <c r="T9" s="22"/>
      <c r="U9" s="22"/>
      <c r="V9" s="22"/>
      <c r="W9" s="22"/>
      <c r="X9" s="22"/>
      <c r="Y9" s="22"/>
      <c r="Z9" s="22"/>
      <c r="AA9" s="22"/>
      <c r="AB9" s="22"/>
      <c r="AC9" s="21"/>
      <c r="AD9" s="23"/>
      <c r="AE9" s="23"/>
      <c r="AF9" s="21"/>
      <c r="AG9" s="21"/>
      <c r="AH9" s="21"/>
      <c r="AI9" s="21"/>
      <c r="AJ9" s="19"/>
    </row>
    <row r="10" spans="1:36" ht="15.75">
      <c r="A10" s="38">
        <f>'ef-FT'!K49</f>
        <v>40264.5</v>
      </c>
      <c r="B10" s="240" t="s">
        <v>140</v>
      </c>
      <c r="C10" s="11" t="str">
        <f>'ef-FT'!E49</f>
        <v>Kansas City</v>
      </c>
      <c r="D10" s="32">
        <f>'ef-FT'!M49</f>
        <v>4</v>
      </c>
      <c r="E10" s="11" t="str">
        <f>'ef-FT'!G49</f>
        <v>DC United</v>
      </c>
      <c r="F10" s="32">
        <f>'ef-FT'!O49</f>
        <v>0</v>
      </c>
      <c r="G10" s="94"/>
      <c r="H10" s="94"/>
      <c r="I10" s="95"/>
      <c r="J10" s="43"/>
      <c r="K10" s="43"/>
      <c r="L10" s="43"/>
      <c r="M10" s="43"/>
      <c r="N10" s="44"/>
      <c r="R10" s="19"/>
      <c r="S10" s="19"/>
      <c r="T10" s="22"/>
      <c r="U10" s="22"/>
      <c r="V10" s="22"/>
      <c r="W10" s="22"/>
      <c r="X10" s="22"/>
      <c r="Y10" s="22"/>
      <c r="Z10" s="22"/>
      <c r="AA10" s="22"/>
      <c r="AB10" s="22"/>
      <c r="AC10" s="21"/>
      <c r="AD10" s="23"/>
      <c r="AE10" s="23"/>
      <c r="AF10" s="21"/>
      <c r="AG10" s="21"/>
      <c r="AH10" s="21"/>
      <c r="AI10" s="21"/>
      <c r="AJ10" s="19"/>
    </row>
    <row r="11" spans="1:36" ht="15.75">
      <c r="A11" s="38">
        <f>'ef-FT'!K50</f>
        <v>40264.5</v>
      </c>
      <c r="B11" s="240" t="s">
        <v>140</v>
      </c>
      <c r="C11" s="11" t="str">
        <f>'ef-FT'!E50</f>
        <v>San Jose</v>
      </c>
      <c r="D11" s="32">
        <f>'ef-FT'!M50</f>
        <v>0</v>
      </c>
      <c r="E11" s="11" t="str">
        <f>'ef-FT'!G50</f>
        <v>Real Salt Lake</v>
      </c>
      <c r="F11" s="32">
        <f>'ef-FT'!O50</f>
        <v>3</v>
      </c>
      <c r="G11" s="94"/>
      <c r="H11" s="94"/>
      <c r="I11" s="95"/>
      <c r="J11" s="43"/>
      <c r="K11" s="43"/>
      <c r="L11" s="43"/>
      <c r="M11" s="43"/>
      <c r="N11" s="44"/>
      <c r="R11" s="19"/>
      <c r="S11" s="19"/>
      <c r="T11" s="22"/>
      <c r="U11" s="22"/>
      <c r="V11" s="22"/>
      <c r="W11" s="22"/>
      <c r="X11" s="22"/>
      <c r="Y11" s="22"/>
      <c r="Z11" s="22"/>
      <c r="AA11" s="22"/>
      <c r="AB11" s="22"/>
      <c r="AC11" s="21"/>
      <c r="AD11" s="23"/>
      <c r="AE11" s="23"/>
      <c r="AF11" s="21"/>
      <c r="AG11" s="21"/>
      <c r="AH11" s="21"/>
      <c r="AI11" s="21"/>
      <c r="AJ11" s="19"/>
    </row>
    <row r="12" spans="1:36" ht="15.75">
      <c r="A12" s="38">
        <f>'ef-FT'!K51</f>
        <v>40264.5</v>
      </c>
      <c r="B12" s="240" t="s">
        <v>140</v>
      </c>
      <c r="C12" s="11" t="str">
        <f>'ef-FT'!E51</f>
        <v>Los Angeles</v>
      </c>
      <c r="D12" s="32">
        <f>'ef-FT'!M51</f>
        <v>1</v>
      </c>
      <c r="E12" s="11" t="str">
        <f>'ef-FT'!G51</f>
        <v>New England</v>
      </c>
      <c r="F12" s="32">
        <f>'ef-FT'!O51</f>
        <v>0</v>
      </c>
      <c r="G12" s="94"/>
      <c r="H12" s="94"/>
      <c r="I12" s="95"/>
      <c r="J12" s="43"/>
      <c r="K12" s="43"/>
      <c r="L12" s="44"/>
      <c r="M12" s="44"/>
      <c r="N12" s="44"/>
      <c r="R12" s="19"/>
      <c r="S12" s="19"/>
      <c r="T12" s="22"/>
      <c r="U12" s="22"/>
      <c r="V12" s="22"/>
      <c r="W12" s="22"/>
      <c r="X12" s="22"/>
      <c r="Y12" s="22"/>
      <c r="Z12" s="22"/>
      <c r="AA12" s="22"/>
      <c r="AB12" s="22"/>
      <c r="AC12" s="21"/>
      <c r="AD12" s="23"/>
      <c r="AE12" s="23"/>
      <c r="AF12" s="21"/>
      <c r="AG12" s="21"/>
      <c r="AH12" s="21"/>
      <c r="AI12" s="21"/>
      <c r="AJ12" s="19"/>
    </row>
    <row r="13" spans="1:36" ht="15.75">
      <c r="A13" s="38">
        <f>'ef-FT'!K52</f>
        <v>40269.5</v>
      </c>
      <c r="B13" s="240" t="s">
        <v>140</v>
      </c>
      <c r="C13" s="11" t="str">
        <f>'ef-FT'!E52</f>
        <v>Houston</v>
      </c>
      <c r="D13" s="32">
        <f>'ef-FT'!M52</f>
        <v>2</v>
      </c>
      <c r="E13" s="11" t="str">
        <f>'ef-FT'!G52</f>
        <v>Real Salt Lake</v>
      </c>
      <c r="F13" s="32">
        <f>'ef-FT'!O52</f>
        <v>1</v>
      </c>
      <c r="G13" s="94"/>
      <c r="H13" s="94"/>
      <c r="I13" s="95"/>
      <c r="J13" s="43"/>
      <c r="K13" s="43"/>
      <c r="L13" s="43"/>
      <c r="M13" s="43"/>
      <c r="N13" s="43"/>
      <c r="R13" s="19"/>
      <c r="S13" s="19"/>
      <c r="T13" s="22"/>
      <c r="U13" s="22"/>
      <c r="V13" s="22"/>
      <c r="W13" s="22"/>
      <c r="X13" s="22"/>
      <c r="Y13" s="22"/>
      <c r="Z13" s="22"/>
      <c r="AA13" s="22"/>
      <c r="AB13" s="22"/>
      <c r="AC13" s="21"/>
      <c r="AD13" s="23"/>
      <c r="AE13" s="23"/>
      <c r="AF13" s="21"/>
      <c r="AG13" s="21"/>
      <c r="AH13" s="21"/>
      <c r="AI13" s="21"/>
      <c r="AJ13" s="19"/>
    </row>
    <row r="14" spans="1:36" ht="15.75">
      <c r="A14" s="38">
        <f>'ef-FT'!K53</f>
        <v>40269.5</v>
      </c>
      <c r="B14" s="240" t="s">
        <v>140</v>
      </c>
      <c r="C14" s="11" t="str">
        <f>'ef-FT'!E53</f>
        <v>Los Angeles</v>
      </c>
      <c r="D14" s="32">
        <f>'ef-FT'!M53</f>
        <v>2</v>
      </c>
      <c r="E14" s="11" t="str">
        <f>'ef-FT'!G53</f>
        <v>Chivas USA</v>
      </c>
      <c r="F14" s="32">
        <f>'ef-FT'!O53</f>
        <v>0</v>
      </c>
      <c r="G14" s="94"/>
      <c r="H14" s="94"/>
      <c r="I14" s="95"/>
      <c r="J14" s="43"/>
      <c r="K14" s="43"/>
      <c r="L14" s="43"/>
      <c r="M14" s="44"/>
      <c r="N14" s="44"/>
      <c r="R14" s="19"/>
      <c r="S14" s="19"/>
      <c r="T14" s="22"/>
      <c r="U14" s="22"/>
      <c r="V14" s="22"/>
      <c r="W14" s="22"/>
      <c r="X14" s="22"/>
      <c r="Y14" s="22"/>
      <c r="Z14" s="22"/>
      <c r="AA14" s="22"/>
      <c r="AB14" s="22"/>
      <c r="AC14" s="21"/>
      <c r="AD14" s="23"/>
      <c r="AE14" s="23"/>
      <c r="AF14" s="21"/>
      <c r="AG14" s="21"/>
      <c r="AH14" s="21"/>
      <c r="AI14" s="21"/>
      <c r="AJ14" s="19"/>
    </row>
    <row r="15" spans="1:36" ht="15.75">
      <c r="A15" s="38">
        <f>'ef-FT'!K54</f>
        <v>40271.5</v>
      </c>
      <c r="B15" s="240" t="s">
        <v>140</v>
      </c>
      <c r="C15" s="11" t="str">
        <f>'ef-FT'!E54</f>
        <v>Colorado</v>
      </c>
      <c r="D15" s="32">
        <f>'ef-FT'!M54</f>
        <v>2</v>
      </c>
      <c r="E15" s="11" t="str">
        <f>'ef-FT'!G54</f>
        <v>Chicago</v>
      </c>
      <c r="F15" s="32">
        <f>'ef-FT'!O54</f>
        <v>2</v>
      </c>
      <c r="G15" s="12" t="str">
        <f ca="1">HYPERLINK('ef-FT'!$C$36,"á")</f>
        <v>á</v>
      </c>
      <c r="H15" s="12"/>
      <c r="I15" s="2"/>
      <c r="J15" s="45"/>
      <c r="K15" s="44"/>
      <c r="L15" s="44"/>
      <c r="M15" s="44"/>
      <c r="N15" s="44"/>
      <c r="R15" s="19"/>
      <c r="S15" s="19"/>
      <c r="T15" s="22"/>
      <c r="U15" s="22"/>
      <c r="V15" s="22"/>
      <c r="W15" s="22"/>
      <c r="X15" s="22"/>
      <c r="Y15" s="22"/>
      <c r="Z15" s="22"/>
      <c r="AA15" s="22"/>
      <c r="AB15" s="22"/>
      <c r="AC15" s="21"/>
      <c r="AD15" s="23"/>
      <c r="AE15" s="23"/>
      <c r="AF15" s="21"/>
      <c r="AG15" s="21"/>
      <c r="AH15" s="21"/>
      <c r="AI15" s="21"/>
      <c r="AJ15" s="19"/>
    </row>
    <row r="16" spans="1:36" ht="15.75">
      <c r="A16" s="38">
        <f>'ef-FT'!K55</f>
        <v>40271.5</v>
      </c>
      <c r="B16" s="240" t="s">
        <v>140</v>
      </c>
      <c r="C16" s="11" t="str">
        <f>'ef-FT'!E55</f>
        <v>DC United</v>
      </c>
      <c r="D16" s="32">
        <f>'ef-FT'!M55</f>
        <v>0</v>
      </c>
      <c r="E16" s="11" t="str">
        <f>'ef-FT'!G55</f>
        <v>New England</v>
      </c>
      <c r="F16" s="32">
        <f>'ef-FT'!O55</f>
        <v>2</v>
      </c>
      <c r="G16" s="96"/>
      <c r="H16" s="96"/>
      <c r="I16" s="97"/>
      <c r="J16" s="45"/>
      <c r="K16" s="46"/>
      <c r="L16" s="44"/>
      <c r="M16" s="44"/>
      <c r="N16" s="44"/>
      <c r="R16" s="19"/>
      <c r="S16" s="19"/>
      <c r="T16" s="22"/>
      <c r="U16" s="22"/>
      <c r="V16" s="22"/>
      <c r="W16" s="22"/>
      <c r="X16" s="22"/>
      <c r="Y16" s="22"/>
      <c r="Z16" s="22"/>
      <c r="AA16" s="22"/>
      <c r="AB16" s="22"/>
      <c r="AC16" s="21"/>
      <c r="AD16" s="23"/>
      <c r="AE16" s="23"/>
      <c r="AF16" s="21"/>
      <c r="AG16" s="21"/>
      <c r="AH16" s="21"/>
      <c r="AI16" s="21"/>
      <c r="AJ16" s="19"/>
    </row>
    <row r="17" spans="1:36" ht="15.75">
      <c r="A17" s="38">
        <f>'ef-FT'!K56</f>
        <v>40271.5</v>
      </c>
      <c r="B17" s="240" t="s">
        <v>140</v>
      </c>
      <c r="C17" s="11" t="str">
        <f>'ef-FT'!E56</f>
        <v>Seattle Sounders FC</v>
      </c>
      <c r="D17" s="32">
        <f>'ef-FT'!M56</f>
        <v>0</v>
      </c>
      <c r="E17" s="11" t="str">
        <f>'ef-FT'!G56</f>
        <v>New York Red Bulls</v>
      </c>
      <c r="F17" s="32">
        <f>'ef-FT'!O56</f>
        <v>1</v>
      </c>
      <c r="G17" s="96"/>
      <c r="H17" s="96"/>
      <c r="I17" s="97"/>
      <c r="J17" s="45"/>
      <c r="L17" s="47"/>
      <c r="M17" s="47"/>
      <c r="N17" s="47"/>
      <c r="R17" s="19"/>
      <c r="S17" s="19"/>
      <c r="T17" s="22"/>
      <c r="U17" s="22"/>
      <c r="V17" s="22"/>
      <c r="W17" s="22"/>
      <c r="X17" s="22"/>
      <c r="Y17" s="22"/>
      <c r="Z17" s="22"/>
      <c r="AA17" s="22"/>
      <c r="AB17" s="22"/>
      <c r="AC17" s="21"/>
      <c r="AD17" s="23"/>
      <c r="AE17" s="23"/>
      <c r="AF17" s="21"/>
      <c r="AG17" s="21"/>
      <c r="AH17" s="21"/>
      <c r="AI17" s="21"/>
      <c r="AJ17" s="19"/>
    </row>
    <row r="18" spans="1:36" ht="15.75">
      <c r="A18" s="38">
        <f>'ef-FT'!K57</f>
        <v>40278.5</v>
      </c>
      <c r="B18" s="240" t="s">
        <v>140</v>
      </c>
      <c r="C18" s="11" t="str">
        <f>'ef-FT'!E57</f>
        <v>Chivas USA</v>
      </c>
      <c r="D18" s="32">
        <f>'ef-FT'!M57</f>
        <v>2</v>
      </c>
      <c r="E18" s="11" t="str">
        <f>'ef-FT'!G57</f>
        <v>New York Red Bulls</v>
      </c>
      <c r="F18" s="32">
        <f>'ef-FT'!O57</f>
        <v>0</v>
      </c>
      <c r="G18" s="96"/>
      <c r="H18" s="96"/>
      <c r="I18" s="97"/>
      <c r="J18" s="48"/>
      <c r="K18" s="47"/>
      <c r="L18" s="47"/>
      <c r="M18" s="47"/>
      <c r="N18" s="47"/>
      <c r="R18" s="19"/>
      <c r="S18" s="19"/>
      <c r="T18" s="22"/>
      <c r="U18" s="22"/>
      <c r="V18" s="22"/>
      <c r="W18" s="22"/>
      <c r="X18" s="22"/>
      <c r="Y18" s="22"/>
      <c r="Z18" s="22"/>
      <c r="AA18" s="22"/>
      <c r="AB18" s="22"/>
      <c r="AC18" s="21"/>
      <c r="AD18" s="23"/>
      <c r="AE18" s="23"/>
      <c r="AF18" s="21"/>
      <c r="AG18" s="21"/>
      <c r="AH18" s="21"/>
      <c r="AI18" s="21"/>
      <c r="AJ18" s="19"/>
    </row>
    <row r="19" spans="1:36" ht="15.75">
      <c r="A19" s="38">
        <f>'ef-FT'!K58</f>
        <v>40278.5</v>
      </c>
      <c r="B19" s="240" t="s">
        <v>140</v>
      </c>
      <c r="C19" s="11" t="str">
        <f>'ef-FT'!E58</f>
        <v>Philadelphia Union</v>
      </c>
      <c r="D19" s="32">
        <f>'ef-FT'!M58</f>
        <v>3</v>
      </c>
      <c r="E19" s="11" t="str">
        <f>'ef-FT'!G58</f>
        <v>DC United</v>
      </c>
      <c r="F19" s="32">
        <f>'ef-FT'!O58</f>
        <v>2</v>
      </c>
      <c r="G19" s="96"/>
      <c r="H19" s="96"/>
      <c r="I19" s="97"/>
      <c r="J19" s="45"/>
      <c r="L19" s="47"/>
      <c r="M19" s="47"/>
      <c r="N19" s="47"/>
      <c r="R19" s="19"/>
      <c r="S19" s="19"/>
      <c r="T19" s="22"/>
      <c r="U19" s="22"/>
      <c r="V19" s="22"/>
      <c r="W19" s="22"/>
      <c r="X19" s="22"/>
      <c r="Y19" s="22"/>
      <c r="Z19" s="22"/>
      <c r="AA19" s="22"/>
      <c r="AB19" s="22"/>
      <c r="AC19" s="21"/>
      <c r="AD19" s="23"/>
      <c r="AE19" s="23"/>
      <c r="AF19" s="21"/>
      <c r="AG19" s="21"/>
      <c r="AH19" s="21"/>
      <c r="AI19" s="21"/>
      <c r="AJ19" s="19"/>
    </row>
    <row r="20" spans="1:36" ht="15.75">
      <c r="A20" s="38">
        <f>'ef-FT'!K59</f>
        <v>40278.5</v>
      </c>
      <c r="B20" s="240" t="s">
        <v>140</v>
      </c>
      <c r="C20" s="11" t="str">
        <f>'ef-FT'!E59</f>
        <v>New England</v>
      </c>
      <c r="D20" s="32">
        <f>'ef-FT'!M59</f>
        <v>4</v>
      </c>
      <c r="E20" s="11" t="str">
        <f>'ef-FT'!G59</f>
        <v>Toronto FC</v>
      </c>
      <c r="F20" s="32">
        <f>'ef-FT'!O59</f>
        <v>1</v>
      </c>
      <c r="G20" s="96"/>
      <c r="H20" s="96"/>
      <c r="I20" s="97"/>
      <c r="J20" s="45"/>
      <c r="K20" s="47"/>
      <c r="L20" s="47"/>
      <c r="M20" s="47"/>
      <c r="N20" s="47"/>
      <c r="R20" s="19"/>
      <c r="S20" s="19"/>
      <c r="T20" s="22"/>
      <c r="U20" s="22"/>
      <c r="V20" s="22"/>
      <c r="W20" s="22"/>
      <c r="X20" s="22"/>
      <c r="Y20" s="22"/>
      <c r="Z20" s="22"/>
      <c r="AA20" s="22"/>
      <c r="AB20" s="22"/>
      <c r="AC20" s="21"/>
      <c r="AD20" s="23"/>
      <c r="AE20" s="23"/>
      <c r="AF20" s="21"/>
      <c r="AG20" s="21"/>
      <c r="AH20" s="21"/>
      <c r="AI20" s="21"/>
      <c r="AJ20" s="19"/>
    </row>
    <row r="21" spans="1:36" ht="15.75">
      <c r="A21" s="38">
        <f>'ef-FT'!K60</f>
        <v>40278.5</v>
      </c>
      <c r="B21" s="240" t="s">
        <v>140</v>
      </c>
      <c r="C21" s="11" t="str">
        <f>'ef-FT'!E60</f>
        <v>Chicago</v>
      </c>
      <c r="D21" s="32">
        <f>'ef-FT'!M60</f>
        <v>1</v>
      </c>
      <c r="E21" s="11" t="str">
        <f>'ef-FT'!G60</f>
        <v>San Jose</v>
      </c>
      <c r="F21" s="32">
        <f>'ef-FT'!O60</f>
        <v>2</v>
      </c>
      <c r="G21" s="96"/>
      <c r="H21" s="96"/>
      <c r="I21" s="97"/>
      <c r="J21" s="45"/>
      <c r="K21" s="47"/>
      <c r="L21" s="47"/>
      <c r="M21" s="47"/>
      <c r="N21" s="47"/>
      <c r="R21" s="19"/>
      <c r="S21" s="19"/>
      <c r="T21" s="22"/>
      <c r="U21" s="22"/>
      <c r="V21" s="22"/>
      <c r="W21" s="22"/>
      <c r="X21" s="22"/>
      <c r="Y21" s="22"/>
      <c r="Z21" s="22"/>
      <c r="AA21" s="22"/>
      <c r="AB21" s="22"/>
      <c r="AC21" s="21"/>
      <c r="AD21" s="23"/>
      <c r="AE21" s="23"/>
      <c r="AF21" s="21"/>
      <c r="AG21" s="21"/>
      <c r="AH21" s="21"/>
      <c r="AI21" s="21"/>
      <c r="AJ21" s="19"/>
    </row>
    <row r="22" spans="1:36" ht="15.75">
      <c r="A22" s="38">
        <f>'ef-FT'!K61</f>
        <v>40278.5</v>
      </c>
      <c r="B22" s="240" t="s">
        <v>140</v>
      </c>
      <c r="C22" s="11" t="str">
        <f>'ef-FT'!E61</f>
        <v>Dallas</v>
      </c>
      <c r="D22" s="32">
        <f>'ef-FT'!M61</f>
        <v>2</v>
      </c>
      <c r="E22" s="11" t="str">
        <f>'ef-FT'!G61</f>
        <v>Columbus</v>
      </c>
      <c r="F22" s="32">
        <f>'ef-FT'!O61</f>
        <v>2</v>
      </c>
      <c r="G22" s="96"/>
      <c r="H22" s="96"/>
      <c r="I22" s="97"/>
      <c r="J22" s="45"/>
      <c r="K22" s="47"/>
      <c r="L22" s="47"/>
      <c r="M22" s="47"/>
      <c r="N22" s="47"/>
      <c r="R22" s="19"/>
      <c r="S22" s="19"/>
      <c r="T22" s="22"/>
      <c r="U22" s="22"/>
      <c r="V22" s="22"/>
      <c r="W22" s="22"/>
      <c r="X22" s="22"/>
      <c r="Y22" s="22"/>
      <c r="Z22" s="22"/>
      <c r="AA22" s="22"/>
      <c r="AB22" s="22"/>
      <c r="AC22" s="21"/>
      <c r="AD22" s="23"/>
      <c r="AE22" s="23"/>
      <c r="AF22" s="21"/>
      <c r="AG22" s="21"/>
      <c r="AH22" s="21"/>
      <c r="AI22" s="21"/>
      <c r="AJ22" s="19"/>
    </row>
    <row r="23" spans="1:36" ht="15.75">
      <c r="A23" s="38">
        <f>'ef-FT'!K62</f>
        <v>40278.5</v>
      </c>
      <c r="B23" s="240" t="s">
        <v>140</v>
      </c>
      <c r="C23" s="11" t="str">
        <f>'ef-FT'!E62</f>
        <v>Houston</v>
      </c>
      <c r="D23" s="32">
        <f>'ef-FT'!M62</f>
        <v>0</v>
      </c>
      <c r="E23" s="11" t="str">
        <f>'ef-FT'!G62</f>
        <v>Los Angeles</v>
      </c>
      <c r="F23" s="32">
        <f>'ef-FT'!O62</f>
        <v>2</v>
      </c>
      <c r="G23" s="96"/>
      <c r="H23" s="96"/>
      <c r="I23" s="97"/>
      <c r="J23" s="45"/>
      <c r="K23" s="47"/>
      <c r="L23" s="47"/>
      <c r="M23" s="47"/>
      <c r="N23" s="47"/>
      <c r="R23" s="19"/>
      <c r="S23" s="19"/>
      <c r="T23" s="22"/>
      <c r="U23" s="22"/>
      <c r="V23" s="22"/>
      <c r="W23" s="22"/>
      <c r="X23" s="22"/>
      <c r="Y23" s="22"/>
      <c r="Z23" s="22"/>
      <c r="AA23" s="22"/>
      <c r="AB23" s="22"/>
      <c r="AC23" s="21"/>
      <c r="AD23" s="23"/>
      <c r="AE23" s="23"/>
      <c r="AF23" s="21"/>
      <c r="AG23" s="21"/>
      <c r="AH23" s="21"/>
      <c r="AI23" s="21"/>
      <c r="AJ23" s="19"/>
    </row>
    <row r="24" spans="1:36" ht="15.75">
      <c r="A24" s="38">
        <f>'ef-FT'!K63</f>
        <v>40278.5</v>
      </c>
      <c r="B24" s="240" t="s">
        <v>140</v>
      </c>
      <c r="C24" s="11" t="str">
        <f>'ef-FT'!E63</f>
        <v>Kansas City</v>
      </c>
      <c r="D24" s="32">
        <f>'ef-FT'!M63</f>
        <v>1</v>
      </c>
      <c r="E24" s="11" t="str">
        <f>'ef-FT'!G63</f>
        <v>Colorado</v>
      </c>
      <c r="F24" s="32">
        <f>'ef-FT'!O63</f>
        <v>0</v>
      </c>
      <c r="G24" s="96"/>
      <c r="H24" s="96"/>
      <c r="I24" s="97"/>
      <c r="J24" s="45"/>
      <c r="K24" s="47"/>
      <c r="L24" s="47"/>
      <c r="M24" s="47"/>
      <c r="N24" s="47"/>
      <c r="R24" s="19"/>
      <c r="S24" s="19"/>
      <c r="T24" s="22"/>
      <c r="U24" s="22"/>
      <c r="V24" s="22"/>
      <c r="W24" s="22"/>
      <c r="X24" s="22"/>
      <c r="Y24" s="22"/>
      <c r="Z24" s="22"/>
      <c r="AA24" s="22"/>
      <c r="AB24" s="22"/>
      <c r="AC24" s="21"/>
      <c r="AD24" s="23"/>
      <c r="AE24" s="23"/>
      <c r="AF24" s="21"/>
      <c r="AG24" s="21"/>
      <c r="AH24" s="21"/>
      <c r="AI24" s="21"/>
      <c r="AJ24" s="19"/>
    </row>
    <row r="25" spans="1:36" ht="15.75">
      <c r="A25" s="38">
        <f>'ef-FT'!K64</f>
        <v>40278.5</v>
      </c>
      <c r="B25" s="240" t="s">
        <v>140</v>
      </c>
      <c r="C25" s="11" t="str">
        <f>'ef-FT'!E64</f>
        <v>Real Salt Lake</v>
      </c>
      <c r="D25" s="32">
        <f>'ef-FT'!M64</f>
        <v>2</v>
      </c>
      <c r="E25" s="11" t="str">
        <f>'ef-FT'!G64</f>
        <v>Seattle Sounders FC</v>
      </c>
      <c r="F25" s="32">
        <f>'ef-FT'!O64</f>
        <v>2</v>
      </c>
      <c r="G25" s="96"/>
      <c r="H25" s="96"/>
      <c r="I25" s="97"/>
      <c r="J25" s="45"/>
      <c r="K25" s="49"/>
      <c r="L25" s="49"/>
      <c r="M25" s="49"/>
      <c r="N25" s="49"/>
      <c r="R25" s="19"/>
      <c r="S25" s="19"/>
      <c r="T25" s="22"/>
      <c r="U25" s="22"/>
      <c r="V25" s="22"/>
      <c r="W25" s="22"/>
      <c r="X25" s="22"/>
      <c r="Y25" s="22"/>
      <c r="Z25" s="22"/>
      <c r="AA25" s="22"/>
      <c r="AB25" s="22"/>
      <c r="AC25" s="21"/>
      <c r="AD25" s="23"/>
      <c r="AE25" s="23"/>
      <c r="AF25" s="21"/>
      <c r="AG25" s="21"/>
      <c r="AH25" s="21"/>
      <c r="AI25" s="21"/>
      <c r="AJ25" s="19"/>
    </row>
    <row r="26" spans="1:36" ht="15.75">
      <c r="A26" s="38">
        <f>'ef-FT'!K65</f>
        <v>40283.5</v>
      </c>
      <c r="B26" s="240" t="s">
        <v>140</v>
      </c>
      <c r="C26" s="11" t="str">
        <f>'ef-FT'!E65</f>
        <v>Toronto FC</v>
      </c>
      <c r="D26" s="32">
        <f>'ef-FT'!M65</f>
        <v>2</v>
      </c>
      <c r="E26" s="11" t="str">
        <f>'ef-FT'!G65</f>
        <v>Philadelphia Union</v>
      </c>
      <c r="F26" s="32">
        <f>'ef-FT'!O65</f>
        <v>1</v>
      </c>
      <c r="G26" s="12" t="str">
        <f ca="1">HYPERLINK('ef-FT'!$C$36,"á")</f>
        <v>á</v>
      </c>
      <c r="H26" s="12"/>
      <c r="I26" s="2"/>
      <c r="R26" s="19"/>
      <c r="S26" s="19"/>
      <c r="T26" s="22"/>
      <c r="U26" s="22"/>
      <c r="V26" s="22"/>
      <c r="W26" s="22"/>
      <c r="X26" s="22"/>
      <c r="Y26" s="22"/>
      <c r="Z26" s="22"/>
      <c r="AA26" s="22"/>
      <c r="AB26" s="22"/>
      <c r="AC26" s="21"/>
      <c r="AD26" s="23"/>
      <c r="AE26" s="23"/>
      <c r="AF26" s="21"/>
      <c r="AG26" s="21"/>
      <c r="AH26" s="21"/>
      <c r="AI26" s="21"/>
      <c r="AJ26" s="19"/>
    </row>
    <row r="27" spans="1:36" ht="15.75">
      <c r="A27" s="38">
        <f>'ef-FT'!K66</f>
        <v>40285.5</v>
      </c>
      <c r="B27" s="240" t="s">
        <v>140</v>
      </c>
      <c r="C27" s="11" t="str">
        <f>'ef-FT'!E66</f>
        <v>Los Angeles</v>
      </c>
      <c r="D27" s="32">
        <f>'ef-FT'!M66</f>
        <v>2</v>
      </c>
      <c r="E27" s="11" t="str">
        <f>'ef-FT'!G66</f>
        <v>Real Salt Lake</v>
      </c>
      <c r="F27" s="32">
        <f>'ef-FT'!O66</f>
        <v>1</v>
      </c>
      <c r="G27" s="96"/>
      <c r="H27" s="96"/>
      <c r="I27" s="97"/>
      <c r="R27" s="19"/>
      <c r="S27" s="19"/>
      <c r="T27" s="22"/>
      <c r="U27" s="22"/>
      <c r="V27" s="22"/>
      <c r="W27" s="22"/>
      <c r="X27" s="22"/>
      <c r="Y27" s="22"/>
      <c r="Z27" s="22"/>
      <c r="AA27" s="22"/>
      <c r="AB27" s="22"/>
      <c r="AC27" s="21"/>
      <c r="AD27" s="23"/>
      <c r="AE27" s="23"/>
      <c r="AF27" s="21"/>
      <c r="AG27" s="21"/>
      <c r="AH27" s="21"/>
      <c r="AI27" s="21"/>
      <c r="AJ27" s="19"/>
    </row>
    <row r="28" spans="1:36" ht="15.75">
      <c r="A28" s="38">
        <f>'ef-FT'!K67</f>
        <v>40285.5</v>
      </c>
      <c r="B28" s="240" t="s">
        <v>140</v>
      </c>
      <c r="C28" s="11" t="str">
        <f>'ef-FT'!E67</f>
        <v>Seattle Sounders FC</v>
      </c>
      <c r="D28" s="32">
        <f>'ef-FT'!M67</f>
        <v>1</v>
      </c>
      <c r="E28" s="11" t="str">
        <f>'ef-FT'!G67</f>
        <v>Kansas City</v>
      </c>
      <c r="F28" s="32">
        <f>'ef-FT'!O67</f>
        <v>0</v>
      </c>
      <c r="G28" s="96"/>
      <c r="H28" s="96"/>
      <c r="I28" s="97"/>
      <c r="R28" s="19"/>
      <c r="S28" s="19"/>
      <c r="T28" s="22"/>
      <c r="U28" s="22"/>
      <c r="V28" s="22"/>
      <c r="W28" s="22"/>
      <c r="X28" s="22"/>
      <c r="Y28" s="22"/>
      <c r="Z28" s="22"/>
      <c r="AA28" s="22"/>
      <c r="AB28" s="22"/>
      <c r="AC28" s="21"/>
      <c r="AD28" s="23"/>
      <c r="AE28" s="23"/>
      <c r="AF28" s="21"/>
      <c r="AG28" s="21"/>
      <c r="AH28" s="21"/>
      <c r="AI28" s="21"/>
      <c r="AJ28" s="19"/>
    </row>
    <row r="29" spans="1:36" ht="15.75">
      <c r="A29" s="38">
        <f>'ef-FT'!K68</f>
        <v>40285.5</v>
      </c>
      <c r="B29" s="240" t="s">
        <v>140</v>
      </c>
      <c r="C29" s="11" t="str">
        <f>'ef-FT'!E68</f>
        <v>Houston</v>
      </c>
      <c r="D29" s="32">
        <f>'ef-FT'!M68</f>
        <v>3</v>
      </c>
      <c r="E29" s="11" t="str">
        <f>'ef-FT'!G68</f>
        <v>Chivas USA</v>
      </c>
      <c r="F29" s="32">
        <f>'ef-FT'!O68</f>
        <v>0</v>
      </c>
      <c r="G29" s="96"/>
      <c r="H29" s="96"/>
      <c r="I29" s="97"/>
      <c r="J29" s="45"/>
      <c r="K29" s="49"/>
      <c r="L29" s="49"/>
      <c r="M29" s="49"/>
      <c r="N29" s="49"/>
      <c r="R29" s="19"/>
      <c r="S29" s="19"/>
      <c r="T29" s="22"/>
      <c r="U29" s="22"/>
      <c r="V29" s="22"/>
      <c r="W29" s="22"/>
      <c r="X29" s="22"/>
      <c r="Y29" s="22"/>
      <c r="Z29" s="22"/>
      <c r="AA29" s="22"/>
      <c r="AB29" s="22"/>
      <c r="AC29" s="21"/>
      <c r="AD29" s="23"/>
      <c r="AE29" s="23"/>
      <c r="AF29" s="21"/>
      <c r="AG29" s="21"/>
      <c r="AH29" s="21"/>
      <c r="AI29" s="21"/>
      <c r="AJ29" s="19"/>
    </row>
    <row r="30" spans="1:36" ht="15.75">
      <c r="A30" s="38">
        <f>'ef-FT'!K69</f>
        <v>40285.5</v>
      </c>
      <c r="B30" s="240" t="s">
        <v>140</v>
      </c>
      <c r="C30" s="11" t="str">
        <f>'ef-FT'!E69</f>
        <v>DC United</v>
      </c>
      <c r="D30" s="32">
        <f>'ef-FT'!M69</f>
        <v>0</v>
      </c>
      <c r="E30" s="11" t="str">
        <f>'ef-FT'!G69</f>
        <v>Chicago</v>
      </c>
      <c r="F30" s="32">
        <f>'ef-FT'!O69</f>
        <v>2</v>
      </c>
      <c r="G30" s="96"/>
      <c r="H30" s="96"/>
      <c r="I30" s="97"/>
      <c r="J30" s="45"/>
      <c r="K30" s="49"/>
      <c r="L30" s="49"/>
      <c r="M30" s="49"/>
      <c r="N30" s="49"/>
      <c r="R30" s="19"/>
      <c r="S30" s="19"/>
      <c r="T30" s="22"/>
      <c r="U30" s="22"/>
      <c r="V30" s="22"/>
      <c r="W30" s="22"/>
      <c r="X30" s="22"/>
      <c r="Y30" s="22"/>
      <c r="Z30" s="22"/>
      <c r="AA30" s="22"/>
      <c r="AB30" s="22"/>
      <c r="AC30" s="21"/>
      <c r="AD30" s="23"/>
      <c r="AE30" s="23"/>
      <c r="AF30" s="21"/>
      <c r="AG30" s="21"/>
      <c r="AH30" s="21"/>
      <c r="AI30" s="21"/>
      <c r="AJ30" s="19"/>
    </row>
    <row r="31" spans="1:36" ht="15.75">
      <c r="A31" s="38">
        <f>'ef-FT'!K70</f>
        <v>40285.5</v>
      </c>
      <c r="B31" s="240" t="s">
        <v>140</v>
      </c>
      <c r="C31" s="11" t="str">
        <f>'ef-FT'!E70</f>
        <v>New York Red Bulls</v>
      </c>
      <c r="D31" s="32">
        <f>'ef-FT'!M70</f>
        <v>2</v>
      </c>
      <c r="E31" s="11" t="str">
        <f>'ef-FT'!G70</f>
        <v>Dallas</v>
      </c>
      <c r="F31" s="32">
        <f>'ef-FT'!O70</f>
        <v>1</v>
      </c>
      <c r="G31" s="96"/>
      <c r="H31" s="96"/>
      <c r="I31" s="97"/>
      <c r="R31" s="19"/>
      <c r="S31" s="19"/>
      <c r="T31" s="22"/>
      <c r="U31" s="22"/>
      <c r="V31" s="22"/>
      <c r="W31" s="22"/>
      <c r="X31" s="22"/>
      <c r="Y31" s="22"/>
      <c r="Z31" s="22"/>
      <c r="AA31" s="22"/>
      <c r="AB31" s="22"/>
      <c r="AC31" s="21"/>
      <c r="AD31" s="23"/>
      <c r="AE31" s="23"/>
      <c r="AF31" s="21"/>
      <c r="AG31" s="21"/>
      <c r="AH31" s="21"/>
      <c r="AI31" s="21"/>
      <c r="AJ31" s="19"/>
    </row>
    <row r="32" spans="1:36" ht="15.75">
      <c r="A32" s="38">
        <f>'ef-FT'!K71</f>
        <v>40285.5</v>
      </c>
      <c r="B32" s="240" t="s">
        <v>140</v>
      </c>
      <c r="C32" s="11" t="str">
        <f>'ef-FT'!E71</f>
        <v>San Jose</v>
      </c>
      <c r="D32" s="32">
        <f>'ef-FT'!M71</f>
        <v>2</v>
      </c>
      <c r="E32" s="11" t="str">
        <f>'ef-FT'!G71</f>
        <v>New England</v>
      </c>
      <c r="F32" s="32">
        <f>'ef-FT'!O71</f>
        <v>0</v>
      </c>
      <c r="G32" s="96"/>
      <c r="H32" s="96"/>
      <c r="I32" s="97"/>
      <c r="R32" s="19"/>
      <c r="S32" s="19"/>
      <c r="T32" s="22"/>
      <c r="U32" s="22"/>
      <c r="V32" s="22"/>
      <c r="W32" s="22"/>
      <c r="X32" s="22"/>
      <c r="Y32" s="22"/>
      <c r="Z32" s="22"/>
      <c r="AA32" s="22"/>
      <c r="AB32" s="22"/>
      <c r="AC32" s="21"/>
      <c r="AD32" s="23"/>
      <c r="AE32" s="23"/>
      <c r="AF32" s="21"/>
      <c r="AG32" s="21"/>
      <c r="AH32" s="21"/>
      <c r="AI32" s="21"/>
      <c r="AJ32" s="19"/>
    </row>
    <row r="33" spans="1:36" ht="15.75">
      <c r="A33" s="38">
        <f>'ef-FT'!K72</f>
        <v>40286.5</v>
      </c>
      <c r="B33" s="240" t="s">
        <v>140</v>
      </c>
      <c r="C33" s="11" t="str">
        <f>'ef-FT'!E72</f>
        <v>Colorado</v>
      </c>
      <c r="D33" s="32">
        <f>'ef-FT'!M72</f>
        <v>3</v>
      </c>
      <c r="E33" s="11" t="str">
        <f>'ef-FT'!G72</f>
        <v>Toronto FC</v>
      </c>
      <c r="F33" s="32">
        <f>'ef-FT'!O72</f>
        <v>1</v>
      </c>
      <c r="G33" s="96"/>
      <c r="H33" s="96"/>
      <c r="I33" s="97"/>
      <c r="R33" s="19"/>
      <c r="S33" s="19"/>
      <c r="T33" s="22"/>
      <c r="U33" s="22"/>
      <c r="V33" s="22"/>
      <c r="W33" s="22"/>
      <c r="X33" s="22"/>
      <c r="Y33" s="22"/>
      <c r="Z33" s="22"/>
      <c r="AA33" s="22"/>
      <c r="AB33" s="22"/>
      <c r="AC33" s="21"/>
      <c r="AD33" s="23"/>
      <c r="AE33" s="23"/>
      <c r="AF33" s="21"/>
      <c r="AG33" s="21"/>
      <c r="AH33" s="21"/>
      <c r="AI33" s="21"/>
      <c r="AJ33" s="19"/>
    </row>
    <row r="34" spans="1:36" ht="15.75">
      <c r="A34" s="38">
        <f>'ef-FT'!K73</f>
        <v>40290.5</v>
      </c>
      <c r="B34" s="240" t="s">
        <v>140</v>
      </c>
      <c r="C34" s="11" t="str">
        <f>'ef-FT'!E73</f>
        <v>Dallas</v>
      </c>
      <c r="D34" s="32">
        <f>'ef-FT'!M73</f>
        <v>2</v>
      </c>
      <c r="E34" s="11" t="str">
        <f>'ef-FT'!G73</f>
        <v>Seattle Sounders FC</v>
      </c>
      <c r="F34" s="32">
        <f>'ef-FT'!O73</f>
        <v>2</v>
      </c>
      <c r="G34" s="96"/>
      <c r="H34" s="96"/>
      <c r="I34" s="97"/>
      <c r="R34" s="19"/>
      <c r="S34" s="19"/>
      <c r="T34" s="22"/>
      <c r="U34" s="22"/>
      <c r="V34" s="22"/>
      <c r="W34" s="22"/>
      <c r="X34" s="22"/>
      <c r="Y34" s="22"/>
      <c r="Z34" s="22"/>
      <c r="AA34" s="22"/>
      <c r="AB34" s="22"/>
      <c r="AC34" s="21"/>
      <c r="AD34" s="23"/>
      <c r="AE34" s="23"/>
      <c r="AF34" s="21"/>
      <c r="AG34" s="21"/>
      <c r="AH34" s="21"/>
      <c r="AI34" s="21"/>
      <c r="AJ34" s="19"/>
    </row>
    <row r="35" spans="1:36" ht="15.75">
      <c r="A35" s="38">
        <f>'ef-FT'!K74</f>
        <v>40292.5</v>
      </c>
      <c r="B35" s="240" t="s">
        <v>140</v>
      </c>
      <c r="C35" s="11" t="str">
        <f>'ef-FT'!E74</f>
        <v>New York Red Bulls</v>
      </c>
      <c r="D35" s="32">
        <f>'ef-FT'!M74</f>
        <v>2</v>
      </c>
      <c r="E35" s="11" t="str">
        <f>'ef-FT'!G74</f>
        <v>Philadelphia Union</v>
      </c>
      <c r="F35" s="32">
        <f>'ef-FT'!O74</f>
        <v>1</v>
      </c>
      <c r="G35" s="96"/>
      <c r="H35" s="96"/>
      <c r="I35" s="97"/>
      <c r="R35" s="19"/>
      <c r="S35" s="19"/>
      <c r="T35" s="22"/>
      <c r="U35" s="22"/>
      <c r="V35" s="22"/>
      <c r="W35" s="22"/>
      <c r="X35" s="22"/>
      <c r="Y35" s="22"/>
      <c r="Z35" s="22"/>
      <c r="AA35" s="22"/>
      <c r="AB35" s="22"/>
      <c r="AC35" s="21"/>
      <c r="AD35" s="23"/>
      <c r="AE35" s="23"/>
      <c r="AF35" s="21"/>
      <c r="AG35" s="21"/>
      <c r="AH35" s="21"/>
      <c r="AI35" s="21"/>
      <c r="AJ35" s="19"/>
    </row>
    <row r="36" spans="1:36" ht="15.75">
      <c r="A36" s="38">
        <f>'ef-FT'!K75</f>
        <v>40292.5</v>
      </c>
      <c r="B36" s="240" t="s">
        <v>140</v>
      </c>
      <c r="C36" s="11" t="str">
        <f>'ef-FT'!E75</f>
        <v>Columbus</v>
      </c>
      <c r="D36" s="32">
        <f>'ef-FT'!M75</f>
        <v>1</v>
      </c>
      <c r="E36" s="11" t="str">
        <f>'ef-FT'!G75</f>
        <v>Real Salt Lake</v>
      </c>
      <c r="F36" s="32">
        <f>'ef-FT'!O75</f>
        <v>0</v>
      </c>
      <c r="G36" s="96"/>
      <c r="H36" s="96"/>
      <c r="I36" s="97"/>
      <c r="R36" s="19"/>
      <c r="S36" s="19"/>
      <c r="T36" s="22"/>
      <c r="U36" s="22"/>
      <c r="V36" s="22"/>
      <c r="W36" s="22"/>
      <c r="X36" s="22"/>
      <c r="Y36" s="22"/>
      <c r="Z36" s="22"/>
      <c r="AA36" s="22"/>
      <c r="AB36" s="22"/>
      <c r="AC36" s="21"/>
      <c r="AD36" s="23"/>
      <c r="AE36" s="23"/>
      <c r="AF36" s="21"/>
      <c r="AG36" s="21"/>
      <c r="AH36" s="21"/>
      <c r="AI36" s="21"/>
      <c r="AJ36" s="19"/>
    </row>
    <row r="37" spans="1:36">
      <c r="A37" s="38">
        <f>'ef-FT'!K76</f>
        <v>40292.5</v>
      </c>
      <c r="B37" s="240" t="s">
        <v>140</v>
      </c>
      <c r="C37" s="11" t="str">
        <f>'ef-FT'!E76</f>
        <v>New England</v>
      </c>
      <c r="D37" s="32">
        <f>'ef-FT'!M76</f>
        <v>1</v>
      </c>
      <c r="E37" s="11" t="str">
        <f>'ef-FT'!G76</f>
        <v>Colorado</v>
      </c>
      <c r="F37" s="32">
        <f>'ef-FT'!O76</f>
        <v>2</v>
      </c>
      <c r="G37" s="12" t="str">
        <f ca="1">HYPERLINK('ef-FT'!$C$36,"á")</f>
        <v>á</v>
      </c>
      <c r="H37" s="12"/>
      <c r="I37" s="2"/>
      <c r="J37" s="167" t="s">
        <v>2</v>
      </c>
      <c r="K37" s="167"/>
      <c r="L37" s="167"/>
      <c r="M37" s="167"/>
      <c r="N37" s="16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</row>
    <row r="38" spans="1:36" ht="15" customHeight="1">
      <c r="A38" s="38">
        <f>'ef-FT'!K77</f>
        <v>40292.5</v>
      </c>
      <c r="B38" s="240" t="s">
        <v>140</v>
      </c>
      <c r="C38" s="11" t="str">
        <f>'ef-FT'!E77</f>
        <v>Chicago</v>
      </c>
      <c r="D38" s="32">
        <f>'ef-FT'!M77</f>
        <v>2</v>
      </c>
      <c r="E38" s="11" t="str">
        <f>'ef-FT'!G77</f>
        <v>Houston</v>
      </c>
      <c r="F38" s="32">
        <f>'ef-FT'!O77</f>
        <v>0</v>
      </c>
      <c r="G38" s="96"/>
      <c r="H38" s="96"/>
      <c r="I38" s="97"/>
      <c r="J38" s="167"/>
      <c r="K38" s="167"/>
      <c r="L38" s="167"/>
      <c r="M38" s="167"/>
      <c r="N38" s="167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</row>
    <row r="39" spans="1:36" ht="15" customHeight="1">
      <c r="A39" s="38">
        <f>'ef-FT'!K78</f>
        <v>40292.5</v>
      </c>
      <c r="B39" s="240" t="s">
        <v>140</v>
      </c>
      <c r="C39" s="11" t="str">
        <f>'ef-FT'!E78</f>
        <v>Kansas City</v>
      </c>
      <c r="D39" s="32">
        <f>'ef-FT'!M78</f>
        <v>0</v>
      </c>
      <c r="E39" s="11" t="str">
        <f>'ef-FT'!G78</f>
        <v>Los Angeles</v>
      </c>
      <c r="F39" s="32">
        <f>'ef-FT'!O78</f>
        <v>0</v>
      </c>
      <c r="G39" s="96"/>
      <c r="H39" s="96"/>
      <c r="I39" s="97"/>
      <c r="J39" s="166" t="s">
        <v>5</v>
      </c>
      <c r="K39" s="166"/>
      <c r="L39" s="166"/>
      <c r="M39" s="166"/>
      <c r="N39" s="166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</row>
    <row r="40" spans="1:36">
      <c r="A40" s="38">
        <f>'ef-FT'!K79</f>
        <v>40292.5</v>
      </c>
      <c r="B40" s="240" t="s">
        <v>140</v>
      </c>
      <c r="C40" s="11" t="str">
        <f>'ef-FT'!E79</f>
        <v>Chivas USA</v>
      </c>
      <c r="D40" s="32">
        <f>'ef-FT'!M79</f>
        <v>3</v>
      </c>
      <c r="E40" s="11" t="str">
        <f>'ef-FT'!G79</f>
        <v>San Jose</v>
      </c>
      <c r="F40" s="32">
        <f>'ef-FT'!O79</f>
        <v>2</v>
      </c>
      <c r="G40" s="96"/>
      <c r="H40" s="96"/>
      <c r="I40" s="97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</row>
    <row r="41" spans="1:36">
      <c r="A41" s="38">
        <f>'ef-FT'!K80</f>
        <v>40293.5</v>
      </c>
      <c r="B41" s="240" t="s">
        <v>140</v>
      </c>
      <c r="C41" s="11" t="str">
        <f>'ef-FT'!E80</f>
        <v>Toronto FC</v>
      </c>
      <c r="D41" s="32">
        <f>'ef-FT'!M80</f>
        <v>2</v>
      </c>
      <c r="E41" s="11" t="str">
        <f>'ef-FT'!G80</f>
        <v>Seattle Sounders FC</v>
      </c>
      <c r="F41" s="32">
        <f>'ef-FT'!O80</f>
        <v>0</v>
      </c>
      <c r="G41" s="96"/>
      <c r="H41" s="96"/>
      <c r="I41" s="97"/>
      <c r="J41" s="50"/>
      <c r="K41" s="51"/>
      <c r="L41" s="51"/>
      <c r="M41" s="51"/>
      <c r="N41" s="51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</row>
    <row r="42" spans="1:36">
      <c r="A42" s="38">
        <f>'ef-FT'!K81</f>
        <v>40299.5</v>
      </c>
      <c r="B42" s="240" t="s">
        <v>140</v>
      </c>
      <c r="C42" s="11" t="str">
        <f>'ef-FT'!E81</f>
        <v>DC United</v>
      </c>
      <c r="D42" s="32">
        <f>'ef-FT'!M81</f>
        <v>0</v>
      </c>
      <c r="E42" s="11" t="str">
        <f>'ef-FT'!G81</f>
        <v>New York Red Bulls</v>
      </c>
      <c r="F42" s="32">
        <f>'ef-FT'!O81</f>
        <v>2</v>
      </c>
      <c r="G42" s="96"/>
      <c r="H42" s="96"/>
      <c r="I42" s="97"/>
      <c r="J42" s="50"/>
      <c r="K42" s="51"/>
      <c r="L42" s="51"/>
      <c r="M42" s="51"/>
      <c r="N42" s="51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</row>
    <row r="43" spans="1:36">
      <c r="A43" s="38">
        <f>'ef-FT'!K82</f>
        <v>40299.5</v>
      </c>
      <c r="B43" s="240" t="s">
        <v>140</v>
      </c>
      <c r="C43" s="11" t="str">
        <f>'ef-FT'!E82</f>
        <v>New England</v>
      </c>
      <c r="D43" s="32">
        <f>'ef-FT'!M82</f>
        <v>1</v>
      </c>
      <c r="E43" s="11" t="str">
        <f>'ef-FT'!G82</f>
        <v>Dallas</v>
      </c>
      <c r="F43" s="32">
        <f>'ef-FT'!O82</f>
        <v>1</v>
      </c>
      <c r="G43" s="96"/>
      <c r="H43" s="96"/>
      <c r="I43" s="97"/>
      <c r="J43" s="50"/>
      <c r="K43" s="51"/>
      <c r="L43" s="51"/>
      <c r="M43" s="51"/>
      <c r="N43" s="51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</row>
    <row r="44" spans="1:36">
      <c r="A44" s="38">
        <f>'ef-FT'!K83</f>
        <v>40299.5</v>
      </c>
      <c r="B44" s="240" t="s">
        <v>140</v>
      </c>
      <c r="C44" s="11" t="str">
        <f>'ef-FT'!E83</f>
        <v>Chicago</v>
      </c>
      <c r="D44" s="32">
        <f>'ef-FT'!M83</f>
        <v>1</v>
      </c>
      <c r="E44" s="11" t="str">
        <f>'ef-FT'!G83</f>
        <v>Chivas USA</v>
      </c>
      <c r="F44" s="32">
        <f>'ef-FT'!O83</f>
        <v>1</v>
      </c>
      <c r="G44" s="96"/>
      <c r="H44" s="96"/>
      <c r="I44" s="97"/>
      <c r="J44" s="47"/>
      <c r="K44" s="49"/>
      <c r="L44" s="49"/>
      <c r="M44" s="49"/>
      <c r="N44" s="4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</row>
    <row r="45" spans="1:36">
      <c r="A45" s="38">
        <f>'ef-FT'!K84</f>
        <v>40299.5</v>
      </c>
      <c r="B45" s="240" t="s">
        <v>140</v>
      </c>
      <c r="C45" s="11" t="str">
        <f>'ef-FT'!E84</f>
        <v>Houston</v>
      </c>
      <c r="D45" s="32">
        <f>'ef-FT'!M84</f>
        <v>3</v>
      </c>
      <c r="E45" s="11" t="str">
        <f>'ef-FT'!G84</f>
        <v>Kansas City</v>
      </c>
      <c r="F45" s="32">
        <f>'ef-FT'!O84</f>
        <v>0</v>
      </c>
      <c r="G45" s="96"/>
      <c r="H45" s="96"/>
      <c r="I45" s="97"/>
      <c r="J45" s="47"/>
      <c r="K45" s="49"/>
      <c r="L45" s="49"/>
      <c r="M45" s="49"/>
      <c r="N45" s="4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</row>
    <row r="46" spans="1:36">
      <c r="A46" s="38">
        <f>'ef-FT'!K85</f>
        <v>40299.5</v>
      </c>
      <c r="B46" s="240" t="s">
        <v>140</v>
      </c>
      <c r="C46" s="11" t="str">
        <f>'ef-FT'!E85</f>
        <v>Real Salt Lake</v>
      </c>
      <c r="D46" s="32">
        <f>'ef-FT'!M85</f>
        <v>2</v>
      </c>
      <c r="E46" s="11" t="str">
        <f>'ef-FT'!G85</f>
        <v>Toronto FC</v>
      </c>
      <c r="F46" s="32">
        <f>'ef-FT'!O85</f>
        <v>1</v>
      </c>
      <c r="G46" s="96"/>
      <c r="H46" s="96"/>
      <c r="I46" s="97"/>
      <c r="J46" s="49"/>
      <c r="K46" s="49"/>
      <c r="L46" s="49"/>
      <c r="M46" s="49"/>
      <c r="N46" s="4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</row>
    <row r="47" spans="1:36">
      <c r="A47" s="38">
        <f>'ef-FT'!K86</f>
        <v>40299.5</v>
      </c>
      <c r="B47" s="240" t="s">
        <v>140</v>
      </c>
      <c r="C47" s="11" t="str">
        <f>'ef-FT'!E86</f>
        <v>San Jose</v>
      </c>
      <c r="D47" s="32">
        <f>'ef-FT'!M86</f>
        <v>1</v>
      </c>
      <c r="E47" s="11" t="str">
        <f>'ef-FT'!G86</f>
        <v>Colorado</v>
      </c>
      <c r="F47" s="32">
        <f>'ef-FT'!O86</f>
        <v>0</v>
      </c>
      <c r="G47" s="96"/>
      <c r="H47" s="96"/>
      <c r="I47" s="97"/>
      <c r="J47" s="49"/>
      <c r="K47" s="49"/>
      <c r="L47" s="49"/>
      <c r="M47" s="49"/>
      <c r="N47" s="4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</row>
    <row r="48" spans="1:36">
      <c r="A48" s="38">
        <f>'ef-FT'!K87</f>
        <v>40299.5</v>
      </c>
      <c r="B48" s="240" t="s">
        <v>140</v>
      </c>
      <c r="C48" s="11" t="str">
        <f>'ef-FT'!E87</f>
        <v>Los Angeles</v>
      </c>
      <c r="D48" s="32">
        <f>'ef-FT'!M87</f>
        <v>3</v>
      </c>
      <c r="E48" s="11" t="str">
        <f>'ef-FT'!G87</f>
        <v>Philadelphia Union</v>
      </c>
      <c r="F48" s="32">
        <f>'ef-FT'!O87</f>
        <v>1</v>
      </c>
      <c r="G48" s="12" t="str">
        <f ca="1">HYPERLINK('ef-FT'!$C$36,"á")</f>
        <v>á</v>
      </c>
      <c r="H48" s="12"/>
      <c r="I48" s="2"/>
      <c r="J48" s="45"/>
      <c r="K48" s="47"/>
      <c r="L48" s="49"/>
      <c r="M48" s="49"/>
      <c r="N48" s="4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</row>
    <row r="49" spans="1:36">
      <c r="A49" s="38">
        <f>'ef-FT'!K88</f>
        <v>40299.5</v>
      </c>
      <c r="B49" s="240" t="s">
        <v>140</v>
      </c>
      <c r="C49" s="11" t="str">
        <f>'ef-FT'!E88</f>
        <v>Seattle Sounders FC</v>
      </c>
      <c r="D49" s="32">
        <f>'ef-FT'!M88</f>
        <v>1</v>
      </c>
      <c r="E49" s="11" t="str">
        <f>'ef-FT'!G88</f>
        <v>Columbus</v>
      </c>
      <c r="F49" s="32">
        <f>'ef-FT'!O88</f>
        <v>1</v>
      </c>
      <c r="G49" s="96"/>
      <c r="H49" s="96"/>
      <c r="I49" s="97"/>
      <c r="J49" s="49"/>
      <c r="K49" s="49"/>
      <c r="L49" s="49"/>
      <c r="M49" s="49"/>
      <c r="N49" s="4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</row>
    <row r="50" spans="1:36">
      <c r="A50" s="38">
        <f>'ef-FT'!K89</f>
        <v>40303.5</v>
      </c>
      <c r="B50" s="240" t="s">
        <v>140</v>
      </c>
      <c r="C50" s="11" t="str">
        <f>'ef-FT'!E89</f>
        <v>DC United</v>
      </c>
      <c r="D50" s="32">
        <f>'ef-FT'!M89</f>
        <v>2</v>
      </c>
      <c r="E50" s="11" t="str">
        <f>'ef-FT'!G89</f>
        <v>Kansas City</v>
      </c>
      <c r="F50" s="32">
        <f>'ef-FT'!O89</f>
        <v>1</v>
      </c>
      <c r="G50" s="96"/>
      <c r="H50" s="96"/>
      <c r="I50" s="97"/>
      <c r="J50" s="49"/>
      <c r="K50" s="49"/>
      <c r="L50" s="49"/>
      <c r="M50" s="49"/>
      <c r="N50" s="4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</row>
    <row r="51" spans="1:36">
      <c r="A51" s="38">
        <f>'ef-FT'!K90</f>
        <v>40303.5</v>
      </c>
      <c r="B51" s="240" t="s">
        <v>140</v>
      </c>
      <c r="C51" s="11" t="str">
        <f>'ef-FT'!E90</f>
        <v>New England</v>
      </c>
      <c r="D51" s="32">
        <f>'ef-FT'!M90</f>
        <v>0</v>
      </c>
      <c r="E51" s="11" t="str">
        <f>'ef-FT'!G90</f>
        <v>Chivas USA</v>
      </c>
      <c r="F51" s="32">
        <f>'ef-FT'!O90</f>
        <v>4</v>
      </c>
      <c r="G51" s="96"/>
      <c r="H51" s="96"/>
      <c r="I51" s="97"/>
      <c r="J51" s="49"/>
      <c r="K51" s="49"/>
      <c r="L51" s="49"/>
      <c r="M51" s="49"/>
      <c r="N51" s="4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</row>
    <row r="52" spans="1:36">
      <c r="A52" s="38">
        <f>'ef-FT'!K91</f>
        <v>40303.5</v>
      </c>
      <c r="B52" s="240" t="s">
        <v>140</v>
      </c>
      <c r="C52" s="11" t="str">
        <f>'ef-FT'!E91</f>
        <v>Houston</v>
      </c>
      <c r="D52" s="32">
        <f>'ef-FT'!M91</f>
        <v>0</v>
      </c>
      <c r="E52" s="11" t="str">
        <f>'ef-FT'!G91</f>
        <v>Dallas</v>
      </c>
      <c r="F52" s="32">
        <f>'ef-FT'!O91</f>
        <v>1</v>
      </c>
      <c r="G52" s="96"/>
      <c r="H52" s="96"/>
      <c r="I52" s="97"/>
      <c r="J52" s="49"/>
      <c r="K52" s="49"/>
      <c r="L52" s="49"/>
      <c r="M52" s="49"/>
      <c r="N52" s="4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</row>
    <row r="53" spans="1:36">
      <c r="A53" s="38">
        <f>'ef-FT'!K92</f>
        <v>40303.5</v>
      </c>
      <c r="B53" s="240" t="s">
        <v>140</v>
      </c>
      <c r="C53" s="11" t="str">
        <f>'ef-FT'!E92</f>
        <v>Colorado</v>
      </c>
      <c r="D53" s="32">
        <f>'ef-FT'!M92</f>
        <v>0</v>
      </c>
      <c r="E53" s="11" t="str">
        <f>'ef-FT'!G92</f>
        <v>Los Angeles</v>
      </c>
      <c r="F53" s="32">
        <f>'ef-FT'!O92</f>
        <v>1</v>
      </c>
      <c r="G53" s="96"/>
      <c r="H53" s="96"/>
      <c r="I53" s="97"/>
      <c r="J53" s="49"/>
      <c r="K53" s="49"/>
      <c r="L53" s="49"/>
      <c r="M53" s="49"/>
      <c r="N53" s="4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</row>
    <row r="54" spans="1:36">
      <c r="A54" s="38">
        <f>'ef-FT'!K93</f>
        <v>40306.5</v>
      </c>
      <c r="B54" s="240" t="s">
        <v>140</v>
      </c>
      <c r="C54" s="11" t="str">
        <f>'ef-FT'!E93</f>
        <v>Real Salt Lake</v>
      </c>
      <c r="D54" s="32">
        <f>'ef-FT'!M93</f>
        <v>3</v>
      </c>
      <c r="E54" s="11" t="str">
        <f>'ef-FT'!G93</f>
        <v>Philadelphia Union</v>
      </c>
      <c r="F54" s="32">
        <f>'ef-FT'!O93</f>
        <v>0</v>
      </c>
      <c r="G54" s="96"/>
      <c r="H54" s="96"/>
      <c r="I54" s="97"/>
      <c r="J54" s="49"/>
      <c r="K54" s="49"/>
      <c r="L54" s="49"/>
      <c r="M54" s="49"/>
      <c r="N54" s="4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</row>
    <row r="55" spans="1:36">
      <c r="A55" s="38">
        <f>'ef-FT'!K94</f>
        <v>40306.5</v>
      </c>
      <c r="B55" s="240" t="s">
        <v>140</v>
      </c>
      <c r="C55" s="11" t="str">
        <f>'ef-FT'!E94</f>
        <v>Seattle Sounders FC</v>
      </c>
      <c r="D55" s="32">
        <f>'ef-FT'!M94</f>
        <v>0</v>
      </c>
      <c r="E55" s="11" t="str">
        <f>'ef-FT'!G94</f>
        <v>Los Angeles</v>
      </c>
      <c r="F55" s="32">
        <f>'ef-FT'!O94</f>
        <v>4</v>
      </c>
      <c r="G55" s="96"/>
      <c r="H55" s="96"/>
      <c r="I55" s="97"/>
      <c r="J55" s="49"/>
      <c r="K55" s="49"/>
      <c r="L55" s="49"/>
      <c r="M55" s="49"/>
      <c r="N55" s="4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</row>
    <row r="56" spans="1:36">
      <c r="A56" s="38">
        <f>'ef-FT'!K95</f>
        <v>40306.5</v>
      </c>
      <c r="B56" s="240" t="s">
        <v>140</v>
      </c>
      <c r="C56" s="11" t="str">
        <f>'ef-FT'!E95</f>
        <v>Toronto FC</v>
      </c>
      <c r="D56" s="32">
        <f>'ef-FT'!M95</f>
        <v>4</v>
      </c>
      <c r="E56" s="11" t="str">
        <f>'ef-FT'!G95</f>
        <v>Chicago</v>
      </c>
      <c r="F56" s="32">
        <f>'ef-FT'!O95</f>
        <v>1</v>
      </c>
      <c r="G56" s="96"/>
      <c r="H56" s="96"/>
      <c r="I56" s="97"/>
      <c r="J56" s="49"/>
      <c r="K56" s="49"/>
      <c r="L56" s="49"/>
      <c r="M56" s="49"/>
      <c r="N56" s="4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</row>
    <row r="57" spans="1:36">
      <c r="A57" s="38">
        <f>'ef-FT'!K96</f>
        <v>40306.5</v>
      </c>
      <c r="B57" s="240" t="s">
        <v>140</v>
      </c>
      <c r="C57" s="11" t="str">
        <f>'ef-FT'!E96</f>
        <v>Columbus</v>
      </c>
      <c r="D57" s="32">
        <f>'ef-FT'!M96</f>
        <v>3</v>
      </c>
      <c r="E57" s="11" t="str">
        <f>'ef-FT'!G96</f>
        <v>New England</v>
      </c>
      <c r="F57" s="32">
        <f>'ef-FT'!O96</f>
        <v>2</v>
      </c>
      <c r="G57" s="96"/>
      <c r="H57" s="96"/>
      <c r="I57" s="97"/>
      <c r="J57" s="49"/>
      <c r="K57" s="49"/>
      <c r="L57" s="49"/>
      <c r="M57" s="49"/>
      <c r="N57" s="4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</row>
    <row r="58" spans="1:36">
      <c r="A58" s="38">
        <f>'ef-FT'!K97</f>
        <v>40306.5</v>
      </c>
      <c r="B58" s="240" t="s">
        <v>140</v>
      </c>
      <c r="C58" s="11" t="str">
        <f>'ef-FT'!E97</f>
        <v>Dallas</v>
      </c>
      <c r="D58" s="32">
        <f>'ef-FT'!M97</f>
        <v>1</v>
      </c>
      <c r="E58" s="11" t="str">
        <f>'ef-FT'!G97</f>
        <v>DC United</v>
      </c>
      <c r="F58" s="32">
        <f>'ef-FT'!O97</f>
        <v>0</v>
      </c>
      <c r="G58" s="96"/>
      <c r="H58" s="96"/>
      <c r="I58" s="97"/>
      <c r="J58" s="49"/>
      <c r="K58" s="49"/>
      <c r="L58" s="49"/>
      <c r="M58" s="49"/>
      <c r="N58" s="4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</row>
    <row r="59" spans="1:36">
      <c r="A59" s="38">
        <f>'ef-FT'!K98</f>
        <v>40306.5</v>
      </c>
      <c r="B59" s="240" t="s">
        <v>140</v>
      </c>
      <c r="C59" s="11" t="str">
        <f>'ef-FT'!E98</f>
        <v>San Jose</v>
      </c>
      <c r="D59" s="32">
        <f>'ef-FT'!M98</f>
        <v>4</v>
      </c>
      <c r="E59" s="11" t="str">
        <f>'ef-FT'!G98</f>
        <v>New York Red Bulls</v>
      </c>
      <c r="F59" s="32">
        <f>'ef-FT'!O98</f>
        <v>0</v>
      </c>
      <c r="G59" s="12" t="str">
        <f ca="1">HYPERLINK('ef-FT'!$C$36,"á")</f>
        <v>á</v>
      </c>
      <c r="H59" s="12"/>
      <c r="I59" s="2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</row>
    <row r="60" spans="1:36">
      <c r="A60" s="38">
        <f>'ef-FT'!K99</f>
        <v>40306.5</v>
      </c>
      <c r="B60" s="240" t="s">
        <v>140</v>
      </c>
      <c r="C60" s="11" t="str">
        <f>'ef-FT'!E99</f>
        <v>Chivas USA</v>
      </c>
      <c r="D60" s="32">
        <f>'ef-FT'!M99</f>
        <v>0</v>
      </c>
      <c r="E60" s="11" t="str">
        <f>'ef-FT'!G99</f>
        <v>Houston</v>
      </c>
      <c r="F60" s="32">
        <f>'ef-FT'!O99</f>
        <v>2</v>
      </c>
      <c r="G60" s="96"/>
      <c r="H60" s="96"/>
      <c r="I60" s="97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</row>
    <row r="61" spans="1:36">
      <c r="A61" s="38">
        <f>'ef-FT'!K100</f>
        <v>40311.5</v>
      </c>
      <c r="B61" s="240" t="s">
        <v>140</v>
      </c>
      <c r="C61" s="11" t="str">
        <f>'ef-FT'!E100</f>
        <v>Real Salt Lake</v>
      </c>
      <c r="D61" s="32">
        <f>'ef-FT'!M100</f>
        <v>3</v>
      </c>
      <c r="E61" s="11" t="str">
        <f>'ef-FT'!G100</f>
        <v>Houston</v>
      </c>
      <c r="F61" s="32">
        <f>'ef-FT'!O100</f>
        <v>1</v>
      </c>
      <c r="G61" s="96"/>
      <c r="H61" s="96"/>
      <c r="I61" s="97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</row>
    <row r="62" spans="1:36">
      <c r="A62" s="38">
        <f>'ef-FT'!K101</f>
        <v>40313.5</v>
      </c>
      <c r="B62" s="240" t="s">
        <v>140</v>
      </c>
      <c r="C62" s="11" t="str">
        <f>'ef-FT'!E101</f>
        <v>Philadelphia Union</v>
      </c>
      <c r="D62" s="32">
        <f>'ef-FT'!M101</f>
        <v>1</v>
      </c>
      <c r="E62" s="11" t="str">
        <f>'ef-FT'!G101</f>
        <v>Dallas</v>
      </c>
      <c r="F62" s="32">
        <f>'ef-FT'!O101</f>
        <v>1</v>
      </c>
      <c r="G62" s="96"/>
      <c r="H62" s="96"/>
      <c r="I62" s="97"/>
      <c r="J62" s="49"/>
      <c r="K62" s="49"/>
      <c r="L62" s="49"/>
      <c r="M62" s="49"/>
      <c r="N62" s="4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</row>
    <row r="63" spans="1:36">
      <c r="A63" s="38">
        <f>'ef-FT'!K102</f>
        <v>40313.5</v>
      </c>
      <c r="B63" s="240" t="s">
        <v>140</v>
      </c>
      <c r="C63" s="11" t="str">
        <f>'ef-FT'!E102</f>
        <v>New England</v>
      </c>
      <c r="D63" s="32">
        <f>'ef-FT'!M102</f>
        <v>0</v>
      </c>
      <c r="E63" s="11" t="str">
        <f>'ef-FT'!G102</f>
        <v>San Jose</v>
      </c>
      <c r="F63" s="32">
        <f>'ef-FT'!O102</f>
        <v>0</v>
      </c>
      <c r="G63" s="96"/>
      <c r="H63" s="96"/>
      <c r="I63" s="97"/>
      <c r="J63" s="49"/>
      <c r="K63" s="49"/>
      <c r="L63" s="49"/>
      <c r="M63" s="49"/>
      <c r="N63" s="4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</row>
    <row r="64" spans="1:36">
      <c r="A64" s="38">
        <f>'ef-FT'!K103</f>
        <v>40313.5</v>
      </c>
      <c r="B64" s="240" t="s">
        <v>140</v>
      </c>
      <c r="C64" s="11" t="str">
        <f>'ef-FT'!E103</f>
        <v>Columbus</v>
      </c>
      <c r="D64" s="32">
        <f>'ef-FT'!M103</f>
        <v>1</v>
      </c>
      <c r="E64" s="11" t="str">
        <f>'ef-FT'!G103</f>
        <v>Chivas USA</v>
      </c>
      <c r="F64" s="32">
        <f>'ef-FT'!O103</f>
        <v>0</v>
      </c>
      <c r="G64" s="96"/>
      <c r="H64" s="96"/>
      <c r="I64" s="97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</row>
    <row r="65" spans="1:36">
      <c r="A65" s="38">
        <f>'ef-FT'!K104</f>
        <v>40313.5</v>
      </c>
      <c r="B65" s="240" t="s">
        <v>140</v>
      </c>
      <c r="C65" s="11" t="str">
        <f>'ef-FT'!E104</f>
        <v>DC United</v>
      </c>
      <c r="D65" s="32">
        <f>'ef-FT'!M104</f>
        <v>0</v>
      </c>
      <c r="E65" s="11" t="str">
        <f>'ef-FT'!G104</f>
        <v>Colorado</v>
      </c>
      <c r="F65" s="32">
        <f>'ef-FT'!O104</f>
        <v>1</v>
      </c>
      <c r="G65" s="96"/>
      <c r="H65" s="96"/>
      <c r="I65" s="97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</row>
    <row r="66" spans="1:36">
      <c r="A66" s="38">
        <f>'ef-FT'!K105</f>
        <v>40313.5</v>
      </c>
      <c r="B66" s="240" t="s">
        <v>140</v>
      </c>
      <c r="C66" s="11" t="str">
        <f>'ef-FT'!E105</f>
        <v>New York Red Bulls</v>
      </c>
      <c r="D66" s="32">
        <f>'ef-FT'!M105</f>
        <v>0</v>
      </c>
      <c r="E66" s="11" t="str">
        <f>'ef-FT'!G105</f>
        <v>Seattle Sounders FC</v>
      </c>
      <c r="F66" s="32">
        <f>'ef-FT'!O105</f>
        <v>1</v>
      </c>
      <c r="G66" s="96"/>
      <c r="H66" s="96"/>
      <c r="I66" s="97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</row>
    <row r="67" spans="1:36">
      <c r="A67" s="38">
        <f>'ef-FT'!K106</f>
        <v>40313.5</v>
      </c>
      <c r="B67" s="240" t="s">
        <v>140</v>
      </c>
      <c r="C67" s="11" t="str">
        <f>'ef-FT'!E106</f>
        <v>Kansas City</v>
      </c>
      <c r="D67" s="32">
        <f>'ef-FT'!M106</f>
        <v>2</v>
      </c>
      <c r="E67" s="11" t="str">
        <f>'ef-FT'!G106</f>
        <v>Chicago</v>
      </c>
      <c r="F67" s="32">
        <f>'ef-FT'!O106</f>
        <v>2</v>
      </c>
      <c r="G67" s="96"/>
      <c r="H67" s="96"/>
      <c r="I67" s="97"/>
      <c r="J67" s="49"/>
      <c r="K67" s="49"/>
      <c r="L67" s="49"/>
      <c r="M67" s="49"/>
      <c r="N67" s="4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</row>
    <row r="68" spans="1:36">
      <c r="A68" s="38">
        <f>'ef-FT'!K107</f>
        <v>40313.5</v>
      </c>
      <c r="B68" s="240" t="s">
        <v>140</v>
      </c>
      <c r="C68" s="11" t="str">
        <f>'ef-FT'!E107</f>
        <v>Los Angeles</v>
      </c>
      <c r="D68" s="32">
        <f>'ef-FT'!M107</f>
        <v>0</v>
      </c>
      <c r="E68" s="11" t="str">
        <f>'ef-FT'!G107</f>
        <v>Toronto FC</v>
      </c>
      <c r="F68" s="32">
        <f>'ef-FT'!O107</f>
        <v>0</v>
      </c>
      <c r="G68" s="96"/>
      <c r="H68" s="96"/>
      <c r="I68" s="97"/>
      <c r="J68" s="49"/>
      <c r="K68" s="49"/>
      <c r="L68" s="49"/>
      <c r="M68" s="49"/>
      <c r="N68" s="4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</row>
    <row r="69" spans="1:36">
      <c r="A69" s="38">
        <f>'ef-FT'!K108</f>
        <v>40318.5</v>
      </c>
      <c r="B69" s="240" t="s">
        <v>140</v>
      </c>
      <c r="C69" s="11" t="str">
        <f>'ef-FT'!E108</f>
        <v>New York Red Bulls</v>
      </c>
      <c r="D69" s="32">
        <f>'ef-FT'!M108</f>
        <v>1</v>
      </c>
      <c r="E69" s="11" t="str">
        <f>'ef-FT'!G108</f>
        <v>Columbus</v>
      </c>
      <c r="F69" s="32">
        <f>'ef-FT'!O108</f>
        <v>3</v>
      </c>
      <c r="G69" s="96"/>
      <c r="H69" s="96"/>
      <c r="I69" s="97"/>
      <c r="J69" s="49"/>
      <c r="K69" s="49"/>
      <c r="L69" s="49"/>
      <c r="M69" s="49"/>
      <c r="N69" s="4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</row>
    <row r="70" spans="1:36">
      <c r="A70" s="38">
        <f>'ef-FT'!K109</f>
        <v>40318.5</v>
      </c>
      <c r="B70" s="240" t="s">
        <v>140</v>
      </c>
      <c r="C70" s="11" t="str">
        <f>'ef-FT'!E109</f>
        <v>Dallas</v>
      </c>
      <c r="D70" s="32">
        <f>'ef-FT'!M109</f>
        <v>0</v>
      </c>
      <c r="E70" s="11" t="str">
        <f>'ef-FT'!G109</f>
        <v>Los Angeles</v>
      </c>
      <c r="F70" s="32">
        <f>'ef-FT'!O109</f>
        <v>1</v>
      </c>
      <c r="G70" s="12" t="str">
        <f ca="1">HYPERLINK('ef-FT'!$C$36,"á")</f>
        <v>á</v>
      </c>
      <c r="H70" s="12"/>
      <c r="I70" s="2"/>
      <c r="J70" s="167" t="s">
        <v>2</v>
      </c>
      <c r="K70" s="167"/>
      <c r="L70" s="167"/>
      <c r="M70" s="167"/>
      <c r="N70" s="167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</row>
    <row r="71" spans="1:36" ht="15" customHeight="1">
      <c r="A71" s="38">
        <f>'ef-FT'!K110</f>
        <v>40320.5</v>
      </c>
      <c r="B71" s="240" t="s">
        <v>140</v>
      </c>
      <c r="C71" s="11" t="str">
        <f>'ef-FT'!E110</f>
        <v>Toronto FC</v>
      </c>
      <c r="D71" s="32">
        <f>'ef-FT'!M110</f>
        <v>1</v>
      </c>
      <c r="E71" s="11" t="str">
        <f>'ef-FT'!G110</f>
        <v>New England</v>
      </c>
      <c r="F71" s="32">
        <f>'ef-FT'!O110</f>
        <v>0</v>
      </c>
      <c r="G71" s="97"/>
      <c r="H71" s="97"/>
      <c r="I71" s="97"/>
      <c r="J71" s="167"/>
      <c r="K71" s="167"/>
      <c r="L71" s="167"/>
      <c r="M71" s="167"/>
      <c r="N71" s="167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</row>
    <row r="72" spans="1:36" ht="15" customHeight="1">
      <c r="A72" s="38">
        <f>'ef-FT'!K111</f>
        <v>40320.5</v>
      </c>
      <c r="B72" s="240" t="s">
        <v>140</v>
      </c>
      <c r="C72" s="11" t="str">
        <f>'ef-FT'!E111</f>
        <v>Seattle Sounders FC</v>
      </c>
      <c r="D72" s="32">
        <f>'ef-FT'!M111</f>
        <v>0</v>
      </c>
      <c r="E72" s="11" t="str">
        <f>'ef-FT'!G111</f>
        <v>San Jose</v>
      </c>
      <c r="F72" s="32">
        <f>'ef-FT'!O111</f>
        <v>1</v>
      </c>
      <c r="G72" s="97"/>
      <c r="H72" s="97"/>
      <c r="I72" s="97"/>
      <c r="J72" s="166" t="s">
        <v>5</v>
      </c>
      <c r="K72" s="166"/>
      <c r="L72" s="166"/>
      <c r="M72" s="166"/>
      <c r="N72" s="166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</row>
    <row r="73" spans="1:36">
      <c r="A73" s="38">
        <f>'ef-FT'!K112</f>
        <v>40320.5</v>
      </c>
      <c r="B73" s="240" t="s">
        <v>140</v>
      </c>
      <c r="C73" s="11" t="str">
        <f>'ef-FT'!E112</f>
        <v>Houston</v>
      </c>
      <c r="D73" s="32">
        <f>'ef-FT'!M112</f>
        <v>2</v>
      </c>
      <c r="E73" s="11" t="str">
        <f>'ef-FT'!G112</f>
        <v>DC United</v>
      </c>
      <c r="F73" s="32">
        <f>'ef-FT'!O112</f>
        <v>0</v>
      </c>
      <c r="G73" s="97"/>
      <c r="H73" s="97"/>
      <c r="I73" s="97"/>
    </row>
    <row r="74" spans="1:36">
      <c r="A74" s="38">
        <f>'ef-FT'!K113</f>
        <v>40320.5</v>
      </c>
      <c r="B74" s="240" t="s">
        <v>140</v>
      </c>
      <c r="C74" s="11" t="str">
        <f>'ef-FT'!E113</f>
        <v>Chivas USA</v>
      </c>
      <c r="D74" s="32">
        <f>'ef-FT'!M113</f>
        <v>1</v>
      </c>
      <c r="E74" s="11" t="str">
        <f>'ef-FT'!G113</f>
        <v>Real Salt Lake</v>
      </c>
      <c r="F74" s="32">
        <f>'ef-FT'!O113</f>
        <v>2</v>
      </c>
      <c r="G74" s="97"/>
      <c r="H74" s="97"/>
      <c r="I74" s="97"/>
      <c r="J74" s="49"/>
      <c r="K74" s="49"/>
      <c r="L74" s="49"/>
      <c r="M74" s="49"/>
      <c r="N74" s="49"/>
    </row>
    <row r="75" spans="1:36">
      <c r="A75" s="38">
        <f>'ef-FT'!K114</f>
        <v>40321.5</v>
      </c>
      <c r="B75" s="240" t="s">
        <v>140</v>
      </c>
      <c r="C75" s="11" t="str">
        <f>'ef-FT'!E114</f>
        <v>Kansas City</v>
      </c>
      <c r="D75" s="32">
        <f>'ef-FT'!M114</f>
        <v>0</v>
      </c>
      <c r="E75" s="11" t="str">
        <f>'ef-FT'!G114</f>
        <v>Columbus</v>
      </c>
      <c r="F75" s="32">
        <f>'ef-FT'!O114</f>
        <v>1</v>
      </c>
      <c r="G75" s="97"/>
      <c r="H75" s="97"/>
      <c r="I75" s="97"/>
      <c r="J75" s="49"/>
      <c r="K75" s="49"/>
      <c r="L75" s="49"/>
      <c r="M75" s="49"/>
      <c r="N75" s="49"/>
    </row>
    <row r="76" spans="1:36">
      <c r="A76" s="38">
        <f>'ef-FT'!K115</f>
        <v>40325.5</v>
      </c>
      <c r="B76" s="240" t="s">
        <v>140</v>
      </c>
      <c r="C76" s="11" t="str">
        <f>'ef-FT'!E115</f>
        <v>Chicago</v>
      </c>
      <c r="D76" s="32">
        <f>'ef-FT'!M115</f>
        <v>1</v>
      </c>
      <c r="E76" s="11" t="str">
        <f>'ef-FT'!G115</f>
        <v>Dallas</v>
      </c>
      <c r="F76" s="32">
        <f>'ef-FT'!O115</f>
        <v>1</v>
      </c>
      <c r="G76" s="97"/>
      <c r="H76" s="97"/>
      <c r="I76" s="97"/>
      <c r="J76" s="49"/>
      <c r="K76" s="49"/>
      <c r="L76" s="49"/>
      <c r="M76" s="49"/>
      <c r="N76" s="49"/>
    </row>
    <row r="77" spans="1:36">
      <c r="A77" s="38">
        <f>'ef-FT'!K116</f>
        <v>40327.5</v>
      </c>
      <c r="B77" s="240" t="s">
        <v>140</v>
      </c>
      <c r="C77" s="11" t="str">
        <f>'ef-FT'!E116</f>
        <v>Columbus</v>
      </c>
      <c r="D77" s="32">
        <f>'ef-FT'!M116</f>
        <v>0</v>
      </c>
      <c r="E77" s="11" t="str">
        <f>'ef-FT'!G116</f>
        <v>Los Angeles</v>
      </c>
      <c r="F77" s="32">
        <f>'ef-FT'!O116</f>
        <v>2</v>
      </c>
      <c r="G77" s="97"/>
      <c r="H77" s="97"/>
      <c r="I77" s="97"/>
      <c r="J77" s="49"/>
      <c r="K77" s="49"/>
      <c r="L77" s="49"/>
      <c r="M77" s="49"/>
      <c r="N77" s="49"/>
    </row>
    <row r="78" spans="1:36">
      <c r="A78" s="38">
        <f>'ef-FT'!K117</f>
        <v>40327.5</v>
      </c>
      <c r="B78" s="240" t="s">
        <v>140</v>
      </c>
      <c r="C78" s="11" t="str">
        <f>'ef-FT'!E117</f>
        <v>DC United</v>
      </c>
      <c r="D78" s="32">
        <f>'ef-FT'!M117</f>
        <v>3</v>
      </c>
      <c r="E78" s="11" t="str">
        <f>'ef-FT'!G117</f>
        <v>Chivas USA</v>
      </c>
      <c r="F78" s="32">
        <f>'ef-FT'!O117</f>
        <v>2</v>
      </c>
      <c r="G78" s="97"/>
      <c r="H78" s="97"/>
      <c r="I78" s="97"/>
      <c r="J78" s="49"/>
      <c r="K78" s="49"/>
      <c r="L78" s="49"/>
      <c r="M78" s="49"/>
      <c r="N78" s="49"/>
    </row>
    <row r="79" spans="1:36">
      <c r="A79" s="38">
        <f>'ef-FT'!K118</f>
        <v>40327.5</v>
      </c>
      <c r="B79" s="240" t="s">
        <v>140</v>
      </c>
      <c r="C79" s="11" t="str">
        <f>'ef-FT'!E118</f>
        <v>New England</v>
      </c>
      <c r="D79" s="32">
        <f>'ef-FT'!M118</f>
        <v>3</v>
      </c>
      <c r="E79" s="11" t="str">
        <f>'ef-FT'!G118</f>
        <v>New York Red Bulls</v>
      </c>
      <c r="F79" s="32">
        <f>'ef-FT'!O118</f>
        <v>2</v>
      </c>
      <c r="G79" s="97"/>
      <c r="H79" s="97"/>
      <c r="I79" s="97"/>
      <c r="J79" s="49"/>
      <c r="K79" s="49"/>
      <c r="L79" s="49"/>
      <c r="M79" s="49"/>
      <c r="N79" s="49"/>
    </row>
    <row r="80" spans="1:36">
      <c r="A80" s="38">
        <f>'ef-FT'!K119</f>
        <v>40327.5</v>
      </c>
      <c r="B80" s="240" t="s">
        <v>140</v>
      </c>
      <c r="C80" s="11" t="str">
        <f>'ef-FT'!E119</f>
        <v>Houston</v>
      </c>
      <c r="D80" s="32">
        <f>'ef-FT'!M119</f>
        <v>1</v>
      </c>
      <c r="E80" s="11" t="str">
        <f>'ef-FT'!G119</f>
        <v>Philadelphia Union</v>
      </c>
      <c r="F80" s="32">
        <f>'ef-FT'!O119</f>
        <v>3</v>
      </c>
      <c r="G80" s="97"/>
      <c r="H80" s="97"/>
      <c r="I80" s="97"/>
      <c r="J80" s="49"/>
      <c r="K80" s="49"/>
      <c r="L80" s="49"/>
      <c r="M80" s="49"/>
      <c r="N80" s="49"/>
    </row>
    <row r="81" spans="1:14">
      <c r="A81" s="38">
        <f>'ef-FT'!K120</f>
        <v>40327.5</v>
      </c>
      <c r="B81" s="240" t="s">
        <v>140</v>
      </c>
      <c r="C81" s="11" t="str">
        <f>'ef-FT'!E120</f>
        <v>Colorado</v>
      </c>
      <c r="D81" s="32">
        <f>'ef-FT'!M120</f>
        <v>1</v>
      </c>
      <c r="E81" s="11" t="str">
        <f>'ef-FT'!G120</f>
        <v>Seattle Sounders FC</v>
      </c>
      <c r="F81" s="32">
        <f>'ef-FT'!O120</f>
        <v>0</v>
      </c>
      <c r="G81" s="12" t="str">
        <f ca="1">HYPERLINK('ef-FT'!$C$36,"á")</f>
        <v>á</v>
      </c>
      <c r="H81" s="12"/>
      <c r="I81" s="2"/>
      <c r="J81" s="45"/>
      <c r="K81" s="47"/>
      <c r="L81" s="49"/>
      <c r="M81" s="49"/>
      <c r="N81" s="49"/>
    </row>
    <row r="82" spans="1:14">
      <c r="A82" s="38">
        <f>'ef-FT'!K121</f>
        <v>40327.5</v>
      </c>
      <c r="B82" s="240" t="s">
        <v>140</v>
      </c>
      <c r="C82" s="11" t="str">
        <f>'ef-FT'!E121</f>
        <v>Real Salt Lake</v>
      </c>
      <c r="D82" s="32">
        <f>'ef-FT'!M121</f>
        <v>4</v>
      </c>
      <c r="E82" s="11" t="str">
        <f>'ef-FT'!G121</f>
        <v>Kansas City</v>
      </c>
      <c r="F82" s="32">
        <f>'ef-FT'!O121</f>
        <v>1</v>
      </c>
      <c r="G82" s="97"/>
      <c r="H82" s="97"/>
      <c r="I82" s="97"/>
      <c r="J82" s="49"/>
      <c r="K82" s="49"/>
      <c r="L82" s="49"/>
      <c r="M82" s="49"/>
      <c r="N82" s="49"/>
    </row>
    <row r="83" spans="1:14">
      <c r="A83" s="38">
        <f>'ef-FT'!K122</f>
        <v>40327.5</v>
      </c>
      <c r="B83" s="240" t="s">
        <v>140</v>
      </c>
      <c r="C83" s="11" t="str">
        <f>'ef-FT'!E122</f>
        <v>San Jose</v>
      </c>
      <c r="D83" s="32">
        <f>'ef-FT'!M122</f>
        <v>1</v>
      </c>
      <c r="E83" s="11" t="str">
        <f>'ef-FT'!G122</f>
        <v>Toronto FC</v>
      </c>
      <c r="F83" s="32">
        <f>'ef-FT'!O122</f>
        <v>3</v>
      </c>
      <c r="G83" s="97"/>
      <c r="H83" s="97"/>
      <c r="I83" s="97"/>
      <c r="J83" s="49"/>
      <c r="K83" s="49"/>
      <c r="L83" s="49"/>
      <c r="M83" s="49"/>
      <c r="N83" s="49"/>
    </row>
    <row r="84" spans="1:14">
      <c r="A84" s="38">
        <f>'ef-FT'!K123</f>
        <v>40331.5</v>
      </c>
      <c r="B84" s="240" t="s">
        <v>140</v>
      </c>
      <c r="C84" s="11" t="str">
        <f>'ef-FT'!E123</f>
        <v>New York Red Bulls</v>
      </c>
      <c r="D84" s="32">
        <f>'ef-FT'!M123</f>
        <v>2</v>
      </c>
      <c r="E84" s="11" t="str">
        <f>'ef-FT'!G123</f>
        <v>Houston</v>
      </c>
      <c r="F84" s="32">
        <f>'ef-FT'!O123</f>
        <v>1</v>
      </c>
      <c r="G84" s="97"/>
      <c r="H84" s="97"/>
      <c r="I84" s="97"/>
      <c r="J84" s="49"/>
      <c r="K84" s="49"/>
      <c r="L84" s="49"/>
      <c r="M84" s="49"/>
      <c r="N84" s="49"/>
    </row>
    <row r="85" spans="1:14">
      <c r="A85" s="38">
        <f>'ef-FT'!K124</f>
        <v>40331.5</v>
      </c>
      <c r="B85" s="240" t="s">
        <v>140</v>
      </c>
      <c r="C85" s="11" t="str">
        <f>'ef-FT'!E124</f>
        <v>San Jose</v>
      </c>
      <c r="D85" s="32">
        <f>'ef-FT'!M124</f>
        <v>2</v>
      </c>
      <c r="E85" s="11" t="str">
        <f>'ef-FT'!G124</f>
        <v>Columbus</v>
      </c>
      <c r="F85" s="32">
        <f>'ef-FT'!O124</f>
        <v>2</v>
      </c>
      <c r="G85" s="97"/>
      <c r="H85" s="97"/>
      <c r="I85" s="97"/>
      <c r="J85" s="49"/>
      <c r="K85" s="49"/>
      <c r="L85" s="49"/>
      <c r="M85" s="49"/>
      <c r="N85" s="49"/>
    </row>
    <row r="86" spans="1:14">
      <c r="A86" s="38">
        <f>'ef-FT'!K125</f>
        <v>40334.5</v>
      </c>
      <c r="B86" s="240" t="s">
        <v>140</v>
      </c>
      <c r="C86" s="11" t="str">
        <f>'ef-FT'!E125</f>
        <v>Toronto FC</v>
      </c>
      <c r="D86" s="32">
        <f>'ef-FT'!M125</f>
        <v>0</v>
      </c>
      <c r="E86" s="11" t="str">
        <f>'ef-FT'!G125</f>
        <v>Kansas City</v>
      </c>
      <c r="F86" s="32">
        <f>'ef-FT'!O125</f>
        <v>0</v>
      </c>
      <c r="G86" s="97"/>
      <c r="H86" s="97"/>
      <c r="I86" s="97"/>
      <c r="J86" s="49"/>
      <c r="K86" s="49"/>
      <c r="L86" s="49"/>
      <c r="M86" s="49"/>
      <c r="N86" s="49"/>
    </row>
    <row r="87" spans="1:14">
      <c r="A87" s="38">
        <f>'ef-FT'!K126</f>
        <v>40334.5</v>
      </c>
      <c r="B87" s="240" t="s">
        <v>140</v>
      </c>
      <c r="C87" s="11" t="str">
        <f>'ef-FT'!E126</f>
        <v>DC United</v>
      </c>
      <c r="D87" s="32">
        <f>'ef-FT'!M126</f>
        <v>0</v>
      </c>
      <c r="E87" s="11" t="str">
        <f>'ef-FT'!G126</f>
        <v>Real Salt Lake</v>
      </c>
      <c r="F87" s="32">
        <f>'ef-FT'!O126</f>
        <v>0</v>
      </c>
      <c r="G87" s="97"/>
      <c r="H87" s="97"/>
      <c r="I87" s="97"/>
      <c r="J87" s="49"/>
      <c r="K87" s="49"/>
      <c r="L87" s="49"/>
      <c r="M87" s="49"/>
      <c r="N87" s="49"/>
    </row>
    <row r="88" spans="1:14">
      <c r="A88" s="38">
        <f>'ef-FT'!K127</f>
        <v>40334.5</v>
      </c>
      <c r="B88" s="240" t="s">
        <v>140</v>
      </c>
      <c r="C88" s="11" t="str">
        <f>'ef-FT'!E127</f>
        <v>New York Red Bulls</v>
      </c>
      <c r="D88" s="32">
        <f>'ef-FT'!M127</f>
        <v>1</v>
      </c>
      <c r="E88" s="11" t="str">
        <f>'ef-FT'!G127</f>
        <v>Chivas USA</v>
      </c>
      <c r="F88" s="32">
        <f>'ef-FT'!O127</f>
        <v>0</v>
      </c>
      <c r="G88" s="97"/>
      <c r="H88" s="97"/>
      <c r="I88" s="97"/>
      <c r="J88" s="49"/>
      <c r="K88" s="49"/>
      <c r="L88" s="49"/>
      <c r="M88" s="49"/>
      <c r="N88" s="49"/>
    </row>
    <row r="89" spans="1:14">
      <c r="A89" s="38">
        <f>'ef-FT'!K128</f>
        <v>40334.5</v>
      </c>
      <c r="B89" s="240" t="s">
        <v>140</v>
      </c>
      <c r="C89" s="11" t="str">
        <f>'ef-FT'!E128</f>
        <v>Los Angeles</v>
      </c>
      <c r="D89" s="32">
        <f>'ef-FT'!M128</f>
        <v>4</v>
      </c>
      <c r="E89" s="11" t="str">
        <f>'ef-FT'!G128</f>
        <v>Houston</v>
      </c>
      <c r="F89" s="32">
        <f>'ef-FT'!O128</f>
        <v>1</v>
      </c>
      <c r="G89" s="97"/>
      <c r="H89" s="97"/>
      <c r="I89" s="97"/>
      <c r="J89" s="49"/>
      <c r="K89" s="49"/>
      <c r="L89" s="49"/>
      <c r="M89" s="49"/>
      <c r="N89" s="49"/>
    </row>
    <row r="90" spans="1:14">
      <c r="A90" s="38">
        <f>'ef-FT'!K129</f>
        <v>40334.5</v>
      </c>
      <c r="B90" s="240" t="s">
        <v>140</v>
      </c>
      <c r="C90" s="11" t="str">
        <f>'ef-FT'!E129</f>
        <v>Chicago</v>
      </c>
      <c r="D90" s="32">
        <f>'ef-FT'!M129</f>
        <v>2</v>
      </c>
      <c r="E90" s="11" t="str">
        <f>'ef-FT'!G129</f>
        <v>Philadelphia Union</v>
      </c>
      <c r="F90" s="32">
        <f>'ef-FT'!O129</f>
        <v>1</v>
      </c>
      <c r="G90" s="97"/>
      <c r="H90" s="97"/>
      <c r="I90" s="97"/>
      <c r="J90" s="49"/>
      <c r="K90" s="49"/>
      <c r="L90" s="49"/>
      <c r="M90" s="49"/>
      <c r="N90" s="49"/>
    </row>
    <row r="91" spans="1:14">
      <c r="A91" s="38">
        <f>'ef-FT'!K130</f>
        <v>40334.5</v>
      </c>
      <c r="B91" s="240" t="s">
        <v>140</v>
      </c>
      <c r="C91" s="11" t="str">
        <f>'ef-FT'!E130</f>
        <v>Dallas</v>
      </c>
      <c r="D91" s="32">
        <f>'ef-FT'!M130</f>
        <v>2</v>
      </c>
      <c r="E91" s="11" t="str">
        <f>'ef-FT'!G130</f>
        <v>San Jose</v>
      </c>
      <c r="F91" s="32">
        <f>'ef-FT'!O130</f>
        <v>0</v>
      </c>
      <c r="G91" s="97"/>
      <c r="H91" s="97"/>
      <c r="I91" s="97"/>
      <c r="J91" s="49"/>
      <c r="K91" s="49"/>
      <c r="L91" s="49"/>
      <c r="M91" s="49"/>
      <c r="N91" s="49"/>
    </row>
    <row r="92" spans="1:14">
      <c r="A92" s="38">
        <f>'ef-FT'!K131</f>
        <v>40334.5</v>
      </c>
      <c r="B92" s="240" t="s">
        <v>140</v>
      </c>
      <c r="C92" s="11" t="str">
        <f>'ef-FT'!E131</f>
        <v>Colorado</v>
      </c>
      <c r="D92" s="32">
        <f>'ef-FT'!M131</f>
        <v>1</v>
      </c>
      <c r="E92" s="11" t="str">
        <f>'ef-FT'!G131</f>
        <v>Columbus</v>
      </c>
      <c r="F92" s="32">
        <f>'ef-FT'!O131</f>
        <v>0</v>
      </c>
      <c r="G92" s="12" t="str">
        <f ca="1">HYPERLINK('ef-FT'!$C$36,"á")</f>
        <v>á</v>
      </c>
      <c r="H92" s="12"/>
      <c r="I92" s="2"/>
      <c r="J92" s="45"/>
      <c r="K92" s="47"/>
      <c r="L92" s="49"/>
      <c r="M92" s="49"/>
      <c r="N92" s="49"/>
    </row>
    <row r="93" spans="1:14">
      <c r="A93" s="38">
        <f>'ef-FT'!K132</f>
        <v>40334.5</v>
      </c>
      <c r="B93" s="240" t="s">
        <v>140</v>
      </c>
      <c r="C93" s="11" t="str">
        <f>'ef-FT'!E132</f>
        <v>Seattle Sounders FC</v>
      </c>
      <c r="D93" s="32">
        <f>'ef-FT'!M132</f>
        <v>3</v>
      </c>
      <c r="E93" s="11" t="str">
        <f>'ef-FT'!G132</f>
        <v>New England</v>
      </c>
      <c r="F93" s="32">
        <f>'ef-FT'!O132</f>
        <v>0</v>
      </c>
      <c r="G93" s="97"/>
      <c r="H93" s="97"/>
      <c r="I93" s="97"/>
    </row>
    <row r="94" spans="1:14">
      <c r="A94" s="38">
        <f>'ef-FT'!K133</f>
        <v>40338.5</v>
      </c>
      <c r="B94" s="240" t="s">
        <v>140</v>
      </c>
      <c r="C94" s="11" t="str">
        <f>'ef-FT'!E133</f>
        <v>Chicago</v>
      </c>
      <c r="D94" s="32">
        <f>'ef-FT'!M133</f>
        <v>2</v>
      </c>
      <c r="E94" s="11" t="str">
        <f>'ef-FT'!G133</f>
        <v>Colorado</v>
      </c>
      <c r="F94" s="32">
        <f>'ef-FT'!O133</f>
        <v>2</v>
      </c>
      <c r="G94" s="97"/>
      <c r="H94" s="97"/>
      <c r="I94" s="97"/>
    </row>
    <row r="95" spans="1:14">
      <c r="A95" s="38">
        <f>'ef-FT'!K134</f>
        <v>40338.5</v>
      </c>
      <c r="B95" s="240" t="s">
        <v>140</v>
      </c>
      <c r="C95" s="11" t="str">
        <f>'ef-FT'!E134</f>
        <v>Real Salt Lake</v>
      </c>
      <c r="D95" s="32">
        <f>'ef-FT'!M134</f>
        <v>1</v>
      </c>
      <c r="E95" s="11" t="str">
        <f>'ef-FT'!G134</f>
        <v>Los Angeles</v>
      </c>
      <c r="F95" s="32">
        <f>'ef-FT'!O134</f>
        <v>0</v>
      </c>
      <c r="G95" s="97"/>
      <c r="H95" s="97"/>
      <c r="I95" s="97"/>
    </row>
    <row r="96" spans="1:14">
      <c r="A96" s="38">
        <f>'ef-FT'!K135</f>
        <v>40339.5</v>
      </c>
      <c r="B96" s="240" t="s">
        <v>140</v>
      </c>
      <c r="C96" s="11" t="str">
        <f>'ef-FT'!E135</f>
        <v>Kansas City</v>
      </c>
      <c r="D96" s="32">
        <f>'ef-FT'!M135</f>
        <v>2</v>
      </c>
      <c r="E96" s="11" t="str">
        <f>'ef-FT'!G135</f>
        <v>Philadelphia Union</v>
      </c>
      <c r="F96" s="32">
        <f>'ef-FT'!O135</f>
        <v>0</v>
      </c>
      <c r="G96" s="97"/>
      <c r="H96" s="97"/>
      <c r="I96" s="97"/>
      <c r="J96" s="49"/>
      <c r="K96" s="49"/>
      <c r="L96" s="49"/>
      <c r="M96" s="49"/>
      <c r="N96" s="49"/>
    </row>
    <row r="97" spans="1:14">
      <c r="A97" s="38">
        <f>'ef-FT'!K136</f>
        <v>40339.5</v>
      </c>
      <c r="B97" s="240" t="s">
        <v>140</v>
      </c>
      <c r="C97" s="11" t="str">
        <f>'ef-FT'!E136</f>
        <v>Seattle Sounders FC</v>
      </c>
      <c r="D97" s="32">
        <f>'ef-FT'!M136</f>
        <v>2</v>
      </c>
      <c r="E97" s="11" t="str">
        <f>'ef-FT'!G136</f>
        <v>DC United</v>
      </c>
      <c r="F97" s="32">
        <f>'ef-FT'!O136</f>
        <v>3</v>
      </c>
      <c r="G97" s="97"/>
      <c r="H97" s="97"/>
      <c r="I97" s="97"/>
      <c r="J97" s="49"/>
      <c r="K97" s="49"/>
      <c r="L97" s="49"/>
      <c r="M97" s="49"/>
      <c r="N97" s="49"/>
    </row>
    <row r="98" spans="1:14">
      <c r="A98" s="38">
        <f>'ef-FT'!K137</f>
        <v>40354.5</v>
      </c>
      <c r="B98" s="240" t="s">
        <v>140</v>
      </c>
      <c r="C98" s="11" t="str">
        <f>'ef-FT'!E137</f>
        <v>Real Salt Lake</v>
      </c>
      <c r="D98" s="32">
        <f>'ef-FT'!M137</f>
        <v>0</v>
      </c>
      <c r="E98" s="11" t="str">
        <f>'ef-FT'!G137</f>
        <v>San Jose</v>
      </c>
      <c r="F98" s="32">
        <f>'ef-FT'!O137</f>
        <v>0</v>
      </c>
      <c r="G98" s="97"/>
      <c r="H98" s="97"/>
      <c r="I98" s="97"/>
      <c r="J98" s="49"/>
      <c r="K98" s="49"/>
      <c r="L98" s="49"/>
      <c r="M98" s="49"/>
      <c r="N98" s="49"/>
    </row>
    <row r="99" spans="1:14">
      <c r="A99" s="38">
        <f>'ef-FT'!K138</f>
        <v>40355.5</v>
      </c>
      <c r="B99" s="240" t="s">
        <v>140</v>
      </c>
      <c r="C99" s="11" t="str">
        <f>'ef-FT'!E138</f>
        <v>Columbus</v>
      </c>
      <c r="D99" s="32">
        <f>'ef-FT'!M138</f>
        <v>2</v>
      </c>
      <c r="E99" s="11" t="str">
        <f>'ef-FT'!G138</f>
        <v>DC United</v>
      </c>
      <c r="F99" s="32">
        <f>'ef-FT'!O138</f>
        <v>0</v>
      </c>
      <c r="G99" s="97"/>
      <c r="H99" s="97"/>
      <c r="I99" s="97"/>
      <c r="J99" s="49"/>
      <c r="K99" s="49"/>
      <c r="L99" s="49"/>
      <c r="M99" s="49"/>
      <c r="N99" s="49"/>
    </row>
    <row r="100" spans="1:14">
      <c r="A100" s="38">
        <f>'ef-FT'!K139</f>
        <v>40355.5</v>
      </c>
      <c r="B100" s="240" t="s">
        <v>140</v>
      </c>
      <c r="C100" s="11" t="str">
        <f>'ef-FT'!E139</f>
        <v>Toronto FC</v>
      </c>
      <c r="D100" s="32">
        <f>'ef-FT'!M139</f>
        <v>0</v>
      </c>
      <c r="E100" s="11" t="str">
        <f>'ef-FT'!G139</f>
        <v>Los Angeles</v>
      </c>
      <c r="F100" s="32">
        <f>'ef-FT'!O139</f>
        <v>0</v>
      </c>
      <c r="G100" s="97"/>
      <c r="H100" s="97"/>
      <c r="I100" s="97"/>
      <c r="J100" s="49"/>
      <c r="K100" s="49"/>
      <c r="L100" s="49"/>
      <c r="M100" s="49"/>
      <c r="N100" s="49"/>
    </row>
    <row r="101" spans="1:14">
      <c r="A101" s="38">
        <f>'ef-FT'!K140</f>
        <v>40355.5</v>
      </c>
      <c r="B101" s="240" t="s">
        <v>140</v>
      </c>
      <c r="C101" s="11" t="str">
        <f>'ef-FT'!E140</f>
        <v>Houston</v>
      </c>
      <c r="D101" s="32">
        <f>'ef-FT'!M140</f>
        <v>2</v>
      </c>
      <c r="E101" s="11" t="str">
        <f>'ef-FT'!G140</f>
        <v>Colorado</v>
      </c>
      <c r="F101" s="32">
        <f>'ef-FT'!O140</f>
        <v>2</v>
      </c>
      <c r="G101" s="97"/>
      <c r="H101" s="97"/>
      <c r="I101" s="97"/>
    </row>
    <row r="102" spans="1:14">
      <c r="A102" s="38">
        <f>'ef-FT'!K141</f>
        <v>40355.5</v>
      </c>
      <c r="B102" s="240" t="s">
        <v>140</v>
      </c>
      <c r="C102" s="11" t="str">
        <f>'ef-FT'!E141</f>
        <v>Kansas City</v>
      </c>
      <c r="D102" s="32">
        <f>'ef-FT'!M141</f>
        <v>0</v>
      </c>
      <c r="E102" s="11" t="str">
        <f>'ef-FT'!G141</f>
        <v>New York Red Bulls</v>
      </c>
      <c r="F102" s="32">
        <f>'ef-FT'!O141</f>
        <v>3</v>
      </c>
      <c r="G102" s="97"/>
      <c r="H102" s="97"/>
      <c r="I102" s="97"/>
    </row>
    <row r="103" spans="1:14">
      <c r="A103" s="38">
        <f>'ef-FT'!K142</f>
        <v>40355.5</v>
      </c>
      <c r="B103" s="240" t="s">
        <v>140</v>
      </c>
      <c r="C103" s="11" t="str">
        <f>'ef-FT'!E142</f>
        <v>Chivas USA</v>
      </c>
      <c r="D103" s="32">
        <f>'ef-FT'!M142</f>
        <v>1</v>
      </c>
      <c r="E103" s="11" t="str">
        <f>'ef-FT'!G142</f>
        <v>Dallas</v>
      </c>
      <c r="F103" s="32">
        <f>'ef-FT'!O142</f>
        <v>2</v>
      </c>
      <c r="G103" s="12" t="str">
        <f ca="1">HYPERLINK('ef-FT'!$C$36,"á")</f>
        <v>á</v>
      </c>
      <c r="H103" s="12"/>
      <c r="I103" s="2"/>
    </row>
    <row r="104" spans="1:14">
      <c r="A104" s="38">
        <f>'ef-FT'!K143</f>
        <v>40356.5</v>
      </c>
      <c r="B104" s="240" t="s">
        <v>140</v>
      </c>
      <c r="C104" s="11" t="str">
        <f>'ef-FT'!E143</f>
        <v>Philadelphia Union</v>
      </c>
      <c r="D104" s="32">
        <f>'ef-FT'!M143</f>
        <v>3</v>
      </c>
      <c r="E104" s="11" t="str">
        <f>'ef-FT'!G143</f>
        <v>Seattle Sounders FC</v>
      </c>
      <c r="F104" s="32">
        <f>'ef-FT'!O143</f>
        <v>1</v>
      </c>
      <c r="G104" s="97"/>
      <c r="H104" s="97"/>
      <c r="I104" s="97"/>
    </row>
    <row r="105" spans="1:14">
      <c r="A105" s="38">
        <f>'ef-FT'!K144</f>
        <v>40356.5</v>
      </c>
      <c r="B105" s="240" t="s">
        <v>140</v>
      </c>
      <c r="C105" s="11" t="str">
        <f>'ef-FT'!E144</f>
        <v>New England</v>
      </c>
      <c r="D105" s="32">
        <f>'ef-FT'!M144</f>
        <v>0</v>
      </c>
      <c r="E105" s="11" t="str">
        <f>'ef-FT'!G144</f>
        <v>Chicago</v>
      </c>
      <c r="F105" s="32">
        <f>'ef-FT'!O144</f>
        <v>1</v>
      </c>
      <c r="G105" s="97"/>
      <c r="H105" s="97"/>
      <c r="I105" s="97"/>
    </row>
    <row r="106" spans="1:14">
      <c r="A106" s="38">
        <f>'ef-FT'!K145</f>
        <v>40360.5</v>
      </c>
      <c r="B106" s="240" t="s">
        <v>140</v>
      </c>
      <c r="C106" s="11" t="str">
        <f>'ef-FT'!E145</f>
        <v>Toronto FC</v>
      </c>
      <c r="D106" s="32">
        <f>'ef-FT'!M145</f>
        <v>1</v>
      </c>
      <c r="E106" s="11" t="str">
        <f>'ef-FT'!G145</f>
        <v>Houston</v>
      </c>
      <c r="F106" s="32">
        <f>'ef-FT'!O145</f>
        <v>1</v>
      </c>
      <c r="G106" s="97"/>
      <c r="H106" s="97"/>
      <c r="I106" s="97"/>
      <c r="J106" s="49"/>
      <c r="K106" s="49"/>
      <c r="L106" s="49"/>
      <c r="M106" s="49"/>
      <c r="N106" s="49"/>
    </row>
    <row r="107" spans="1:14">
      <c r="A107" s="38">
        <f>'ef-FT'!K146</f>
        <v>40361.5</v>
      </c>
      <c r="B107" s="240" t="s">
        <v>140</v>
      </c>
      <c r="C107" s="11" t="str">
        <f>'ef-FT'!E146</f>
        <v>Real Salt Lake</v>
      </c>
      <c r="D107" s="32">
        <f>'ef-FT'!M146</f>
        <v>5</v>
      </c>
      <c r="E107" s="11" t="str">
        <f>'ef-FT'!G146</f>
        <v>New England</v>
      </c>
      <c r="F107" s="32">
        <f>'ef-FT'!O146</f>
        <v>0</v>
      </c>
      <c r="G107" s="97"/>
      <c r="H107" s="97"/>
      <c r="I107" s="97"/>
      <c r="J107" s="49"/>
      <c r="K107" s="49"/>
      <c r="L107" s="49"/>
      <c r="M107" s="49"/>
      <c r="N107" s="49"/>
    </row>
    <row r="108" spans="1:14">
      <c r="A108" s="38">
        <f>'ef-FT'!K147</f>
        <v>40362.5</v>
      </c>
      <c r="B108" s="240" t="s">
        <v>140</v>
      </c>
      <c r="C108" s="11" t="str">
        <f>'ef-FT'!E147</f>
        <v>Columbus</v>
      </c>
      <c r="D108" s="32">
        <f>'ef-FT'!M147</f>
        <v>2</v>
      </c>
      <c r="E108" s="11" t="str">
        <f>'ef-FT'!G147</f>
        <v>Chicago</v>
      </c>
      <c r="F108" s="32">
        <f>'ef-FT'!O147</f>
        <v>1</v>
      </c>
      <c r="G108" s="97"/>
      <c r="H108" s="97"/>
      <c r="I108" s="97"/>
      <c r="J108" s="49"/>
      <c r="K108" s="49"/>
      <c r="L108" s="49"/>
      <c r="M108" s="49"/>
      <c r="N108" s="49"/>
    </row>
    <row r="109" spans="1:14">
      <c r="A109" s="38">
        <f>'ef-FT'!K148</f>
        <v>40362.5</v>
      </c>
      <c r="B109" s="240" t="s">
        <v>140</v>
      </c>
      <c r="C109" s="11" t="str">
        <f>'ef-FT'!E148</f>
        <v>Dallas</v>
      </c>
      <c r="D109" s="32">
        <f>'ef-FT'!M148</f>
        <v>1</v>
      </c>
      <c r="E109" s="11" t="str">
        <f>'ef-FT'!G148</f>
        <v>Kansas City</v>
      </c>
      <c r="F109" s="32">
        <f>'ef-FT'!O148</f>
        <v>0</v>
      </c>
      <c r="G109" s="97"/>
      <c r="H109" s="97"/>
      <c r="I109" s="97"/>
      <c r="J109" s="49"/>
      <c r="K109" s="49"/>
      <c r="L109" s="49"/>
      <c r="M109" s="49"/>
      <c r="N109" s="49"/>
    </row>
    <row r="110" spans="1:14">
      <c r="A110" s="38">
        <f>'ef-FT'!K149</f>
        <v>40362.5</v>
      </c>
      <c r="B110" s="240" t="s">
        <v>140</v>
      </c>
      <c r="C110" s="11" t="str">
        <f>'ef-FT'!E149</f>
        <v>San Jose</v>
      </c>
      <c r="D110" s="32">
        <f>'ef-FT'!M149</f>
        <v>1</v>
      </c>
      <c r="E110" s="11" t="str">
        <f>'ef-FT'!G149</f>
        <v>DC United</v>
      </c>
      <c r="F110" s="32">
        <f>'ef-FT'!O149</f>
        <v>1</v>
      </c>
      <c r="G110" s="97"/>
      <c r="H110" s="97"/>
      <c r="I110" s="97"/>
      <c r="J110" s="49"/>
      <c r="K110" s="49"/>
      <c r="L110" s="49"/>
      <c r="M110" s="49"/>
      <c r="N110" s="49"/>
    </row>
    <row r="111" spans="1:14">
      <c r="A111" s="38">
        <f>'ef-FT'!K150</f>
        <v>40362.5</v>
      </c>
      <c r="B111" s="240" t="s">
        <v>140</v>
      </c>
      <c r="C111" s="11" t="str">
        <f>'ef-FT'!E150</f>
        <v>Chivas USA</v>
      </c>
      <c r="D111" s="32">
        <f>'ef-FT'!M150</f>
        <v>1</v>
      </c>
      <c r="E111" s="11" t="str">
        <f>'ef-FT'!G150</f>
        <v>Philadelphia Union</v>
      </c>
      <c r="F111" s="32">
        <f>'ef-FT'!O150</f>
        <v>1</v>
      </c>
      <c r="G111" s="97"/>
      <c r="H111" s="97"/>
      <c r="I111" s="97"/>
      <c r="J111" s="49"/>
      <c r="K111" s="49"/>
      <c r="L111" s="49"/>
      <c r="M111" s="49"/>
      <c r="N111" s="49"/>
    </row>
    <row r="112" spans="1:14">
      <c r="A112" s="38">
        <f>'ef-FT'!K151</f>
        <v>40363.5</v>
      </c>
      <c r="B112" s="240" t="s">
        <v>140</v>
      </c>
      <c r="C112" s="11" t="str">
        <f>'ef-FT'!E151</f>
        <v>Colorado</v>
      </c>
      <c r="D112" s="32">
        <f>'ef-FT'!M151</f>
        <v>1</v>
      </c>
      <c r="E112" s="11" t="str">
        <f>'ef-FT'!G151</f>
        <v>New York Red Bulls</v>
      </c>
      <c r="F112" s="32">
        <f>'ef-FT'!O151</f>
        <v>1</v>
      </c>
      <c r="G112" s="97"/>
      <c r="H112" s="97"/>
      <c r="I112" s="97"/>
      <c r="J112" s="49"/>
      <c r="K112" s="49"/>
      <c r="L112" s="49"/>
      <c r="M112" s="49"/>
      <c r="N112" s="49"/>
    </row>
    <row r="113" spans="1:14">
      <c r="A113" s="38">
        <f>'ef-FT'!K152</f>
        <v>40363.5</v>
      </c>
      <c r="B113" s="240" t="s">
        <v>140</v>
      </c>
      <c r="C113" s="11" t="str">
        <f>'ef-FT'!E152</f>
        <v>Los Angeles</v>
      </c>
      <c r="D113" s="32">
        <f>'ef-FT'!M152</f>
        <v>3</v>
      </c>
      <c r="E113" s="11" t="str">
        <f>'ef-FT'!G152</f>
        <v>Seattle Sounders FC</v>
      </c>
      <c r="F113" s="32">
        <f>'ef-FT'!O152</f>
        <v>1</v>
      </c>
      <c r="G113" s="97"/>
      <c r="H113" s="97"/>
      <c r="I113" s="97"/>
      <c r="J113" s="49"/>
      <c r="K113" s="49"/>
      <c r="L113" s="49"/>
      <c r="M113" s="49"/>
      <c r="N113" s="49"/>
    </row>
    <row r="114" spans="1:14">
      <c r="A114" s="38">
        <f>'ef-FT'!K153</f>
        <v>40367.5</v>
      </c>
      <c r="B114" s="240" t="s">
        <v>140</v>
      </c>
      <c r="C114" s="11" t="str">
        <f>'ef-FT'!E153</f>
        <v>Chicago</v>
      </c>
      <c r="D114" s="32">
        <f>'ef-FT'!M153</f>
        <v>0</v>
      </c>
      <c r="E114" s="11" t="str">
        <f>'ef-FT'!G153</f>
        <v>Real Salt Lake</v>
      </c>
      <c r="F114" s="32">
        <f>'ef-FT'!O153</f>
        <v>1</v>
      </c>
      <c r="G114" s="12" t="str">
        <f ca="1">HYPERLINK('ef-FT'!$C$36,"á")</f>
        <v>á</v>
      </c>
      <c r="H114" s="12"/>
      <c r="I114" s="2"/>
      <c r="J114" s="167" t="s">
        <v>2</v>
      </c>
      <c r="K114" s="167"/>
      <c r="L114" s="167"/>
      <c r="M114" s="167"/>
      <c r="N114" s="167"/>
    </row>
    <row r="115" spans="1:14">
      <c r="A115" s="38">
        <f>'ef-FT'!K154</f>
        <v>40369.5</v>
      </c>
      <c r="B115" s="240" t="s">
        <v>140</v>
      </c>
      <c r="C115" s="11" t="str">
        <f>'ef-FT'!E154</f>
        <v>Toronto FC</v>
      </c>
      <c r="D115" s="32">
        <f>'ef-FT'!M154</f>
        <v>1</v>
      </c>
      <c r="E115" s="11" t="str">
        <f>'ef-FT'!G154</f>
        <v>Colorado</v>
      </c>
      <c r="F115" s="32">
        <f>'ef-FT'!O154</f>
        <v>0</v>
      </c>
      <c r="G115" s="97"/>
      <c r="H115" s="97"/>
      <c r="I115" s="97"/>
      <c r="J115" s="167"/>
      <c r="K115" s="167"/>
      <c r="L115" s="167"/>
      <c r="M115" s="167"/>
      <c r="N115" s="167"/>
    </row>
    <row r="116" spans="1:14">
      <c r="A116" s="38">
        <f>'ef-FT'!K155</f>
        <v>40369.5</v>
      </c>
      <c r="B116" s="240" t="s">
        <v>140</v>
      </c>
      <c r="C116" s="11" t="str">
        <f>'ef-FT'!E155</f>
        <v>Philadelphia Union</v>
      </c>
      <c r="D116" s="32">
        <f>'ef-FT'!M155</f>
        <v>1</v>
      </c>
      <c r="E116" s="11" t="str">
        <f>'ef-FT'!G155</f>
        <v>San Jose</v>
      </c>
      <c r="F116" s="32">
        <f>'ef-FT'!O155</f>
        <v>2</v>
      </c>
      <c r="G116" s="97"/>
      <c r="H116" s="97"/>
      <c r="I116" s="97"/>
      <c r="J116" s="166" t="s">
        <v>5</v>
      </c>
      <c r="K116" s="166"/>
      <c r="L116" s="166"/>
      <c r="M116" s="166"/>
      <c r="N116" s="166"/>
    </row>
    <row r="117" spans="1:14">
      <c r="A117" s="38">
        <f>'ef-FT'!K156</f>
        <v>40369.5</v>
      </c>
      <c r="B117" s="240" t="s">
        <v>140</v>
      </c>
      <c r="C117" s="11" t="str">
        <f>'ef-FT'!E156</f>
        <v>New England</v>
      </c>
      <c r="D117" s="32">
        <f>'ef-FT'!M156</f>
        <v>2</v>
      </c>
      <c r="E117" s="11" t="str">
        <f>'ef-FT'!G156</f>
        <v>Los Angeles</v>
      </c>
      <c r="F117" s="32">
        <f>'ef-FT'!O156</f>
        <v>0</v>
      </c>
      <c r="G117" s="97"/>
      <c r="H117" s="97"/>
      <c r="I117" s="97"/>
    </row>
    <row r="118" spans="1:14">
      <c r="A118" s="38">
        <f>'ef-FT'!K157</f>
        <v>40369.5</v>
      </c>
      <c r="B118" s="240" t="s">
        <v>140</v>
      </c>
      <c r="C118" s="11" t="str">
        <f>'ef-FT'!E157</f>
        <v>New York Red Bulls</v>
      </c>
      <c r="D118" s="32">
        <f>'ef-FT'!M157</f>
        <v>0</v>
      </c>
      <c r="E118" s="11" t="str">
        <f>'ef-FT'!G157</f>
        <v>DC United</v>
      </c>
      <c r="F118" s="32">
        <f>'ef-FT'!O157</f>
        <v>0</v>
      </c>
      <c r="G118" s="97"/>
      <c r="H118" s="97"/>
      <c r="I118" s="97"/>
      <c r="J118" s="49"/>
      <c r="K118" s="49"/>
      <c r="L118" s="49"/>
      <c r="M118" s="49"/>
      <c r="N118" s="49"/>
    </row>
    <row r="119" spans="1:14">
      <c r="A119" s="38">
        <f>'ef-FT'!K158</f>
        <v>40369.5</v>
      </c>
      <c r="B119" s="240" t="s">
        <v>140</v>
      </c>
      <c r="C119" s="11" t="str">
        <f>'ef-FT'!E158</f>
        <v>Houston</v>
      </c>
      <c r="D119" s="32">
        <f>'ef-FT'!M158</f>
        <v>0</v>
      </c>
      <c r="E119" s="11" t="str">
        <f>'ef-FT'!G158</f>
        <v>Columbus</v>
      </c>
      <c r="F119" s="32">
        <f>'ef-FT'!O158</f>
        <v>0</v>
      </c>
      <c r="G119" s="97"/>
      <c r="H119" s="97"/>
      <c r="I119" s="97"/>
      <c r="J119" s="49"/>
      <c r="K119" s="49"/>
      <c r="L119" s="49"/>
      <c r="M119" s="49"/>
      <c r="N119" s="49"/>
    </row>
    <row r="120" spans="1:14">
      <c r="A120" s="38">
        <f>'ef-FT'!K159</f>
        <v>40369.5</v>
      </c>
      <c r="B120" s="240" t="s">
        <v>140</v>
      </c>
      <c r="C120" s="11" t="str">
        <f>'ef-FT'!E159</f>
        <v>Kansas City</v>
      </c>
      <c r="D120" s="32">
        <f>'ef-FT'!M159</f>
        <v>0</v>
      </c>
      <c r="E120" s="11" t="str">
        <f>'ef-FT'!G159</f>
        <v>Chivas USA</v>
      </c>
      <c r="F120" s="32">
        <f>'ef-FT'!O159</f>
        <v>2</v>
      </c>
      <c r="G120" s="97"/>
      <c r="H120" s="97"/>
      <c r="I120" s="97"/>
      <c r="J120" s="49"/>
      <c r="K120" s="49"/>
      <c r="L120" s="49"/>
      <c r="M120" s="49"/>
      <c r="N120" s="49"/>
    </row>
    <row r="121" spans="1:14">
      <c r="A121" s="38">
        <f>'ef-FT'!K160</f>
        <v>40370.5</v>
      </c>
      <c r="B121" s="240" t="s">
        <v>140</v>
      </c>
      <c r="C121" s="11" t="str">
        <f>'ef-FT'!E160</f>
        <v>Seattle Sounders FC</v>
      </c>
      <c r="D121" s="32">
        <f>'ef-FT'!M160</f>
        <v>1</v>
      </c>
      <c r="E121" s="11" t="str">
        <f>'ef-FT'!G160</f>
        <v>Dallas</v>
      </c>
      <c r="F121" s="32">
        <f>'ef-FT'!O160</f>
        <v>1</v>
      </c>
      <c r="G121" s="97"/>
      <c r="H121" s="97"/>
      <c r="I121" s="97"/>
      <c r="J121" s="49"/>
      <c r="K121" s="49"/>
      <c r="L121" s="49"/>
      <c r="M121" s="49"/>
      <c r="N121" s="49"/>
    </row>
    <row r="122" spans="1:14">
      <c r="A122" s="38">
        <f>'ef-FT'!K161</f>
        <v>40373.5</v>
      </c>
      <c r="B122" s="240" t="s">
        <v>140</v>
      </c>
      <c r="C122" s="11" t="str">
        <f>'ef-FT'!E161</f>
        <v>Columbus</v>
      </c>
      <c r="D122" s="32">
        <f>'ef-FT'!M161</f>
        <v>0</v>
      </c>
      <c r="E122" s="11" t="str">
        <f>'ef-FT'!G161</f>
        <v>Kansas City</v>
      </c>
      <c r="F122" s="32">
        <f>'ef-FT'!O161</f>
        <v>1</v>
      </c>
      <c r="G122" s="97"/>
      <c r="H122" s="97"/>
      <c r="I122" s="97"/>
      <c r="J122" s="49"/>
      <c r="K122" s="49"/>
      <c r="L122" s="49"/>
      <c r="M122" s="49"/>
      <c r="N122" s="49"/>
    </row>
    <row r="123" spans="1:14">
      <c r="A123" s="38">
        <f>'ef-FT'!K162</f>
        <v>40374.5</v>
      </c>
      <c r="B123" s="240" t="s">
        <v>140</v>
      </c>
      <c r="C123" s="11" t="str">
        <f>'ef-FT'!E162</f>
        <v>DC United</v>
      </c>
      <c r="D123" s="32">
        <f>'ef-FT'!M162</f>
        <v>0</v>
      </c>
      <c r="E123" s="11" t="str">
        <f>'ef-FT'!G162</f>
        <v>Seattle Sounders FC</v>
      </c>
      <c r="F123" s="32">
        <f>'ef-FT'!O162</f>
        <v>1</v>
      </c>
      <c r="G123" s="97"/>
      <c r="H123" s="97"/>
      <c r="I123" s="97"/>
      <c r="J123" s="49"/>
      <c r="K123" s="49"/>
      <c r="L123" s="49"/>
      <c r="M123" s="49"/>
      <c r="N123" s="49"/>
    </row>
    <row r="124" spans="1:14">
      <c r="A124" s="38">
        <f>'ef-FT'!K163</f>
        <v>40376.5</v>
      </c>
      <c r="B124" s="240" t="s">
        <v>140</v>
      </c>
      <c r="C124" s="11" t="str">
        <f>'ef-FT'!E163</f>
        <v>Philadelphia Union</v>
      </c>
      <c r="D124" s="32">
        <f>'ef-FT'!M163</f>
        <v>2</v>
      </c>
      <c r="E124" s="11" t="str">
        <f>'ef-FT'!G163</f>
        <v>Toronto FC</v>
      </c>
      <c r="F124" s="32">
        <f>'ef-FT'!O163</f>
        <v>1</v>
      </c>
      <c r="G124" s="97"/>
      <c r="H124" s="97"/>
      <c r="I124" s="97"/>
      <c r="J124" s="49"/>
      <c r="K124" s="49"/>
      <c r="L124" s="49"/>
      <c r="M124" s="49"/>
      <c r="N124" s="49"/>
    </row>
    <row r="125" spans="1:14">
      <c r="A125" s="38">
        <f>'ef-FT'!K164</f>
        <v>40376.5</v>
      </c>
      <c r="B125" s="240" t="s">
        <v>140</v>
      </c>
      <c r="C125" s="11" t="str">
        <f>'ef-FT'!E164</f>
        <v>Columbus</v>
      </c>
      <c r="D125" s="32">
        <f>'ef-FT'!M164</f>
        <v>2</v>
      </c>
      <c r="E125" s="11" t="str">
        <f>'ef-FT'!G164</f>
        <v>New York Red Bulls</v>
      </c>
      <c r="F125" s="32">
        <f>'ef-FT'!O164</f>
        <v>0</v>
      </c>
      <c r="G125" s="12" t="str">
        <f ca="1">HYPERLINK('ef-FT'!$C$36,"á")</f>
        <v>á</v>
      </c>
      <c r="H125" s="12"/>
      <c r="I125" s="2"/>
      <c r="J125" s="45"/>
      <c r="K125" s="47"/>
      <c r="L125" s="49"/>
      <c r="M125" s="49"/>
      <c r="N125" s="49"/>
    </row>
    <row r="126" spans="1:14">
      <c r="A126" s="38">
        <f>'ef-FT'!K165</f>
        <v>40376.5</v>
      </c>
      <c r="B126" s="240" t="s">
        <v>140</v>
      </c>
      <c r="C126" s="11" t="str">
        <f>'ef-FT'!E165</f>
        <v>Dallas</v>
      </c>
      <c r="D126" s="32">
        <f>'ef-FT'!M165</f>
        <v>2</v>
      </c>
      <c r="E126" s="11" t="str">
        <f>'ef-FT'!G165</f>
        <v>Real Salt Lake</v>
      </c>
      <c r="F126" s="32">
        <f>'ef-FT'!O165</f>
        <v>0</v>
      </c>
      <c r="G126" s="97"/>
      <c r="H126" s="97"/>
      <c r="I126" s="97"/>
      <c r="J126" s="49"/>
      <c r="K126" s="49"/>
      <c r="L126" s="49"/>
      <c r="M126" s="49"/>
      <c r="N126" s="49"/>
    </row>
    <row r="127" spans="1:14">
      <c r="A127" s="38">
        <f>'ef-FT'!K166</f>
        <v>40376.5</v>
      </c>
      <c r="B127" s="240" t="s">
        <v>140</v>
      </c>
      <c r="C127" s="11" t="str">
        <f>'ef-FT'!E166</f>
        <v>Colorado</v>
      </c>
      <c r="D127" s="32">
        <f>'ef-FT'!M166</f>
        <v>1</v>
      </c>
      <c r="E127" s="11" t="str">
        <f>'ef-FT'!G166</f>
        <v>Kansas City</v>
      </c>
      <c r="F127" s="32">
        <f>'ef-FT'!O166</f>
        <v>1</v>
      </c>
      <c r="G127" s="97"/>
      <c r="H127" s="97"/>
      <c r="I127" s="97"/>
      <c r="J127" s="49"/>
      <c r="K127" s="49"/>
      <c r="L127" s="49"/>
      <c r="M127" s="49"/>
      <c r="N127" s="49"/>
    </row>
    <row r="128" spans="1:14">
      <c r="A128" s="38">
        <f>'ef-FT'!K167</f>
        <v>40377.5</v>
      </c>
      <c r="B128" s="240" t="s">
        <v>140</v>
      </c>
      <c r="C128" s="11" t="str">
        <f>'ef-FT'!E167</f>
        <v>DC United</v>
      </c>
      <c r="D128" s="32">
        <f>'ef-FT'!M167</f>
        <v>1</v>
      </c>
      <c r="E128" s="11" t="str">
        <f>'ef-FT'!G167</f>
        <v>Los Angeles</v>
      </c>
      <c r="F128" s="32">
        <f>'ef-FT'!O167</f>
        <v>2</v>
      </c>
      <c r="G128" s="97"/>
      <c r="H128" s="97"/>
      <c r="I128" s="97"/>
      <c r="J128" s="49"/>
      <c r="K128" s="49"/>
      <c r="L128" s="49"/>
      <c r="M128" s="49"/>
      <c r="N128" s="49"/>
    </row>
    <row r="129" spans="1:14">
      <c r="A129" s="38">
        <f>'ef-FT'!K168</f>
        <v>40381.5</v>
      </c>
      <c r="B129" s="240" t="s">
        <v>140</v>
      </c>
      <c r="C129" s="11" t="str">
        <f>'ef-FT'!E168</f>
        <v>Los Angeles</v>
      </c>
      <c r="D129" s="32">
        <f>'ef-FT'!M168</f>
        <v>2</v>
      </c>
      <c r="E129" s="11" t="str">
        <f>'ef-FT'!G168</f>
        <v>San Jose</v>
      </c>
      <c r="F129" s="32">
        <f>'ef-FT'!O168</f>
        <v>2</v>
      </c>
      <c r="G129" s="97"/>
      <c r="H129" s="97"/>
      <c r="I129" s="97"/>
      <c r="J129" s="49"/>
      <c r="K129" s="49"/>
      <c r="L129" s="49"/>
      <c r="M129" s="49"/>
      <c r="N129" s="49"/>
    </row>
    <row r="130" spans="1:14">
      <c r="A130" s="38">
        <f>'ef-FT'!K169</f>
        <v>40383.5</v>
      </c>
      <c r="B130" s="240" t="s">
        <v>140</v>
      </c>
      <c r="C130" s="11" t="str">
        <f>'ef-FT'!E169</f>
        <v>Toronto FC</v>
      </c>
      <c r="D130" s="32">
        <f>'ef-FT'!M169</f>
        <v>1</v>
      </c>
      <c r="E130" s="11" t="str">
        <f>'ef-FT'!G169</f>
        <v>Dallas</v>
      </c>
      <c r="F130" s="32">
        <f>'ef-FT'!O169</f>
        <v>1</v>
      </c>
      <c r="G130" s="97"/>
      <c r="H130" s="97"/>
      <c r="I130" s="97"/>
      <c r="J130" s="49"/>
      <c r="K130" s="49"/>
      <c r="L130" s="49"/>
      <c r="M130" s="49"/>
      <c r="N130" s="49"/>
    </row>
    <row r="131" spans="1:14">
      <c r="A131" s="38">
        <f>'ef-FT'!K170</f>
        <v>40383.5</v>
      </c>
      <c r="B131" s="240" t="s">
        <v>140</v>
      </c>
      <c r="C131" s="11" t="str">
        <f>'ef-FT'!E170</f>
        <v>Columbus</v>
      </c>
      <c r="D131" s="32">
        <f>'ef-FT'!M170</f>
        <v>3</v>
      </c>
      <c r="E131" s="11" t="str">
        <f>'ef-FT'!G170</f>
        <v>Houston</v>
      </c>
      <c r="F131" s="32">
        <f>'ef-FT'!O170</f>
        <v>0</v>
      </c>
      <c r="G131" s="98"/>
      <c r="H131" s="98"/>
      <c r="I131" s="97"/>
      <c r="J131" s="45"/>
      <c r="K131" s="47"/>
      <c r="L131" s="49"/>
      <c r="M131" s="49"/>
      <c r="N131" s="49"/>
    </row>
    <row r="132" spans="1:14">
      <c r="A132" s="38">
        <f>'ef-FT'!K171</f>
        <v>40383.5</v>
      </c>
      <c r="B132" s="240" t="s">
        <v>140</v>
      </c>
      <c r="C132" s="11" t="str">
        <f>'ef-FT'!E171</f>
        <v>Real Salt Lake</v>
      </c>
      <c r="D132" s="32">
        <f>'ef-FT'!M171</f>
        <v>1</v>
      </c>
      <c r="E132" s="11" t="str">
        <f>'ef-FT'!G171</f>
        <v>Chivas USA</v>
      </c>
      <c r="F132" s="32">
        <f>'ef-FT'!O171</f>
        <v>1</v>
      </c>
      <c r="G132" s="97"/>
      <c r="H132" s="97"/>
      <c r="I132" s="97"/>
      <c r="J132" s="49"/>
      <c r="K132" s="49"/>
      <c r="L132" s="49"/>
      <c r="M132" s="49"/>
      <c r="N132" s="49"/>
    </row>
    <row r="133" spans="1:14">
      <c r="A133" s="38">
        <f>'ef-FT'!K172</f>
        <v>40384.5</v>
      </c>
      <c r="B133" s="240" t="s">
        <v>140</v>
      </c>
      <c r="C133" s="11" t="str">
        <f>'ef-FT'!E172</f>
        <v>Seattle Sounders FC</v>
      </c>
      <c r="D133" s="32">
        <f>'ef-FT'!M172</f>
        <v>2</v>
      </c>
      <c r="E133" s="11" t="str">
        <f>'ef-FT'!G172</f>
        <v>Colorado</v>
      </c>
      <c r="F133" s="32">
        <f>'ef-FT'!O172</f>
        <v>1</v>
      </c>
      <c r="G133" s="97"/>
      <c r="H133" s="97"/>
      <c r="I133" s="97"/>
      <c r="J133" s="49"/>
      <c r="K133" s="49"/>
      <c r="L133" s="49"/>
      <c r="M133" s="49"/>
      <c r="N133" s="49"/>
    </row>
    <row r="134" spans="1:14">
      <c r="A134" s="38">
        <f>'ef-FT'!K173</f>
        <v>40390.5</v>
      </c>
      <c r="B134" s="240" t="s">
        <v>140</v>
      </c>
      <c r="C134" s="11" t="str">
        <f>'ef-FT'!E173</f>
        <v>Philadelphia Union</v>
      </c>
      <c r="D134" s="32">
        <f>'ef-FT'!M173</f>
        <v>1</v>
      </c>
      <c r="E134" s="11" t="str">
        <f>'ef-FT'!G173</f>
        <v>New England</v>
      </c>
      <c r="F134" s="32">
        <f>'ef-FT'!O173</f>
        <v>1</v>
      </c>
      <c r="G134" s="97"/>
      <c r="H134" s="97"/>
      <c r="I134" s="97"/>
      <c r="J134" s="49"/>
      <c r="K134" s="49"/>
      <c r="L134" s="49"/>
      <c r="M134" s="49"/>
      <c r="N134" s="49"/>
    </row>
    <row r="135" spans="1:14">
      <c r="A135" s="38">
        <f>'ef-FT'!K174</f>
        <v>40390.5</v>
      </c>
      <c r="B135" s="240" t="s">
        <v>140</v>
      </c>
      <c r="C135" s="11" t="str">
        <f>'ef-FT'!E174</f>
        <v>Colorado</v>
      </c>
      <c r="D135" s="32">
        <f>'ef-FT'!M174</f>
        <v>1</v>
      </c>
      <c r="E135" s="11" t="str">
        <f>'ef-FT'!G174</f>
        <v>Dallas</v>
      </c>
      <c r="F135" s="32">
        <f>'ef-FT'!O174</f>
        <v>1</v>
      </c>
      <c r="G135" s="97"/>
      <c r="H135" s="97"/>
      <c r="I135" s="97"/>
      <c r="J135" s="49"/>
      <c r="K135" s="49"/>
      <c r="L135" s="49"/>
      <c r="M135" s="49"/>
      <c r="N135" s="49"/>
    </row>
    <row r="136" spans="1:14">
      <c r="A136" s="38">
        <f>'ef-FT'!K175</f>
        <v>40390.5</v>
      </c>
      <c r="B136" s="240" t="s">
        <v>140</v>
      </c>
      <c r="C136" s="11" t="str">
        <f>'ef-FT'!E175</f>
        <v>Houston</v>
      </c>
      <c r="D136" s="32">
        <f>'ef-FT'!M175</f>
        <v>2</v>
      </c>
      <c r="E136" s="11" t="str">
        <f>'ef-FT'!G175</f>
        <v>New York Red Bulls</v>
      </c>
      <c r="F136" s="32">
        <f>'ef-FT'!O175</f>
        <v>2</v>
      </c>
      <c r="G136" s="12" t="str">
        <f ca="1">HYPERLINK('ef-FT'!$C$36,"á")</f>
        <v>á</v>
      </c>
      <c r="H136" s="12"/>
      <c r="I136" s="2"/>
      <c r="J136" s="49"/>
      <c r="K136" s="49"/>
      <c r="L136" s="49"/>
      <c r="M136" s="49"/>
      <c r="N136" s="49"/>
    </row>
    <row r="137" spans="1:14">
      <c r="A137" s="38">
        <f>'ef-FT'!K176</f>
        <v>40390.5</v>
      </c>
      <c r="B137" s="240" t="s">
        <v>140</v>
      </c>
      <c r="C137" s="11" t="str">
        <f>'ef-FT'!E176</f>
        <v>Kansas City</v>
      </c>
      <c r="D137" s="32">
        <f>'ef-FT'!M176</f>
        <v>1</v>
      </c>
      <c r="E137" s="11" t="str">
        <f>'ef-FT'!G176</f>
        <v>Toronto FC</v>
      </c>
      <c r="F137" s="32">
        <f>'ef-FT'!O176</f>
        <v>0</v>
      </c>
      <c r="G137" s="98"/>
      <c r="H137" s="98"/>
      <c r="I137" s="97"/>
      <c r="J137" s="45"/>
      <c r="K137" s="47"/>
      <c r="L137" s="49"/>
      <c r="M137" s="49"/>
      <c r="N137" s="49"/>
    </row>
    <row r="138" spans="1:14">
      <c r="A138" s="38">
        <f>'ef-FT'!K177</f>
        <v>40390.5</v>
      </c>
      <c r="B138" s="240" t="s">
        <v>140</v>
      </c>
      <c r="C138" s="11" t="str">
        <f>'ef-FT'!E177</f>
        <v>Real Salt Lake</v>
      </c>
      <c r="D138" s="32">
        <f>'ef-FT'!M177</f>
        <v>3</v>
      </c>
      <c r="E138" s="11" t="str">
        <f>'ef-FT'!G177</f>
        <v>DC United</v>
      </c>
      <c r="F138" s="32">
        <f>'ef-FT'!O177</f>
        <v>0</v>
      </c>
      <c r="G138" s="97"/>
      <c r="H138" s="97"/>
      <c r="I138" s="97"/>
      <c r="J138" s="49"/>
      <c r="K138" s="49"/>
      <c r="L138" s="49"/>
      <c r="M138" s="49"/>
      <c r="N138" s="49"/>
    </row>
    <row r="139" spans="1:14">
      <c r="A139" s="38">
        <f>'ef-FT'!K178</f>
        <v>40390.5</v>
      </c>
      <c r="B139" s="240" t="s">
        <v>140</v>
      </c>
      <c r="C139" s="11" t="str">
        <f>'ef-FT'!E178</f>
        <v>San Jose</v>
      </c>
      <c r="D139" s="32">
        <f>'ef-FT'!M178</f>
        <v>0</v>
      </c>
      <c r="E139" s="11" t="str">
        <f>'ef-FT'!G178</f>
        <v>Seattle Sounders FC</v>
      </c>
      <c r="F139" s="32">
        <f>'ef-FT'!O178</f>
        <v>1</v>
      </c>
      <c r="G139" s="97"/>
      <c r="H139" s="97"/>
      <c r="I139" s="97"/>
      <c r="J139" s="49"/>
      <c r="K139" s="49"/>
      <c r="L139" s="49"/>
      <c r="M139" s="49"/>
      <c r="N139" s="49"/>
    </row>
    <row r="140" spans="1:14">
      <c r="A140" s="38">
        <f>'ef-FT'!K179</f>
        <v>40390.5</v>
      </c>
      <c r="B140" s="240" t="s">
        <v>140</v>
      </c>
      <c r="C140" s="11" t="str">
        <f>'ef-FT'!E179</f>
        <v>Chivas USA</v>
      </c>
      <c r="D140" s="32">
        <f>'ef-FT'!M179</f>
        <v>3</v>
      </c>
      <c r="E140" s="11" t="str">
        <f>'ef-FT'!G179</f>
        <v>Columbus</v>
      </c>
      <c r="F140" s="32">
        <f>'ef-FT'!O179</f>
        <v>1</v>
      </c>
      <c r="G140" s="97"/>
      <c r="H140" s="97"/>
      <c r="I140" s="97"/>
      <c r="J140" s="49"/>
      <c r="K140" s="49"/>
      <c r="L140" s="49"/>
      <c r="M140" s="49"/>
      <c r="N140" s="49"/>
    </row>
    <row r="141" spans="1:14">
      <c r="A141" s="38">
        <f>'ef-FT'!K180</f>
        <v>40391.5</v>
      </c>
      <c r="B141" s="240" t="s">
        <v>140</v>
      </c>
      <c r="C141" s="11" t="str">
        <f>'ef-FT'!E180</f>
        <v>Los Angeles</v>
      </c>
      <c r="D141" s="32">
        <f>'ef-FT'!M180</f>
        <v>2</v>
      </c>
      <c r="E141" s="11" t="str">
        <f>'ef-FT'!G180</f>
        <v>Chicago</v>
      </c>
      <c r="F141" s="32">
        <f>'ef-FT'!O180</f>
        <v>3</v>
      </c>
      <c r="G141" s="97"/>
      <c r="H141" s="97"/>
      <c r="I141" s="97"/>
      <c r="J141" s="49"/>
      <c r="K141" s="49"/>
      <c r="L141" s="49"/>
      <c r="M141" s="49"/>
      <c r="N141" s="49"/>
    </row>
    <row r="142" spans="1:14">
      <c r="A142" s="38">
        <f>'ef-FT'!K181</f>
        <v>40395.5</v>
      </c>
      <c r="B142" s="240" t="s">
        <v>140</v>
      </c>
      <c r="C142" s="11" t="str">
        <f>'ef-FT'!E181</f>
        <v>Philadelphia Union</v>
      </c>
      <c r="D142" s="32">
        <f>'ef-FT'!M181</f>
        <v>1</v>
      </c>
      <c r="E142" s="11" t="str">
        <f>'ef-FT'!G181</f>
        <v>Columbus</v>
      </c>
      <c r="F142" s="32">
        <f>'ef-FT'!O181</f>
        <v>2</v>
      </c>
      <c r="G142" s="97"/>
      <c r="H142" s="97"/>
      <c r="I142" s="97"/>
      <c r="J142" s="49"/>
      <c r="K142" s="49"/>
      <c r="L142" s="49"/>
      <c r="M142" s="49"/>
      <c r="N142" s="49"/>
    </row>
    <row r="143" spans="1:14">
      <c r="A143" s="38">
        <f>'ef-FT'!K182</f>
        <v>40397.5</v>
      </c>
      <c r="B143" s="240" t="s">
        <v>140</v>
      </c>
      <c r="C143" s="11" t="str">
        <f>'ef-FT'!E182</f>
        <v>Toronto FC</v>
      </c>
      <c r="D143" s="32">
        <f>'ef-FT'!M182</f>
        <v>2</v>
      </c>
      <c r="E143" s="11" t="str">
        <f>'ef-FT'!G182</f>
        <v>Chivas USA</v>
      </c>
      <c r="F143" s="32">
        <f>'ef-FT'!O182</f>
        <v>1</v>
      </c>
      <c r="G143" s="97"/>
      <c r="H143" s="97"/>
      <c r="I143" s="97"/>
      <c r="J143" s="49"/>
      <c r="K143" s="49"/>
      <c r="L143" s="49"/>
      <c r="M143" s="49"/>
      <c r="N143" s="49"/>
    </row>
    <row r="144" spans="1:14">
      <c r="A144" s="38">
        <f>'ef-FT'!K183</f>
        <v>40397.5</v>
      </c>
      <c r="B144" s="240" t="s">
        <v>140</v>
      </c>
      <c r="C144" s="11" t="str">
        <f>'ef-FT'!E183</f>
        <v>New England</v>
      </c>
      <c r="D144" s="32">
        <f>'ef-FT'!M183</f>
        <v>1</v>
      </c>
      <c r="E144" s="11" t="str">
        <f>'ef-FT'!G183</f>
        <v>DC United</v>
      </c>
      <c r="F144" s="32">
        <f>'ef-FT'!O183</f>
        <v>0</v>
      </c>
      <c r="G144" s="97"/>
      <c r="H144" s="97"/>
      <c r="I144" s="97"/>
      <c r="J144" s="49"/>
      <c r="K144" s="49"/>
      <c r="L144" s="49"/>
      <c r="M144" s="49"/>
      <c r="N144" s="49"/>
    </row>
    <row r="145" spans="1:14">
      <c r="A145" s="38">
        <f>'ef-FT'!K184</f>
        <v>40397.5</v>
      </c>
      <c r="B145" s="240" t="s">
        <v>140</v>
      </c>
      <c r="C145" s="11" t="str">
        <f>'ef-FT'!E184</f>
        <v>Kansas City</v>
      </c>
      <c r="D145" s="32">
        <f>'ef-FT'!M184</f>
        <v>1</v>
      </c>
      <c r="E145" s="11" t="str">
        <f>'ef-FT'!G184</f>
        <v>Real Salt Lake</v>
      </c>
      <c r="F145" s="32">
        <f>'ef-FT'!O184</f>
        <v>1</v>
      </c>
      <c r="G145" s="97"/>
      <c r="H145" s="97"/>
      <c r="I145" s="97"/>
      <c r="J145" s="49"/>
      <c r="K145" s="49"/>
      <c r="L145" s="49"/>
      <c r="M145" s="49"/>
      <c r="N145" s="49"/>
    </row>
    <row r="146" spans="1:14">
      <c r="A146" s="38">
        <f>'ef-FT'!K185</f>
        <v>40397.5</v>
      </c>
      <c r="B146" s="240" t="s">
        <v>140</v>
      </c>
      <c r="C146" s="11" t="str">
        <f>'ef-FT'!E185</f>
        <v>Colorado</v>
      </c>
      <c r="D146" s="32">
        <f>'ef-FT'!M185</f>
        <v>1</v>
      </c>
      <c r="E146" s="11" t="str">
        <f>'ef-FT'!G185</f>
        <v>San Jose</v>
      </c>
      <c r="F146" s="32">
        <f>'ef-FT'!O185</f>
        <v>0</v>
      </c>
      <c r="G146" s="97"/>
      <c r="H146" s="97"/>
      <c r="I146" s="97"/>
      <c r="J146" s="49"/>
      <c r="K146" s="49"/>
      <c r="L146" s="49"/>
      <c r="M146" s="49"/>
      <c r="N146" s="49"/>
    </row>
    <row r="147" spans="1:14">
      <c r="A147" s="38">
        <f>'ef-FT'!K186</f>
        <v>40398.5</v>
      </c>
      <c r="B147" s="240" t="s">
        <v>140</v>
      </c>
      <c r="C147" s="11" t="str">
        <f>'ef-FT'!E186</f>
        <v>Dallas</v>
      </c>
      <c r="D147" s="32">
        <f>'ef-FT'!M186</f>
        <v>3</v>
      </c>
      <c r="E147" s="11" t="str">
        <f>'ef-FT'!G186</f>
        <v>Philadelphia Union</v>
      </c>
      <c r="F147" s="32">
        <f>'ef-FT'!O186</f>
        <v>1</v>
      </c>
      <c r="G147" s="12" t="str">
        <f ca="1">HYPERLINK('ef-FT'!$C$36,"á")</f>
        <v>á</v>
      </c>
      <c r="H147" s="12"/>
      <c r="I147" s="2"/>
      <c r="J147" s="49"/>
      <c r="K147" s="49"/>
      <c r="L147" s="49"/>
      <c r="M147" s="49"/>
      <c r="N147" s="49"/>
    </row>
    <row r="148" spans="1:14">
      <c r="A148" s="38">
        <f>'ef-FT'!K187</f>
        <v>40398.5</v>
      </c>
      <c r="B148" s="240" t="s">
        <v>140</v>
      </c>
      <c r="C148" s="11" t="str">
        <f>'ef-FT'!E187</f>
        <v>Chicago</v>
      </c>
      <c r="D148" s="32">
        <f>'ef-FT'!M187</f>
        <v>0</v>
      </c>
      <c r="E148" s="11" t="str">
        <f>'ef-FT'!G187</f>
        <v>New York Red Bulls</v>
      </c>
      <c r="F148" s="32">
        <f>'ef-FT'!O187</f>
        <v>0</v>
      </c>
      <c r="G148" s="98"/>
      <c r="H148" s="98"/>
      <c r="I148" s="97"/>
    </row>
    <row r="149" spans="1:14">
      <c r="A149" s="38">
        <f>'ef-FT'!K188</f>
        <v>40398.5</v>
      </c>
      <c r="B149" s="240" t="s">
        <v>140</v>
      </c>
      <c r="C149" s="11" t="str">
        <f>'ef-FT'!E188</f>
        <v>Seattle Sounders FC</v>
      </c>
      <c r="D149" s="32">
        <f>'ef-FT'!M188</f>
        <v>2</v>
      </c>
      <c r="E149" s="11" t="str">
        <f>'ef-FT'!G188</f>
        <v>Houston</v>
      </c>
      <c r="F149" s="32">
        <f>'ef-FT'!O188</f>
        <v>0</v>
      </c>
      <c r="G149" s="97"/>
      <c r="H149" s="97"/>
      <c r="I149" s="97"/>
    </row>
    <row r="150" spans="1:14">
      <c r="A150" s="38">
        <f>'ef-FT'!K189</f>
        <v>40401.5</v>
      </c>
      <c r="B150" s="240" t="s">
        <v>140</v>
      </c>
      <c r="C150" s="11" t="str">
        <f>'ef-FT'!E189</f>
        <v>New York Red Bulls</v>
      </c>
      <c r="D150" s="32">
        <f>'ef-FT'!M189</f>
        <v>1</v>
      </c>
      <c r="E150" s="11" t="str">
        <f>'ef-FT'!G189</f>
        <v>Toronto FC</v>
      </c>
      <c r="F150" s="32">
        <f>'ef-FT'!O189</f>
        <v>0</v>
      </c>
      <c r="G150" s="97"/>
      <c r="H150" s="97"/>
      <c r="I150" s="97"/>
    </row>
    <row r="151" spans="1:14">
      <c r="A151" s="38">
        <f>'ef-FT'!K190</f>
        <v>40401.5</v>
      </c>
      <c r="B151" s="240" t="s">
        <v>140</v>
      </c>
      <c r="C151" s="11" t="str">
        <f>'ef-FT'!E190</f>
        <v>Philadelphia Union</v>
      </c>
      <c r="D151" s="32">
        <f>'ef-FT'!M190</f>
        <v>1</v>
      </c>
      <c r="E151" s="11" t="str">
        <f>'ef-FT'!G190</f>
        <v>Real Salt Lake</v>
      </c>
      <c r="F151" s="32">
        <f>'ef-FT'!O190</f>
        <v>1</v>
      </c>
      <c r="G151" s="97"/>
      <c r="H151" s="97"/>
      <c r="I151" s="97"/>
      <c r="J151" s="49"/>
      <c r="K151" s="49"/>
      <c r="L151" s="49"/>
      <c r="M151" s="49"/>
      <c r="N151" s="49"/>
    </row>
    <row r="152" spans="1:14">
      <c r="A152" s="38">
        <f>'ef-FT'!K191</f>
        <v>40404.5</v>
      </c>
      <c r="B152" s="240" t="s">
        <v>140</v>
      </c>
      <c r="C152" s="11" t="str">
        <f>'ef-FT'!E191</f>
        <v>Philadelphia Union</v>
      </c>
      <c r="D152" s="32">
        <f>'ef-FT'!M191</f>
        <v>1</v>
      </c>
      <c r="E152" s="11" t="str">
        <f>'ef-FT'!G191</f>
        <v>Colorado</v>
      </c>
      <c r="F152" s="32">
        <f>'ef-FT'!O191</f>
        <v>1</v>
      </c>
      <c r="G152" s="97"/>
      <c r="H152" s="97"/>
      <c r="I152" s="97"/>
      <c r="J152" s="49"/>
      <c r="K152" s="49"/>
      <c r="L152" s="49"/>
      <c r="M152" s="49"/>
      <c r="N152" s="49"/>
    </row>
    <row r="153" spans="1:14">
      <c r="A153" s="38">
        <f>'ef-FT'!K192</f>
        <v>40404.5</v>
      </c>
      <c r="B153" s="240" t="s">
        <v>140</v>
      </c>
      <c r="C153" s="11" t="str">
        <f>'ef-FT'!E192</f>
        <v>New York Red Bulls</v>
      </c>
      <c r="D153" s="32">
        <f>'ef-FT'!M192</f>
        <v>0</v>
      </c>
      <c r="E153" s="11" t="str">
        <f>'ef-FT'!G192</f>
        <v>Los Angeles</v>
      </c>
      <c r="F153" s="32">
        <f>'ef-FT'!O192</f>
        <v>1</v>
      </c>
      <c r="G153" s="97"/>
      <c r="H153" s="97"/>
      <c r="I153" s="97"/>
      <c r="J153" s="49"/>
      <c r="K153" s="49"/>
      <c r="L153" s="49"/>
      <c r="M153" s="49"/>
      <c r="N153" s="49"/>
    </row>
    <row r="154" spans="1:14">
      <c r="A154" s="38">
        <f>'ef-FT'!K193</f>
        <v>40404.5</v>
      </c>
      <c r="B154" s="240" t="s">
        <v>140</v>
      </c>
      <c r="C154" s="11" t="str">
        <f>'ef-FT'!E193</f>
        <v>DC United</v>
      </c>
      <c r="D154" s="32">
        <f>'ef-FT'!M193</f>
        <v>1</v>
      </c>
      <c r="E154" s="11" t="str">
        <f>'ef-FT'!G193</f>
        <v>Dallas</v>
      </c>
      <c r="F154" s="32">
        <f>'ef-FT'!O193</f>
        <v>3</v>
      </c>
      <c r="G154" s="97"/>
      <c r="H154" s="97"/>
      <c r="I154" s="97"/>
      <c r="J154" s="49"/>
      <c r="K154" s="49"/>
      <c r="L154" s="49"/>
      <c r="M154" s="49"/>
      <c r="N154" s="49"/>
    </row>
    <row r="155" spans="1:14">
      <c r="A155" s="38">
        <f>'ef-FT'!K194</f>
        <v>40404.5</v>
      </c>
      <c r="B155" s="240" t="s">
        <v>140</v>
      </c>
      <c r="C155" s="11" t="str">
        <f>'ef-FT'!E194</f>
        <v>New England</v>
      </c>
      <c r="D155" s="32">
        <f>'ef-FT'!M194</f>
        <v>1</v>
      </c>
      <c r="E155" s="11" t="str">
        <f>'ef-FT'!G194</f>
        <v>Houston</v>
      </c>
      <c r="F155" s="32">
        <f>'ef-FT'!O194</f>
        <v>0</v>
      </c>
      <c r="G155" s="97"/>
      <c r="H155" s="97"/>
      <c r="I155" s="97"/>
      <c r="J155" s="49"/>
      <c r="K155" s="49"/>
      <c r="L155" s="49"/>
      <c r="M155" s="49"/>
      <c r="N155" s="49"/>
    </row>
    <row r="156" spans="1:14">
      <c r="A156" s="38">
        <f>'ef-FT'!K195</f>
        <v>40404.5</v>
      </c>
      <c r="B156" s="240" t="s">
        <v>140</v>
      </c>
      <c r="C156" s="11" t="str">
        <f>'ef-FT'!E195</f>
        <v>Real Salt Lake</v>
      </c>
      <c r="D156" s="32">
        <f>'ef-FT'!M195</f>
        <v>2</v>
      </c>
      <c r="E156" s="11" t="str">
        <f>'ef-FT'!G195</f>
        <v>Columbus</v>
      </c>
      <c r="F156" s="32">
        <f>'ef-FT'!O195</f>
        <v>0</v>
      </c>
      <c r="G156" s="97"/>
      <c r="H156" s="97"/>
      <c r="I156" s="97"/>
      <c r="J156" s="49"/>
      <c r="K156" s="49"/>
      <c r="L156" s="49"/>
      <c r="M156" s="49"/>
      <c r="N156" s="49"/>
    </row>
    <row r="157" spans="1:14">
      <c r="A157" s="38">
        <f>'ef-FT'!K196</f>
        <v>40404.5</v>
      </c>
      <c r="B157" s="240" t="s">
        <v>140</v>
      </c>
      <c r="C157" s="11" t="str">
        <f>'ef-FT'!E196</f>
        <v>San Jose</v>
      </c>
      <c r="D157" s="32">
        <f>'ef-FT'!M196</f>
        <v>1</v>
      </c>
      <c r="E157" s="11" t="str">
        <f>'ef-FT'!G196</f>
        <v>Kansas City</v>
      </c>
      <c r="F157" s="32">
        <f>'ef-FT'!O196</f>
        <v>0</v>
      </c>
      <c r="G157" s="97"/>
      <c r="H157" s="97"/>
      <c r="I157" s="97"/>
      <c r="J157" s="49"/>
      <c r="K157" s="49"/>
      <c r="L157" s="49"/>
      <c r="M157" s="49"/>
      <c r="N157" s="49"/>
    </row>
    <row r="158" spans="1:14">
      <c r="A158" s="38">
        <f>'ef-FT'!K197</f>
        <v>40404.5</v>
      </c>
      <c r="B158" s="240" t="s">
        <v>140</v>
      </c>
      <c r="C158" s="11" t="str">
        <f>'ef-FT'!E197</f>
        <v>Chivas USA</v>
      </c>
      <c r="D158" s="32">
        <f>'ef-FT'!M197</f>
        <v>0</v>
      </c>
      <c r="E158" s="11" t="str">
        <f>'ef-FT'!G197</f>
        <v>Seattle Sounders FC</v>
      </c>
      <c r="F158" s="32">
        <f>'ef-FT'!O197</f>
        <v>0</v>
      </c>
      <c r="G158" s="12" t="str">
        <f ca="1">HYPERLINK('ef-FT'!$C$36,"á")</f>
        <v>á</v>
      </c>
      <c r="H158" s="12"/>
      <c r="I158" s="2"/>
      <c r="J158" s="49"/>
      <c r="K158" s="49"/>
      <c r="L158" s="49"/>
      <c r="M158" s="49"/>
      <c r="N158" s="49"/>
    </row>
    <row r="159" spans="1:14">
      <c r="A159" s="38">
        <f>'ef-FT'!K198</f>
        <v>40408.854166666664</v>
      </c>
      <c r="B159" s="39">
        <f>'ef-FT'!K198</f>
        <v>40408.854166666664</v>
      </c>
      <c r="C159" s="11" t="str">
        <f>'ef-FT'!E198</f>
        <v>Chicago</v>
      </c>
      <c r="D159" s="32" t="str">
        <f>'ef-FT'!M198</f>
        <v/>
      </c>
      <c r="E159" s="11" t="str">
        <f>'ef-FT'!G198</f>
        <v>New England</v>
      </c>
      <c r="F159" s="32" t="str">
        <f>'ef-FT'!O198</f>
        <v/>
      </c>
      <c r="G159" s="98"/>
      <c r="H159" s="98"/>
      <c r="I159" s="97"/>
      <c r="J159" s="45"/>
      <c r="K159" s="47"/>
      <c r="L159" s="49"/>
      <c r="M159" s="49"/>
      <c r="N159" s="49"/>
    </row>
    <row r="160" spans="1:14">
      <c r="A160" s="38">
        <f>'ef-FT'!K199</f>
        <v>40411.541666666664</v>
      </c>
      <c r="B160" s="39">
        <f>'ef-FT'!K199</f>
        <v>40411.541666666664</v>
      </c>
      <c r="C160" s="11" t="str">
        <f>'ef-FT'!E199</f>
        <v>Toronto FC</v>
      </c>
      <c r="D160" s="32" t="str">
        <f>'ef-FT'!M199</f>
        <v/>
      </c>
      <c r="E160" s="11" t="str">
        <f>'ef-FT'!G199</f>
        <v>New York Red Bulls</v>
      </c>
      <c r="F160" s="32" t="str">
        <f>'ef-FT'!O199</f>
        <v/>
      </c>
      <c r="G160" s="97"/>
      <c r="H160" s="97"/>
      <c r="I160" s="97"/>
      <c r="J160" s="49"/>
      <c r="K160" s="49"/>
      <c r="L160" s="49"/>
      <c r="M160" s="49"/>
      <c r="N160" s="49"/>
    </row>
    <row r="161" spans="1:14">
      <c r="A161" s="38">
        <f>'ef-FT'!K200</f>
        <v>40411.666666666664</v>
      </c>
      <c r="B161" s="39">
        <f>'ef-FT'!K200</f>
        <v>40411.666666666664</v>
      </c>
      <c r="C161" s="11" t="str">
        <f>'ef-FT'!E200</f>
        <v>San Jose</v>
      </c>
      <c r="D161" s="32" t="str">
        <f>'ef-FT'!M200</f>
        <v/>
      </c>
      <c r="E161" s="11" t="str">
        <f>'ef-FT'!G200</f>
        <v>Los Angeles</v>
      </c>
      <c r="F161" s="32" t="str">
        <f>'ef-FT'!O200</f>
        <v/>
      </c>
      <c r="G161" s="97"/>
      <c r="H161" s="97"/>
      <c r="I161" s="97"/>
      <c r="J161" s="49"/>
      <c r="K161" s="49"/>
      <c r="L161" s="49"/>
      <c r="M161" s="49"/>
      <c r="N161" s="49"/>
    </row>
    <row r="162" spans="1:14">
      <c r="A162" s="38">
        <f>'ef-FT'!K201</f>
        <v>40411.8125</v>
      </c>
      <c r="B162" s="39">
        <f>'ef-FT'!K201</f>
        <v>40411.8125</v>
      </c>
      <c r="C162" s="11" t="str">
        <f>'ef-FT'!E201</f>
        <v>Columbus</v>
      </c>
      <c r="D162" s="32" t="str">
        <f>'ef-FT'!M201</f>
        <v/>
      </c>
      <c r="E162" s="11" t="str">
        <f>'ef-FT'!G201</f>
        <v>Colorado</v>
      </c>
      <c r="F162" s="32" t="str">
        <f>'ef-FT'!O201</f>
        <v/>
      </c>
      <c r="G162" s="97"/>
      <c r="H162" s="97"/>
      <c r="I162" s="97"/>
      <c r="J162" s="49"/>
      <c r="K162" s="49"/>
      <c r="L162" s="49"/>
      <c r="M162" s="49"/>
      <c r="N162" s="49"/>
    </row>
    <row r="163" spans="1:14">
      <c r="A163" s="38">
        <f>'ef-FT'!K202</f>
        <v>40411.854166666664</v>
      </c>
      <c r="B163" s="39">
        <f>'ef-FT'!K202</f>
        <v>40411.854166666664</v>
      </c>
      <c r="C163" s="11" t="str">
        <f>'ef-FT'!E202</f>
        <v>Dallas</v>
      </c>
      <c r="D163" s="32" t="str">
        <f>'ef-FT'!M202</f>
        <v/>
      </c>
      <c r="E163" s="11" t="str">
        <f>'ef-FT'!G202</f>
        <v>Chivas USA</v>
      </c>
      <c r="F163" s="32" t="str">
        <f>'ef-FT'!O202</f>
        <v/>
      </c>
      <c r="G163" s="97"/>
      <c r="H163" s="97"/>
      <c r="I163" s="97"/>
      <c r="J163" s="49"/>
      <c r="K163" s="49"/>
      <c r="L163" s="49"/>
      <c r="M163" s="49"/>
      <c r="N163" s="49"/>
    </row>
    <row r="164" spans="1:14">
      <c r="A164" s="38">
        <f>'ef-FT'!K203</f>
        <v>40411.854166666664</v>
      </c>
      <c r="B164" s="39">
        <f>'ef-FT'!K203</f>
        <v>40411.854166666664</v>
      </c>
      <c r="C164" s="11" t="str">
        <f>'ef-FT'!E203</f>
        <v>Houston</v>
      </c>
      <c r="D164" s="32" t="str">
        <f>'ef-FT'!M203</f>
        <v/>
      </c>
      <c r="E164" s="11" t="str">
        <f>'ef-FT'!G203</f>
        <v>Chicago</v>
      </c>
      <c r="F164" s="32" t="str">
        <f>'ef-FT'!O203</f>
        <v/>
      </c>
      <c r="G164" s="97"/>
      <c r="H164" s="97"/>
      <c r="I164" s="97"/>
      <c r="J164" s="49"/>
      <c r="K164" s="49"/>
      <c r="L164" s="49"/>
      <c r="M164" s="49"/>
      <c r="N164" s="49"/>
    </row>
    <row r="165" spans="1:14">
      <c r="A165" s="38">
        <f>'ef-FT'!K204</f>
        <v>40411.854166666664</v>
      </c>
      <c r="B165" s="39">
        <f>'ef-FT'!K204</f>
        <v>40411.854166666664</v>
      </c>
      <c r="C165" s="11" t="str">
        <f>'ef-FT'!E204</f>
        <v>Kansas City</v>
      </c>
      <c r="D165" s="32" t="str">
        <f>'ef-FT'!M204</f>
        <v/>
      </c>
      <c r="E165" s="11" t="str">
        <f>'ef-FT'!G204</f>
        <v>New England</v>
      </c>
      <c r="F165" s="32" t="str">
        <f>'ef-FT'!O204</f>
        <v/>
      </c>
      <c r="G165" s="97"/>
      <c r="H165" s="97"/>
      <c r="I165" s="97"/>
      <c r="J165" s="49"/>
      <c r="K165" s="49"/>
      <c r="L165" s="49"/>
      <c r="M165" s="49"/>
      <c r="N165" s="49"/>
    </row>
    <row r="166" spans="1:14">
      <c r="A166" s="38">
        <f>'ef-FT'!K205</f>
        <v>40412.583333333336</v>
      </c>
      <c r="B166" s="39">
        <f>'ef-FT'!K205</f>
        <v>40412.583333333336</v>
      </c>
      <c r="C166" s="11" t="str">
        <f>'ef-FT'!E205</f>
        <v>DC United</v>
      </c>
      <c r="D166" s="32" t="str">
        <f>'ef-FT'!M205</f>
        <v/>
      </c>
      <c r="E166" s="11" t="str">
        <f>'ef-FT'!G205</f>
        <v>Philadelphia Union</v>
      </c>
      <c r="F166" s="32" t="str">
        <f>'ef-FT'!O205</f>
        <v/>
      </c>
      <c r="G166" s="97"/>
      <c r="H166" s="97"/>
      <c r="I166" s="97"/>
      <c r="J166" s="49"/>
      <c r="K166" s="49"/>
      <c r="L166" s="49"/>
      <c r="M166" s="49"/>
      <c r="N166" s="49"/>
    </row>
    <row r="167" spans="1:14">
      <c r="A167" s="38">
        <f>'ef-FT'!K206</f>
        <v>40418.666666666664</v>
      </c>
      <c r="B167" s="39">
        <f>'ef-FT'!K206</f>
        <v>40418.666666666664</v>
      </c>
      <c r="C167" s="11" t="str">
        <f>'ef-FT'!E206</f>
        <v>Columbus</v>
      </c>
      <c r="D167" s="32" t="str">
        <f>'ef-FT'!M206</f>
        <v/>
      </c>
      <c r="E167" s="11" t="str">
        <f>'ef-FT'!G206</f>
        <v>Dallas</v>
      </c>
      <c r="F167" s="32" t="str">
        <f>'ef-FT'!O206</f>
        <v/>
      </c>
      <c r="G167" s="97"/>
      <c r="H167" s="97"/>
      <c r="I167" s="97"/>
      <c r="J167" s="49"/>
      <c r="K167" s="49"/>
      <c r="L167" s="49"/>
      <c r="M167" s="49"/>
      <c r="N167" s="49"/>
    </row>
    <row r="168" spans="1:14">
      <c r="A168" s="38">
        <f>'ef-FT'!K207</f>
        <v>40418.791666666664</v>
      </c>
      <c r="B168" s="39">
        <f>'ef-FT'!K207</f>
        <v>40418.791666666664</v>
      </c>
      <c r="C168" s="11" t="str">
        <f>'ef-FT'!E207</f>
        <v>Toronto FC</v>
      </c>
      <c r="D168" s="32" t="str">
        <f>'ef-FT'!M207</f>
        <v/>
      </c>
      <c r="E168" s="11" t="str">
        <f>'ef-FT'!G207</f>
        <v>Real Salt Lake</v>
      </c>
      <c r="F168" s="32" t="str">
        <f>'ef-FT'!O207</f>
        <v/>
      </c>
      <c r="G168" s="97"/>
      <c r="H168" s="97"/>
      <c r="I168" s="97"/>
      <c r="J168" s="49"/>
      <c r="K168" s="49"/>
      <c r="L168" s="49"/>
      <c r="M168" s="49"/>
      <c r="N168" s="49"/>
    </row>
    <row r="169" spans="1:14">
      <c r="A169" s="38">
        <f>'ef-FT'!K208</f>
        <v>40418.8125</v>
      </c>
      <c r="B169" s="39">
        <f>'ef-FT'!K208</f>
        <v>40418.8125</v>
      </c>
      <c r="C169" s="11" t="str">
        <f>'ef-FT'!E208</f>
        <v>New England</v>
      </c>
      <c r="D169" s="32" t="str">
        <f>'ef-FT'!M208</f>
        <v/>
      </c>
      <c r="E169" s="11" t="str">
        <f>'ef-FT'!G208</f>
        <v>Philadelphia Union</v>
      </c>
      <c r="F169" s="32" t="str">
        <f>'ef-FT'!O208</f>
        <v/>
      </c>
      <c r="G169" s="12" t="str">
        <f ca="1">HYPERLINK('ef-FT'!$C$36,"á")</f>
        <v>á</v>
      </c>
      <c r="H169" s="12"/>
      <c r="I169" s="2"/>
      <c r="J169" s="167" t="s">
        <v>2</v>
      </c>
      <c r="K169" s="167"/>
      <c r="L169" s="167"/>
      <c r="M169" s="167"/>
      <c r="N169" s="167"/>
    </row>
    <row r="170" spans="1:14">
      <c r="A170" s="38">
        <f>'ef-FT'!K209</f>
        <v>40418.8125</v>
      </c>
      <c r="B170" s="39">
        <f>'ef-FT'!K209</f>
        <v>40418.8125</v>
      </c>
      <c r="C170" s="11" t="str">
        <f>'ef-FT'!E209</f>
        <v>New York Red Bulls</v>
      </c>
      <c r="D170" s="32" t="str">
        <f>'ef-FT'!M209</f>
        <v/>
      </c>
      <c r="E170" s="11" t="str">
        <f>'ef-FT'!G209</f>
        <v>San Jose</v>
      </c>
      <c r="F170" s="32" t="str">
        <f>'ef-FT'!O209</f>
        <v/>
      </c>
      <c r="G170" s="98"/>
      <c r="H170" s="98"/>
      <c r="I170" s="97"/>
      <c r="J170" s="167"/>
      <c r="K170" s="167"/>
      <c r="L170" s="167"/>
      <c r="M170" s="167"/>
      <c r="N170" s="167"/>
    </row>
    <row r="171" spans="1:14">
      <c r="A171" s="38">
        <f>'ef-FT'!K210</f>
        <v>40418.895833333336</v>
      </c>
      <c r="B171" s="39">
        <f>'ef-FT'!K210</f>
        <v>40418.895833333336</v>
      </c>
      <c r="C171" s="11" t="str">
        <f>'ef-FT'!E210</f>
        <v>Colorado</v>
      </c>
      <c r="D171" s="32" t="str">
        <f>'ef-FT'!M210</f>
        <v/>
      </c>
      <c r="E171" s="11" t="str">
        <f>'ef-FT'!G210</f>
        <v>Houston</v>
      </c>
      <c r="F171" s="32" t="str">
        <f>'ef-FT'!O210</f>
        <v/>
      </c>
      <c r="G171" s="97"/>
      <c r="H171" s="97"/>
      <c r="I171" s="97"/>
      <c r="J171" s="166" t="s">
        <v>5</v>
      </c>
      <c r="K171" s="166"/>
      <c r="L171" s="166"/>
      <c r="M171" s="166"/>
      <c r="N171" s="166"/>
    </row>
    <row r="172" spans="1:14">
      <c r="A172" s="38">
        <f>'ef-FT'!K211</f>
        <v>40418.9375</v>
      </c>
      <c r="B172" s="39">
        <f>'ef-FT'!K211</f>
        <v>40418.9375</v>
      </c>
      <c r="C172" s="11" t="str">
        <f>'ef-FT'!E211</f>
        <v>Los Angeles</v>
      </c>
      <c r="D172" s="32" t="str">
        <f>'ef-FT'!M211</f>
        <v/>
      </c>
      <c r="E172" s="11" t="str">
        <f>'ef-FT'!G211</f>
        <v>Kansas City</v>
      </c>
      <c r="F172" s="32" t="str">
        <f>'ef-FT'!O211</f>
        <v/>
      </c>
      <c r="G172" s="97"/>
      <c r="H172" s="97"/>
      <c r="I172" s="97"/>
      <c r="J172" s="49"/>
      <c r="K172" s="49"/>
      <c r="L172" s="49"/>
      <c r="M172" s="49"/>
      <c r="N172" s="49"/>
    </row>
    <row r="173" spans="1:14">
      <c r="A173" s="38">
        <f>'ef-FT'!K212</f>
        <v>40418.9375</v>
      </c>
      <c r="B173" s="39">
        <f>'ef-FT'!K212</f>
        <v>40418.9375</v>
      </c>
      <c r="C173" s="11" t="str">
        <f>'ef-FT'!E212</f>
        <v>Seattle Sounders FC</v>
      </c>
      <c r="D173" s="32" t="str">
        <f>'ef-FT'!M212</f>
        <v/>
      </c>
      <c r="E173" s="11" t="str">
        <f>'ef-FT'!G212</f>
        <v>Chicago</v>
      </c>
      <c r="F173" s="32" t="str">
        <f>'ef-FT'!O212</f>
        <v/>
      </c>
      <c r="G173" s="97"/>
      <c r="H173" s="97"/>
      <c r="I173" s="97"/>
      <c r="J173" s="49"/>
      <c r="K173" s="49"/>
      <c r="L173" s="49"/>
      <c r="M173" s="49"/>
      <c r="N173" s="49"/>
    </row>
    <row r="174" spans="1:14">
      <c r="A174" s="38">
        <f>'ef-FT'!K213</f>
        <v>40419.916666666664</v>
      </c>
      <c r="B174" s="39">
        <f>'ef-FT'!K213</f>
        <v>40419.916666666664</v>
      </c>
      <c r="C174" s="11" t="str">
        <f>'ef-FT'!E213</f>
        <v>Chivas USA</v>
      </c>
      <c r="D174" s="32" t="str">
        <f>'ef-FT'!M213</f>
        <v/>
      </c>
      <c r="E174" s="11" t="str">
        <f>'ef-FT'!G213</f>
        <v>DC United</v>
      </c>
      <c r="F174" s="32" t="str">
        <f>'ef-FT'!O213</f>
        <v/>
      </c>
      <c r="G174" s="97"/>
      <c r="H174" s="97"/>
      <c r="I174" s="97"/>
      <c r="J174" s="49"/>
      <c r="K174" s="49"/>
      <c r="L174" s="49"/>
      <c r="M174" s="49"/>
      <c r="N174" s="49"/>
    </row>
    <row r="175" spans="1:14">
      <c r="A175" s="38">
        <f>'ef-FT'!K214</f>
        <v>40425.604166666664</v>
      </c>
      <c r="B175" s="39">
        <f>'ef-FT'!K214</f>
        <v>40425.604166666664</v>
      </c>
      <c r="C175" s="11" t="str">
        <f>'ef-FT'!E214</f>
        <v>Philadelphia Union</v>
      </c>
      <c r="D175" s="32" t="str">
        <f>'ef-FT'!M214</f>
        <v/>
      </c>
      <c r="E175" s="11" t="str">
        <f>'ef-FT'!G214</f>
        <v>Kansas City</v>
      </c>
      <c r="F175" s="32" t="str">
        <f>'ef-FT'!O214</f>
        <v/>
      </c>
      <c r="G175" s="97"/>
      <c r="H175" s="97"/>
      <c r="I175" s="97"/>
      <c r="J175" s="49"/>
      <c r="K175" s="49"/>
      <c r="L175" s="49"/>
      <c r="M175" s="49"/>
      <c r="N175" s="49"/>
    </row>
    <row r="176" spans="1:14">
      <c r="A176" s="38">
        <f>'ef-FT'!K215</f>
        <v>40425.625</v>
      </c>
      <c r="B176" s="39">
        <f>'ef-FT'!K215</f>
        <v>40425.625</v>
      </c>
      <c r="C176" s="11" t="str">
        <f>'ef-FT'!E215</f>
        <v>Chicago</v>
      </c>
      <c r="D176" s="32" t="str">
        <f>'ef-FT'!M215</f>
        <v/>
      </c>
      <c r="E176" s="11" t="str">
        <f>'ef-FT'!G215</f>
        <v>Los Angeles</v>
      </c>
      <c r="F176" s="32" t="str">
        <f>'ef-FT'!O215</f>
        <v/>
      </c>
      <c r="G176" s="97"/>
      <c r="H176" s="97"/>
      <c r="I176" s="97"/>
      <c r="J176" s="49"/>
      <c r="K176" s="49"/>
      <c r="L176" s="49"/>
      <c r="M176" s="49"/>
      <c r="N176" s="49"/>
    </row>
    <row r="177" spans="1:14">
      <c r="A177" s="38">
        <f>'ef-FT'!K216</f>
        <v>40425.770833333336</v>
      </c>
      <c r="B177" s="39">
        <f>'ef-FT'!K216</f>
        <v>40425.770833333336</v>
      </c>
      <c r="C177" s="11" t="str">
        <f>'ef-FT'!E216</f>
        <v>DC United</v>
      </c>
      <c r="D177" s="32" t="str">
        <f>'ef-FT'!M216</f>
        <v/>
      </c>
      <c r="E177" s="11" t="str">
        <f>'ef-FT'!G216</f>
        <v>Columbus</v>
      </c>
      <c r="F177" s="32" t="str">
        <f>'ef-FT'!O216</f>
        <v/>
      </c>
      <c r="G177" s="97"/>
      <c r="H177" s="97"/>
      <c r="I177" s="97"/>
      <c r="J177" s="49"/>
      <c r="K177" s="49"/>
      <c r="L177" s="49"/>
      <c r="M177" s="49"/>
      <c r="N177" s="49"/>
    </row>
    <row r="178" spans="1:14">
      <c r="A178" s="38">
        <f>'ef-FT'!K217</f>
        <v>40425.770833333336</v>
      </c>
      <c r="B178" s="39">
        <f>'ef-FT'!K217</f>
        <v>40425.770833333336</v>
      </c>
      <c r="C178" s="11" t="str">
        <f>'ef-FT'!E217</f>
        <v>New England</v>
      </c>
      <c r="D178" s="32" t="str">
        <f>'ef-FT'!M217</f>
        <v/>
      </c>
      <c r="E178" s="11" t="str">
        <f>'ef-FT'!G217</f>
        <v>Seattle Sounders FC</v>
      </c>
      <c r="F178" s="32" t="str">
        <f>'ef-FT'!O217</f>
        <v/>
      </c>
      <c r="G178" s="97"/>
      <c r="H178" s="97"/>
      <c r="I178" s="97"/>
      <c r="J178" s="49"/>
      <c r="K178" s="49"/>
      <c r="L178" s="49"/>
      <c r="M178" s="49"/>
      <c r="N178" s="49"/>
    </row>
    <row r="179" spans="1:14">
      <c r="A179" s="38">
        <f>'ef-FT'!K218</f>
        <v>40425.8125</v>
      </c>
      <c r="B179" s="39">
        <f>'ef-FT'!K218</f>
        <v>40425.8125</v>
      </c>
      <c r="C179" s="11" t="str">
        <f>'ef-FT'!E218</f>
        <v>Dallas</v>
      </c>
      <c r="D179" s="32" t="str">
        <f>'ef-FT'!M218</f>
        <v/>
      </c>
      <c r="E179" s="11" t="str">
        <f>'ef-FT'!G218</f>
        <v>Toronto FC</v>
      </c>
      <c r="F179" s="32" t="str">
        <f>'ef-FT'!O218</f>
        <v/>
      </c>
      <c r="G179" s="97"/>
      <c r="H179" s="97"/>
      <c r="I179" s="97"/>
      <c r="J179" s="49"/>
      <c r="K179" s="49"/>
      <c r="L179" s="49"/>
      <c r="M179" s="49"/>
      <c r="N179" s="49"/>
    </row>
    <row r="180" spans="1:14">
      <c r="A180" s="38">
        <f>'ef-FT'!K219</f>
        <v>40425.833333333336</v>
      </c>
      <c r="B180" s="39">
        <f>'ef-FT'!K219</f>
        <v>40425.833333333336</v>
      </c>
      <c r="C180" s="11" t="str">
        <f>'ef-FT'!E219</f>
        <v>Colorado</v>
      </c>
      <c r="D180" s="32" t="str">
        <f>'ef-FT'!M219</f>
        <v/>
      </c>
      <c r="E180" s="11" t="str">
        <f>'ef-FT'!G219</f>
        <v>Chivas USA</v>
      </c>
      <c r="F180" s="32" t="str">
        <f>'ef-FT'!O219</f>
        <v/>
      </c>
      <c r="G180" s="12" t="str">
        <f ca="1">HYPERLINK('ef-FT'!$C$36,"á")</f>
        <v>á</v>
      </c>
      <c r="H180" s="12"/>
      <c r="I180" s="2"/>
      <c r="J180" s="49"/>
      <c r="K180" s="49"/>
      <c r="L180" s="49"/>
      <c r="M180" s="49"/>
      <c r="N180" s="49"/>
    </row>
    <row r="181" spans="1:14">
      <c r="A181" s="38">
        <f>'ef-FT'!K220</f>
        <v>40425.833333333336</v>
      </c>
      <c r="B181" s="39">
        <f>'ef-FT'!K220</f>
        <v>40425.833333333336</v>
      </c>
      <c r="C181" s="11" t="str">
        <f>'ef-FT'!E220</f>
        <v>Real Salt Lake</v>
      </c>
      <c r="D181" s="32" t="str">
        <f>'ef-FT'!M220</f>
        <v/>
      </c>
      <c r="E181" s="11" t="str">
        <f>'ef-FT'!G220</f>
        <v>New York Red Bulls</v>
      </c>
      <c r="F181" s="32" t="str">
        <f>'ef-FT'!O220</f>
        <v/>
      </c>
      <c r="G181" s="98"/>
      <c r="H181" s="98"/>
      <c r="I181" s="97"/>
      <c r="J181" s="45"/>
      <c r="K181" s="47"/>
      <c r="L181" s="49"/>
      <c r="M181" s="49"/>
      <c r="N181" s="49"/>
    </row>
    <row r="182" spans="1:14">
      <c r="A182" s="38">
        <f>'ef-FT'!K221</f>
        <v>40426.8125</v>
      </c>
      <c r="B182" s="39">
        <f>'ef-FT'!K221</f>
        <v>40426.8125</v>
      </c>
      <c r="C182" s="11" t="str">
        <f>'ef-FT'!E221</f>
        <v>Houston</v>
      </c>
      <c r="D182" s="32" t="str">
        <f>'ef-FT'!M221</f>
        <v/>
      </c>
      <c r="E182" s="11" t="str">
        <f>'ef-FT'!G221</f>
        <v>San Jose</v>
      </c>
      <c r="F182" s="32" t="str">
        <f>'ef-FT'!O221</f>
        <v/>
      </c>
      <c r="G182" s="97"/>
      <c r="H182" s="97"/>
      <c r="I182" s="97"/>
      <c r="J182" s="49"/>
      <c r="K182" s="49"/>
      <c r="L182" s="49"/>
      <c r="M182" s="49"/>
      <c r="N182" s="49"/>
    </row>
    <row r="183" spans="1:14">
      <c r="A183" s="38">
        <f>'ef-FT'!K222</f>
        <v>40429.8125</v>
      </c>
      <c r="B183" s="39">
        <f>'ef-FT'!K222</f>
        <v>40429.8125</v>
      </c>
      <c r="C183" s="11" t="str">
        <f>'ef-FT'!E222</f>
        <v>Chicago</v>
      </c>
      <c r="D183" s="32" t="str">
        <f>'ef-FT'!M222</f>
        <v/>
      </c>
      <c r="E183" s="11" t="str">
        <f>'ef-FT'!G222</f>
        <v>Toronto FC</v>
      </c>
      <c r="F183" s="32" t="str">
        <f>'ef-FT'!O222</f>
        <v/>
      </c>
      <c r="G183" s="97"/>
      <c r="H183" s="97"/>
      <c r="I183" s="97"/>
      <c r="J183" s="49"/>
      <c r="K183" s="49"/>
      <c r="L183" s="49"/>
      <c r="M183" s="49"/>
      <c r="N183" s="49"/>
    </row>
    <row r="184" spans="1:14">
      <c r="A184" s="38">
        <f>'ef-FT'!K223</f>
        <v>40430.916666666664</v>
      </c>
      <c r="B184" s="39">
        <f>'ef-FT'!K223</f>
        <v>40430.916666666664</v>
      </c>
      <c r="C184" s="11" t="str">
        <f>'ef-FT'!E223</f>
        <v>Seattle Sounders FC</v>
      </c>
      <c r="D184" s="32" t="str">
        <f>'ef-FT'!M223</f>
        <v/>
      </c>
      <c r="E184" s="11" t="str">
        <f>'ef-FT'!G223</f>
        <v>Real Salt Lake</v>
      </c>
      <c r="F184" s="32" t="str">
        <f>'ef-FT'!O223</f>
        <v/>
      </c>
      <c r="G184" s="97"/>
      <c r="H184" s="97"/>
      <c r="I184" s="97"/>
      <c r="J184" s="49"/>
      <c r="K184" s="49"/>
      <c r="L184" s="49"/>
      <c r="M184" s="49"/>
      <c r="N184" s="49"/>
    </row>
    <row r="185" spans="1:14">
      <c r="A185" s="38">
        <f>'ef-FT'!K224</f>
        <v>40431.895833333336</v>
      </c>
      <c r="B185" s="39">
        <f>'ef-FT'!K224</f>
        <v>40431.895833333336</v>
      </c>
      <c r="C185" s="11" t="str">
        <f>'ef-FT'!E224</f>
        <v>Chivas USA</v>
      </c>
      <c r="D185" s="32" t="str">
        <f>'ef-FT'!M224</f>
        <v/>
      </c>
      <c r="E185" s="11" t="str">
        <f>'ef-FT'!G224</f>
        <v>New England</v>
      </c>
      <c r="F185" s="32" t="str">
        <f>'ef-FT'!O224</f>
        <v/>
      </c>
      <c r="G185" s="97"/>
      <c r="H185" s="97"/>
      <c r="I185" s="97"/>
      <c r="J185" s="49"/>
      <c r="K185" s="49"/>
      <c r="L185" s="49"/>
      <c r="M185" s="49"/>
      <c r="N185" s="49"/>
    </row>
    <row r="186" spans="1:14">
      <c r="A186" s="38">
        <f>'ef-FT'!K225</f>
        <v>40432.625</v>
      </c>
      <c r="B186" s="39">
        <f>'ef-FT'!K225</f>
        <v>40432.625</v>
      </c>
      <c r="C186" s="11" t="str">
        <f>'ef-FT'!E225</f>
        <v>New York Red Bulls</v>
      </c>
      <c r="D186" s="32" t="str">
        <f>'ef-FT'!M225</f>
        <v/>
      </c>
      <c r="E186" s="11" t="str">
        <f>'ef-FT'!G225</f>
        <v>Colorado</v>
      </c>
      <c r="F186" s="32" t="str">
        <f>'ef-FT'!O225</f>
        <v/>
      </c>
      <c r="G186" s="97"/>
      <c r="H186" s="97"/>
      <c r="I186" s="97"/>
      <c r="J186" s="49"/>
      <c r="K186" s="49"/>
      <c r="L186" s="49"/>
      <c r="M186" s="49"/>
      <c r="N186" s="49"/>
    </row>
    <row r="187" spans="1:14">
      <c r="A187" s="38">
        <f>'ef-FT'!K226</f>
        <v>40432.625</v>
      </c>
      <c r="B187" s="39">
        <f>'ef-FT'!K226</f>
        <v>40432.625</v>
      </c>
      <c r="C187" s="11" t="str">
        <f>'ef-FT'!E226</f>
        <v>Toronto FC</v>
      </c>
      <c r="D187" s="32" t="str">
        <f>'ef-FT'!M226</f>
        <v/>
      </c>
      <c r="E187" s="11" t="str">
        <f>'ef-FT'!G226</f>
        <v>DC United</v>
      </c>
      <c r="F187" s="32" t="str">
        <f>'ef-FT'!O226</f>
        <v/>
      </c>
      <c r="G187" s="97"/>
      <c r="H187" s="97"/>
      <c r="I187" s="97"/>
      <c r="J187" s="49"/>
      <c r="K187" s="49"/>
      <c r="L187" s="49"/>
      <c r="M187" s="49"/>
      <c r="N187" s="49"/>
    </row>
    <row r="188" spans="1:14">
      <c r="A188" s="38">
        <f>'ef-FT'!K227</f>
        <v>40432.708333333336</v>
      </c>
      <c r="B188" s="39">
        <f>'ef-FT'!K227</f>
        <v>40432.708333333336</v>
      </c>
      <c r="C188" s="11" t="str">
        <f>'ef-FT'!E227</f>
        <v>Philadelphia Union</v>
      </c>
      <c r="D188" s="32" t="str">
        <f>'ef-FT'!M227</f>
        <v/>
      </c>
      <c r="E188" s="11" t="str">
        <f>'ef-FT'!G227</f>
        <v>Chicago</v>
      </c>
      <c r="F188" s="32" t="str">
        <f>'ef-FT'!O227</f>
        <v/>
      </c>
      <c r="G188" s="97"/>
      <c r="H188" s="97"/>
      <c r="I188" s="97"/>
      <c r="J188" s="49"/>
      <c r="K188" s="49"/>
      <c r="L188" s="49"/>
      <c r="M188" s="49"/>
      <c r="N188" s="49"/>
    </row>
    <row r="189" spans="1:14">
      <c r="A189" s="38">
        <f>'ef-FT'!K228</f>
        <v>40432.8125</v>
      </c>
      <c r="B189" s="39">
        <f>'ef-FT'!K228</f>
        <v>40432.8125</v>
      </c>
      <c r="C189" s="11" t="str">
        <f>'ef-FT'!E228</f>
        <v>Kansas City</v>
      </c>
      <c r="D189" s="32" t="str">
        <f>'ef-FT'!M228</f>
        <v/>
      </c>
      <c r="E189" s="11" t="str">
        <f>'ef-FT'!G228</f>
        <v>Houston</v>
      </c>
      <c r="F189" s="32" t="str">
        <f>'ef-FT'!O228</f>
        <v/>
      </c>
      <c r="G189" s="97"/>
      <c r="H189" s="97"/>
      <c r="I189" s="97"/>
      <c r="J189" s="49"/>
      <c r="K189" s="49"/>
      <c r="L189" s="49"/>
      <c r="M189" s="49"/>
      <c r="N189" s="49"/>
    </row>
    <row r="190" spans="1:14">
      <c r="A190" s="38">
        <f>'ef-FT'!K229</f>
        <v>40432.875</v>
      </c>
      <c r="B190" s="39">
        <f>'ef-FT'!K229</f>
        <v>40432.875</v>
      </c>
      <c r="C190" s="11" t="str">
        <f>'ef-FT'!E229</f>
        <v>San Jose</v>
      </c>
      <c r="D190" s="32" t="str">
        <f>'ef-FT'!M229</f>
        <v/>
      </c>
      <c r="E190" s="11" t="str">
        <f>'ef-FT'!G229</f>
        <v>Dallas</v>
      </c>
      <c r="F190" s="32" t="str">
        <f>'ef-FT'!O229</f>
        <v/>
      </c>
      <c r="G190" s="97"/>
      <c r="H190" s="97"/>
      <c r="I190" s="97"/>
      <c r="J190" s="49"/>
      <c r="K190" s="49"/>
      <c r="L190" s="49"/>
      <c r="M190" s="49"/>
      <c r="N190" s="49"/>
    </row>
    <row r="191" spans="1:14">
      <c r="A191" s="38">
        <f>'ef-FT'!K230</f>
        <v>40432.895833333336</v>
      </c>
      <c r="B191" s="39">
        <f>'ef-FT'!K230</f>
        <v>40432.895833333336</v>
      </c>
      <c r="C191" s="11" t="str">
        <f>'ef-FT'!E230</f>
        <v>Los Angeles</v>
      </c>
      <c r="D191" s="32" t="str">
        <f>'ef-FT'!M230</f>
        <v/>
      </c>
      <c r="E191" s="11" t="str">
        <f>'ef-FT'!G230</f>
        <v>Columbus</v>
      </c>
      <c r="F191" s="32" t="str">
        <f>'ef-FT'!O230</f>
        <v/>
      </c>
      <c r="G191" s="12" t="str">
        <f ca="1">HYPERLINK('ef-FT'!$C$36,"á")</f>
        <v>á</v>
      </c>
      <c r="H191" s="12"/>
      <c r="I191" s="2"/>
      <c r="J191" s="49"/>
      <c r="K191" s="49"/>
      <c r="L191" s="49"/>
      <c r="M191" s="49"/>
      <c r="N191" s="49"/>
    </row>
    <row r="192" spans="1:14">
      <c r="A192" s="38">
        <f>'ef-FT'!K231</f>
        <v>40436.875</v>
      </c>
      <c r="B192" s="39">
        <f>'ef-FT'!K231</f>
        <v>40436.875</v>
      </c>
      <c r="C192" s="11" t="str">
        <f>'ef-FT'!E231</f>
        <v>San Jose</v>
      </c>
      <c r="D192" s="32" t="str">
        <f>'ef-FT'!M231</f>
        <v/>
      </c>
      <c r="E192" s="11" t="str">
        <f>'ef-FT'!G231</f>
        <v>Philadelphia Union</v>
      </c>
      <c r="F192" s="32" t="str">
        <f>'ef-FT'!O231</f>
        <v/>
      </c>
      <c r="G192" s="98"/>
      <c r="H192" s="98"/>
      <c r="I192" s="97"/>
      <c r="J192" s="45"/>
      <c r="K192" s="47"/>
      <c r="L192" s="49"/>
      <c r="M192" s="49"/>
      <c r="N192" s="49"/>
    </row>
    <row r="193" spans="1:14">
      <c r="A193" s="38">
        <f>'ef-FT'!K232</f>
        <v>40439.625</v>
      </c>
      <c r="B193" s="39">
        <f>'ef-FT'!K232</f>
        <v>40439.625</v>
      </c>
      <c r="C193" s="11" t="str">
        <f>'ef-FT'!E232</f>
        <v>Real Salt Lake</v>
      </c>
      <c r="D193" s="32" t="str">
        <f>'ef-FT'!M232</f>
        <v/>
      </c>
      <c r="E193" s="11" t="str">
        <f>'ef-FT'!G232</f>
        <v>Chicago</v>
      </c>
      <c r="F193" s="32" t="str">
        <f>'ef-FT'!O232</f>
        <v/>
      </c>
      <c r="G193" s="97"/>
      <c r="H193" s="97"/>
      <c r="I193" s="97"/>
      <c r="J193" s="49"/>
      <c r="K193" s="49"/>
      <c r="L193" s="49"/>
      <c r="M193" s="49"/>
      <c r="N193" s="49"/>
    </row>
    <row r="194" spans="1:14">
      <c r="A194" s="38">
        <f>'ef-FT'!K233</f>
        <v>40439.770833333336</v>
      </c>
      <c r="B194" s="39">
        <f>'ef-FT'!K233</f>
        <v>40439.770833333336</v>
      </c>
      <c r="C194" s="11" t="str">
        <f>'ef-FT'!E233</f>
        <v>Columbus</v>
      </c>
      <c r="D194" s="32" t="str">
        <f>'ef-FT'!M233</f>
        <v/>
      </c>
      <c r="E194" s="11" t="str">
        <f>'ef-FT'!G233</f>
        <v>Seattle Sounders FC</v>
      </c>
      <c r="F194" s="32" t="str">
        <f>'ef-FT'!O233</f>
        <v/>
      </c>
      <c r="G194" s="97"/>
      <c r="H194" s="97"/>
      <c r="I194" s="97"/>
      <c r="J194" s="49"/>
      <c r="K194" s="49"/>
      <c r="L194" s="49"/>
      <c r="M194" s="49"/>
      <c r="N194" s="49"/>
    </row>
    <row r="195" spans="1:14">
      <c r="A195" s="38">
        <f>'ef-FT'!K234</f>
        <v>40439.8125</v>
      </c>
      <c r="B195" s="39">
        <f>'ef-FT'!K234</f>
        <v>40439.8125</v>
      </c>
      <c r="C195" s="11" t="str">
        <f>'ef-FT'!E234</f>
        <v>Dallas</v>
      </c>
      <c r="D195" s="32" t="str">
        <f>'ef-FT'!M234</f>
        <v/>
      </c>
      <c r="E195" s="11" t="str">
        <f>'ef-FT'!G234</f>
        <v>New York Red Bulls</v>
      </c>
      <c r="F195" s="32" t="str">
        <f>'ef-FT'!O234</f>
        <v/>
      </c>
      <c r="G195" s="97"/>
      <c r="H195" s="97"/>
      <c r="I195" s="97"/>
      <c r="J195" s="49"/>
      <c r="K195" s="49"/>
      <c r="L195" s="49"/>
      <c r="M195" s="49"/>
      <c r="N195" s="49"/>
    </row>
    <row r="196" spans="1:14">
      <c r="A196" s="38">
        <f>'ef-FT'!K235</f>
        <v>40439.8125</v>
      </c>
      <c r="B196" s="39">
        <f>'ef-FT'!K235</f>
        <v>40439.8125</v>
      </c>
      <c r="C196" s="11" t="str">
        <f>'ef-FT'!E235</f>
        <v>Houston</v>
      </c>
      <c r="D196" s="32" t="str">
        <f>'ef-FT'!M235</f>
        <v/>
      </c>
      <c r="E196" s="11" t="str">
        <f>'ef-FT'!G235</f>
        <v>Toronto FC</v>
      </c>
      <c r="F196" s="32" t="str">
        <f>'ef-FT'!O235</f>
        <v/>
      </c>
      <c r="G196" s="97"/>
      <c r="H196" s="97"/>
      <c r="I196" s="97"/>
      <c r="J196" s="49"/>
      <c r="K196" s="49"/>
      <c r="L196" s="49"/>
      <c r="M196" s="49"/>
      <c r="N196" s="49"/>
    </row>
    <row r="197" spans="1:14">
      <c r="A197" s="38">
        <f>'ef-FT'!K236</f>
        <v>40439.833333333336</v>
      </c>
      <c r="B197" s="39">
        <f>'ef-FT'!K236</f>
        <v>40439.833333333336</v>
      </c>
      <c r="C197" s="11" t="str">
        <f>'ef-FT'!E236</f>
        <v>Colorado</v>
      </c>
      <c r="D197" s="32" t="str">
        <f>'ef-FT'!M236</f>
        <v/>
      </c>
      <c r="E197" s="11" t="str">
        <f>'ef-FT'!G236</f>
        <v>New England</v>
      </c>
      <c r="F197" s="32" t="str">
        <f>'ef-FT'!O236</f>
        <v/>
      </c>
      <c r="G197" s="97"/>
      <c r="H197" s="97"/>
      <c r="I197" s="97"/>
      <c r="J197" s="49"/>
      <c r="K197" s="49"/>
      <c r="L197" s="49"/>
      <c r="M197" s="49"/>
      <c r="N197" s="49"/>
    </row>
    <row r="198" spans="1:14">
      <c r="A198" s="38">
        <f>'ef-FT'!K237</f>
        <v>40439.895833333336</v>
      </c>
      <c r="B198" s="39">
        <f>'ef-FT'!K237</f>
        <v>40439.895833333336</v>
      </c>
      <c r="C198" s="11" t="str">
        <f>'ef-FT'!E237</f>
        <v>Los Angeles</v>
      </c>
      <c r="D198" s="32" t="str">
        <f>'ef-FT'!M237</f>
        <v/>
      </c>
      <c r="E198" s="11" t="str">
        <f>'ef-FT'!G237</f>
        <v>DC United</v>
      </c>
      <c r="F198" s="32" t="str">
        <f>'ef-FT'!O237</f>
        <v/>
      </c>
      <c r="G198" s="97"/>
      <c r="H198" s="97"/>
      <c r="I198" s="97"/>
      <c r="J198" s="49"/>
      <c r="K198" s="49"/>
      <c r="L198" s="49"/>
      <c r="M198" s="49"/>
      <c r="N198" s="49"/>
    </row>
    <row r="199" spans="1:14">
      <c r="A199" s="38">
        <f>'ef-FT'!K238</f>
        <v>40440.791666666664</v>
      </c>
      <c r="B199" s="39">
        <f>'ef-FT'!K238</f>
        <v>40440.791666666664</v>
      </c>
      <c r="C199" s="11" t="str">
        <f>'ef-FT'!E238</f>
        <v>Chivas USA</v>
      </c>
      <c r="D199" s="32" t="str">
        <f>'ef-FT'!M238</f>
        <v/>
      </c>
      <c r="E199" s="11" t="str">
        <f>'ef-FT'!G238</f>
        <v>Kansas City</v>
      </c>
      <c r="F199" s="32" t="str">
        <f>'ef-FT'!O238</f>
        <v/>
      </c>
      <c r="G199" s="97"/>
      <c r="H199" s="97"/>
      <c r="I199" s="97"/>
      <c r="J199" s="49"/>
      <c r="K199" s="49"/>
      <c r="L199" s="49"/>
      <c r="M199" s="49"/>
      <c r="N199" s="49"/>
    </row>
    <row r="200" spans="1:14">
      <c r="A200" s="38">
        <f>'ef-FT'!K239</f>
        <v>40443.8125</v>
      </c>
      <c r="B200" s="39">
        <f>'ef-FT'!K239</f>
        <v>40443.8125</v>
      </c>
      <c r="C200" s="11" t="str">
        <f>'ef-FT'!E239</f>
        <v>Dallas</v>
      </c>
      <c r="D200" s="32" t="str">
        <f>'ef-FT'!M239</f>
        <v/>
      </c>
      <c r="E200" s="11" t="str">
        <f>'ef-FT'!G239</f>
        <v>New England</v>
      </c>
      <c r="F200" s="32" t="str">
        <f>'ef-FT'!O239</f>
        <v/>
      </c>
      <c r="G200" s="97"/>
      <c r="H200" s="97"/>
      <c r="I200" s="97"/>
      <c r="J200" s="49"/>
      <c r="K200" s="49"/>
      <c r="L200" s="49"/>
      <c r="M200" s="49"/>
      <c r="N200" s="49"/>
    </row>
    <row r="201" spans="1:14">
      <c r="A201" s="38">
        <f>'ef-FT'!K240</f>
        <v>40445.916666666664</v>
      </c>
      <c r="B201" s="39">
        <f>'ef-FT'!K240</f>
        <v>40445.916666666664</v>
      </c>
      <c r="C201" s="11" t="str">
        <f>'ef-FT'!E240</f>
        <v>Los Angeles</v>
      </c>
      <c r="D201" s="32" t="str">
        <f>'ef-FT'!M240</f>
        <v/>
      </c>
      <c r="E201" s="11" t="str">
        <f>'ef-FT'!G240</f>
        <v>New York Red Bulls</v>
      </c>
      <c r="F201" s="32" t="str">
        <f>'ef-FT'!O240</f>
        <v/>
      </c>
      <c r="G201" s="97"/>
      <c r="H201" s="97"/>
      <c r="I201" s="97"/>
      <c r="J201" s="49"/>
      <c r="K201" s="49"/>
      <c r="L201" s="49"/>
      <c r="M201" s="49"/>
      <c r="N201" s="49"/>
    </row>
    <row r="202" spans="1:14">
      <c r="A202" s="38">
        <f>'ef-FT'!K241</f>
        <v>40446.625</v>
      </c>
      <c r="B202" s="39">
        <f>'ef-FT'!K241</f>
        <v>40446.625</v>
      </c>
      <c r="C202" s="11" t="str">
        <f>'ef-FT'!E241</f>
        <v>Philadelphia Union</v>
      </c>
      <c r="D202" s="32" t="str">
        <f>'ef-FT'!M241</f>
        <v/>
      </c>
      <c r="E202" s="11" t="str">
        <f>'ef-FT'!G241</f>
        <v>Chivas USA</v>
      </c>
      <c r="F202" s="32" t="str">
        <f>'ef-FT'!O241</f>
        <v/>
      </c>
      <c r="G202" s="12" t="str">
        <f ca="1">HYPERLINK('ef-FT'!$C$36,"á")</f>
        <v>á</v>
      </c>
      <c r="H202" s="12"/>
      <c r="I202" s="2"/>
      <c r="J202" s="49"/>
      <c r="K202" s="49"/>
      <c r="L202" s="49"/>
      <c r="M202" s="49"/>
      <c r="N202" s="49"/>
    </row>
    <row r="203" spans="1:14">
      <c r="A203" s="38">
        <f>'ef-FT'!K242</f>
        <v>40446.625</v>
      </c>
      <c r="B203" s="39">
        <f>'ef-FT'!K242</f>
        <v>40446.625</v>
      </c>
      <c r="C203" s="11" t="str">
        <f>'ef-FT'!E242</f>
        <v>Toronto FC</v>
      </c>
      <c r="D203" s="32" t="str">
        <f>'ef-FT'!M242</f>
        <v/>
      </c>
      <c r="E203" s="11" t="str">
        <f>'ef-FT'!G242</f>
        <v>San Jose</v>
      </c>
      <c r="F203" s="32" t="str">
        <f>'ef-FT'!O242</f>
        <v/>
      </c>
      <c r="G203" s="98"/>
      <c r="H203" s="98"/>
      <c r="I203" s="97"/>
    </row>
    <row r="204" spans="1:14">
      <c r="A204" s="38">
        <f>'ef-FT'!K243</f>
        <v>40446.770833333336</v>
      </c>
      <c r="B204" s="39">
        <f>'ef-FT'!K243</f>
        <v>40446.770833333336</v>
      </c>
      <c r="C204" s="11" t="str">
        <f>'ef-FT'!E243</f>
        <v>DC United</v>
      </c>
      <c r="D204" s="32" t="str">
        <f>'ef-FT'!M243</f>
        <v/>
      </c>
      <c r="E204" s="11" t="str">
        <f>'ef-FT'!G243</f>
        <v>Houston</v>
      </c>
      <c r="F204" s="32" t="str">
        <f>'ef-FT'!O243</f>
        <v/>
      </c>
      <c r="G204" s="97"/>
      <c r="H204" s="97"/>
      <c r="I204" s="97"/>
    </row>
    <row r="205" spans="1:14">
      <c r="A205" s="38">
        <f>'ef-FT'!K244</f>
        <v>40446.770833333336</v>
      </c>
      <c r="B205" s="39">
        <f>'ef-FT'!K244</f>
        <v>40446.770833333336</v>
      </c>
      <c r="C205" s="11" t="str">
        <f>'ef-FT'!E244</f>
        <v>New England</v>
      </c>
      <c r="D205" s="32" t="str">
        <f>'ef-FT'!M244</f>
        <v/>
      </c>
      <c r="E205" s="11" t="str">
        <f>'ef-FT'!G244</f>
        <v>Columbus</v>
      </c>
      <c r="F205" s="32" t="str">
        <f>'ef-FT'!O244</f>
        <v/>
      </c>
      <c r="G205" s="97"/>
      <c r="H205" s="97"/>
      <c r="I205" s="97"/>
    </row>
    <row r="206" spans="1:14">
      <c r="A206" s="38">
        <f>'ef-FT'!K245</f>
        <v>40446.791666666664</v>
      </c>
      <c r="B206" s="39">
        <f>'ef-FT'!K245</f>
        <v>40446.791666666664</v>
      </c>
      <c r="C206" s="11" t="str">
        <f>'ef-FT'!E245</f>
        <v>Chicago</v>
      </c>
      <c r="D206" s="32" t="str">
        <f>'ef-FT'!M245</f>
        <v/>
      </c>
      <c r="E206" s="11" t="str">
        <f>'ef-FT'!G245</f>
        <v>Seattle Sounders FC</v>
      </c>
      <c r="F206" s="32" t="str">
        <f>'ef-FT'!O245</f>
        <v/>
      </c>
      <c r="G206" s="97"/>
      <c r="H206" s="97"/>
      <c r="I206" s="97"/>
      <c r="J206" s="49"/>
      <c r="K206" s="49"/>
      <c r="L206" s="49"/>
      <c r="M206" s="49"/>
      <c r="N206" s="49"/>
    </row>
    <row r="207" spans="1:14">
      <c r="A207" s="38">
        <f>'ef-FT'!K246</f>
        <v>40446.791666666664</v>
      </c>
      <c r="B207" s="39">
        <f>'ef-FT'!K246</f>
        <v>40446.791666666664</v>
      </c>
      <c r="C207" s="11" t="str">
        <f>'ef-FT'!E246</f>
        <v>Kansas City</v>
      </c>
      <c r="D207" s="32" t="str">
        <f>'ef-FT'!M246</f>
        <v/>
      </c>
      <c r="E207" s="11" t="str">
        <f>'ef-FT'!G246</f>
        <v>Dallas</v>
      </c>
      <c r="F207" s="32" t="str">
        <f>'ef-FT'!O246</f>
        <v/>
      </c>
      <c r="G207" s="97"/>
      <c r="H207" s="97"/>
      <c r="I207" s="97"/>
      <c r="J207" s="49"/>
      <c r="K207" s="49"/>
      <c r="L207" s="49"/>
      <c r="M207" s="49"/>
      <c r="N207" s="49"/>
    </row>
    <row r="208" spans="1:14">
      <c r="A208" s="38">
        <f>'ef-FT'!K247</f>
        <v>40446.875</v>
      </c>
      <c r="B208" s="39">
        <f>'ef-FT'!K247</f>
        <v>40446.875</v>
      </c>
      <c r="C208" s="11" t="str">
        <f>'ef-FT'!E247</f>
        <v>Real Salt Lake</v>
      </c>
      <c r="D208" s="32" t="str">
        <f>'ef-FT'!M247</f>
        <v/>
      </c>
      <c r="E208" s="11" t="str">
        <f>'ef-FT'!G247</f>
        <v>Colorado</v>
      </c>
      <c r="F208" s="32" t="str">
        <f>'ef-FT'!O247</f>
        <v/>
      </c>
      <c r="G208" s="97"/>
      <c r="H208" s="97"/>
      <c r="I208" s="97"/>
      <c r="J208" s="49"/>
      <c r="K208" s="49"/>
      <c r="L208" s="49"/>
      <c r="M208" s="49"/>
      <c r="N208" s="49"/>
    </row>
    <row r="209" spans="1:14">
      <c r="A209" s="38">
        <f>'ef-FT'!K248</f>
        <v>40450.833333333336</v>
      </c>
      <c r="B209" s="39">
        <f>'ef-FT'!K248</f>
        <v>40450.833333333336</v>
      </c>
      <c r="C209" s="11" t="str">
        <f>'ef-FT'!E248</f>
        <v>Colorado</v>
      </c>
      <c r="D209" s="32" t="str">
        <f>'ef-FT'!M248</f>
        <v/>
      </c>
      <c r="E209" s="11" t="str">
        <f>'ef-FT'!G248</f>
        <v>Philadelphia Union</v>
      </c>
      <c r="F209" s="32" t="str">
        <f>'ef-FT'!O248</f>
        <v/>
      </c>
      <c r="G209" s="97"/>
      <c r="H209" s="97"/>
      <c r="I209" s="97"/>
      <c r="J209" s="49"/>
      <c r="K209" s="49"/>
      <c r="L209" s="49"/>
      <c r="M209" s="49"/>
      <c r="N209" s="49"/>
    </row>
    <row r="210" spans="1:14">
      <c r="A210" s="38">
        <f>'ef-FT'!K249</f>
        <v>40450.916666666664</v>
      </c>
      <c r="B210" s="39">
        <f>'ef-FT'!K249</f>
        <v>40450.916666666664</v>
      </c>
      <c r="C210" s="11" t="str">
        <f>'ef-FT'!E249</f>
        <v>San Jose</v>
      </c>
      <c r="D210" s="32" t="str">
        <f>'ef-FT'!M249</f>
        <v/>
      </c>
      <c r="E210" s="11" t="str">
        <f>'ef-FT'!G249</f>
        <v>Chicago</v>
      </c>
      <c r="F210" s="32" t="str">
        <f>'ef-FT'!O249</f>
        <v/>
      </c>
      <c r="G210" s="97"/>
      <c r="H210" s="97"/>
      <c r="I210" s="97"/>
      <c r="J210" s="49"/>
      <c r="K210" s="49"/>
      <c r="L210" s="49"/>
      <c r="M210" s="49"/>
      <c r="N210" s="49"/>
    </row>
    <row r="211" spans="1:14">
      <c r="A211" s="38">
        <f>'ef-FT'!K250</f>
        <v>40453.604166666664</v>
      </c>
      <c r="B211" s="39">
        <f>'ef-FT'!K250</f>
        <v>40453.604166666664</v>
      </c>
      <c r="C211" s="11" t="str">
        <f>'ef-FT'!E250</f>
        <v>Seattle Sounders FC</v>
      </c>
      <c r="D211" s="32" t="str">
        <f>'ef-FT'!M250</f>
        <v/>
      </c>
      <c r="E211" s="11" t="str">
        <f>'ef-FT'!G250</f>
        <v>Toronto FC</v>
      </c>
      <c r="F211" s="32" t="str">
        <f>'ef-FT'!O250</f>
        <v/>
      </c>
      <c r="G211" s="97"/>
      <c r="H211" s="97"/>
      <c r="I211" s="97"/>
      <c r="J211" s="49"/>
      <c r="K211" s="49"/>
      <c r="L211" s="49"/>
      <c r="M211" s="49"/>
      <c r="N211" s="49"/>
    </row>
    <row r="212" spans="1:14">
      <c r="A212" s="38">
        <f>'ef-FT'!K251</f>
        <v>40453.625</v>
      </c>
      <c r="B212" s="39">
        <f>'ef-FT'!K251</f>
        <v>40453.625</v>
      </c>
      <c r="C212" s="11" t="str">
        <f>'ef-FT'!E251</f>
        <v>Philadelphia Union</v>
      </c>
      <c r="D212" s="32" t="str">
        <f>'ef-FT'!M251</f>
        <v/>
      </c>
      <c r="E212" s="11" t="str">
        <f>'ef-FT'!G251</f>
        <v>Houston</v>
      </c>
      <c r="F212" s="32" t="str">
        <f>'ef-FT'!O251</f>
        <v/>
      </c>
      <c r="G212" s="97"/>
      <c r="H212" s="97"/>
      <c r="I212" s="97"/>
      <c r="J212" s="49"/>
      <c r="K212" s="49"/>
      <c r="L212" s="49"/>
      <c r="M212" s="49"/>
      <c r="N212" s="49"/>
    </row>
    <row r="213" spans="1:14">
      <c r="A213" s="38">
        <f>'ef-FT'!K252</f>
        <v>40453.666666666664</v>
      </c>
      <c r="B213" s="39">
        <f>'ef-FT'!K252</f>
        <v>40453.666666666664</v>
      </c>
      <c r="C213" s="11" t="str">
        <f>'ef-FT'!E252</f>
        <v>Colorado</v>
      </c>
      <c r="D213" s="32" t="str">
        <f>'ef-FT'!M252</f>
        <v/>
      </c>
      <c r="E213" s="11" t="str">
        <f>'ef-FT'!G252</f>
        <v>DC United</v>
      </c>
      <c r="F213" s="32" t="str">
        <f>'ef-FT'!O252</f>
        <v/>
      </c>
      <c r="G213" s="12" t="str">
        <f ca="1">HYPERLINK('ef-FT'!$C$36,"á")</f>
        <v>á</v>
      </c>
      <c r="H213" s="12"/>
      <c r="I213" s="2"/>
      <c r="J213" s="49"/>
      <c r="K213" s="49"/>
      <c r="L213" s="49"/>
      <c r="M213" s="49"/>
      <c r="N213" s="49"/>
    </row>
    <row r="214" spans="1:14">
      <c r="A214" s="38">
        <f>'ef-FT'!K253</f>
        <v>40453.770833333336</v>
      </c>
      <c r="B214" s="39">
        <f>'ef-FT'!K253</f>
        <v>40453.770833333336</v>
      </c>
      <c r="C214" s="11" t="str">
        <f>'ef-FT'!E253</f>
        <v>Columbus</v>
      </c>
      <c r="D214" s="32" t="str">
        <f>'ef-FT'!M253</f>
        <v/>
      </c>
      <c r="E214" s="11" t="str">
        <f>'ef-FT'!G253</f>
        <v>San Jose</v>
      </c>
      <c r="F214" s="32" t="str">
        <f>'ef-FT'!O253</f>
        <v/>
      </c>
      <c r="G214" s="98"/>
      <c r="H214" s="98"/>
      <c r="I214" s="97"/>
      <c r="J214" s="45"/>
      <c r="K214" s="47"/>
      <c r="L214" s="49"/>
      <c r="M214" s="49"/>
      <c r="N214" s="49"/>
    </row>
    <row r="215" spans="1:14">
      <c r="A215" s="38">
        <f>'ef-FT'!K254</f>
        <v>40453.770833333336</v>
      </c>
      <c r="B215" s="39">
        <f>'ef-FT'!K254</f>
        <v>40453.770833333336</v>
      </c>
      <c r="C215" s="11" t="str">
        <f>'ef-FT'!E254</f>
        <v>New England</v>
      </c>
      <c r="D215" s="32" t="str">
        <f>'ef-FT'!M254</f>
        <v/>
      </c>
      <c r="E215" s="11" t="str">
        <f>'ef-FT'!G254</f>
        <v>Real Salt Lake</v>
      </c>
      <c r="F215" s="32" t="str">
        <f>'ef-FT'!O254</f>
        <v/>
      </c>
      <c r="G215" s="97"/>
      <c r="H215" s="97"/>
      <c r="I215" s="97"/>
      <c r="J215" s="49"/>
      <c r="K215" s="49"/>
      <c r="L215" s="49"/>
      <c r="M215" s="49"/>
      <c r="N215" s="49"/>
    </row>
    <row r="216" spans="1:14">
      <c r="A216" s="38">
        <f>'ef-FT'!K255</f>
        <v>40453.770833333336</v>
      </c>
      <c r="B216" s="39">
        <f>'ef-FT'!K255</f>
        <v>40453.770833333336</v>
      </c>
      <c r="C216" s="11" t="str">
        <f>'ef-FT'!E255</f>
        <v>New York Red Bulls</v>
      </c>
      <c r="D216" s="32" t="str">
        <f>'ef-FT'!M255</f>
        <v/>
      </c>
      <c r="E216" s="11" t="str">
        <f>'ef-FT'!G255</f>
        <v>Kansas City</v>
      </c>
      <c r="F216" s="32" t="str">
        <f>'ef-FT'!O255</f>
        <v/>
      </c>
      <c r="G216" s="97"/>
      <c r="H216" s="97"/>
      <c r="I216" s="97"/>
      <c r="J216" s="49"/>
      <c r="K216" s="49"/>
      <c r="L216" s="49"/>
      <c r="M216" s="49"/>
      <c r="N216" s="49"/>
    </row>
    <row r="217" spans="1:14">
      <c r="A217" s="38">
        <f>'ef-FT'!K256</f>
        <v>40453.8125</v>
      </c>
      <c r="B217" s="39">
        <f>'ef-FT'!K256</f>
        <v>40453.8125</v>
      </c>
      <c r="C217" s="11" t="str">
        <f>'ef-FT'!E256</f>
        <v>Dallas</v>
      </c>
      <c r="D217" s="32" t="str">
        <f>'ef-FT'!M256</f>
        <v/>
      </c>
      <c r="E217" s="11" t="str">
        <f>'ef-FT'!G256</f>
        <v>Chicago</v>
      </c>
      <c r="F217" s="32" t="str">
        <f>'ef-FT'!O256</f>
        <v/>
      </c>
      <c r="G217" s="97"/>
      <c r="H217" s="97"/>
      <c r="I217" s="97"/>
      <c r="J217" s="49"/>
      <c r="K217" s="49"/>
      <c r="L217" s="49"/>
      <c r="M217" s="49"/>
      <c r="N217" s="49"/>
    </row>
    <row r="218" spans="1:14">
      <c r="A218" s="38">
        <f>'ef-FT'!K257</f>
        <v>40454.791666666664</v>
      </c>
      <c r="B218" s="39">
        <f>'ef-FT'!K257</f>
        <v>40454.791666666664</v>
      </c>
      <c r="C218" s="11" t="str">
        <f>'ef-FT'!E257</f>
        <v>Chivas USA</v>
      </c>
      <c r="D218" s="32" t="str">
        <f>'ef-FT'!M257</f>
        <v/>
      </c>
      <c r="E218" s="11" t="str">
        <f>'ef-FT'!G257</f>
        <v>Los Angeles</v>
      </c>
      <c r="F218" s="32" t="str">
        <f>'ef-FT'!O257</f>
        <v/>
      </c>
      <c r="G218" s="97"/>
      <c r="H218" s="97"/>
      <c r="I218" s="97"/>
      <c r="J218" s="49"/>
      <c r="K218" s="49"/>
      <c r="L218" s="49"/>
      <c r="M218" s="49"/>
      <c r="N218" s="49"/>
    </row>
    <row r="219" spans="1:14">
      <c r="A219" s="38">
        <f>'ef-FT'!K258</f>
        <v>40458.791666666664</v>
      </c>
      <c r="B219" s="39">
        <f>'ef-FT'!K258</f>
        <v>40458.791666666664</v>
      </c>
      <c r="C219" s="11" t="str">
        <f>'ef-FT'!E258</f>
        <v>Philadelphia Union</v>
      </c>
      <c r="D219" s="32" t="str">
        <f>'ef-FT'!M258</f>
        <v/>
      </c>
      <c r="E219" s="11" t="str">
        <f>'ef-FT'!G258</f>
        <v>Los Angeles</v>
      </c>
      <c r="F219" s="32" t="str">
        <f>'ef-FT'!O258</f>
        <v/>
      </c>
      <c r="G219" s="97"/>
      <c r="H219" s="97"/>
      <c r="I219" s="97"/>
      <c r="J219" s="49"/>
      <c r="K219" s="49"/>
      <c r="L219" s="49"/>
      <c r="M219" s="49"/>
      <c r="N219" s="49"/>
    </row>
    <row r="220" spans="1:14">
      <c r="A220" s="38">
        <f>'ef-FT'!K259</f>
        <v>40459.8125</v>
      </c>
      <c r="B220" s="39">
        <f>'ef-FT'!K259</f>
        <v>40459.8125</v>
      </c>
      <c r="C220" s="11" t="str">
        <f>'ef-FT'!E259</f>
        <v>Chicago</v>
      </c>
      <c r="D220" s="32" t="str">
        <f>'ef-FT'!M259</f>
        <v/>
      </c>
      <c r="E220" s="11" t="str">
        <f>'ef-FT'!G259</f>
        <v>Columbus</v>
      </c>
      <c r="F220" s="32" t="str">
        <f>'ef-FT'!O259</f>
        <v/>
      </c>
      <c r="G220" s="97"/>
      <c r="H220" s="97"/>
      <c r="I220" s="97"/>
      <c r="J220" s="49"/>
      <c r="K220" s="49"/>
      <c r="L220" s="49"/>
      <c r="M220" s="49"/>
      <c r="N220" s="49"/>
    </row>
    <row r="221" spans="1:14">
      <c r="A221" s="38">
        <f>'ef-FT'!K260</f>
        <v>40460.625</v>
      </c>
      <c r="B221" s="39">
        <f>'ef-FT'!K260</f>
        <v>40460.625</v>
      </c>
      <c r="C221" s="11" t="str">
        <f>'ef-FT'!E260</f>
        <v>Dallas</v>
      </c>
      <c r="D221" s="32" t="str">
        <f>'ef-FT'!M260</f>
        <v/>
      </c>
      <c r="E221" s="11" t="str">
        <f>'ef-FT'!G260</f>
        <v>Colorado</v>
      </c>
      <c r="F221" s="32" t="str">
        <f>'ef-FT'!O260</f>
        <v/>
      </c>
      <c r="G221" s="97"/>
      <c r="H221" s="97"/>
      <c r="I221" s="97"/>
      <c r="J221" s="49"/>
      <c r="K221" s="49"/>
      <c r="L221" s="49"/>
      <c r="M221" s="49"/>
      <c r="N221" s="49"/>
    </row>
    <row r="222" spans="1:14">
      <c r="A222" s="38">
        <f>'ef-FT'!K261</f>
        <v>40460.645833333336</v>
      </c>
      <c r="B222" s="39">
        <f>'ef-FT'!K261</f>
        <v>40460.645833333336</v>
      </c>
      <c r="C222" s="11" t="str">
        <f>'ef-FT'!E261</f>
        <v>New York Red Bulls</v>
      </c>
      <c r="D222" s="32" t="str">
        <f>'ef-FT'!M261</f>
        <v/>
      </c>
      <c r="E222" s="11" t="str">
        <f>'ef-FT'!G261</f>
        <v>Real Salt Lake</v>
      </c>
      <c r="F222" s="32" t="str">
        <f>'ef-FT'!O261</f>
        <v/>
      </c>
      <c r="G222" s="97"/>
      <c r="H222" s="97"/>
      <c r="I222" s="97"/>
      <c r="J222" s="49"/>
      <c r="K222" s="49"/>
      <c r="L222" s="49"/>
      <c r="M222" s="49"/>
      <c r="N222" s="49"/>
    </row>
    <row r="223" spans="1:14">
      <c r="A223" s="38">
        <f>'ef-FT'!K262</f>
        <v>40460.770833333336</v>
      </c>
      <c r="B223" s="39">
        <f>'ef-FT'!K262</f>
        <v>40460.770833333336</v>
      </c>
      <c r="C223" s="11" t="str">
        <f>'ef-FT'!E262</f>
        <v>DC United</v>
      </c>
      <c r="D223" s="32" t="str">
        <f>'ef-FT'!M262</f>
        <v/>
      </c>
      <c r="E223" s="11" t="str">
        <f>'ef-FT'!G262</f>
        <v>San Jose</v>
      </c>
      <c r="F223" s="32" t="str">
        <f>'ef-FT'!O262</f>
        <v/>
      </c>
      <c r="G223" s="97"/>
      <c r="H223" s="97"/>
      <c r="I223" s="97"/>
      <c r="J223" s="49"/>
      <c r="K223" s="49"/>
      <c r="L223" s="49"/>
      <c r="M223" s="49"/>
      <c r="N223" s="49"/>
    </row>
    <row r="224" spans="1:14">
      <c r="A224" s="38">
        <f>'ef-FT'!K263</f>
        <v>40460.8125</v>
      </c>
      <c r="B224" s="39">
        <f>'ef-FT'!K263</f>
        <v>40460.8125</v>
      </c>
      <c r="C224" s="11" t="str">
        <f>'ef-FT'!E263</f>
        <v>Kansas City</v>
      </c>
      <c r="D224" s="32" t="str">
        <f>'ef-FT'!M263</f>
        <v/>
      </c>
      <c r="E224" s="11" t="str">
        <f>'ef-FT'!G263</f>
        <v>Seattle Sounders FC</v>
      </c>
      <c r="F224" s="32" t="str">
        <f>'ef-FT'!O263</f>
        <v/>
      </c>
      <c r="G224" s="12" t="str">
        <f ca="1">HYPERLINK('ef-FT'!$C$36,"á")</f>
        <v>á</v>
      </c>
      <c r="H224" s="12"/>
      <c r="I224" s="2"/>
      <c r="J224" s="167" t="s">
        <v>2</v>
      </c>
      <c r="K224" s="167"/>
      <c r="L224" s="167"/>
      <c r="M224" s="167"/>
      <c r="N224" s="167"/>
    </row>
    <row r="225" spans="1:14">
      <c r="A225" s="38">
        <f>'ef-FT'!K264</f>
        <v>40460.895833333336</v>
      </c>
      <c r="B225" s="39">
        <f>'ef-FT'!K264</f>
        <v>40460.895833333336</v>
      </c>
      <c r="C225" s="11" t="str">
        <f>'ef-FT'!E264</f>
        <v>Chivas USA</v>
      </c>
      <c r="D225" s="32" t="str">
        <f>'ef-FT'!M264</f>
        <v/>
      </c>
      <c r="E225" s="11" t="str">
        <f>'ef-FT'!G264</f>
        <v>Toronto FC</v>
      </c>
      <c r="F225" s="32" t="str">
        <f>'ef-FT'!O264</f>
        <v/>
      </c>
      <c r="G225" s="98"/>
      <c r="H225" s="98"/>
      <c r="I225" s="97"/>
      <c r="J225" s="167"/>
      <c r="K225" s="167"/>
      <c r="L225" s="167"/>
      <c r="M225" s="167"/>
      <c r="N225" s="167"/>
    </row>
    <row r="226" spans="1:14">
      <c r="A226" s="38">
        <f>'ef-FT'!K265</f>
        <v>40461.8125</v>
      </c>
      <c r="B226" s="39">
        <f>'ef-FT'!K265</f>
        <v>40461.8125</v>
      </c>
      <c r="C226" s="11" t="str">
        <f>'ef-FT'!E265</f>
        <v>Houston</v>
      </c>
      <c r="D226" s="32" t="str">
        <f>'ef-FT'!M265</f>
        <v/>
      </c>
      <c r="E226" s="11" t="str">
        <f>'ef-FT'!G265</f>
        <v>New England</v>
      </c>
      <c r="F226" s="32" t="str">
        <f>'ef-FT'!O265</f>
        <v/>
      </c>
      <c r="G226" s="97"/>
      <c r="H226" s="97"/>
      <c r="I226" s="97"/>
      <c r="J226" s="166" t="s">
        <v>5</v>
      </c>
      <c r="K226" s="166"/>
      <c r="L226" s="166"/>
      <c r="M226" s="166"/>
      <c r="N226" s="166"/>
    </row>
    <row r="227" spans="1:14">
      <c r="A227" s="38">
        <f>'ef-FT'!K266</f>
        <v>40463.8125</v>
      </c>
      <c r="B227" s="39">
        <f>'ef-FT'!K266</f>
        <v>40463.8125</v>
      </c>
      <c r="C227" s="11" t="str">
        <f>'ef-FT'!E266</f>
        <v>Chicago</v>
      </c>
      <c r="D227" s="32" t="str">
        <f>'ef-FT'!M266</f>
        <v/>
      </c>
      <c r="E227" s="11" t="str">
        <f>'ef-FT'!G266</f>
        <v>Kansas City</v>
      </c>
      <c r="F227" s="32" t="str">
        <f>'ef-FT'!O266</f>
        <v/>
      </c>
      <c r="G227" s="97"/>
      <c r="H227" s="97"/>
      <c r="I227" s="97"/>
      <c r="J227" s="49"/>
      <c r="K227" s="49"/>
      <c r="L227" s="49"/>
      <c r="M227" s="49"/>
      <c r="N227" s="49"/>
    </row>
    <row r="228" spans="1:14">
      <c r="A228" s="38">
        <f>'ef-FT'!K267</f>
        <v>40466.916666666664</v>
      </c>
      <c r="B228" s="39">
        <f>'ef-FT'!K267</f>
        <v>40466.916666666664</v>
      </c>
      <c r="C228" s="11" t="str">
        <f>'ef-FT'!E267</f>
        <v>Seattle Sounders FC</v>
      </c>
      <c r="D228" s="32" t="str">
        <f>'ef-FT'!M267</f>
        <v/>
      </c>
      <c r="E228" s="11" t="str">
        <f>'ef-FT'!G267</f>
        <v>Chivas USA</v>
      </c>
      <c r="F228" s="32" t="str">
        <f>'ef-FT'!O267</f>
        <v/>
      </c>
      <c r="G228" s="97"/>
      <c r="H228" s="97"/>
      <c r="I228" s="97"/>
      <c r="J228" s="49"/>
      <c r="K228" s="49"/>
      <c r="L228" s="49"/>
      <c r="M228" s="49"/>
      <c r="N228" s="49"/>
    </row>
    <row r="229" spans="1:14">
      <c r="A229" s="38">
        <f>'ef-FT'!K268</f>
        <v>40467.625</v>
      </c>
      <c r="B229" s="39">
        <f>'ef-FT'!K268</f>
        <v>40467.625</v>
      </c>
      <c r="C229" s="11" t="str">
        <f>'ef-FT'!E268</f>
        <v>Chicago</v>
      </c>
      <c r="D229" s="32" t="str">
        <f>'ef-FT'!M268</f>
        <v/>
      </c>
      <c r="E229" s="11" t="str">
        <f>'ef-FT'!G268</f>
        <v>DC United</v>
      </c>
      <c r="F229" s="32" t="str">
        <f>'ef-FT'!O268</f>
        <v/>
      </c>
      <c r="G229" s="97"/>
      <c r="H229" s="97"/>
      <c r="I229" s="97"/>
      <c r="J229" s="49"/>
      <c r="K229" s="49"/>
      <c r="L229" s="49"/>
      <c r="M229" s="49"/>
      <c r="N229" s="49"/>
    </row>
    <row r="230" spans="1:14">
      <c r="A230" s="38">
        <f>'ef-FT'!K269</f>
        <v>40467.625</v>
      </c>
      <c r="B230" s="39">
        <f>'ef-FT'!K269</f>
        <v>40467.625</v>
      </c>
      <c r="C230" s="11" t="str">
        <f>'ef-FT'!E269</f>
        <v>Toronto FC</v>
      </c>
      <c r="D230" s="32" t="str">
        <f>'ef-FT'!M269</f>
        <v/>
      </c>
      <c r="E230" s="11" t="str">
        <f>'ef-FT'!G269</f>
        <v>Columbus</v>
      </c>
      <c r="F230" s="32" t="str">
        <f>'ef-FT'!O269</f>
        <v/>
      </c>
      <c r="G230" s="97"/>
      <c r="H230" s="97"/>
      <c r="I230" s="97"/>
      <c r="J230" s="49"/>
      <c r="K230" s="49"/>
      <c r="L230" s="49"/>
      <c r="M230" s="49"/>
      <c r="N230" s="49"/>
    </row>
    <row r="231" spans="1:14">
      <c r="A231" s="38">
        <f>'ef-FT'!K270</f>
        <v>40467.708333333336</v>
      </c>
      <c r="B231" s="39">
        <f>'ef-FT'!K270</f>
        <v>40467.708333333336</v>
      </c>
      <c r="C231" s="11" t="str">
        <f>'ef-FT'!E270</f>
        <v>Philadelphia Union</v>
      </c>
      <c r="D231" s="32" t="str">
        <f>'ef-FT'!M270</f>
        <v/>
      </c>
      <c r="E231" s="11" t="str">
        <f>'ef-FT'!G270</f>
        <v>New York Red Bulls</v>
      </c>
      <c r="F231" s="32" t="str">
        <f>'ef-FT'!O270</f>
        <v/>
      </c>
      <c r="G231" s="97"/>
      <c r="H231" s="97"/>
      <c r="I231" s="97"/>
      <c r="J231" s="49"/>
      <c r="K231" s="49"/>
      <c r="L231" s="49"/>
      <c r="M231" s="49"/>
      <c r="N231" s="49"/>
    </row>
    <row r="232" spans="1:14">
      <c r="A232" s="38">
        <f>'ef-FT'!K271</f>
        <v>40467.791666666664</v>
      </c>
      <c r="B232" s="39">
        <f>'ef-FT'!K271</f>
        <v>40467.791666666664</v>
      </c>
      <c r="C232" s="11" t="str">
        <f>'ef-FT'!E271</f>
        <v>New England</v>
      </c>
      <c r="D232" s="32" t="str">
        <f>'ef-FT'!M271</f>
        <v/>
      </c>
      <c r="E232" s="11" t="str">
        <f>'ef-FT'!G271</f>
        <v>Kansas City</v>
      </c>
      <c r="F232" s="32" t="str">
        <f>'ef-FT'!O271</f>
        <v/>
      </c>
      <c r="G232" s="97"/>
      <c r="H232" s="97"/>
      <c r="I232" s="97"/>
      <c r="J232" s="49"/>
      <c r="K232" s="49"/>
      <c r="L232" s="49"/>
      <c r="M232" s="49"/>
      <c r="N232" s="49"/>
    </row>
    <row r="233" spans="1:14">
      <c r="A233" s="38">
        <f>'ef-FT'!K272</f>
        <v>40467.833333333336</v>
      </c>
      <c r="B233" s="39">
        <f>'ef-FT'!K272</f>
        <v>40467.833333333336</v>
      </c>
      <c r="C233" s="11" t="str">
        <f>'ef-FT'!E272</f>
        <v>Real Salt Lake</v>
      </c>
      <c r="D233" s="32" t="str">
        <f>'ef-FT'!M272</f>
        <v/>
      </c>
      <c r="E233" s="11" t="str">
        <f>'ef-FT'!G272</f>
        <v>Dallas</v>
      </c>
      <c r="F233" s="32" t="str">
        <f>'ef-FT'!O272</f>
        <v/>
      </c>
      <c r="G233" s="97"/>
      <c r="H233" s="97"/>
      <c r="I233" s="97"/>
      <c r="J233" s="49"/>
      <c r="K233" s="49"/>
      <c r="L233" s="49"/>
      <c r="M233" s="49"/>
      <c r="N233" s="49"/>
    </row>
    <row r="234" spans="1:14">
      <c r="A234" s="38">
        <f>'ef-FT'!K273</f>
        <v>40467.875</v>
      </c>
      <c r="B234" s="39">
        <f>'ef-FT'!K273</f>
        <v>40467.875</v>
      </c>
      <c r="C234" s="11" t="str">
        <f>'ef-FT'!E273</f>
        <v>San Jose</v>
      </c>
      <c r="D234" s="32" t="str">
        <f>'ef-FT'!M273</f>
        <v/>
      </c>
      <c r="E234" s="11" t="str">
        <f>'ef-FT'!G273</f>
        <v>Houston</v>
      </c>
      <c r="F234" s="32" t="str">
        <f>'ef-FT'!O273</f>
        <v/>
      </c>
      <c r="G234" s="97"/>
      <c r="H234" s="97"/>
      <c r="I234" s="97"/>
      <c r="J234" s="49"/>
      <c r="K234" s="49"/>
      <c r="L234" s="49"/>
      <c r="M234" s="49"/>
      <c r="N234" s="49"/>
    </row>
    <row r="235" spans="1:14">
      <c r="A235" s="38">
        <f>'ef-FT'!K274</f>
        <v>40467.895833333336</v>
      </c>
      <c r="B235" s="39">
        <f>'ef-FT'!K274</f>
        <v>40467.895833333336</v>
      </c>
      <c r="C235" s="11" t="str">
        <f>'ef-FT'!E274</f>
        <v>Los Angeles</v>
      </c>
      <c r="D235" s="32" t="str">
        <f>'ef-FT'!M274</f>
        <v/>
      </c>
      <c r="E235" s="11" t="str">
        <f>'ef-FT'!G274</f>
        <v>Colorado</v>
      </c>
      <c r="F235" s="32" t="str">
        <f>'ef-FT'!O274</f>
        <v/>
      </c>
      <c r="G235" s="12" t="str">
        <f ca="1">HYPERLINK('ef-FT'!$C$36,"á")</f>
        <v>á</v>
      </c>
      <c r="H235" s="12"/>
      <c r="I235" s="2"/>
      <c r="J235" s="49"/>
      <c r="K235" s="49"/>
      <c r="L235" s="49"/>
      <c r="M235" s="49"/>
      <c r="N235" s="49"/>
    </row>
    <row r="236" spans="1:14">
      <c r="A236" s="38">
        <f>'ef-FT'!K275</f>
        <v>40471.833333333336</v>
      </c>
      <c r="B236" s="39">
        <f>'ef-FT'!K275</f>
        <v>40471.833333333336</v>
      </c>
      <c r="C236" s="11" t="str">
        <f>'ef-FT'!E275</f>
        <v>San Jose</v>
      </c>
      <c r="D236" s="32" t="str">
        <f>'ef-FT'!M275</f>
        <v/>
      </c>
      <c r="E236" s="11" t="str">
        <f>'ef-FT'!G275</f>
        <v>Chivas USA</v>
      </c>
      <c r="F236" s="32" t="str">
        <f>'ef-FT'!O275</f>
        <v/>
      </c>
      <c r="G236" s="98"/>
      <c r="H236" s="98"/>
      <c r="I236" s="97"/>
      <c r="J236" s="45"/>
      <c r="K236" s="47"/>
      <c r="L236" s="49"/>
      <c r="M236" s="49"/>
      <c r="N236" s="49"/>
    </row>
    <row r="237" spans="1:14">
      <c r="A237" s="38">
        <f>'ef-FT'!K276</f>
        <v>40472.729166666664</v>
      </c>
      <c r="B237" s="39">
        <f>'ef-FT'!K276</f>
        <v>40472.729166666664</v>
      </c>
      <c r="C237" s="11" t="str">
        <f>'ef-FT'!E276</f>
        <v>New York Red Bulls</v>
      </c>
      <c r="D237" s="32" t="str">
        <f>'ef-FT'!M276</f>
        <v/>
      </c>
      <c r="E237" s="11" t="str">
        <f>'ef-FT'!G276</f>
        <v>New England</v>
      </c>
      <c r="F237" s="32" t="str">
        <f>'ef-FT'!O276</f>
        <v/>
      </c>
      <c r="G237" s="97"/>
      <c r="H237" s="97"/>
      <c r="I237" s="97"/>
      <c r="J237" s="49"/>
      <c r="K237" s="49"/>
      <c r="L237" s="49"/>
      <c r="M237" s="49"/>
      <c r="N237" s="49"/>
    </row>
    <row r="238" spans="1:14">
      <c r="A238" s="38">
        <f>'ef-FT'!K277</f>
        <v>40474.583333333336</v>
      </c>
      <c r="B238" s="39">
        <f>'ef-FT'!K277</f>
        <v>40474.583333333336</v>
      </c>
      <c r="C238" s="11" t="str">
        <f>'ef-FT'!E277</f>
        <v>Houston</v>
      </c>
      <c r="D238" s="32" t="str">
        <f>'ef-FT'!M277</f>
        <v/>
      </c>
      <c r="E238" s="11" t="str">
        <f>'ef-FT'!G277</f>
        <v>Seattle Sounders FC</v>
      </c>
      <c r="F238" s="32" t="str">
        <f>'ef-FT'!O277</f>
        <v/>
      </c>
      <c r="G238" s="97"/>
      <c r="H238" s="97"/>
      <c r="I238" s="97"/>
      <c r="J238" s="49"/>
      <c r="K238" s="49"/>
      <c r="L238" s="49"/>
      <c r="M238" s="49"/>
      <c r="N238" s="49"/>
    </row>
    <row r="239" spans="1:14">
      <c r="A239" s="38">
        <f>'ef-FT'!K278</f>
        <v>40474.625</v>
      </c>
      <c r="B239" s="39">
        <f>'ef-FT'!K278</f>
        <v>40474.625</v>
      </c>
      <c r="C239" s="11" t="str">
        <f>'ef-FT'!E278</f>
        <v>Colorado</v>
      </c>
      <c r="D239" s="32" t="str">
        <f>'ef-FT'!M278</f>
        <v/>
      </c>
      <c r="E239" s="11" t="str">
        <f>'ef-FT'!G278</f>
        <v>Real Salt Lake</v>
      </c>
      <c r="F239" s="32" t="str">
        <f>'ef-FT'!O278</f>
        <v/>
      </c>
      <c r="G239" s="97"/>
      <c r="H239" s="97"/>
      <c r="I239" s="97"/>
      <c r="J239" s="49"/>
      <c r="K239" s="49"/>
      <c r="L239" s="49"/>
      <c r="M239" s="49"/>
      <c r="N239" s="49"/>
    </row>
    <row r="240" spans="1:14">
      <c r="A240" s="38">
        <f>'ef-FT'!K279</f>
        <v>40474.729166666664</v>
      </c>
      <c r="B240" s="39">
        <f>'ef-FT'!K279</f>
        <v>40474.729166666664</v>
      </c>
      <c r="C240" s="11" t="str">
        <f>'ef-FT'!E279</f>
        <v>DC United</v>
      </c>
      <c r="D240" s="32" t="str">
        <f>'ef-FT'!M279</f>
        <v/>
      </c>
      <c r="E240" s="11" t="str">
        <f>'ef-FT'!G279</f>
        <v>Toronto FC</v>
      </c>
      <c r="F240" s="32" t="str">
        <f>'ef-FT'!O279</f>
        <v/>
      </c>
      <c r="G240" s="97"/>
      <c r="H240" s="97"/>
      <c r="I240" s="97"/>
      <c r="J240" s="49"/>
      <c r="K240" s="49"/>
      <c r="L240" s="49"/>
      <c r="M240" s="49"/>
      <c r="N240" s="49"/>
    </row>
    <row r="241" spans="1:14">
      <c r="A241" s="38">
        <f>'ef-FT'!K280</f>
        <v>40474.770833333336</v>
      </c>
      <c r="B241" s="39">
        <f>'ef-FT'!K280</f>
        <v>40474.770833333336</v>
      </c>
      <c r="C241" s="11" t="str">
        <f>'ef-FT'!E280</f>
        <v>Kansas City</v>
      </c>
      <c r="D241" s="32" t="str">
        <f>'ef-FT'!M280</f>
        <v/>
      </c>
      <c r="E241" s="11" t="str">
        <f>'ef-FT'!G280</f>
        <v>San Jose</v>
      </c>
      <c r="F241" s="32" t="str">
        <f>'ef-FT'!O280</f>
        <v/>
      </c>
      <c r="G241" s="97"/>
      <c r="H241" s="97"/>
      <c r="I241" s="97"/>
      <c r="J241" s="49"/>
      <c r="K241" s="49"/>
      <c r="L241" s="49"/>
      <c r="M241" s="49"/>
      <c r="N241" s="49"/>
    </row>
    <row r="242" spans="1:14">
      <c r="A242" s="38">
        <f>'ef-FT'!K281</f>
        <v>40474.875</v>
      </c>
      <c r="B242" s="39">
        <f>'ef-FT'!K281</f>
        <v>40474.875</v>
      </c>
      <c r="C242" s="11" t="str">
        <f>'ef-FT'!E281</f>
        <v>Chivas USA</v>
      </c>
      <c r="D242" s="32" t="str">
        <f>'ef-FT'!M281</f>
        <v/>
      </c>
      <c r="E242" s="11" t="str">
        <f>'ef-FT'!G281</f>
        <v>Chicago</v>
      </c>
      <c r="F242" s="32" t="str">
        <f>'ef-FT'!O281</f>
        <v/>
      </c>
      <c r="G242" s="98"/>
      <c r="H242" s="98"/>
      <c r="I242" s="97"/>
      <c r="J242" s="45"/>
      <c r="K242" s="47"/>
      <c r="L242" s="49"/>
      <c r="M242" s="49"/>
      <c r="N242" s="49"/>
    </row>
    <row r="243" spans="1:14">
      <c r="A243" s="38">
        <f>'ef-FT'!K282</f>
        <v>40475.583333333336</v>
      </c>
      <c r="B243" s="39">
        <f>'ef-FT'!K282</f>
        <v>40475.583333333336</v>
      </c>
      <c r="C243" s="11" t="str">
        <f>'ef-FT'!E282</f>
        <v>Columbus</v>
      </c>
      <c r="D243" s="32" t="str">
        <f>'ef-FT'!M282</f>
        <v/>
      </c>
      <c r="E243" s="11" t="str">
        <f>'ef-FT'!G282</f>
        <v>Philadelphia Union</v>
      </c>
      <c r="F243" s="32" t="str">
        <f>'ef-FT'!O282</f>
        <v/>
      </c>
      <c r="G243" s="97"/>
      <c r="H243" s="97"/>
      <c r="I243" s="97"/>
      <c r="J243" s="49"/>
      <c r="K243" s="49"/>
      <c r="L243" s="49"/>
      <c r="M243" s="49"/>
      <c r="N243" s="49"/>
    </row>
    <row r="244" spans="1:14">
      <c r="A244" s="38">
        <f>'ef-FT'!K283</f>
        <v>40475.75</v>
      </c>
      <c r="B244" s="39">
        <f>'ef-FT'!K283</f>
        <v>40475.75</v>
      </c>
      <c r="C244" s="11" t="str">
        <f>'ef-FT'!E283</f>
        <v>Los Angeles</v>
      </c>
      <c r="D244" s="32" t="str">
        <f>'ef-FT'!M283</f>
        <v/>
      </c>
      <c r="E244" s="11" t="str">
        <f>'ef-FT'!G283</f>
        <v>Dallas</v>
      </c>
      <c r="F244" s="32" t="str">
        <f>'ef-FT'!O283</f>
        <v/>
      </c>
      <c r="G244" s="97"/>
      <c r="H244" s="97"/>
      <c r="I244" s="97"/>
      <c r="J244" s="49"/>
      <c r="K244" s="49"/>
      <c r="L244" s="49"/>
      <c r="M244" s="49"/>
      <c r="N244" s="49"/>
    </row>
    <row r="245" spans="1:14">
      <c r="A245" s="222"/>
      <c r="B245" s="223"/>
      <c r="C245" s="36"/>
      <c r="D245" s="224"/>
      <c r="E245" s="36"/>
      <c r="F245" s="224"/>
      <c r="G245" s="227"/>
      <c r="H245" s="227"/>
      <c r="I245" s="97"/>
      <c r="J245" s="49"/>
      <c r="K245" s="49"/>
      <c r="L245" s="49"/>
      <c r="M245" s="49"/>
      <c r="N245" s="49"/>
    </row>
    <row r="246" spans="1:14">
      <c r="A246" s="222"/>
      <c r="B246" s="223"/>
      <c r="C246" s="36"/>
      <c r="D246" s="224"/>
      <c r="E246" s="36"/>
      <c r="F246" s="224"/>
      <c r="G246" s="228"/>
      <c r="H246" s="228"/>
      <c r="I246" s="2"/>
      <c r="J246" s="49"/>
      <c r="K246" s="49"/>
      <c r="L246" s="49"/>
      <c r="M246" s="49"/>
      <c r="N246" s="49"/>
    </row>
    <row r="247" spans="1:14">
      <c r="A247" s="222"/>
      <c r="B247" s="223"/>
      <c r="C247" s="36"/>
      <c r="D247" s="224"/>
      <c r="E247" s="36"/>
      <c r="F247" s="224"/>
      <c r="G247" s="227"/>
      <c r="H247" s="227"/>
      <c r="I247" s="97"/>
      <c r="J247" s="49"/>
      <c r="K247" s="49"/>
      <c r="L247" s="49"/>
      <c r="M247" s="49"/>
      <c r="N247" s="49"/>
    </row>
    <row r="248" spans="1:14">
      <c r="A248" s="222"/>
      <c r="B248" s="223"/>
      <c r="C248" s="36"/>
      <c r="D248" s="224"/>
      <c r="E248" s="36"/>
      <c r="F248" s="224"/>
      <c r="G248" s="229"/>
      <c r="H248" s="229"/>
      <c r="I248" s="97"/>
      <c r="J248" s="45"/>
      <c r="K248" s="47"/>
      <c r="L248" s="49"/>
      <c r="M248" s="49"/>
      <c r="N248" s="49"/>
    </row>
    <row r="249" spans="1:14">
      <c r="A249" s="222"/>
      <c r="B249" s="223"/>
      <c r="C249" s="36"/>
      <c r="D249" s="224"/>
      <c r="E249" s="36"/>
      <c r="F249" s="224"/>
      <c r="G249" s="227"/>
      <c r="H249" s="227"/>
      <c r="I249" s="97"/>
      <c r="J249" s="49"/>
      <c r="K249" s="49"/>
      <c r="L249" s="49"/>
      <c r="M249" s="49"/>
      <c r="N249" s="49"/>
    </row>
    <row r="250" spans="1:14">
      <c r="A250" s="222"/>
      <c r="B250" s="223"/>
      <c r="C250" s="36"/>
      <c r="D250" s="224"/>
      <c r="E250" s="36"/>
      <c r="F250" s="224"/>
      <c r="G250" s="227"/>
      <c r="H250" s="227"/>
      <c r="I250" s="97"/>
      <c r="J250" s="49"/>
      <c r="K250" s="49"/>
      <c r="L250" s="49"/>
      <c r="M250" s="49"/>
      <c r="N250" s="49"/>
    </row>
    <row r="251" spans="1:14">
      <c r="A251" s="222"/>
      <c r="B251" s="223"/>
      <c r="C251" s="36"/>
      <c r="D251" s="224"/>
      <c r="E251" s="36"/>
      <c r="F251" s="224"/>
      <c r="G251" s="227"/>
      <c r="H251" s="227"/>
      <c r="I251" s="97"/>
      <c r="J251" s="49"/>
      <c r="K251" s="49"/>
      <c r="L251" s="49"/>
      <c r="M251" s="49"/>
      <c r="N251" s="49"/>
    </row>
    <row r="252" spans="1:14">
      <c r="A252" s="222"/>
      <c r="B252" s="223"/>
      <c r="C252" s="36"/>
      <c r="D252" s="224"/>
      <c r="E252" s="36"/>
      <c r="F252" s="224"/>
      <c r="G252" s="227"/>
      <c r="H252" s="227"/>
      <c r="I252" s="97"/>
      <c r="J252" s="49"/>
      <c r="K252" s="49"/>
      <c r="L252" s="49"/>
      <c r="M252" s="49"/>
      <c r="N252" s="49"/>
    </row>
    <row r="253" spans="1:14">
      <c r="A253" s="222"/>
      <c r="B253" s="223"/>
      <c r="C253" s="36"/>
      <c r="D253" s="224"/>
      <c r="E253" s="36"/>
      <c r="F253" s="224"/>
      <c r="G253" s="227"/>
      <c r="H253" s="227"/>
      <c r="I253" s="97"/>
      <c r="J253" s="49"/>
      <c r="K253" s="49"/>
      <c r="L253" s="49"/>
      <c r="M253" s="49"/>
      <c r="N253" s="49"/>
    </row>
    <row r="254" spans="1:14">
      <c r="A254" s="222"/>
      <c r="B254" s="223"/>
      <c r="C254" s="36"/>
      <c r="D254" s="224"/>
      <c r="E254" s="36"/>
      <c r="F254" s="224"/>
      <c r="G254" s="227"/>
      <c r="H254" s="227"/>
      <c r="I254" s="97"/>
      <c r="J254" s="49"/>
      <c r="K254" s="49"/>
      <c r="L254" s="49"/>
      <c r="M254" s="49"/>
      <c r="N254" s="49"/>
    </row>
    <row r="255" spans="1:14">
      <c r="A255" s="222"/>
      <c r="B255" s="223"/>
      <c r="C255" s="36"/>
      <c r="D255" s="224"/>
      <c r="E255" s="36"/>
      <c r="F255" s="224"/>
      <c r="G255" s="227"/>
      <c r="H255" s="227"/>
      <c r="I255" s="97"/>
      <c r="J255" s="49"/>
      <c r="K255" s="49"/>
      <c r="L255" s="49"/>
      <c r="M255" s="49"/>
      <c r="N255" s="49"/>
    </row>
    <row r="256" spans="1:14">
      <c r="A256" s="222"/>
      <c r="B256" s="223"/>
      <c r="C256" s="36"/>
      <c r="D256" s="224"/>
      <c r="E256" s="36"/>
      <c r="F256" s="224"/>
      <c r="G256" s="227"/>
      <c r="H256" s="227"/>
      <c r="I256" s="97"/>
      <c r="J256" s="49"/>
      <c r="K256" s="49"/>
      <c r="L256" s="49"/>
      <c r="M256" s="49"/>
      <c r="N256" s="49"/>
    </row>
    <row r="257" spans="1:15">
      <c r="A257" s="222"/>
      <c r="B257" s="223"/>
      <c r="C257" s="36"/>
      <c r="D257" s="224"/>
      <c r="E257" s="36"/>
      <c r="F257" s="224"/>
      <c r="G257" s="228"/>
      <c r="H257" s="228"/>
      <c r="I257" s="2"/>
      <c r="J257" s="49"/>
      <c r="K257" s="49"/>
      <c r="L257" s="49"/>
      <c r="M257" s="49"/>
      <c r="N257" s="49"/>
    </row>
    <row r="258" spans="1:15">
      <c r="A258" s="222"/>
      <c r="B258" s="223"/>
      <c r="C258" s="36"/>
      <c r="D258" s="224"/>
      <c r="E258" s="36"/>
      <c r="F258" s="224"/>
      <c r="G258" s="227"/>
      <c r="H258" s="227"/>
      <c r="I258" s="97"/>
      <c r="J258" s="49"/>
      <c r="K258" s="49"/>
      <c r="L258" s="49"/>
      <c r="M258" s="49"/>
      <c r="N258" s="49"/>
    </row>
    <row r="259" spans="1:15">
      <c r="A259" s="222"/>
      <c r="B259" s="223"/>
      <c r="C259" s="36"/>
      <c r="D259" s="224"/>
      <c r="E259" s="36"/>
      <c r="F259" s="224"/>
      <c r="G259" s="229"/>
      <c r="H259" s="229"/>
      <c r="I259" s="97"/>
      <c r="J259" s="45"/>
      <c r="K259" s="47"/>
      <c r="L259" s="49"/>
      <c r="M259" s="49"/>
      <c r="N259" s="49"/>
    </row>
    <row r="260" spans="1:15">
      <c r="A260" s="222"/>
      <c r="B260" s="223"/>
      <c r="C260" s="36"/>
      <c r="D260" s="224"/>
      <c r="E260" s="36"/>
      <c r="F260" s="224"/>
      <c r="G260" s="227"/>
      <c r="H260" s="227"/>
      <c r="I260" s="97"/>
      <c r="J260" s="49"/>
      <c r="K260" s="49"/>
      <c r="L260" s="49"/>
      <c r="M260" s="49"/>
      <c r="N260" s="49"/>
    </row>
    <row r="261" spans="1:15">
      <c r="A261" s="222"/>
      <c r="B261" s="223"/>
      <c r="C261" s="36"/>
      <c r="D261" s="224"/>
      <c r="E261" s="36"/>
      <c r="F261" s="224"/>
      <c r="G261" s="227"/>
      <c r="H261" s="227"/>
      <c r="I261" s="97"/>
      <c r="J261" s="49"/>
      <c r="K261" s="49"/>
      <c r="L261" s="49"/>
      <c r="M261" s="49"/>
      <c r="N261" s="49"/>
    </row>
    <row r="262" spans="1:15">
      <c r="A262" s="222"/>
      <c r="B262" s="223"/>
      <c r="C262" s="36"/>
      <c r="D262" s="224"/>
      <c r="E262" s="36"/>
      <c r="F262" s="224"/>
      <c r="G262" s="227"/>
      <c r="H262" s="227"/>
      <c r="I262" s="97"/>
      <c r="J262" s="49"/>
      <c r="K262" s="49"/>
      <c r="L262" s="49"/>
      <c r="M262" s="49"/>
      <c r="N262" s="49"/>
    </row>
    <row r="263" spans="1:15">
      <c r="A263" s="222"/>
      <c r="B263" s="223"/>
      <c r="C263" s="36"/>
      <c r="D263" s="224"/>
      <c r="E263" s="36"/>
      <c r="F263" s="224"/>
      <c r="G263" s="227"/>
      <c r="H263" s="227"/>
      <c r="I263" s="97"/>
      <c r="J263" s="49"/>
      <c r="K263" s="49"/>
      <c r="L263" s="49"/>
      <c r="M263" s="49"/>
      <c r="N263" s="49"/>
    </row>
    <row r="264" spans="1:15">
      <c r="A264" s="222"/>
      <c r="B264" s="223"/>
      <c r="C264" s="36"/>
      <c r="D264" s="224"/>
      <c r="E264" s="36"/>
      <c r="F264" s="224"/>
      <c r="G264" s="227"/>
      <c r="H264" s="227"/>
      <c r="I264" s="97"/>
      <c r="J264" s="49"/>
      <c r="K264" s="49"/>
      <c r="L264" s="49"/>
      <c r="M264" s="49"/>
      <c r="N264" s="49"/>
    </row>
    <row r="265" spans="1:15">
      <c r="A265" s="222"/>
      <c r="B265" s="223"/>
      <c r="C265" s="36"/>
      <c r="D265" s="224"/>
      <c r="E265" s="36"/>
      <c r="F265" s="224"/>
      <c r="G265" s="227"/>
      <c r="H265" s="227"/>
      <c r="I265" s="97"/>
      <c r="J265" s="49"/>
      <c r="K265" s="49"/>
      <c r="L265" s="49"/>
      <c r="M265" s="49"/>
      <c r="N265" s="49"/>
    </row>
    <row r="266" spans="1:15">
      <c r="A266" s="222"/>
      <c r="B266" s="223"/>
      <c r="C266" s="36"/>
      <c r="D266" s="224"/>
      <c r="E266" s="36"/>
      <c r="F266" s="224"/>
      <c r="G266" s="227"/>
      <c r="H266" s="227"/>
      <c r="I266" s="97"/>
      <c r="J266" s="49"/>
      <c r="K266" s="49"/>
      <c r="L266" s="49"/>
      <c r="M266" s="49"/>
      <c r="N266" s="49"/>
    </row>
    <row r="267" spans="1:15">
      <c r="A267" s="222"/>
      <c r="B267" s="223"/>
      <c r="C267" s="36"/>
      <c r="D267" s="224"/>
      <c r="E267" s="36"/>
      <c r="F267" s="224"/>
      <c r="G267" s="227"/>
      <c r="H267" s="227"/>
      <c r="I267" s="225"/>
      <c r="J267" s="51"/>
      <c r="K267" s="51"/>
      <c r="L267" s="51"/>
      <c r="M267" s="51"/>
      <c r="N267" s="51"/>
      <c r="O267" s="19"/>
    </row>
    <row r="268" spans="1:15" ht="15" customHeight="1">
      <c r="A268" s="222"/>
      <c r="B268" s="223"/>
      <c r="C268" s="36"/>
      <c r="D268" s="224"/>
      <c r="E268" s="36"/>
      <c r="F268" s="224"/>
      <c r="G268" s="228"/>
      <c r="H268" s="228"/>
      <c r="I268" s="226"/>
      <c r="J268" s="52"/>
      <c r="K268" s="52"/>
      <c r="L268" s="52"/>
      <c r="M268" s="52"/>
      <c r="N268" s="52"/>
      <c r="O268" s="19"/>
    </row>
    <row r="269" spans="1:15" ht="15" customHeight="1">
      <c r="A269" s="222"/>
      <c r="B269" s="223"/>
      <c r="C269" s="36"/>
      <c r="D269" s="224"/>
      <c r="E269" s="36"/>
      <c r="F269" s="224"/>
      <c r="G269" s="227"/>
      <c r="H269" s="227"/>
      <c r="I269" s="225"/>
      <c r="J269" s="52"/>
      <c r="K269" s="52"/>
      <c r="L269" s="52"/>
      <c r="M269" s="52"/>
      <c r="N269" s="52"/>
      <c r="O269" s="19"/>
    </row>
    <row r="270" spans="1:15">
      <c r="A270" s="222"/>
      <c r="B270" s="223"/>
      <c r="C270" s="36"/>
      <c r="D270" s="224"/>
      <c r="E270" s="36"/>
      <c r="F270" s="224"/>
      <c r="G270" s="229"/>
      <c r="H270" s="229"/>
      <c r="I270" s="225"/>
      <c r="J270" s="239"/>
      <c r="K270" s="239"/>
      <c r="L270" s="239"/>
      <c r="M270" s="239"/>
      <c r="N270" s="239"/>
      <c r="O270" s="19"/>
    </row>
    <row r="271" spans="1:15">
      <c r="A271" s="222"/>
      <c r="B271" s="223"/>
      <c r="C271" s="36"/>
      <c r="D271" s="224"/>
      <c r="E271" s="36"/>
      <c r="F271" s="224"/>
      <c r="G271" s="227"/>
      <c r="H271" s="227"/>
      <c r="I271" s="225"/>
      <c r="J271" s="51"/>
      <c r="K271" s="51"/>
      <c r="L271" s="51"/>
      <c r="M271" s="51"/>
      <c r="N271" s="51"/>
      <c r="O271" s="19"/>
    </row>
    <row r="272" spans="1:15">
      <c r="A272" s="222"/>
      <c r="B272" s="223"/>
      <c r="C272" s="36"/>
      <c r="D272" s="224"/>
      <c r="E272" s="36"/>
      <c r="F272" s="224"/>
      <c r="G272" s="227"/>
      <c r="H272" s="227"/>
      <c r="I272" s="225"/>
      <c r="J272" s="51"/>
      <c r="K272" s="51"/>
      <c r="L272" s="51"/>
      <c r="M272" s="51"/>
      <c r="N272" s="51"/>
      <c r="O272" s="19"/>
    </row>
    <row r="273" spans="1:14">
      <c r="A273" s="222"/>
      <c r="B273" s="223"/>
      <c r="C273" s="36"/>
      <c r="D273" s="224"/>
      <c r="E273" s="36"/>
      <c r="F273" s="224"/>
      <c r="G273" s="227"/>
      <c r="H273" s="227"/>
      <c r="I273" s="97"/>
      <c r="J273" s="49"/>
      <c r="K273" s="49"/>
      <c r="L273" s="49"/>
      <c r="M273" s="49"/>
      <c r="N273" s="49"/>
    </row>
    <row r="274" spans="1:14">
      <c r="A274" s="222"/>
      <c r="B274" s="223"/>
      <c r="C274" s="36"/>
      <c r="D274" s="224"/>
      <c r="E274" s="36"/>
      <c r="F274" s="224"/>
      <c r="G274" s="227"/>
      <c r="H274" s="227"/>
      <c r="I274" s="97"/>
      <c r="J274" s="49"/>
      <c r="K274" s="49"/>
      <c r="L274" s="49"/>
      <c r="M274" s="49"/>
      <c r="N274" s="49"/>
    </row>
    <row r="275" spans="1:14">
      <c r="A275" s="222"/>
      <c r="B275" s="223"/>
      <c r="C275" s="36"/>
      <c r="D275" s="224"/>
      <c r="E275" s="36"/>
      <c r="F275" s="224"/>
      <c r="G275" s="227"/>
      <c r="H275" s="227"/>
      <c r="I275" s="97"/>
      <c r="J275" s="49"/>
      <c r="K275" s="49"/>
      <c r="L275" s="49"/>
      <c r="M275" s="49"/>
      <c r="N275" s="49"/>
    </row>
    <row r="276" spans="1:14">
      <c r="A276" s="222"/>
      <c r="B276" s="223"/>
      <c r="C276" s="36"/>
      <c r="D276" s="224"/>
      <c r="E276" s="36"/>
      <c r="F276" s="224"/>
      <c r="G276" s="227"/>
      <c r="H276" s="227"/>
      <c r="I276" s="97"/>
      <c r="J276" s="49"/>
      <c r="K276" s="49"/>
      <c r="L276" s="49"/>
      <c r="M276" s="49"/>
      <c r="N276" s="49"/>
    </row>
    <row r="277" spans="1:14">
      <c r="A277" s="222"/>
      <c r="B277" s="223"/>
      <c r="C277" s="36"/>
      <c r="D277" s="224"/>
      <c r="E277" s="36"/>
      <c r="F277" s="224"/>
      <c r="G277" s="227"/>
      <c r="H277" s="227"/>
      <c r="I277" s="97"/>
      <c r="J277" s="49"/>
      <c r="K277" s="49"/>
      <c r="L277" s="49"/>
      <c r="M277" s="49"/>
      <c r="N277" s="49"/>
    </row>
    <row r="278" spans="1:14">
      <c r="A278" s="222"/>
      <c r="B278" s="223"/>
      <c r="C278" s="36"/>
      <c r="D278" s="224"/>
      <c r="E278" s="36"/>
      <c r="F278" s="224"/>
      <c r="G278" s="229"/>
      <c r="H278" s="229"/>
      <c r="I278" s="97"/>
      <c r="J278" s="45"/>
      <c r="K278" s="47"/>
      <c r="L278" s="49"/>
      <c r="M278" s="49"/>
      <c r="N278" s="49"/>
    </row>
    <row r="279" spans="1:14">
      <c r="A279" s="222"/>
      <c r="B279" s="223"/>
      <c r="C279" s="36"/>
      <c r="D279" s="224"/>
      <c r="E279" s="36"/>
      <c r="F279" s="224"/>
      <c r="G279" s="228"/>
      <c r="H279" s="228"/>
      <c r="I279" s="2"/>
      <c r="J279" s="49"/>
      <c r="K279" s="49"/>
      <c r="L279" s="49"/>
      <c r="M279" s="49"/>
      <c r="N279" s="49"/>
    </row>
    <row r="280" spans="1:14">
      <c r="A280" s="222"/>
      <c r="B280" s="223"/>
      <c r="C280" s="36"/>
      <c r="D280" s="224"/>
      <c r="E280" s="36"/>
      <c r="F280" s="224"/>
      <c r="G280" s="227"/>
      <c r="H280" s="227"/>
      <c r="I280" s="97"/>
      <c r="J280" s="49"/>
      <c r="K280" s="49"/>
      <c r="L280" s="49"/>
      <c r="M280" s="49"/>
      <c r="N280" s="49"/>
    </row>
    <row r="281" spans="1:14">
      <c r="A281" s="222"/>
      <c r="B281" s="223"/>
      <c r="C281" s="36"/>
      <c r="D281" s="224"/>
      <c r="E281" s="36"/>
      <c r="F281" s="224"/>
      <c r="G281" s="227"/>
      <c r="H281" s="227"/>
      <c r="I281" s="97"/>
      <c r="J281" s="49"/>
      <c r="K281" s="49"/>
      <c r="L281" s="49"/>
      <c r="M281" s="49"/>
      <c r="N281" s="49"/>
    </row>
    <row r="282" spans="1:14">
      <c r="A282" s="222"/>
      <c r="B282" s="223"/>
      <c r="C282" s="36"/>
      <c r="D282" s="224"/>
      <c r="E282" s="36"/>
      <c r="F282" s="224"/>
      <c r="G282" s="229"/>
      <c r="H282" s="229"/>
      <c r="I282" s="97"/>
      <c r="J282" s="45"/>
      <c r="K282" s="47"/>
      <c r="L282" s="49"/>
      <c r="M282" s="49"/>
      <c r="N282" s="49"/>
    </row>
    <row r="283" spans="1:14">
      <c r="A283" s="222"/>
      <c r="B283" s="223"/>
      <c r="C283" s="36"/>
      <c r="D283" s="224"/>
      <c r="E283" s="36"/>
      <c r="F283" s="224"/>
      <c r="G283" s="227"/>
      <c r="H283" s="227"/>
      <c r="I283" s="97"/>
      <c r="J283" s="49"/>
      <c r="K283" s="49"/>
      <c r="L283" s="49"/>
      <c r="M283" s="49"/>
      <c r="N283" s="49"/>
    </row>
    <row r="284" spans="1:14">
      <c r="A284" s="222"/>
      <c r="B284" s="223"/>
      <c r="C284" s="36"/>
      <c r="D284" s="224"/>
      <c r="E284" s="36"/>
      <c r="F284" s="224"/>
      <c r="G284" s="227"/>
      <c r="H284" s="227"/>
      <c r="I284" s="97"/>
      <c r="J284" s="49"/>
      <c r="K284" s="49"/>
      <c r="L284" s="49"/>
      <c r="M284" s="49"/>
      <c r="N284" s="49"/>
    </row>
    <row r="285" spans="1:14">
      <c r="A285" s="222"/>
      <c r="B285" s="223"/>
      <c r="C285" s="36"/>
      <c r="D285" s="224"/>
      <c r="E285" s="36"/>
      <c r="F285" s="224"/>
      <c r="G285" s="227"/>
      <c r="H285" s="227"/>
      <c r="I285" s="97"/>
      <c r="J285" s="49"/>
      <c r="K285" s="49"/>
      <c r="L285" s="49"/>
      <c r="M285" s="49"/>
      <c r="N285" s="49"/>
    </row>
    <row r="286" spans="1:14">
      <c r="A286" s="222"/>
      <c r="B286" s="223"/>
      <c r="C286" s="36"/>
      <c r="D286" s="224"/>
      <c r="E286" s="36"/>
      <c r="F286" s="224"/>
      <c r="G286" s="227"/>
      <c r="H286" s="227"/>
      <c r="I286" s="97"/>
      <c r="J286" s="49"/>
      <c r="K286" s="49"/>
      <c r="L286" s="49"/>
      <c r="M286" s="49"/>
      <c r="N286" s="49"/>
    </row>
    <row r="287" spans="1:14">
      <c r="A287" s="222"/>
      <c r="B287" s="223"/>
      <c r="C287" s="36"/>
      <c r="D287" s="224"/>
      <c r="E287" s="36"/>
      <c r="F287" s="224"/>
      <c r="G287" s="227"/>
      <c r="H287" s="227"/>
      <c r="I287" s="97"/>
      <c r="J287" s="49"/>
      <c r="K287" s="49"/>
      <c r="L287" s="49"/>
      <c r="M287" s="49"/>
      <c r="N287" s="49"/>
    </row>
    <row r="288" spans="1:14">
      <c r="A288" s="222"/>
      <c r="B288" s="223"/>
      <c r="C288" s="36"/>
      <c r="D288" s="224"/>
      <c r="E288" s="36"/>
      <c r="F288" s="224"/>
      <c r="G288" s="227"/>
      <c r="H288" s="227"/>
      <c r="I288" s="97"/>
      <c r="J288" s="49"/>
      <c r="K288" s="49"/>
      <c r="L288" s="49"/>
      <c r="M288" s="49"/>
      <c r="N288" s="49"/>
    </row>
    <row r="289" spans="1:14">
      <c r="A289" s="222"/>
      <c r="B289" s="223"/>
      <c r="C289" s="36"/>
      <c r="D289" s="224"/>
      <c r="E289" s="36"/>
      <c r="F289" s="224"/>
      <c r="G289" s="227"/>
      <c r="H289" s="227"/>
      <c r="I289" s="97"/>
      <c r="J289" s="49"/>
      <c r="K289" s="49"/>
      <c r="L289" s="49"/>
      <c r="M289" s="49"/>
      <c r="N289" s="49"/>
    </row>
    <row r="290" spans="1:14">
      <c r="A290" s="230"/>
      <c r="B290" s="231"/>
      <c r="C290" s="232"/>
      <c r="D290" s="233"/>
      <c r="E290" s="232"/>
      <c r="F290" s="233"/>
      <c r="G290" s="228"/>
      <c r="H290" s="228"/>
      <c r="I290" s="2"/>
      <c r="J290" s="49"/>
      <c r="K290" s="49"/>
      <c r="L290" s="49"/>
      <c r="M290" s="49"/>
      <c r="N290" s="49"/>
    </row>
    <row r="291" spans="1:14">
      <c r="A291" s="222"/>
      <c r="B291" s="223"/>
      <c r="C291" s="36"/>
      <c r="D291" s="224"/>
      <c r="E291" s="36"/>
      <c r="F291" s="224"/>
      <c r="G291" s="227"/>
      <c r="H291" s="227"/>
      <c r="I291" s="97"/>
      <c r="J291" s="49"/>
      <c r="K291" s="49"/>
      <c r="L291" s="49"/>
      <c r="M291" s="49"/>
      <c r="N291" s="49"/>
    </row>
    <row r="292" spans="1:14">
      <c r="A292" s="222"/>
      <c r="B292" s="223"/>
      <c r="C292" s="36"/>
      <c r="D292" s="224"/>
      <c r="E292" s="36"/>
      <c r="F292" s="224"/>
      <c r="G292" s="227"/>
      <c r="H292" s="227"/>
      <c r="I292" s="97"/>
      <c r="J292" s="49"/>
      <c r="K292" s="49"/>
      <c r="L292" s="49"/>
      <c r="M292" s="49"/>
      <c r="N292" s="49"/>
    </row>
    <row r="293" spans="1:14">
      <c r="A293" s="222"/>
      <c r="B293" s="223"/>
      <c r="C293" s="36"/>
      <c r="D293" s="224"/>
      <c r="E293" s="36"/>
      <c r="F293" s="224"/>
      <c r="G293" s="229"/>
      <c r="H293" s="229"/>
      <c r="I293" s="97"/>
      <c r="J293" s="45"/>
      <c r="K293" s="47"/>
      <c r="L293" s="49"/>
      <c r="M293" s="49"/>
      <c r="N293" s="49"/>
    </row>
    <row r="294" spans="1:14">
      <c r="A294" s="222"/>
      <c r="B294" s="223"/>
      <c r="C294" s="36"/>
      <c r="D294" s="224"/>
      <c r="E294" s="36"/>
      <c r="F294" s="224"/>
      <c r="G294" s="227"/>
      <c r="H294" s="227"/>
      <c r="I294" s="97"/>
      <c r="J294" s="49"/>
      <c r="K294" s="49"/>
      <c r="L294" s="49"/>
      <c r="M294" s="49"/>
      <c r="N294" s="49"/>
    </row>
    <row r="295" spans="1:14">
      <c r="A295" s="222"/>
      <c r="B295" s="223"/>
      <c r="C295" s="36"/>
      <c r="D295" s="224"/>
      <c r="E295" s="36"/>
      <c r="F295" s="224"/>
      <c r="G295" s="227"/>
      <c r="H295" s="227"/>
      <c r="I295" s="97"/>
      <c r="J295" s="49"/>
      <c r="K295" s="49"/>
      <c r="L295" s="49"/>
      <c r="M295" s="49"/>
      <c r="N295" s="49"/>
    </row>
    <row r="296" spans="1:14">
      <c r="A296" s="222"/>
      <c r="B296" s="223"/>
      <c r="C296" s="36"/>
      <c r="D296" s="224"/>
      <c r="E296" s="36"/>
      <c r="F296" s="224"/>
      <c r="G296" s="227"/>
      <c r="H296" s="227"/>
      <c r="I296" s="97"/>
      <c r="J296" s="49"/>
      <c r="K296" s="49"/>
      <c r="L296" s="49"/>
      <c r="M296" s="49"/>
      <c r="N296" s="49"/>
    </row>
    <row r="297" spans="1:14">
      <c r="A297" s="222"/>
      <c r="B297" s="223"/>
      <c r="C297" s="36"/>
      <c r="D297" s="224"/>
      <c r="E297" s="36"/>
      <c r="F297" s="224"/>
      <c r="G297" s="227"/>
      <c r="H297" s="227"/>
      <c r="I297" s="97"/>
      <c r="J297" s="49"/>
      <c r="K297" s="49"/>
      <c r="L297" s="49"/>
      <c r="M297" s="49"/>
      <c r="N297" s="49"/>
    </row>
    <row r="298" spans="1:14">
      <c r="A298" s="222"/>
      <c r="B298" s="223"/>
      <c r="C298" s="36"/>
      <c r="D298" s="224"/>
      <c r="E298" s="36"/>
      <c r="F298" s="224"/>
      <c r="G298" s="227"/>
      <c r="H298" s="227"/>
      <c r="I298" s="97"/>
      <c r="J298" s="49"/>
      <c r="K298" s="49"/>
      <c r="L298" s="49"/>
      <c r="M298" s="49"/>
      <c r="N298" s="49"/>
    </row>
    <row r="299" spans="1:14">
      <c r="A299" s="222"/>
      <c r="B299" s="223"/>
      <c r="C299" s="36"/>
      <c r="D299" s="224"/>
      <c r="E299" s="36"/>
      <c r="F299" s="224"/>
      <c r="G299" s="227"/>
      <c r="H299" s="227"/>
      <c r="I299" s="97"/>
      <c r="J299" s="49"/>
      <c r="K299" s="49"/>
      <c r="L299" s="49"/>
      <c r="M299" s="49"/>
      <c r="N299" s="49"/>
    </row>
    <row r="300" spans="1:14">
      <c r="A300" s="222"/>
      <c r="B300" s="223"/>
      <c r="C300" s="36"/>
      <c r="D300" s="224"/>
      <c r="E300" s="36"/>
      <c r="F300" s="224"/>
      <c r="G300" s="227"/>
      <c r="H300" s="227"/>
      <c r="I300" s="97"/>
      <c r="J300" s="49"/>
      <c r="K300" s="49"/>
      <c r="L300" s="49"/>
      <c r="M300" s="49"/>
      <c r="N300" s="49"/>
    </row>
    <row r="301" spans="1:14">
      <c r="A301" s="230"/>
      <c r="B301" s="231"/>
      <c r="C301" s="232"/>
      <c r="D301" s="233"/>
      <c r="E301" s="232"/>
      <c r="F301" s="233"/>
      <c r="G301" s="228"/>
      <c r="H301" s="228"/>
      <c r="I301" s="2"/>
    </row>
    <row r="302" spans="1:14">
      <c r="A302" s="222"/>
      <c r="B302" s="223"/>
      <c r="C302" s="36"/>
      <c r="D302" s="224"/>
      <c r="E302" s="36"/>
      <c r="F302" s="224"/>
      <c r="G302" s="227"/>
      <c r="H302" s="227"/>
      <c r="I302" s="97"/>
    </row>
    <row r="303" spans="1:14">
      <c r="A303" s="222"/>
      <c r="B303" s="223"/>
      <c r="C303" s="36"/>
      <c r="D303" s="224"/>
      <c r="E303" s="36"/>
      <c r="F303" s="224"/>
      <c r="G303" s="227"/>
      <c r="H303" s="227"/>
      <c r="I303" s="97"/>
    </row>
    <row r="304" spans="1:14">
      <c r="A304" s="222"/>
      <c r="B304" s="223"/>
      <c r="C304" s="36"/>
      <c r="D304" s="224"/>
      <c r="E304" s="36"/>
      <c r="F304" s="224"/>
      <c r="G304" s="229"/>
      <c r="H304" s="229"/>
      <c r="I304" s="97"/>
      <c r="J304" s="45"/>
      <c r="K304" s="47"/>
      <c r="L304" s="49"/>
      <c r="M304" s="49"/>
      <c r="N304" s="49"/>
    </row>
    <row r="305" spans="1:16">
      <c r="A305" s="222"/>
      <c r="B305" s="223"/>
      <c r="C305" s="36"/>
      <c r="D305" s="224"/>
      <c r="E305" s="36"/>
      <c r="F305" s="224"/>
      <c r="G305" s="227"/>
      <c r="H305" s="227"/>
      <c r="I305" s="97"/>
      <c r="J305" s="49"/>
      <c r="K305" s="49"/>
      <c r="L305" s="49"/>
      <c r="M305" s="49"/>
      <c r="N305" s="49"/>
    </row>
    <row r="306" spans="1:16">
      <c r="A306" s="222"/>
      <c r="B306" s="223"/>
      <c r="C306" s="36"/>
      <c r="D306" s="224"/>
      <c r="E306" s="36"/>
      <c r="F306" s="224"/>
      <c r="G306" s="227"/>
      <c r="H306" s="227"/>
      <c r="I306" s="97"/>
      <c r="J306" s="49"/>
      <c r="K306" s="49"/>
      <c r="L306" s="49"/>
      <c r="M306" s="49"/>
      <c r="N306" s="49"/>
    </row>
    <row r="307" spans="1:16">
      <c r="A307" s="222"/>
      <c r="B307" s="223"/>
      <c r="C307" s="36"/>
      <c r="D307" s="224"/>
      <c r="E307" s="36"/>
      <c r="F307" s="224"/>
      <c r="G307" s="227"/>
      <c r="H307" s="227"/>
      <c r="I307" s="97"/>
      <c r="J307" s="49"/>
      <c r="K307" s="49"/>
      <c r="L307" s="49"/>
      <c r="M307" s="49"/>
      <c r="N307" s="49"/>
    </row>
    <row r="308" spans="1:16">
      <c r="A308" s="222"/>
      <c r="B308" s="223"/>
      <c r="C308" s="36"/>
      <c r="D308" s="224"/>
      <c r="E308" s="36"/>
      <c r="F308" s="224"/>
      <c r="G308" s="227"/>
      <c r="H308" s="227"/>
      <c r="I308" s="97"/>
      <c r="J308" s="49"/>
      <c r="K308" s="49"/>
      <c r="L308" s="49"/>
      <c r="M308" s="49"/>
      <c r="N308" s="49"/>
    </row>
    <row r="309" spans="1:16">
      <c r="A309" s="222"/>
      <c r="B309" s="223"/>
      <c r="C309" s="36"/>
      <c r="D309" s="224"/>
      <c r="E309" s="36"/>
      <c r="F309" s="224"/>
      <c r="G309" s="227"/>
      <c r="H309" s="227"/>
      <c r="I309" s="97"/>
      <c r="J309" s="49"/>
      <c r="K309" s="49"/>
      <c r="L309" s="49"/>
      <c r="M309" s="49"/>
      <c r="N309" s="49"/>
    </row>
    <row r="310" spans="1:16">
      <c r="A310" s="222"/>
      <c r="B310" s="223"/>
      <c r="C310" s="36"/>
      <c r="D310" s="224"/>
      <c r="E310" s="36"/>
      <c r="F310" s="224"/>
      <c r="G310" s="227"/>
      <c r="H310" s="227"/>
      <c r="I310" s="97"/>
      <c r="J310" s="49"/>
      <c r="K310" s="49"/>
      <c r="L310" s="49"/>
      <c r="M310" s="49"/>
      <c r="N310" s="49"/>
    </row>
    <row r="311" spans="1:16">
      <c r="A311" s="222"/>
      <c r="B311" s="223"/>
      <c r="C311" s="36"/>
      <c r="D311" s="224"/>
      <c r="E311" s="36"/>
      <c r="F311" s="224"/>
      <c r="G311" s="227"/>
      <c r="H311" s="227"/>
      <c r="I311" s="225"/>
      <c r="J311" s="51"/>
      <c r="K311" s="51"/>
      <c r="L311" s="51"/>
      <c r="M311" s="51"/>
      <c r="N311" s="51"/>
      <c r="O311" s="19"/>
      <c r="P311" s="19"/>
    </row>
    <row r="312" spans="1:16" ht="15" customHeight="1">
      <c r="A312" s="230"/>
      <c r="B312" s="231"/>
      <c r="C312" s="232"/>
      <c r="D312" s="233"/>
      <c r="E312" s="232"/>
      <c r="F312" s="233"/>
      <c r="G312" s="228"/>
      <c r="H312" s="228"/>
      <c r="I312" s="226"/>
      <c r="J312" s="52"/>
      <c r="K312" s="52"/>
      <c r="L312" s="52"/>
      <c r="M312" s="52"/>
      <c r="N312" s="52"/>
      <c r="O312" s="19"/>
      <c r="P312" s="19"/>
    </row>
    <row r="313" spans="1:16" ht="15" customHeight="1">
      <c r="A313" s="222"/>
      <c r="B313" s="223"/>
      <c r="C313" s="36"/>
      <c r="D313" s="224"/>
      <c r="E313" s="36"/>
      <c r="F313" s="224"/>
      <c r="G313" s="227"/>
      <c r="H313" s="227"/>
      <c r="I313" s="225"/>
      <c r="J313" s="52"/>
      <c r="K313" s="52"/>
      <c r="L313" s="52"/>
      <c r="M313" s="52"/>
      <c r="N313" s="52"/>
      <c r="O313" s="19"/>
      <c r="P313" s="19"/>
    </row>
    <row r="314" spans="1:16" ht="15" customHeight="1">
      <c r="A314" s="222"/>
      <c r="B314" s="223"/>
      <c r="C314" s="36"/>
      <c r="D314" s="224"/>
      <c r="E314" s="36"/>
      <c r="F314" s="224"/>
      <c r="G314" s="227"/>
      <c r="H314" s="227"/>
      <c r="I314" s="225"/>
      <c r="J314" s="52"/>
      <c r="K314" s="52"/>
      <c r="L314" s="52"/>
      <c r="M314" s="52"/>
      <c r="N314" s="52"/>
      <c r="O314" s="19"/>
      <c r="P314" s="19"/>
    </row>
    <row r="315" spans="1:16">
      <c r="A315" s="222"/>
      <c r="B315" s="223"/>
      <c r="C315" s="36"/>
      <c r="D315" s="224"/>
      <c r="E315" s="36"/>
      <c r="F315" s="224"/>
      <c r="G315" s="229"/>
      <c r="H315" s="229"/>
      <c r="I315" s="225"/>
      <c r="J315" s="239"/>
      <c r="K315" s="239"/>
      <c r="L315" s="239"/>
      <c r="M315" s="239"/>
      <c r="N315" s="239"/>
      <c r="O315" s="19"/>
      <c r="P315" s="19"/>
    </row>
    <row r="316" spans="1:16">
      <c r="A316" s="222"/>
      <c r="B316" s="223"/>
      <c r="C316" s="36"/>
      <c r="D316" s="224"/>
      <c r="E316" s="36"/>
      <c r="F316" s="224"/>
      <c r="G316" s="227"/>
      <c r="H316" s="227"/>
      <c r="I316" s="225"/>
      <c r="J316" s="51"/>
      <c r="K316" s="51"/>
      <c r="L316" s="51"/>
      <c r="M316" s="51"/>
      <c r="N316" s="51"/>
      <c r="O316" s="19"/>
      <c r="P316" s="19"/>
    </row>
    <row r="317" spans="1:16">
      <c r="A317" s="222"/>
      <c r="B317" s="223"/>
      <c r="C317" s="36"/>
      <c r="D317" s="224"/>
      <c r="E317" s="36"/>
      <c r="F317" s="224"/>
      <c r="G317" s="227"/>
      <c r="H317" s="227"/>
      <c r="I317" s="225"/>
      <c r="J317" s="51"/>
      <c r="K317" s="51"/>
      <c r="L317" s="51"/>
      <c r="M317" s="51"/>
      <c r="N317" s="51"/>
      <c r="O317" s="19"/>
      <c r="P317" s="19"/>
    </row>
    <row r="318" spans="1:16">
      <c r="A318" s="222"/>
      <c r="B318" s="223"/>
      <c r="C318" s="36"/>
      <c r="D318" s="224"/>
      <c r="E318" s="36"/>
      <c r="F318" s="224"/>
      <c r="G318" s="227"/>
      <c r="H318" s="227"/>
      <c r="I318" s="97"/>
      <c r="J318" s="49"/>
      <c r="K318" s="49"/>
      <c r="L318" s="49"/>
      <c r="M318" s="49"/>
      <c r="N318" s="49"/>
    </row>
    <row r="319" spans="1:16">
      <c r="A319" s="222"/>
      <c r="B319" s="223"/>
      <c r="C319" s="36"/>
      <c r="D319" s="224"/>
      <c r="E319" s="36"/>
      <c r="F319" s="224"/>
      <c r="G319" s="227"/>
      <c r="H319" s="227"/>
      <c r="I319" s="97"/>
      <c r="J319" s="49"/>
      <c r="K319" s="49"/>
      <c r="L319" s="49"/>
      <c r="M319" s="49"/>
      <c r="N319" s="49"/>
    </row>
    <row r="320" spans="1:16">
      <c r="A320" s="222"/>
      <c r="B320" s="223"/>
      <c r="C320" s="36"/>
      <c r="D320" s="224"/>
      <c r="E320" s="36"/>
      <c r="F320" s="224"/>
      <c r="G320" s="227"/>
      <c r="H320" s="227"/>
      <c r="I320" s="97"/>
      <c r="J320" s="49"/>
      <c r="K320" s="49"/>
      <c r="L320" s="49"/>
      <c r="M320" s="49"/>
      <c r="N320" s="49"/>
    </row>
    <row r="321" spans="1:15">
      <c r="A321" s="222"/>
      <c r="B321" s="223"/>
      <c r="C321" s="36"/>
      <c r="D321" s="224"/>
      <c r="E321" s="36"/>
      <c r="F321" s="224"/>
      <c r="G321" s="227"/>
      <c r="H321" s="227"/>
      <c r="I321" s="97"/>
      <c r="J321" s="49"/>
      <c r="K321" s="49"/>
      <c r="L321" s="49"/>
      <c r="M321" s="49"/>
      <c r="N321" s="49"/>
    </row>
    <row r="322" spans="1:15">
      <c r="A322" s="222"/>
      <c r="B322" s="223"/>
      <c r="C322" s="36"/>
      <c r="D322" s="224"/>
      <c r="E322" s="36"/>
      <c r="F322" s="224"/>
      <c r="G322" s="227"/>
      <c r="H322" s="227"/>
      <c r="I322" s="97"/>
      <c r="J322" s="49"/>
      <c r="K322" s="49"/>
      <c r="L322" s="49"/>
      <c r="M322" s="49"/>
      <c r="N322" s="49"/>
    </row>
    <row r="323" spans="1:15">
      <c r="A323" s="230"/>
      <c r="B323" s="231"/>
      <c r="C323" s="232"/>
      <c r="D323" s="233"/>
      <c r="E323" s="232"/>
      <c r="F323" s="233"/>
      <c r="G323" s="228"/>
      <c r="H323" s="228"/>
      <c r="I323" s="2"/>
    </row>
    <row r="324" spans="1:15">
      <c r="A324" s="222"/>
      <c r="B324" s="223"/>
      <c r="C324" s="36"/>
      <c r="D324" s="224"/>
      <c r="E324" s="36"/>
      <c r="F324" s="224"/>
      <c r="G324" s="227"/>
      <c r="H324" s="227"/>
      <c r="I324" s="97"/>
    </row>
    <row r="325" spans="1:15">
      <c r="A325" s="222"/>
      <c r="B325" s="223"/>
      <c r="C325" s="36"/>
      <c r="D325" s="224"/>
      <c r="E325" s="36"/>
      <c r="F325" s="224"/>
      <c r="G325" s="227"/>
      <c r="H325" s="227"/>
      <c r="I325" s="97"/>
    </row>
    <row r="326" spans="1:15">
      <c r="A326" s="222"/>
      <c r="B326" s="223"/>
      <c r="C326" s="36"/>
      <c r="D326" s="224"/>
      <c r="E326" s="36"/>
      <c r="F326" s="224"/>
      <c r="G326" s="229"/>
      <c r="H326" s="229"/>
      <c r="I326" s="97"/>
      <c r="J326" s="45"/>
      <c r="K326" s="47"/>
      <c r="L326" s="49"/>
      <c r="M326" s="49"/>
      <c r="N326" s="49"/>
    </row>
    <row r="327" spans="1:15">
      <c r="A327" s="222"/>
      <c r="B327" s="223"/>
      <c r="C327" s="36"/>
      <c r="D327" s="224"/>
      <c r="E327" s="36"/>
      <c r="F327" s="224"/>
      <c r="G327" s="227"/>
      <c r="H327" s="227"/>
      <c r="I327" s="97"/>
      <c r="J327" s="49"/>
      <c r="K327" s="49"/>
      <c r="L327" s="49"/>
      <c r="M327" s="49"/>
      <c r="N327" s="49"/>
    </row>
    <row r="328" spans="1:15">
      <c r="A328" s="222"/>
      <c r="B328" s="223"/>
      <c r="C328" s="36"/>
      <c r="D328" s="224"/>
      <c r="E328" s="36"/>
      <c r="F328" s="224"/>
      <c r="G328" s="227"/>
      <c r="H328" s="227"/>
      <c r="I328" s="97"/>
      <c r="J328" s="49"/>
      <c r="K328" s="49"/>
      <c r="L328" s="49"/>
      <c r="M328" s="49"/>
      <c r="N328" s="49"/>
    </row>
    <row r="329" spans="1:15">
      <c r="A329" s="222"/>
      <c r="B329" s="223"/>
      <c r="C329" s="36"/>
      <c r="D329" s="224"/>
      <c r="E329" s="36"/>
      <c r="F329" s="224"/>
      <c r="G329" s="227"/>
      <c r="H329" s="227"/>
      <c r="I329" s="97"/>
      <c r="J329" s="49"/>
      <c r="K329" s="49"/>
      <c r="L329" s="49"/>
      <c r="M329" s="49"/>
      <c r="N329" s="49"/>
    </row>
    <row r="330" spans="1:15">
      <c r="A330" s="222"/>
      <c r="B330" s="223"/>
      <c r="C330" s="36"/>
      <c r="D330" s="224"/>
      <c r="E330" s="36"/>
      <c r="F330" s="224"/>
      <c r="G330" s="227"/>
      <c r="H330" s="227"/>
      <c r="I330" s="97"/>
      <c r="J330" s="49"/>
      <c r="K330" s="49"/>
      <c r="L330" s="49"/>
      <c r="M330" s="49"/>
      <c r="N330" s="49"/>
    </row>
    <row r="331" spans="1:15">
      <c r="A331" s="222"/>
      <c r="B331" s="223"/>
      <c r="C331" s="36"/>
      <c r="D331" s="224"/>
      <c r="E331" s="36"/>
      <c r="F331" s="224"/>
      <c r="G331" s="227"/>
      <c r="H331" s="227"/>
      <c r="I331" s="97"/>
      <c r="J331" s="49"/>
      <c r="K331" s="49"/>
      <c r="L331" s="49"/>
      <c r="M331" s="49"/>
      <c r="N331" s="49"/>
    </row>
    <row r="332" spans="1:15">
      <c r="A332" s="222"/>
      <c r="B332" s="223"/>
      <c r="C332" s="36"/>
      <c r="D332" s="224"/>
      <c r="E332" s="36"/>
      <c r="F332" s="224"/>
      <c r="G332" s="227"/>
      <c r="H332" s="227"/>
      <c r="I332" s="97"/>
      <c r="J332" s="235"/>
      <c r="K332" s="235"/>
      <c r="L332" s="235"/>
      <c r="M332" s="235"/>
      <c r="N332" s="235"/>
      <c r="O332" s="236"/>
    </row>
    <row r="333" spans="1:15">
      <c r="A333" s="222"/>
      <c r="B333" s="223"/>
      <c r="C333" s="36"/>
      <c r="D333" s="224"/>
      <c r="E333" s="36"/>
      <c r="F333" s="224"/>
      <c r="G333" s="227"/>
      <c r="H333" s="227"/>
      <c r="I333" s="97"/>
      <c r="J333" s="235"/>
      <c r="K333" s="235"/>
      <c r="L333" s="235"/>
      <c r="M333" s="235"/>
      <c r="N333" s="235"/>
      <c r="O333" s="236"/>
    </row>
    <row r="334" spans="1:15" ht="15" customHeight="1">
      <c r="A334" s="230"/>
      <c r="B334" s="231"/>
      <c r="C334" s="232"/>
      <c r="D334" s="233"/>
      <c r="E334" s="232"/>
      <c r="F334" s="233"/>
      <c r="G334" s="228"/>
      <c r="H334" s="228"/>
      <c r="I334" s="2"/>
      <c r="J334" s="237"/>
      <c r="K334" s="237"/>
      <c r="L334" s="237"/>
      <c r="M334" s="237"/>
      <c r="N334" s="237"/>
      <c r="O334" s="236"/>
    </row>
    <row r="335" spans="1:15" ht="15" customHeight="1">
      <c r="A335" s="222"/>
      <c r="B335" s="223"/>
      <c r="C335" s="36"/>
      <c r="D335" s="224"/>
      <c r="E335" s="36"/>
      <c r="F335" s="224"/>
      <c r="G335" s="227"/>
      <c r="H335" s="227"/>
      <c r="I335" s="97"/>
      <c r="J335" s="237"/>
      <c r="K335" s="237"/>
      <c r="L335" s="237"/>
      <c r="M335" s="237"/>
      <c r="N335" s="237"/>
      <c r="O335" s="236"/>
    </row>
    <row r="336" spans="1:15">
      <c r="A336" s="222"/>
      <c r="B336" s="223"/>
      <c r="C336" s="36"/>
      <c r="D336" s="224"/>
      <c r="E336" s="36"/>
      <c r="F336" s="224"/>
      <c r="G336" s="227"/>
      <c r="H336" s="227"/>
      <c r="I336" s="97"/>
      <c r="J336" s="238"/>
      <c r="K336" s="238"/>
      <c r="L336" s="238"/>
      <c r="M336" s="238"/>
      <c r="N336" s="238"/>
      <c r="O336" s="236"/>
    </row>
    <row r="337" spans="1:15">
      <c r="A337" s="222"/>
      <c r="B337" s="223"/>
      <c r="C337" s="36"/>
      <c r="D337" s="224"/>
      <c r="E337" s="36"/>
      <c r="F337" s="224"/>
      <c r="G337" s="229"/>
      <c r="H337" s="229"/>
      <c r="I337" s="97"/>
      <c r="J337" s="45"/>
      <c r="K337" s="44"/>
      <c r="L337" s="235"/>
      <c r="M337" s="235"/>
      <c r="N337" s="235"/>
      <c r="O337" s="236"/>
    </row>
    <row r="338" spans="1:15">
      <c r="A338" s="222"/>
      <c r="B338" s="223"/>
      <c r="C338" s="36"/>
      <c r="D338" s="224"/>
      <c r="E338" s="36"/>
      <c r="F338" s="224"/>
      <c r="G338" s="227"/>
      <c r="H338" s="227"/>
      <c r="I338" s="97"/>
      <c r="J338" s="235"/>
      <c r="K338" s="235"/>
      <c r="L338" s="235"/>
      <c r="M338" s="235"/>
      <c r="N338" s="235"/>
      <c r="O338" s="236"/>
    </row>
    <row r="339" spans="1:15">
      <c r="A339" s="222"/>
      <c r="B339" s="223"/>
      <c r="C339" s="36"/>
      <c r="D339" s="224"/>
      <c r="E339" s="36"/>
      <c r="F339" s="224"/>
      <c r="G339" s="227"/>
      <c r="H339" s="227"/>
      <c r="I339" s="97"/>
      <c r="J339" s="235"/>
      <c r="K339" s="235"/>
      <c r="L339" s="235"/>
      <c r="M339" s="235"/>
      <c r="N339" s="235"/>
      <c r="O339" s="236"/>
    </row>
    <row r="340" spans="1:15">
      <c r="A340" s="222"/>
      <c r="B340" s="223"/>
      <c r="C340" s="36"/>
      <c r="D340" s="224"/>
      <c r="E340" s="36"/>
      <c r="F340" s="224"/>
      <c r="G340" s="227"/>
      <c r="H340" s="227"/>
      <c r="I340" s="97"/>
      <c r="J340" s="49"/>
      <c r="K340" s="49"/>
      <c r="L340" s="49"/>
      <c r="M340" s="49"/>
      <c r="N340" s="49"/>
    </row>
    <row r="341" spans="1:15">
      <c r="A341" s="222"/>
      <c r="B341" s="223"/>
      <c r="C341" s="36"/>
      <c r="D341" s="224"/>
      <c r="E341" s="36"/>
      <c r="F341" s="224"/>
      <c r="G341" s="227"/>
      <c r="H341" s="227"/>
      <c r="I341" s="97"/>
      <c r="J341" s="49"/>
      <c r="K341" s="49"/>
      <c r="L341" s="49"/>
      <c r="M341" s="49"/>
      <c r="N341" s="49"/>
    </row>
    <row r="342" spans="1:15">
      <c r="A342" s="222"/>
      <c r="B342" s="223"/>
      <c r="C342" s="36"/>
      <c r="D342" s="224"/>
      <c r="E342" s="36"/>
      <c r="F342" s="224"/>
      <c r="G342" s="227"/>
      <c r="H342" s="227"/>
      <c r="I342" s="97"/>
      <c r="J342" s="49"/>
      <c r="K342" s="49"/>
      <c r="L342" s="49"/>
      <c r="M342" s="49"/>
      <c r="N342" s="49"/>
    </row>
    <row r="343" spans="1:15">
      <c r="A343" s="222"/>
      <c r="B343" s="223"/>
      <c r="C343" s="36"/>
      <c r="D343" s="224"/>
      <c r="E343" s="36"/>
      <c r="F343" s="224"/>
      <c r="G343" s="227"/>
      <c r="H343" s="227"/>
      <c r="I343" s="97"/>
      <c r="J343" s="49"/>
      <c r="K343" s="49"/>
      <c r="L343" s="49"/>
      <c r="M343" s="49"/>
      <c r="N343" s="49"/>
    </row>
    <row r="344" spans="1:15">
      <c r="A344" s="222"/>
      <c r="B344" s="223"/>
      <c r="C344" s="36"/>
      <c r="D344" s="224"/>
      <c r="E344" s="36"/>
      <c r="F344" s="224"/>
      <c r="G344" s="227"/>
      <c r="H344" s="227"/>
      <c r="I344" s="97"/>
      <c r="J344" s="49"/>
      <c r="K344" s="49"/>
      <c r="L344" s="49"/>
      <c r="M344" s="49"/>
      <c r="N344" s="49"/>
    </row>
    <row r="345" spans="1:15">
      <c r="A345" s="230"/>
      <c r="B345" s="231"/>
      <c r="C345" s="232"/>
      <c r="D345" s="233"/>
      <c r="E345" s="232"/>
      <c r="F345" s="233"/>
      <c r="G345" s="228"/>
      <c r="H345" s="228"/>
      <c r="I345" s="2"/>
      <c r="J345" s="49"/>
      <c r="K345" s="49"/>
      <c r="L345" s="49"/>
      <c r="M345" s="49"/>
      <c r="N345" s="49"/>
    </row>
    <row r="346" spans="1:15">
      <c r="A346" s="222"/>
      <c r="B346" s="223"/>
      <c r="C346" s="36"/>
      <c r="D346" s="224"/>
      <c r="E346" s="36"/>
      <c r="F346" s="224"/>
      <c r="G346" s="227"/>
      <c r="H346" s="227"/>
      <c r="I346" s="97"/>
      <c r="J346" s="49"/>
      <c r="K346" s="49"/>
      <c r="L346" s="49"/>
      <c r="M346" s="49"/>
      <c r="N346" s="49"/>
    </row>
    <row r="347" spans="1:15">
      <c r="A347" s="222"/>
      <c r="B347" s="223"/>
      <c r="C347" s="36"/>
      <c r="D347" s="224"/>
      <c r="E347" s="36"/>
      <c r="F347" s="224"/>
      <c r="G347" s="227"/>
      <c r="H347" s="227"/>
      <c r="I347" s="97"/>
      <c r="J347" s="49"/>
      <c r="K347" s="49"/>
      <c r="L347" s="49"/>
      <c r="M347" s="49"/>
      <c r="N347" s="49"/>
    </row>
    <row r="348" spans="1:15">
      <c r="A348" s="222"/>
      <c r="B348" s="223"/>
      <c r="C348" s="36"/>
      <c r="D348" s="224"/>
      <c r="E348" s="36"/>
      <c r="F348" s="224"/>
      <c r="G348" s="229"/>
      <c r="H348" s="229"/>
      <c r="I348" s="97"/>
      <c r="J348" s="45"/>
      <c r="K348" s="47"/>
      <c r="L348" s="49"/>
      <c r="M348" s="49"/>
      <c r="N348" s="49"/>
    </row>
    <row r="349" spans="1:15">
      <c r="A349" s="222"/>
      <c r="B349" s="223"/>
      <c r="C349" s="36"/>
      <c r="D349" s="224"/>
      <c r="E349" s="36"/>
      <c r="F349" s="224"/>
      <c r="G349" s="227"/>
      <c r="H349" s="227"/>
      <c r="I349" s="97"/>
      <c r="J349" s="49"/>
      <c r="K349" s="49"/>
      <c r="L349" s="49"/>
      <c r="M349" s="49"/>
      <c r="N349" s="49"/>
    </row>
    <row r="350" spans="1:15">
      <c r="A350" s="222"/>
      <c r="B350" s="223"/>
      <c r="C350" s="36"/>
      <c r="D350" s="224"/>
      <c r="E350" s="36"/>
      <c r="F350" s="224"/>
      <c r="G350" s="227"/>
      <c r="H350" s="227"/>
      <c r="I350" s="97"/>
      <c r="J350" s="49"/>
      <c r="K350" s="49"/>
      <c r="L350" s="49"/>
      <c r="M350" s="49"/>
      <c r="N350" s="49"/>
    </row>
    <row r="351" spans="1:15">
      <c r="A351" s="222"/>
      <c r="B351" s="223"/>
      <c r="C351" s="36"/>
      <c r="D351" s="224"/>
      <c r="E351" s="36"/>
      <c r="F351" s="224"/>
      <c r="G351" s="227"/>
      <c r="H351" s="227"/>
      <c r="I351" s="97"/>
      <c r="J351" s="49"/>
      <c r="K351" s="49"/>
      <c r="L351" s="49"/>
      <c r="M351" s="49"/>
      <c r="N351" s="49"/>
    </row>
    <row r="352" spans="1:15">
      <c r="A352" s="222"/>
      <c r="B352" s="223"/>
      <c r="C352" s="36"/>
      <c r="D352" s="224"/>
      <c r="E352" s="36"/>
      <c r="F352" s="224"/>
      <c r="G352" s="227"/>
      <c r="H352" s="227"/>
      <c r="I352" s="97"/>
      <c r="J352" s="49"/>
      <c r="K352" s="49"/>
      <c r="L352" s="49"/>
      <c r="M352" s="49"/>
      <c r="N352" s="49"/>
    </row>
    <row r="353" spans="1:14">
      <c r="A353" s="222"/>
      <c r="B353" s="223"/>
      <c r="C353" s="36"/>
      <c r="D353" s="224"/>
      <c r="E353" s="36"/>
      <c r="F353" s="224"/>
      <c r="G353" s="227"/>
      <c r="H353" s="227"/>
      <c r="I353" s="97"/>
      <c r="J353" s="49"/>
      <c r="K353" s="49"/>
      <c r="L353" s="49"/>
      <c r="M353" s="49"/>
      <c r="N353" s="49"/>
    </row>
    <row r="354" spans="1:14">
      <c r="A354" s="222"/>
      <c r="B354" s="223"/>
      <c r="C354" s="36"/>
      <c r="D354" s="224"/>
      <c r="E354" s="36"/>
      <c r="F354" s="224"/>
      <c r="G354" s="227"/>
      <c r="H354" s="227"/>
      <c r="I354" s="97"/>
      <c r="J354" s="49"/>
      <c r="K354" s="49"/>
      <c r="L354" s="49"/>
      <c r="M354" s="49"/>
      <c r="N354" s="49"/>
    </row>
    <row r="355" spans="1:14">
      <c r="A355" s="222"/>
      <c r="B355" s="223"/>
      <c r="C355" s="36"/>
      <c r="D355" s="224"/>
      <c r="E355" s="36"/>
      <c r="F355" s="224"/>
      <c r="G355" s="227"/>
      <c r="H355" s="227"/>
      <c r="I355" s="97"/>
      <c r="J355" s="49"/>
      <c r="K355" s="49"/>
      <c r="L355" s="49"/>
      <c r="M355" s="49"/>
      <c r="N355" s="49"/>
    </row>
    <row r="356" spans="1:14">
      <c r="A356" s="230"/>
      <c r="B356" s="231"/>
      <c r="C356" s="232"/>
      <c r="D356" s="233"/>
      <c r="E356" s="232"/>
      <c r="F356" s="233"/>
      <c r="G356" s="228"/>
      <c r="H356" s="228"/>
      <c r="I356" s="2"/>
      <c r="J356" s="49"/>
      <c r="K356" s="49"/>
      <c r="L356" s="49"/>
      <c r="M356" s="49"/>
      <c r="N356" s="49"/>
    </row>
    <row r="357" spans="1:14">
      <c r="A357" s="222"/>
      <c r="B357" s="223"/>
      <c r="C357" s="36"/>
      <c r="D357" s="224"/>
      <c r="E357" s="36"/>
      <c r="F357" s="224"/>
      <c r="G357" s="227"/>
      <c r="H357" s="227"/>
      <c r="I357" s="97"/>
      <c r="J357" s="49"/>
      <c r="K357" s="49"/>
      <c r="L357" s="49"/>
      <c r="M357" s="49"/>
      <c r="N357" s="49"/>
    </row>
    <row r="358" spans="1:14">
      <c r="A358" s="222"/>
      <c r="B358" s="223"/>
      <c r="C358" s="36"/>
      <c r="D358" s="224"/>
      <c r="E358" s="36"/>
      <c r="F358" s="224"/>
      <c r="G358" s="227"/>
      <c r="H358" s="227"/>
      <c r="I358" s="97"/>
      <c r="J358" s="49"/>
      <c r="K358" s="49"/>
      <c r="L358" s="49"/>
      <c r="M358" s="49"/>
      <c r="N358" s="49"/>
    </row>
    <row r="359" spans="1:14">
      <c r="A359" s="222"/>
      <c r="B359" s="223"/>
      <c r="C359" s="36"/>
      <c r="D359" s="224"/>
      <c r="E359" s="36"/>
      <c r="F359" s="224"/>
      <c r="G359" s="229"/>
      <c r="H359" s="229"/>
      <c r="I359" s="97"/>
      <c r="J359" s="45"/>
      <c r="K359" s="47"/>
      <c r="L359" s="49"/>
      <c r="M359" s="49"/>
      <c r="N359" s="49"/>
    </row>
    <row r="360" spans="1:14">
      <c r="A360" s="222"/>
      <c r="B360" s="223"/>
      <c r="C360" s="36"/>
      <c r="D360" s="224"/>
      <c r="E360" s="36"/>
      <c r="F360" s="224"/>
      <c r="G360" s="227"/>
      <c r="H360" s="227"/>
      <c r="I360" s="97"/>
      <c r="J360" s="49"/>
      <c r="K360" s="49"/>
      <c r="L360" s="49"/>
      <c r="M360" s="49"/>
      <c r="N360" s="49"/>
    </row>
    <row r="361" spans="1:14">
      <c r="A361" s="222"/>
      <c r="B361" s="223"/>
      <c r="C361" s="36"/>
      <c r="D361" s="224"/>
      <c r="E361" s="36"/>
      <c r="F361" s="224"/>
      <c r="G361" s="227"/>
      <c r="H361" s="227"/>
      <c r="I361" s="97"/>
      <c r="J361" s="49"/>
      <c r="K361" s="49"/>
      <c r="L361" s="49"/>
      <c r="M361" s="49"/>
      <c r="N361" s="49"/>
    </row>
    <row r="362" spans="1:14">
      <c r="A362" s="222"/>
      <c r="B362" s="223"/>
      <c r="C362" s="36"/>
      <c r="D362" s="224"/>
      <c r="E362" s="36"/>
      <c r="F362" s="224"/>
      <c r="G362" s="227"/>
      <c r="H362" s="227"/>
      <c r="I362" s="97"/>
      <c r="J362" s="49"/>
      <c r="K362" s="49"/>
      <c r="L362" s="49"/>
      <c r="M362" s="49"/>
      <c r="N362" s="49"/>
    </row>
    <row r="363" spans="1:14">
      <c r="A363" s="222"/>
      <c r="B363" s="223"/>
      <c r="C363" s="36"/>
      <c r="D363" s="224"/>
      <c r="E363" s="36"/>
      <c r="F363" s="224"/>
      <c r="G363" s="227"/>
      <c r="H363" s="227"/>
      <c r="I363" s="97"/>
      <c r="J363" s="49"/>
      <c r="K363" s="49"/>
      <c r="L363" s="49"/>
      <c r="M363" s="49"/>
      <c r="N363" s="49"/>
    </row>
    <row r="364" spans="1:14">
      <c r="A364" s="222"/>
      <c r="B364" s="223"/>
      <c r="C364" s="36"/>
      <c r="D364" s="224"/>
      <c r="E364" s="36"/>
      <c r="F364" s="224"/>
      <c r="G364" s="227"/>
      <c r="H364" s="227"/>
      <c r="I364" s="97"/>
      <c r="J364" s="49"/>
      <c r="K364" s="49"/>
      <c r="L364" s="49"/>
      <c r="M364" s="49"/>
      <c r="N364" s="49"/>
    </row>
    <row r="365" spans="1:14">
      <c r="A365" s="222"/>
      <c r="B365" s="223"/>
      <c r="C365" s="36"/>
      <c r="D365" s="224"/>
      <c r="E365" s="36"/>
      <c r="F365" s="224"/>
      <c r="G365" s="227"/>
      <c r="H365" s="227"/>
      <c r="I365" s="97"/>
      <c r="J365" s="49"/>
      <c r="K365" s="49"/>
      <c r="L365" s="49"/>
      <c r="M365" s="49"/>
      <c r="N365" s="49"/>
    </row>
    <row r="366" spans="1:14">
      <c r="A366" s="222"/>
      <c r="B366" s="223"/>
      <c r="C366" s="36"/>
      <c r="D366" s="224"/>
      <c r="E366" s="36"/>
      <c r="F366" s="224"/>
      <c r="G366" s="227"/>
      <c r="H366" s="227"/>
      <c r="I366" s="97"/>
      <c r="J366" s="49"/>
      <c r="K366" s="49"/>
      <c r="L366" s="49"/>
      <c r="M366" s="49"/>
      <c r="N366" s="49"/>
    </row>
    <row r="367" spans="1:14">
      <c r="A367" s="230"/>
      <c r="B367" s="231"/>
      <c r="C367" s="232"/>
      <c r="D367" s="233"/>
      <c r="E367" s="232"/>
      <c r="F367" s="233"/>
      <c r="G367" s="228"/>
      <c r="H367" s="228"/>
      <c r="I367" s="2"/>
      <c r="J367" s="49"/>
      <c r="K367" s="49"/>
      <c r="L367" s="49"/>
      <c r="M367" s="49"/>
      <c r="N367" s="49"/>
    </row>
    <row r="368" spans="1:14">
      <c r="A368" s="222"/>
      <c r="B368" s="223"/>
      <c r="C368" s="36"/>
      <c r="D368" s="224"/>
      <c r="E368" s="36"/>
      <c r="F368" s="224"/>
      <c r="G368" s="227"/>
      <c r="H368" s="227"/>
      <c r="I368" s="97"/>
      <c r="J368" s="49"/>
      <c r="K368" s="49"/>
      <c r="L368" s="49"/>
      <c r="M368" s="49"/>
      <c r="N368" s="49"/>
    </row>
    <row r="369" spans="1:14">
      <c r="A369" s="222"/>
      <c r="B369" s="223"/>
      <c r="C369" s="36"/>
      <c r="D369" s="224"/>
      <c r="E369" s="36"/>
      <c r="F369" s="224"/>
      <c r="G369" s="227"/>
      <c r="H369" s="227"/>
      <c r="I369" s="97"/>
      <c r="J369" s="49"/>
      <c r="K369" s="49"/>
      <c r="L369" s="49"/>
      <c r="M369" s="49"/>
      <c r="N369" s="49"/>
    </row>
    <row r="370" spans="1:14">
      <c r="A370" s="222"/>
      <c r="B370" s="223"/>
      <c r="C370" s="36"/>
      <c r="D370" s="224"/>
      <c r="E370" s="36"/>
      <c r="F370" s="224"/>
      <c r="G370" s="229"/>
      <c r="H370" s="229"/>
      <c r="I370" s="97"/>
      <c r="J370" s="45"/>
      <c r="K370" s="47"/>
      <c r="L370" s="49"/>
      <c r="M370" s="49"/>
      <c r="N370" s="49"/>
    </row>
    <row r="371" spans="1:14">
      <c r="A371" s="222"/>
      <c r="B371" s="223"/>
      <c r="C371" s="36"/>
      <c r="D371" s="224"/>
      <c r="E371" s="36"/>
      <c r="F371" s="224"/>
      <c r="G371" s="227"/>
      <c r="H371" s="227"/>
      <c r="I371" s="97"/>
      <c r="J371" s="49"/>
      <c r="K371" s="49"/>
      <c r="L371" s="49"/>
      <c r="M371" s="49"/>
      <c r="N371" s="49"/>
    </row>
    <row r="372" spans="1:14">
      <c r="A372" s="222"/>
      <c r="B372" s="223"/>
      <c r="C372" s="36"/>
      <c r="D372" s="224"/>
      <c r="E372" s="36"/>
      <c r="F372" s="224"/>
      <c r="G372" s="227"/>
      <c r="H372" s="227"/>
      <c r="I372" s="97"/>
      <c r="J372" s="49"/>
      <c r="K372" s="49"/>
      <c r="L372" s="49"/>
      <c r="M372" s="49"/>
      <c r="N372" s="49"/>
    </row>
    <row r="373" spans="1:14">
      <c r="A373" s="222"/>
      <c r="B373" s="223"/>
      <c r="C373" s="36"/>
      <c r="D373" s="224"/>
      <c r="E373" s="36"/>
      <c r="F373" s="224"/>
      <c r="G373" s="227"/>
      <c r="H373" s="227"/>
      <c r="I373" s="97"/>
      <c r="J373" s="49"/>
      <c r="K373" s="49"/>
      <c r="L373" s="49"/>
      <c r="M373" s="49"/>
      <c r="N373" s="49"/>
    </row>
    <row r="374" spans="1:14">
      <c r="A374" s="222"/>
      <c r="B374" s="223"/>
      <c r="C374" s="36"/>
      <c r="D374" s="224"/>
      <c r="E374" s="36"/>
      <c r="F374" s="224"/>
      <c r="G374" s="227"/>
      <c r="H374" s="227"/>
      <c r="I374" s="97"/>
      <c r="J374" s="49"/>
      <c r="K374" s="49"/>
      <c r="L374" s="49"/>
      <c r="M374" s="49"/>
      <c r="N374" s="49"/>
    </row>
    <row r="375" spans="1:14">
      <c r="A375" s="222"/>
      <c r="B375" s="223"/>
      <c r="C375" s="36"/>
      <c r="D375" s="224"/>
      <c r="E375" s="36"/>
      <c r="F375" s="224"/>
      <c r="G375" s="227"/>
      <c r="H375" s="227"/>
      <c r="I375" s="97"/>
      <c r="J375" s="49"/>
      <c r="K375" s="49"/>
      <c r="L375" s="49"/>
      <c r="M375" s="49"/>
      <c r="N375" s="49"/>
    </row>
    <row r="376" spans="1:14">
      <c r="A376" s="222"/>
      <c r="B376" s="223"/>
      <c r="C376" s="36"/>
      <c r="D376" s="224"/>
      <c r="E376" s="36"/>
      <c r="F376" s="224"/>
      <c r="G376" s="227"/>
      <c r="H376" s="227"/>
      <c r="I376" s="97"/>
      <c r="J376" s="49"/>
      <c r="K376" s="49"/>
      <c r="L376" s="49"/>
      <c r="M376" s="49"/>
      <c r="N376" s="49"/>
    </row>
    <row r="377" spans="1:14">
      <c r="A377" s="222"/>
      <c r="B377" s="223"/>
      <c r="C377" s="36"/>
      <c r="D377" s="224"/>
      <c r="E377" s="36"/>
      <c r="F377" s="224"/>
      <c r="G377" s="227"/>
      <c r="H377" s="227"/>
      <c r="I377" s="97"/>
      <c r="J377" s="49"/>
      <c r="K377" s="49"/>
      <c r="L377" s="49"/>
      <c r="M377" s="49"/>
      <c r="N377" s="49"/>
    </row>
    <row r="378" spans="1:14">
      <c r="A378" s="230"/>
      <c r="B378" s="231"/>
      <c r="C378" s="232"/>
      <c r="D378" s="233"/>
      <c r="E378" s="232"/>
      <c r="F378" s="233"/>
      <c r="G378" s="228"/>
      <c r="H378" s="228"/>
      <c r="I378" s="2"/>
    </row>
    <row r="379" spans="1:14">
      <c r="A379" s="222"/>
      <c r="B379" s="223"/>
      <c r="C379" s="36"/>
      <c r="D379" s="224"/>
      <c r="E379" s="36"/>
      <c r="F379" s="224"/>
      <c r="G379" s="227"/>
      <c r="H379" s="227"/>
      <c r="I379" s="97"/>
    </row>
    <row r="380" spans="1:14">
      <c r="A380" s="222"/>
      <c r="B380" s="223"/>
      <c r="C380" s="36"/>
      <c r="D380" s="224"/>
      <c r="E380" s="36"/>
      <c r="F380" s="224"/>
      <c r="G380" s="227"/>
      <c r="H380" s="227"/>
      <c r="I380" s="97"/>
    </row>
    <row r="381" spans="1:14">
      <c r="A381" s="222"/>
      <c r="B381" s="223"/>
      <c r="C381" s="36"/>
      <c r="D381" s="224"/>
      <c r="E381" s="36"/>
      <c r="F381" s="224"/>
      <c r="G381" s="229"/>
      <c r="H381" s="229"/>
      <c r="I381" s="97"/>
      <c r="J381" s="45"/>
      <c r="K381" s="47"/>
      <c r="L381" s="49"/>
      <c r="M381" s="49"/>
      <c r="N381" s="49"/>
    </row>
    <row r="382" spans="1:14">
      <c r="A382" s="222"/>
      <c r="B382" s="223"/>
      <c r="C382" s="36"/>
      <c r="D382" s="224"/>
      <c r="E382" s="36"/>
      <c r="F382" s="224"/>
      <c r="G382" s="227"/>
      <c r="H382" s="227"/>
      <c r="I382" s="97"/>
      <c r="J382" s="49"/>
      <c r="K382" s="49"/>
      <c r="L382" s="49"/>
      <c r="M382" s="49"/>
      <c r="N382" s="49"/>
    </row>
    <row r="383" spans="1:14">
      <c r="A383" s="222"/>
      <c r="B383" s="223"/>
      <c r="C383" s="36"/>
      <c r="D383" s="224"/>
      <c r="E383" s="36"/>
      <c r="F383" s="224"/>
      <c r="G383" s="227"/>
      <c r="H383" s="227"/>
      <c r="I383" s="97"/>
      <c r="J383" s="49"/>
      <c r="K383" s="49"/>
      <c r="L383" s="49"/>
      <c r="M383" s="49"/>
      <c r="N383" s="49"/>
    </row>
    <row r="384" spans="1:14">
      <c r="A384" s="222"/>
      <c r="B384" s="223"/>
      <c r="C384" s="36"/>
      <c r="D384" s="224"/>
      <c r="E384" s="36"/>
      <c r="F384" s="224"/>
      <c r="G384" s="227"/>
      <c r="H384" s="227"/>
      <c r="I384" s="97"/>
      <c r="J384" s="49"/>
      <c r="K384" s="49"/>
      <c r="L384" s="49"/>
      <c r="M384" s="49"/>
      <c r="N384" s="49"/>
    </row>
    <row r="385" spans="1:15">
      <c r="A385" s="222"/>
      <c r="B385" s="223"/>
      <c r="C385" s="36"/>
      <c r="D385" s="224"/>
      <c r="E385" s="36"/>
      <c r="F385" s="224"/>
      <c r="G385" s="227"/>
      <c r="H385" s="227"/>
      <c r="I385" s="97"/>
      <c r="J385" s="49"/>
      <c r="K385" s="49"/>
      <c r="L385" s="49"/>
      <c r="M385" s="49"/>
      <c r="N385" s="49"/>
    </row>
    <row r="386" spans="1:15">
      <c r="A386" s="222"/>
      <c r="B386" s="223"/>
      <c r="C386" s="36"/>
      <c r="D386" s="224"/>
      <c r="E386" s="36"/>
      <c r="F386" s="224"/>
      <c r="G386" s="227"/>
      <c r="H386" s="227"/>
      <c r="I386" s="97"/>
      <c r="J386" s="49"/>
      <c r="K386" s="49"/>
      <c r="L386" s="49"/>
      <c r="M386" s="49"/>
      <c r="N386" s="49"/>
    </row>
    <row r="387" spans="1:15">
      <c r="A387" s="222"/>
      <c r="B387" s="223"/>
      <c r="C387" s="36"/>
      <c r="D387" s="224"/>
      <c r="E387" s="36"/>
      <c r="F387" s="224"/>
      <c r="G387" s="227"/>
      <c r="H387" s="227"/>
      <c r="I387" s="227"/>
      <c r="J387" s="235"/>
      <c r="K387" s="235"/>
      <c r="L387" s="235"/>
      <c r="M387" s="235"/>
      <c r="N387" s="235"/>
      <c r="O387" s="236"/>
    </row>
    <row r="388" spans="1:15">
      <c r="A388" s="222"/>
      <c r="B388" s="223"/>
      <c r="C388" s="36"/>
      <c r="D388" s="224"/>
      <c r="E388" s="36"/>
      <c r="F388" s="224"/>
      <c r="G388" s="227"/>
      <c r="H388" s="227"/>
      <c r="I388" s="227"/>
      <c r="J388" s="235"/>
      <c r="K388" s="235"/>
      <c r="L388" s="235"/>
      <c r="M388" s="235"/>
      <c r="N388" s="235"/>
      <c r="O388" s="236"/>
    </row>
    <row r="389" spans="1:15" ht="15" customHeight="1">
      <c r="A389" s="230"/>
      <c r="B389" s="231"/>
      <c r="C389" s="232"/>
      <c r="D389" s="233"/>
      <c r="E389" s="232"/>
      <c r="F389" s="233"/>
      <c r="G389" s="228"/>
      <c r="H389" s="228"/>
      <c r="I389" s="234"/>
      <c r="J389" s="237"/>
      <c r="K389" s="237"/>
      <c r="L389" s="237"/>
      <c r="M389" s="237"/>
      <c r="N389" s="237"/>
      <c r="O389" s="236"/>
    </row>
    <row r="390" spans="1:15" ht="15" customHeight="1">
      <c r="A390" s="222"/>
      <c r="B390" s="223"/>
      <c r="C390" s="36"/>
      <c r="D390" s="224"/>
      <c r="E390" s="36"/>
      <c r="F390" s="224"/>
      <c r="G390" s="227"/>
      <c r="H390" s="227"/>
      <c r="I390" s="227"/>
      <c r="J390" s="237"/>
      <c r="K390" s="237"/>
      <c r="L390" s="237"/>
      <c r="M390" s="237"/>
      <c r="N390" s="237"/>
      <c r="O390" s="236"/>
    </row>
    <row r="391" spans="1:15">
      <c r="A391" s="222"/>
      <c r="B391" s="223"/>
      <c r="C391" s="36"/>
      <c r="D391" s="224"/>
      <c r="E391" s="36"/>
      <c r="F391" s="224"/>
      <c r="G391" s="227"/>
      <c r="H391" s="227"/>
      <c r="I391" s="227"/>
      <c r="J391" s="238"/>
      <c r="K391" s="238"/>
      <c r="L391" s="238"/>
      <c r="M391" s="238"/>
      <c r="N391" s="238"/>
      <c r="O391" s="236"/>
    </row>
    <row r="392" spans="1:15">
      <c r="A392" s="222"/>
      <c r="B392" s="223"/>
      <c r="C392" s="36"/>
      <c r="D392" s="224"/>
      <c r="E392" s="36"/>
      <c r="F392" s="224"/>
      <c r="G392" s="229"/>
      <c r="H392" s="229"/>
      <c r="I392" s="227"/>
      <c r="J392" s="45"/>
      <c r="K392" s="44"/>
      <c r="L392" s="235"/>
      <c r="M392" s="235"/>
      <c r="N392" s="235"/>
      <c r="O392" s="236"/>
    </row>
    <row r="393" spans="1:15">
      <c r="A393" s="222"/>
      <c r="B393" s="223"/>
      <c r="C393" s="36"/>
      <c r="D393" s="224"/>
      <c r="E393" s="36"/>
      <c r="F393" s="224"/>
      <c r="G393" s="227"/>
      <c r="H393" s="227"/>
      <c r="I393" s="227"/>
      <c r="J393" s="235"/>
      <c r="K393" s="235"/>
      <c r="L393" s="235"/>
      <c r="M393" s="235"/>
      <c r="N393" s="235"/>
      <c r="O393" s="236"/>
    </row>
    <row r="394" spans="1:15">
      <c r="A394" s="222"/>
      <c r="B394" s="223"/>
      <c r="C394" s="36"/>
      <c r="D394" s="224"/>
      <c r="E394" s="36"/>
      <c r="F394" s="224"/>
      <c r="G394" s="227"/>
      <c r="H394" s="227"/>
      <c r="I394" s="227"/>
      <c r="J394" s="235"/>
      <c r="K394" s="235"/>
      <c r="L394" s="235"/>
      <c r="M394" s="235"/>
      <c r="N394" s="235"/>
      <c r="O394" s="236"/>
    </row>
    <row r="395" spans="1:15">
      <c r="A395" s="222"/>
      <c r="B395" s="223"/>
      <c r="C395" s="36"/>
      <c r="D395" s="224"/>
      <c r="E395" s="36"/>
      <c r="F395" s="224"/>
      <c r="G395" s="227"/>
      <c r="H395" s="227"/>
      <c r="I395" s="227"/>
      <c r="J395" s="235"/>
      <c r="K395" s="235"/>
      <c r="L395" s="235"/>
      <c r="M395" s="235"/>
      <c r="N395" s="235"/>
      <c r="O395" s="236"/>
    </row>
    <row r="396" spans="1:15">
      <c r="A396" s="222"/>
      <c r="B396" s="223"/>
      <c r="C396" s="36"/>
      <c r="D396" s="224"/>
      <c r="E396" s="36"/>
      <c r="F396" s="224"/>
      <c r="G396" s="227"/>
      <c r="H396" s="227"/>
      <c r="I396" s="227"/>
      <c r="J396" s="235"/>
      <c r="K396" s="235"/>
      <c r="L396" s="235"/>
      <c r="M396" s="235"/>
      <c r="N396" s="235"/>
      <c r="O396" s="236"/>
    </row>
    <row r="397" spans="1:15">
      <c r="A397" s="222"/>
      <c r="B397" s="223"/>
      <c r="C397" s="36"/>
      <c r="D397" s="224"/>
      <c r="E397" s="36"/>
      <c r="F397" s="224"/>
      <c r="G397" s="227"/>
      <c r="H397" s="227"/>
      <c r="I397" s="227"/>
      <c r="J397" s="235"/>
      <c r="K397" s="235"/>
      <c r="L397" s="235"/>
      <c r="M397" s="235"/>
      <c r="N397" s="235"/>
      <c r="O397" s="236"/>
    </row>
    <row r="398" spans="1:15">
      <c r="A398" s="222"/>
      <c r="B398" s="223"/>
      <c r="C398" s="36"/>
      <c r="D398" s="224"/>
      <c r="E398" s="36"/>
      <c r="F398" s="224"/>
      <c r="G398" s="227"/>
      <c r="H398" s="227"/>
      <c r="I398" s="227"/>
      <c r="J398" s="235"/>
      <c r="K398" s="235"/>
      <c r="L398" s="235"/>
      <c r="M398" s="235"/>
      <c r="N398" s="235"/>
      <c r="O398" s="236"/>
    </row>
    <row r="399" spans="1:15">
      <c r="A399" s="222"/>
      <c r="B399" s="223"/>
      <c r="C399" s="36"/>
      <c r="D399" s="224"/>
      <c r="E399" s="36"/>
      <c r="F399" s="224"/>
      <c r="G399" s="227"/>
      <c r="H399" s="227"/>
      <c r="I399" s="97"/>
      <c r="J399" s="49"/>
      <c r="K399" s="49"/>
      <c r="L399" s="49"/>
      <c r="M399" s="49"/>
      <c r="N399" s="49"/>
    </row>
    <row r="400" spans="1:15">
      <c r="A400" s="230"/>
      <c r="B400" s="231"/>
      <c r="C400" s="232"/>
      <c r="D400" s="233"/>
      <c r="E400" s="232"/>
      <c r="F400" s="233"/>
      <c r="G400" s="228"/>
      <c r="H400" s="228"/>
      <c r="I400" s="2"/>
      <c r="J400" s="49"/>
      <c r="K400" s="49"/>
      <c r="L400" s="49"/>
      <c r="M400" s="49"/>
      <c r="N400" s="49"/>
    </row>
    <row r="401" spans="1:14">
      <c r="A401" s="222"/>
      <c r="B401" s="223"/>
      <c r="C401" s="36"/>
      <c r="D401" s="224"/>
      <c r="E401" s="36"/>
      <c r="F401" s="224"/>
      <c r="G401" s="227"/>
      <c r="H401" s="227"/>
      <c r="I401" s="97"/>
      <c r="J401" s="49"/>
      <c r="K401" s="49"/>
      <c r="L401" s="49"/>
      <c r="M401" s="49"/>
      <c r="N401" s="49"/>
    </row>
    <row r="402" spans="1:14">
      <c r="A402" s="222"/>
      <c r="B402" s="223"/>
      <c r="C402" s="36"/>
      <c r="D402" s="224"/>
      <c r="E402" s="36"/>
      <c r="F402" s="224"/>
      <c r="G402" s="227"/>
      <c r="H402" s="227"/>
      <c r="I402" s="97"/>
      <c r="J402" s="49"/>
      <c r="K402" s="49"/>
      <c r="L402" s="49"/>
      <c r="M402" s="49"/>
      <c r="N402" s="49"/>
    </row>
    <row r="403" spans="1:14">
      <c r="A403" s="222"/>
      <c r="B403" s="223"/>
      <c r="C403" s="36"/>
      <c r="D403" s="224"/>
      <c r="E403" s="36"/>
      <c r="F403" s="224"/>
      <c r="G403" s="229"/>
      <c r="H403" s="229"/>
      <c r="I403" s="97"/>
      <c r="J403" s="45"/>
      <c r="K403" s="47"/>
      <c r="L403" s="49"/>
      <c r="M403" s="49"/>
      <c r="N403" s="49"/>
    </row>
    <row r="404" spans="1:14">
      <c r="A404" s="222"/>
      <c r="B404" s="223"/>
      <c r="C404" s="36"/>
      <c r="D404" s="224"/>
      <c r="E404" s="36"/>
      <c r="F404" s="224"/>
      <c r="G404" s="227"/>
      <c r="H404" s="227"/>
      <c r="I404" s="97"/>
      <c r="J404" s="49"/>
      <c r="K404" s="49"/>
      <c r="L404" s="49"/>
      <c r="M404" s="49"/>
      <c r="N404" s="49"/>
    </row>
    <row r="405" spans="1:14">
      <c r="A405" s="222"/>
      <c r="B405" s="223"/>
      <c r="C405" s="36"/>
      <c r="D405" s="224"/>
      <c r="E405" s="36"/>
      <c r="F405" s="224"/>
      <c r="G405" s="227"/>
      <c r="H405" s="227"/>
      <c r="I405" s="97"/>
      <c r="J405" s="49"/>
      <c r="K405" s="49"/>
      <c r="L405" s="49"/>
      <c r="M405" s="49"/>
      <c r="N405" s="49"/>
    </row>
    <row r="406" spans="1:14">
      <c r="A406" s="222"/>
      <c r="B406" s="223"/>
      <c r="C406" s="36"/>
      <c r="D406" s="224"/>
      <c r="E406" s="36"/>
      <c r="F406" s="224"/>
      <c r="G406" s="227"/>
      <c r="H406" s="227"/>
      <c r="I406" s="97"/>
      <c r="J406" s="49"/>
      <c r="K406" s="49"/>
      <c r="L406" s="49"/>
      <c r="M406" s="49"/>
      <c r="N406" s="49"/>
    </row>
    <row r="407" spans="1:14">
      <c r="A407" s="222"/>
      <c r="B407" s="223"/>
      <c r="C407" s="36"/>
      <c r="D407" s="224"/>
      <c r="E407" s="36"/>
      <c r="F407" s="224"/>
      <c r="G407" s="227"/>
      <c r="H407" s="227"/>
      <c r="I407" s="97"/>
      <c r="J407" s="49"/>
      <c r="K407" s="49"/>
      <c r="L407" s="49"/>
      <c r="M407" s="49"/>
      <c r="N407" s="49"/>
    </row>
    <row r="408" spans="1:14">
      <c r="A408" s="222"/>
      <c r="B408" s="223"/>
      <c r="C408" s="36"/>
      <c r="D408" s="224"/>
      <c r="E408" s="36"/>
      <c r="F408" s="224"/>
      <c r="G408" s="227"/>
      <c r="H408" s="227"/>
      <c r="I408" s="97"/>
      <c r="J408" s="49"/>
      <c r="K408" s="49"/>
      <c r="L408" s="49"/>
      <c r="M408" s="49"/>
      <c r="N408" s="49"/>
    </row>
    <row r="409" spans="1:14">
      <c r="A409" s="222"/>
      <c r="B409" s="223"/>
      <c r="C409" s="36"/>
      <c r="D409" s="224"/>
      <c r="E409" s="36"/>
      <c r="F409" s="224"/>
      <c r="G409" s="227"/>
      <c r="H409" s="227"/>
      <c r="I409" s="97"/>
      <c r="J409" s="49"/>
      <c r="K409" s="49"/>
      <c r="L409" s="49"/>
      <c r="M409" s="49"/>
      <c r="N409" s="49"/>
    </row>
    <row r="410" spans="1:14">
      <c r="A410" s="222"/>
      <c r="B410" s="223"/>
      <c r="C410" s="36"/>
      <c r="D410" s="224"/>
      <c r="E410" s="36"/>
      <c r="F410" s="224"/>
      <c r="G410" s="227"/>
      <c r="H410" s="227"/>
      <c r="I410" s="97"/>
      <c r="J410" s="49"/>
      <c r="K410" s="49"/>
      <c r="L410" s="49"/>
      <c r="M410" s="49"/>
      <c r="N410" s="49"/>
    </row>
    <row r="411" spans="1:14">
      <c r="A411" s="230"/>
      <c r="B411" s="231"/>
      <c r="C411" s="232"/>
      <c r="D411" s="233"/>
      <c r="E411" s="232"/>
      <c r="F411" s="233"/>
      <c r="G411" s="228"/>
      <c r="H411" s="228"/>
      <c r="I411" s="2"/>
      <c r="J411" s="49"/>
      <c r="K411" s="49"/>
      <c r="L411" s="49"/>
      <c r="M411" s="49"/>
      <c r="N411" s="49"/>
    </row>
    <row r="412" spans="1:14">
      <c r="A412" s="222"/>
      <c r="B412" s="223"/>
      <c r="C412" s="36"/>
      <c r="D412" s="224"/>
      <c r="E412" s="36"/>
      <c r="F412" s="224"/>
      <c r="G412" s="227"/>
      <c r="H412" s="227"/>
      <c r="I412" s="97"/>
      <c r="J412" s="49"/>
      <c r="K412" s="49"/>
      <c r="L412" s="49"/>
      <c r="M412" s="49"/>
      <c r="N412" s="49"/>
    </row>
    <row r="413" spans="1:14">
      <c r="A413" s="222"/>
      <c r="B413" s="223"/>
      <c r="C413" s="36"/>
      <c r="D413" s="224"/>
      <c r="E413" s="36"/>
      <c r="F413" s="224"/>
      <c r="G413" s="227"/>
      <c r="H413" s="227"/>
      <c r="I413" s="97"/>
      <c r="J413" s="49"/>
      <c r="K413" s="49"/>
      <c r="L413" s="49"/>
      <c r="M413" s="49"/>
      <c r="N413" s="49"/>
    </row>
    <row r="414" spans="1:14">
      <c r="A414" s="222"/>
      <c r="B414" s="223"/>
      <c r="C414" s="36"/>
      <c r="D414" s="224"/>
      <c r="E414" s="36"/>
      <c r="F414" s="224"/>
      <c r="G414" s="229"/>
      <c r="H414" s="229"/>
      <c r="I414" s="97"/>
      <c r="J414" s="45"/>
      <c r="K414" s="47"/>
      <c r="L414" s="49"/>
      <c r="M414" s="49"/>
      <c r="N414" s="49"/>
    </row>
    <row r="415" spans="1:14">
      <c r="A415" s="222"/>
      <c r="B415" s="223"/>
      <c r="C415" s="36"/>
      <c r="D415" s="224"/>
      <c r="E415" s="36"/>
      <c r="F415" s="224"/>
      <c r="G415" s="227"/>
      <c r="H415" s="227"/>
      <c r="I415" s="97"/>
      <c r="J415" s="49"/>
      <c r="K415" s="49"/>
      <c r="L415" s="49"/>
      <c r="M415" s="49"/>
      <c r="N415" s="49"/>
    </row>
    <row r="416" spans="1:14">
      <c r="A416" s="222"/>
      <c r="B416" s="223"/>
      <c r="C416" s="36"/>
      <c r="D416" s="224"/>
      <c r="E416" s="36"/>
      <c r="F416" s="224"/>
      <c r="G416" s="227"/>
      <c r="H416" s="227"/>
      <c r="I416" s="97"/>
      <c r="J416" s="49"/>
      <c r="K416" s="49"/>
      <c r="L416" s="49"/>
      <c r="M416" s="49"/>
      <c r="N416" s="49"/>
    </row>
    <row r="417" spans="1:14">
      <c r="A417" s="222"/>
      <c r="B417" s="223"/>
      <c r="C417" s="36"/>
      <c r="D417" s="224"/>
      <c r="E417" s="36"/>
      <c r="F417" s="224"/>
      <c r="G417" s="227"/>
      <c r="H417" s="227"/>
      <c r="I417" s="97"/>
      <c r="J417" s="49"/>
      <c r="K417" s="49"/>
      <c r="L417" s="49"/>
      <c r="M417" s="49"/>
      <c r="N417" s="49"/>
    </row>
    <row r="418" spans="1:14">
      <c r="A418" s="222"/>
      <c r="B418" s="223"/>
      <c r="C418" s="36"/>
      <c r="D418" s="224"/>
      <c r="E418" s="36"/>
      <c r="F418" s="224"/>
      <c r="G418" s="227"/>
      <c r="H418" s="227"/>
      <c r="I418" s="97"/>
      <c r="J418" s="49"/>
      <c r="K418" s="49"/>
      <c r="L418" s="49"/>
      <c r="M418" s="49"/>
      <c r="N418" s="49"/>
    </row>
    <row r="419" spans="1:14">
      <c r="A419" s="222"/>
      <c r="B419" s="223"/>
      <c r="C419" s="36"/>
      <c r="D419" s="224"/>
      <c r="E419" s="36"/>
      <c r="F419" s="224"/>
      <c r="G419" s="227"/>
      <c r="H419" s="227"/>
      <c r="I419" s="97"/>
      <c r="J419" s="49"/>
      <c r="K419" s="49"/>
      <c r="L419" s="49"/>
      <c r="M419" s="49"/>
      <c r="N419" s="49"/>
    </row>
    <row r="420" spans="1:14">
      <c r="A420" s="222"/>
      <c r="B420" s="223"/>
      <c r="C420" s="36"/>
      <c r="D420" s="224"/>
      <c r="E420" s="36"/>
      <c r="F420" s="224"/>
      <c r="G420" s="227"/>
      <c r="H420" s="227"/>
      <c r="I420" s="97"/>
      <c r="J420" s="49"/>
      <c r="K420" s="49"/>
      <c r="L420" s="49"/>
      <c r="M420" s="49"/>
      <c r="N420" s="49"/>
    </row>
    <row r="421" spans="1:14">
      <c r="A421" s="222"/>
      <c r="B421" s="223"/>
      <c r="C421" s="36"/>
      <c r="D421" s="224"/>
      <c r="E421" s="36"/>
      <c r="F421" s="224"/>
      <c r="G421" s="227"/>
      <c r="H421" s="227"/>
      <c r="I421" s="97"/>
      <c r="J421" s="49"/>
      <c r="K421" s="49"/>
      <c r="L421" s="49"/>
      <c r="M421" s="49"/>
      <c r="N421" s="49"/>
    </row>
    <row r="422" spans="1:14">
      <c r="A422" s="34"/>
      <c r="B422" s="35"/>
      <c r="C422" s="36"/>
      <c r="D422" s="37"/>
      <c r="E422" s="36"/>
      <c r="F422" s="37"/>
      <c r="G422" s="234"/>
      <c r="H422" s="234"/>
      <c r="I422" s="2"/>
      <c r="J422" s="49"/>
      <c r="K422" s="49"/>
      <c r="L422" s="49"/>
      <c r="M422" s="49"/>
      <c r="N422" s="49"/>
    </row>
    <row r="423" spans="1:14">
      <c r="A423" s="34"/>
      <c r="B423" s="35"/>
      <c r="C423" s="36"/>
      <c r="D423" s="37"/>
      <c r="E423" s="36"/>
      <c r="F423" s="37"/>
      <c r="G423" s="234"/>
      <c r="H423" s="234"/>
      <c r="I423" s="2"/>
      <c r="J423" s="49"/>
      <c r="K423" s="49"/>
      <c r="L423" s="49"/>
      <c r="M423" s="49"/>
      <c r="N423" s="49"/>
    </row>
    <row r="424" spans="1:14">
      <c r="A424" s="34"/>
      <c r="B424" s="35"/>
      <c r="C424" s="36"/>
      <c r="D424" s="37"/>
      <c r="E424" s="36"/>
      <c r="F424" s="37"/>
      <c r="G424" s="2"/>
      <c r="H424" s="2"/>
      <c r="I424" s="2"/>
      <c r="J424" s="49"/>
      <c r="K424" s="49"/>
      <c r="L424" s="49"/>
      <c r="M424" s="49"/>
      <c r="N424" s="49"/>
    </row>
  </sheetData>
  <sheetProtection password="EA2C" sheet="1" objects="1" scenarios="1"/>
  <autoFilter ref="A4:G421"/>
  <mergeCells count="13">
    <mergeCell ref="B1:C1"/>
    <mergeCell ref="J4:N5"/>
    <mergeCell ref="J6:N6"/>
    <mergeCell ref="J37:N38"/>
    <mergeCell ref="J39:N39"/>
    <mergeCell ref="J70:N71"/>
    <mergeCell ref="J72:N72"/>
    <mergeCell ref="J114:N115"/>
    <mergeCell ref="J116:N116"/>
    <mergeCell ref="J169:N170"/>
    <mergeCell ref="J171:N171"/>
    <mergeCell ref="J224:N225"/>
    <mergeCell ref="J226:N226"/>
  </mergeCells>
  <conditionalFormatting sqref="C412:C424 C291:C300 E291:E300 E302:E311 C302:C311 C313:C322 E313:E322 E324:E333 C324:C333 C335:C344 E335:E344 E346:E355 C346:C355 C357:C366 E357:E366 E368:E377 C368:C377 C379:C388 E379:E388 E390:E399 C390:C399 C401:C410 E401:E410 E412:E424 C5:C289 E5:E289">
    <cfRule type="cellIs" dxfId="1" priority="1" stopIfTrue="1" operator="equal">
      <formula>$E$3</formula>
    </cfRule>
  </conditionalFormatting>
  <conditionalFormatting sqref="C412:C424 E280:E289 C280:C289 C291:C300 E291:E300 E302:E311 C302:C311 C313:C322 E313:E322 E324:E333 C324:C333 C335:C344 E335:E344 E346:E355 C346:C355 C357:C366 E357:E366 E368:E377 C368:C377 C379:C388 E379:E388 E390:E399 C390:C399 C401:C410 E401:E410 E412:E424 F60:N72 G4:N59 B5:F284">
    <cfRule type="cellIs" dxfId="0" priority="2" stopIfTrue="1" operator="equal">
      <formula>$C$3</formula>
    </cfRule>
  </conditionalFormatting>
  <dataValidations count="4">
    <dataValidation type="whole" operator="greaterThan" allowBlank="1" showInputMessage="1" showErrorMessage="1" sqref="F5:F424 D5:D424">
      <formula1>-1</formula1>
    </dataValidation>
    <dataValidation type="list" allowBlank="1" showInputMessage="1" showErrorMessage="1" sqref="C3 E3">
      <formula1>Teams</formula1>
    </dataValidation>
    <dataValidation type="list" allowBlank="1" showInputMessage="1" showErrorMessage="1" sqref="B1">
      <formula1>lg</formula1>
    </dataValidation>
    <dataValidation type="list" allowBlank="1" showInputMessage="1" showErrorMessage="1" sqref="E1">
      <formula1>TiZo</formula1>
    </dataValidation>
  </dataValidations>
  <hyperlinks>
    <hyperlink ref="J4" r:id="rId1"/>
    <hyperlink ref="J37" r:id="rId2"/>
    <hyperlink ref="J70" r:id="rId3"/>
    <hyperlink ref="J114" r:id="rId4"/>
    <hyperlink ref="J169" r:id="rId5"/>
    <hyperlink ref="J224" r:id="rId6"/>
  </hyperlinks>
  <pageMargins left="0.7" right="0.7" top="0.75" bottom="0.75" header="0.3" footer="0.3"/>
  <pageSetup orientation="portrait" r:id="rId7"/>
  <ignoredErrors>
    <ignoredError sqref="A5" unlockedFormula="1"/>
  </ignoredErrors>
  <drawing r:id="rId8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0"/>
  <sheetViews>
    <sheetView workbookViewId="0">
      <pane xSplit="2" topLeftCell="C1" activePane="topRight" state="frozen"/>
      <selection pane="topRight" activeCell="C25" sqref="C25:I27"/>
    </sheetView>
  </sheetViews>
  <sheetFormatPr defaultRowHeight="15"/>
  <cols>
    <col min="1" max="1" width="3" style="10" bestFit="1" customWidth="1"/>
    <col min="2" max="2" width="23.85546875" style="10" bestFit="1" customWidth="1"/>
    <col min="3" max="6" width="5.7109375" style="10" customWidth="1"/>
    <col min="7" max="8" width="8.5703125" style="10" customWidth="1"/>
    <col min="9" max="13" width="5.7109375" style="10" customWidth="1"/>
    <col min="14" max="15" width="8.5703125" style="10" customWidth="1"/>
    <col min="16" max="20" width="5.7109375" style="10" customWidth="1"/>
    <col min="21" max="22" width="8.5703125" style="10" customWidth="1"/>
    <col min="23" max="23" width="5.7109375" style="10" customWidth="1"/>
    <col min="24" max="16384" width="9.140625" style="10"/>
  </cols>
  <sheetData>
    <row r="1" spans="1:23" ht="15.75">
      <c r="C1" s="271" t="s">
        <v>210</v>
      </c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</row>
    <row r="2" spans="1:23" ht="15.75">
      <c r="C2" s="170" t="s">
        <v>126</v>
      </c>
      <c r="D2" s="170"/>
      <c r="E2" s="170"/>
      <c r="F2" s="170"/>
      <c r="G2" s="170"/>
      <c r="H2" s="170"/>
      <c r="I2" s="170"/>
      <c r="J2" s="171" t="s">
        <v>8</v>
      </c>
      <c r="K2" s="171"/>
      <c r="L2" s="171"/>
      <c r="M2" s="171"/>
      <c r="N2" s="171"/>
      <c r="O2" s="171"/>
      <c r="P2" s="171"/>
      <c r="Q2" s="172" t="s">
        <v>10</v>
      </c>
      <c r="R2" s="172"/>
      <c r="S2" s="172"/>
      <c r="T2" s="172"/>
      <c r="U2" s="172"/>
      <c r="V2" s="172"/>
      <c r="W2" s="172"/>
    </row>
    <row r="3" spans="1:23">
      <c r="A3" s="92" t="str">
        <f>'ef-FT'!D3</f>
        <v>#</v>
      </c>
      <c r="B3" s="92" t="str">
        <f>lg!L4</f>
        <v>Team</v>
      </c>
      <c r="C3" s="92" t="str">
        <f>lg!M4</f>
        <v>P</v>
      </c>
      <c r="D3" s="92" t="str">
        <f>lg!N4</f>
        <v>W</v>
      </c>
      <c r="E3" s="92" t="str">
        <f>lg!O4</f>
        <v>D</v>
      </c>
      <c r="F3" s="92" t="str">
        <f>lg!P4</f>
        <v>L</v>
      </c>
      <c r="G3" s="92" t="str">
        <f>lg!Q4</f>
        <v>Pts</v>
      </c>
      <c r="H3" s="92" t="str">
        <f>lg!R4</f>
        <v>GF - GC</v>
      </c>
      <c r="I3" s="56" t="str">
        <f>lg!S4</f>
        <v>GD</v>
      </c>
      <c r="J3" s="57" t="str">
        <f>lg!M4</f>
        <v>P</v>
      </c>
      <c r="K3" s="92" t="str">
        <f>lg!N4</f>
        <v>W</v>
      </c>
      <c r="L3" s="92" t="str">
        <f>lg!O4</f>
        <v>D</v>
      </c>
      <c r="M3" s="92" t="str">
        <f>lg!P4</f>
        <v>L</v>
      </c>
      <c r="N3" s="92" t="str">
        <f>lg!Q4</f>
        <v>Pts</v>
      </c>
      <c r="O3" s="92" t="str">
        <f>lg!R4</f>
        <v>GF - GC</v>
      </c>
      <c r="P3" s="56" t="str">
        <f>lg!S4</f>
        <v>GD</v>
      </c>
      <c r="Q3" s="57" t="str">
        <f>lg!M4</f>
        <v>P</v>
      </c>
      <c r="R3" s="92" t="str">
        <f>lg!N4</f>
        <v>W</v>
      </c>
      <c r="S3" s="92" t="str">
        <f>lg!O4</f>
        <v>D</v>
      </c>
      <c r="T3" s="92" t="str">
        <f>lg!P4</f>
        <v>L</v>
      </c>
      <c r="U3" s="92" t="str">
        <f>lg!Q4</f>
        <v>Pts</v>
      </c>
      <c r="V3" s="92" t="str">
        <f>lg!R4</f>
        <v>GF - GC</v>
      </c>
      <c r="W3" s="92" t="str">
        <f>lg!S4</f>
        <v>GD</v>
      </c>
    </row>
    <row r="4" spans="1:23">
      <c r="A4" s="273">
        <v>1</v>
      </c>
      <c r="B4" s="274" t="str">
        <f>'ef-FT'!AU4</f>
        <v>Columbus</v>
      </c>
      <c r="C4" s="127">
        <f>'ef-FT'!AV4</f>
        <v>20</v>
      </c>
      <c r="D4" s="127">
        <f>'ef-FT'!AW4</f>
        <v>11</v>
      </c>
      <c r="E4" s="127">
        <f>'ef-FT'!AX4</f>
        <v>4</v>
      </c>
      <c r="F4" s="127">
        <f>'ef-FT'!AY4</f>
        <v>5</v>
      </c>
      <c r="G4" s="127">
        <f>'ef-FT'!AZ4</f>
        <v>37</v>
      </c>
      <c r="H4" s="127" t="str">
        <f>'ef-FT'!BA4</f>
        <v>28 - 19</v>
      </c>
      <c r="I4" s="275">
        <f>'ef-FT'!BB4</f>
        <v>9</v>
      </c>
      <c r="J4" s="276">
        <f>'ef-FT'!BC4</f>
        <v>10</v>
      </c>
      <c r="K4" s="127">
        <f>'ef-FT'!BD4</f>
        <v>8</v>
      </c>
      <c r="L4" s="127">
        <f>'ef-FT'!BE4</f>
        <v>0</v>
      </c>
      <c r="M4" s="127">
        <f>'ef-FT'!BF4</f>
        <v>2</v>
      </c>
      <c r="N4" s="127">
        <f>'ef-FT'!BG4</f>
        <v>24</v>
      </c>
      <c r="O4" s="127" t="str">
        <f>'ef-FT'!BH4</f>
        <v>16 - 6</v>
      </c>
      <c r="P4" s="275">
        <f>'ef-FT'!BI4</f>
        <v>10</v>
      </c>
      <c r="Q4" s="276">
        <f>'ef-FT'!BJ4</f>
        <v>10</v>
      </c>
      <c r="R4" s="127">
        <f>'ef-FT'!BK4</f>
        <v>3</v>
      </c>
      <c r="S4" s="127">
        <f>'ef-FT'!BL4</f>
        <v>4</v>
      </c>
      <c r="T4" s="127">
        <f>'ef-FT'!BM4</f>
        <v>3</v>
      </c>
      <c r="U4" s="127">
        <f>'ef-FT'!BN4</f>
        <v>13</v>
      </c>
      <c r="V4" s="127" t="str">
        <f>'ef-FT'!BO4</f>
        <v>12 - 13</v>
      </c>
      <c r="W4" s="127">
        <f>'ef-FT'!BP4</f>
        <v>-1</v>
      </c>
    </row>
    <row r="5" spans="1:23">
      <c r="A5" s="24">
        <v>2</v>
      </c>
      <c r="B5" s="11" t="str">
        <f>'ef-FT'!AU5</f>
        <v>New York Red Bulls</v>
      </c>
      <c r="C5" s="165">
        <f>'ef-FT'!AV5</f>
        <v>20</v>
      </c>
      <c r="D5" s="165">
        <f>'ef-FT'!AW5</f>
        <v>9</v>
      </c>
      <c r="E5" s="165">
        <f>'ef-FT'!AX5</f>
        <v>4</v>
      </c>
      <c r="F5" s="165">
        <f>'ef-FT'!AY5</f>
        <v>7</v>
      </c>
      <c r="G5" s="165">
        <f>'ef-FT'!AZ5</f>
        <v>31</v>
      </c>
      <c r="H5" s="165" t="str">
        <f>'ef-FT'!BA5</f>
        <v>21 - 22</v>
      </c>
      <c r="I5" s="58">
        <f>'ef-FT'!BB5</f>
        <v>-1</v>
      </c>
      <c r="J5" s="59">
        <f>'ef-FT'!BC5</f>
        <v>10</v>
      </c>
      <c r="K5" s="165">
        <f>'ef-FT'!BD5</f>
        <v>6</v>
      </c>
      <c r="L5" s="165">
        <f>'ef-FT'!BE5</f>
        <v>1</v>
      </c>
      <c r="M5" s="165">
        <f>'ef-FT'!BF5</f>
        <v>3</v>
      </c>
      <c r="N5" s="165">
        <f>'ef-FT'!BG5</f>
        <v>19</v>
      </c>
      <c r="O5" s="165" t="str">
        <f>'ef-FT'!BH5</f>
        <v>10 - 8</v>
      </c>
      <c r="P5" s="58">
        <f>'ef-FT'!BI5</f>
        <v>2</v>
      </c>
      <c r="Q5" s="59">
        <f>'ef-FT'!BJ5</f>
        <v>10</v>
      </c>
      <c r="R5" s="165">
        <f>'ef-FT'!BK5</f>
        <v>3</v>
      </c>
      <c r="S5" s="165">
        <f>'ef-FT'!BL5</f>
        <v>3</v>
      </c>
      <c r="T5" s="165">
        <f>'ef-FT'!BM5</f>
        <v>4</v>
      </c>
      <c r="U5" s="165">
        <f>'ef-FT'!BN5</f>
        <v>12</v>
      </c>
      <c r="V5" s="165" t="str">
        <f>'ef-FT'!BO5</f>
        <v>11 - 14</v>
      </c>
      <c r="W5" s="165">
        <f>'ef-FT'!BP5</f>
        <v>-3</v>
      </c>
    </row>
    <row r="6" spans="1:23">
      <c r="A6" s="24">
        <v>3</v>
      </c>
      <c r="B6" s="11" t="str">
        <f>'ef-FT'!AU6</f>
        <v>Toronto FC</v>
      </c>
      <c r="C6" s="165">
        <f>'ef-FT'!AV6</f>
        <v>19</v>
      </c>
      <c r="D6" s="165">
        <f>'ef-FT'!AW6</f>
        <v>7</v>
      </c>
      <c r="E6" s="165">
        <f>'ef-FT'!AX6</f>
        <v>5</v>
      </c>
      <c r="F6" s="165">
        <f>'ef-FT'!AY6</f>
        <v>7</v>
      </c>
      <c r="G6" s="165">
        <f>'ef-FT'!AZ6</f>
        <v>26</v>
      </c>
      <c r="H6" s="165" t="str">
        <f>'ef-FT'!BA6</f>
        <v>21 - 21</v>
      </c>
      <c r="I6" s="58">
        <f>'ef-FT'!BB6</f>
        <v>0</v>
      </c>
      <c r="J6" s="59">
        <f>'ef-FT'!BC6</f>
        <v>10</v>
      </c>
      <c r="K6" s="165">
        <f>'ef-FT'!BD6</f>
        <v>6</v>
      </c>
      <c r="L6" s="165">
        <f>'ef-FT'!BE6</f>
        <v>4</v>
      </c>
      <c r="M6" s="165">
        <f>'ef-FT'!BF6</f>
        <v>0</v>
      </c>
      <c r="N6" s="165">
        <f>'ef-FT'!BG6</f>
        <v>22</v>
      </c>
      <c r="O6" s="165" t="str">
        <f>'ef-FT'!BH6</f>
        <v>14 - 5</v>
      </c>
      <c r="P6" s="58">
        <f>'ef-FT'!BI6</f>
        <v>9</v>
      </c>
      <c r="Q6" s="59">
        <f>'ef-FT'!BJ6</f>
        <v>9</v>
      </c>
      <c r="R6" s="165">
        <f>'ef-FT'!BK6</f>
        <v>1</v>
      </c>
      <c r="S6" s="165">
        <f>'ef-FT'!BL6</f>
        <v>1</v>
      </c>
      <c r="T6" s="165">
        <f>'ef-FT'!BM6</f>
        <v>7</v>
      </c>
      <c r="U6" s="165">
        <f>'ef-FT'!BN6</f>
        <v>4</v>
      </c>
      <c r="V6" s="165" t="str">
        <f>'ef-FT'!BO6</f>
        <v>7 - 16</v>
      </c>
      <c r="W6" s="165">
        <f>'ef-FT'!BP6</f>
        <v>-9</v>
      </c>
    </row>
    <row r="7" spans="1:23">
      <c r="A7" s="24">
        <v>4</v>
      </c>
      <c r="B7" s="11" t="str">
        <f>'ef-FT'!AU7</f>
        <v>Chicago</v>
      </c>
      <c r="C7" s="165">
        <f>'ef-FT'!AV7</f>
        <v>16</v>
      </c>
      <c r="D7" s="165">
        <f>'ef-FT'!AW7</f>
        <v>5</v>
      </c>
      <c r="E7" s="165">
        <f>'ef-FT'!AX7</f>
        <v>6</v>
      </c>
      <c r="F7" s="165">
        <f>'ef-FT'!AY7</f>
        <v>5</v>
      </c>
      <c r="G7" s="165">
        <f>'ef-FT'!AZ7</f>
        <v>21</v>
      </c>
      <c r="H7" s="165" t="str">
        <f>'ef-FT'!BA7</f>
        <v>21 - 21</v>
      </c>
      <c r="I7" s="58">
        <f>'ef-FT'!BB7</f>
        <v>0</v>
      </c>
      <c r="J7" s="59">
        <f>'ef-FT'!BC7</f>
        <v>8</v>
      </c>
      <c r="K7" s="165">
        <f>'ef-FT'!BD7</f>
        <v>2</v>
      </c>
      <c r="L7" s="165">
        <f>'ef-FT'!BE7</f>
        <v>4</v>
      </c>
      <c r="M7" s="165">
        <f>'ef-FT'!BF7</f>
        <v>2</v>
      </c>
      <c r="N7" s="165">
        <f>'ef-FT'!BG7</f>
        <v>10</v>
      </c>
      <c r="O7" s="165" t="str">
        <f>'ef-FT'!BH7</f>
        <v>9 - 8</v>
      </c>
      <c r="P7" s="58">
        <f>'ef-FT'!BI7</f>
        <v>1</v>
      </c>
      <c r="Q7" s="59">
        <f>'ef-FT'!BJ7</f>
        <v>8</v>
      </c>
      <c r="R7" s="165">
        <f>'ef-FT'!BK7</f>
        <v>3</v>
      </c>
      <c r="S7" s="165">
        <f>'ef-FT'!BL7</f>
        <v>2</v>
      </c>
      <c r="T7" s="165">
        <f>'ef-FT'!BM7</f>
        <v>3</v>
      </c>
      <c r="U7" s="165">
        <f>'ef-FT'!BN7</f>
        <v>11</v>
      </c>
      <c r="V7" s="165" t="str">
        <f>'ef-FT'!BO7</f>
        <v>12 - 13</v>
      </c>
      <c r="W7" s="165">
        <f>'ef-FT'!BP7</f>
        <v>-1</v>
      </c>
    </row>
    <row r="8" spans="1:23">
      <c r="A8" s="24">
        <v>5</v>
      </c>
      <c r="B8" s="11" t="str">
        <f>'ef-FT'!AU8</f>
        <v>New England</v>
      </c>
      <c r="C8" s="93">
        <f>'ef-FT'!AV8</f>
        <v>18</v>
      </c>
      <c r="D8" s="93">
        <f>'ef-FT'!AW8</f>
        <v>6</v>
      </c>
      <c r="E8" s="93">
        <f>'ef-FT'!AX8</f>
        <v>3</v>
      </c>
      <c r="F8" s="93">
        <f>'ef-FT'!AY8</f>
        <v>9</v>
      </c>
      <c r="G8" s="93">
        <f>'ef-FT'!AZ8</f>
        <v>21</v>
      </c>
      <c r="H8" s="93" t="str">
        <f>'ef-FT'!BA8</f>
        <v>18 - 27</v>
      </c>
      <c r="I8" s="58">
        <f>'ef-FT'!BB8</f>
        <v>-9</v>
      </c>
      <c r="J8" s="59">
        <f>'ef-FT'!BC8</f>
        <v>10</v>
      </c>
      <c r="K8" s="93">
        <f>'ef-FT'!BD8</f>
        <v>5</v>
      </c>
      <c r="L8" s="93">
        <f>'ef-FT'!BE8</f>
        <v>2</v>
      </c>
      <c r="M8" s="93">
        <f>'ef-FT'!BF8</f>
        <v>3</v>
      </c>
      <c r="N8" s="93">
        <f>'ef-FT'!BG8</f>
        <v>17</v>
      </c>
      <c r="O8" s="93" t="str">
        <f>'ef-FT'!BH8</f>
        <v>13 - 11</v>
      </c>
      <c r="P8" s="58">
        <f>'ef-FT'!BI8</f>
        <v>2</v>
      </c>
      <c r="Q8" s="59">
        <f>'ef-FT'!BJ8</f>
        <v>8</v>
      </c>
      <c r="R8" s="93">
        <f>'ef-FT'!BK8</f>
        <v>1</v>
      </c>
      <c r="S8" s="93">
        <f>'ef-FT'!BL8</f>
        <v>1</v>
      </c>
      <c r="T8" s="93">
        <f>'ef-FT'!BM8</f>
        <v>6</v>
      </c>
      <c r="U8" s="93">
        <f>'ef-FT'!BN8</f>
        <v>4</v>
      </c>
      <c r="V8" s="93" t="str">
        <f>'ef-FT'!BO8</f>
        <v>5 - 16</v>
      </c>
      <c r="W8" s="93">
        <f>'ef-FT'!BP8</f>
        <v>-11</v>
      </c>
    </row>
    <row r="9" spans="1:23">
      <c r="A9" s="24">
        <v>6</v>
      </c>
      <c r="B9" s="11" t="str">
        <f>'ef-FT'!AU9</f>
        <v>Kansas City</v>
      </c>
      <c r="C9" s="93">
        <f>'ef-FT'!AV9</f>
        <v>19</v>
      </c>
      <c r="D9" s="93">
        <f>'ef-FT'!AW9</f>
        <v>5</v>
      </c>
      <c r="E9" s="93">
        <f>'ef-FT'!AX9</f>
        <v>5</v>
      </c>
      <c r="F9" s="93">
        <f>'ef-FT'!AY9</f>
        <v>9</v>
      </c>
      <c r="G9" s="93">
        <f>'ef-FT'!AZ9</f>
        <v>20</v>
      </c>
      <c r="H9" s="93" t="str">
        <f>'ef-FT'!BA9</f>
        <v>15 - 22</v>
      </c>
      <c r="I9" s="58">
        <f>'ef-FT'!BB9</f>
        <v>-7</v>
      </c>
      <c r="J9" s="59">
        <f>'ef-FT'!BC9</f>
        <v>10</v>
      </c>
      <c r="K9" s="93">
        <f>'ef-FT'!BD9</f>
        <v>4</v>
      </c>
      <c r="L9" s="93">
        <f>'ef-FT'!BE9</f>
        <v>3</v>
      </c>
      <c r="M9" s="93">
        <f>'ef-FT'!BF9</f>
        <v>3</v>
      </c>
      <c r="N9" s="93">
        <f>'ef-FT'!BG9</f>
        <v>15</v>
      </c>
      <c r="O9" s="93" t="str">
        <f>'ef-FT'!BH9</f>
        <v>11 - 9</v>
      </c>
      <c r="P9" s="58">
        <f>'ef-FT'!BI9</f>
        <v>2</v>
      </c>
      <c r="Q9" s="59">
        <f>'ef-FT'!BJ9</f>
        <v>9</v>
      </c>
      <c r="R9" s="93">
        <f>'ef-FT'!BK9</f>
        <v>1</v>
      </c>
      <c r="S9" s="93">
        <f>'ef-FT'!BL9</f>
        <v>2</v>
      </c>
      <c r="T9" s="93">
        <f>'ef-FT'!BM9</f>
        <v>6</v>
      </c>
      <c r="U9" s="93">
        <f>'ef-FT'!BN9</f>
        <v>5</v>
      </c>
      <c r="V9" s="93" t="str">
        <f>'ef-FT'!BO9</f>
        <v>4 - 13</v>
      </c>
      <c r="W9" s="93">
        <f>'ef-FT'!BP9</f>
        <v>-9</v>
      </c>
    </row>
    <row r="10" spans="1:23">
      <c r="A10" s="24">
        <v>7</v>
      </c>
      <c r="B10" s="11" t="str">
        <f>'ef-FT'!AU10</f>
        <v>Philadelphia Union</v>
      </c>
      <c r="C10" s="93">
        <f>'ef-FT'!AV10</f>
        <v>19</v>
      </c>
      <c r="D10" s="93">
        <f>'ef-FT'!AW10</f>
        <v>4</v>
      </c>
      <c r="E10" s="93">
        <f>'ef-FT'!AX10</f>
        <v>5</v>
      </c>
      <c r="F10" s="93">
        <f>'ef-FT'!AY10</f>
        <v>10</v>
      </c>
      <c r="G10" s="93">
        <f>'ef-FT'!AZ10</f>
        <v>17</v>
      </c>
      <c r="H10" s="93" t="str">
        <f>'ef-FT'!BA10</f>
        <v>23 - 33</v>
      </c>
      <c r="I10" s="58">
        <f>'ef-FT'!BB10</f>
        <v>-10</v>
      </c>
      <c r="J10" s="59">
        <f>'ef-FT'!BC10</f>
        <v>9</v>
      </c>
      <c r="K10" s="93">
        <f>'ef-FT'!BD10</f>
        <v>3</v>
      </c>
      <c r="L10" s="93">
        <f>'ef-FT'!BE10</f>
        <v>4</v>
      </c>
      <c r="M10" s="93">
        <f>'ef-FT'!BF10</f>
        <v>2</v>
      </c>
      <c r="N10" s="93">
        <f>'ef-FT'!BG10</f>
        <v>13</v>
      </c>
      <c r="O10" s="93" t="str">
        <f>'ef-FT'!BH10</f>
        <v>14 - 12</v>
      </c>
      <c r="P10" s="58">
        <f>'ef-FT'!BI10</f>
        <v>2</v>
      </c>
      <c r="Q10" s="59">
        <f>'ef-FT'!BJ10</f>
        <v>10</v>
      </c>
      <c r="R10" s="93">
        <f>'ef-FT'!BK10</f>
        <v>1</v>
      </c>
      <c r="S10" s="93">
        <f>'ef-FT'!BL10</f>
        <v>1</v>
      </c>
      <c r="T10" s="93">
        <f>'ef-FT'!BM10</f>
        <v>8</v>
      </c>
      <c r="U10" s="93">
        <f>'ef-FT'!BN10</f>
        <v>4</v>
      </c>
      <c r="V10" s="93" t="str">
        <f>'ef-FT'!BO10</f>
        <v>9 - 21</v>
      </c>
      <c r="W10" s="93">
        <f>'ef-FT'!BP10</f>
        <v>-12</v>
      </c>
    </row>
    <row r="11" spans="1:23">
      <c r="A11" s="24">
        <v>8</v>
      </c>
      <c r="B11" s="11" t="str">
        <f>'ef-FT'!AU11</f>
        <v>DC United</v>
      </c>
      <c r="C11" s="93">
        <f>'ef-FT'!AV11</f>
        <v>20</v>
      </c>
      <c r="D11" s="93">
        <f>'ef-FT'!AW11</f>
        <v>3</v>
      </c>
      <c r="E11" s="93">
        <f>'ef-FT'!AX11</f>
        <v>3</v>
      </c>
      <c r="F11" s="93">
        <f>'ef-FT'!AY11</f>
        <v>14</v>
      </c>
      <c r="G11" s="93">
        <f>'ef-FT'!AZ11</f>
        <v>12</v>
      </c>
      <c r="H11" s="93" t="str">
        <f>'ef-FT'!BA11</f>
        <v>13 - 35</v>
      </c>
      <c r="I11" s="58">
        <f>'ef-FT'!BB11</f>
        <v>-22</v>
      </c>
      <c r="J11" s="59">
        <f>'ef-FT'!BC11</f>
        <v>10</v>
      </c>
      <c r="K11" s="93">
        <f>'ef-FT'!BD11</f>
        <v>2</v>
      </c>
      <c r="L11" s="93">
        <f>'ef-FT'!BE11</f>
        <v>1</v>
      </c>
      <c r="M11" s="93">
        <f>'ef-FT'!BF11</f>
        <v>7</v>
      </c>
      <c r="N11" s="93">
        <f>'ef-FT'!BG11</f>
        <v>7</v>
      </c>
      <c r="O11" s="93" t="str">
        <f>'ef-FT'!BH11</f>
        <v>7 - 16</v>
      </c>
      <c r="P11" s="58">
        <f>'ef-FT'!BI11</f>
        <v>-9</v>
      </c>
      <c r="Q11" s="59">
        <f>'ef-FT'!BJ11</f>
        <v>10</v>
      </c>
      <c r="R11" s="93">
        <f>'ef-FT'!BK11</f>
        <v>1</v>
      </c>
      <c r="S11" s="93">
        <f>'ef-FT'!BL11</f>
        <v>2</v>
      </c>
      <c r="T11" s="93">
        <f>'ef-FT'!BM11</f>
        <v>7</v>
      </c>
      <c r="U11" s="93">
        <f>'ef-FT'!BN11</f>
        <v>5</v>
      </c>
      <c r="V11" s="93" t="str">
        <f>'ef-FT'!BO11</f>
        <v>6 - 19</v>
      </c>
      <c r="W11" s="93">
        <f>'ef-FT'!BP11</f>
        <v>-13</v>
      </c>
    </row>
    <row r="12" spans="1:23">
      <c r="A12" s="220"/>
      <c r="B12" s="221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</row>
    <row r="13" spans="1:23" ht="15.75">
      <c r="A13" s="67"/>
      <c r="B13" s="36"/>
      <c r="C13" s="271" t="s">
        <v>211</v>
      </c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272"/>
      <c r="W13" s="272"/>
    </row>
    <row r="14" spans="1:23" ht="15.75">
      <c r="C14" s="170" t="s">
        <v>126</v>
      </c>
      <c r="D14" s="170"/>
      <c r="E14" s="170"/>
      <c r="F14" s="170"/>
      <c r="G14" s="170"/>
      <c r="H14" s="170"/>
      <c r="I14" s="170"/>
      <c r="J14" s="171" t="s">
        <v>8</v>
      </c>
      <c r="K14" s="171"/>
      <c r="L14" s="171"/>
      <c r="M14" s="171"/>
      <c r="N14" s="171"/>
      <c r="O14" s="171"/>
      <c r="P14" s="171"/>
      <c r="Q14" s="172" t="s">
        <v>10</v>
      </c>
      <c r="R14" s="172"/>
      <c r="S14" s="172"/>
      <c r="T14" s="172"/>
      <c r="U14" s="172"/>
      <c r="V14" s="172"/>
      <c r="W14" s="172"/>
    </row>
    <row r="15" spans="1:23">
      <c r="A15" s="164" t="str">
        <f>A3</f>
        <v>#</v>
      </c>
      <c r="B15" s="164" t="str">
        <f t="shared" ref="B15:W15" si="0">B3</f>
        <v>Team</v>
      </c>
      <c r="C15" s="164" t="str">
        <f t="shared" si="0"/>
        <v>P</v>
      </c>
      <c r="D15" s="164" t="str">
        <f t="shared" si="0"/>
        <v>W</v>
      </c>
      <c r="E15" s="164" t="str">
        <f t="shared" si="0"/>
        <v>D</v>
      </c>
      <c r="F15" s="164" t="str">
        <f t="shared" si="0"/>
        <v>L</v>
      </c>
      <c r="G15" s="164" t="str">
        <f t="shared" si="0"/>
        <v>Pts</v>
      </c>
      <c r="H15" s="164" t="str">
        <f t="shared" si="0"/>
        <v>GF - GC</v>
      </c>
      <c r="I15" s="56" t="str">
        <f t="shared" si="0"/>
        <v>GD</v>
      </c>
      <c r="J15" s="57" t="str">
        <f t="shared" si="0"/>
        <v>P</v>
      </c>
      <c r="K15" s="164" t="str">
        <f t="shared" si="0"/>
        <v>W</v>
      </c>
      <c r="L15" s="164" t="str">
        <f t="shared" si="0"/>
        <v>D</v>
      </c>
      <c r="M15" s="164" t="str">
        <f t="shared" si="0"/>
        <v>L</v>
      </c>
      <c r="N15" s="164" t="str">
        <f t="shared" si="0"/>
        <v>Pts</v>
      </c>
      <c r="O15" s="164" t="str">
        <f t="shared" si="0"/>
        <v>GF - GC</v>
      </c>
      <c r="P15" s="56" t="str">
        <f t="shared" si="0"/>
        <v>GD</v>
      </c>
      <c r="Q15" s="57" t="str">
        <f t="shared" si="0"/>
        <v>P</v>
      </c>
      <c r="R15" s="164" t="str">
        <f t="shared" si="0"/>
        <v>W</v>
      </c>
      <c r="S15" s="164" t="str">
        <f t="shared" si="0"/>
        <v>D</v>
      </c>
      <c r="T15" s="164" t="str">
        <f t="shared" si="0"/>
        <v>L</v>
      </c>
      <c r="U15" s="164" t="str">
        <f t="shared" si="0"/>
        <v>Pts</v>
      </c>
      <c r="V15" s="164" t="str">
        <f t="shared" si="0"/>
        <v>GF - GC</v>
      </c>
      <c r="W15" s="164" t="str">
        <f t="shared" si="0"/>
        <v>GD</v>
      </c>
    </row>
    <row r="16" spans="1:23">
      <c r="A16" s="273">
        <v>9</v>
      </c>
      <c r="B16" s="274" t="str">
        <f>'ef-FT'!AU12</f>
        <v>Los Angeles</v>
      </c>
      <c r="C16" s="127">
        <f>'ef-FT'!AV12</f>
        <v>20</v>
      </c>
      <c r="D16" s="127">
        <f>'ef-FT'!AW12</f>
        <v>13</v>
      </c>
      <c r="E16" s="127">
        <f>'ef-FT'!AX12</f>
        <v>4</v>
      </c>
      <c r="F16" s="127">
        <f>'ef-FT'!AY12</f>
        <v>3</v>
      </c>
      <c r="G16" s="127">
        <f>'ef-FT'!AZ12</f>
        <v>43</v>
      </c>
      <c r="H16" s="127" t="str">
        <f>'ef-FT'!BA12</f>
        <v>32 - 13</v>
      </c>
      <c r="I16" s="275">
        <f>'ef-FT'!BB12</f>
        <v>19</v>
      </c>
      <c r="J16" s="276">
        <f>'ef-FT'!BC12</f>
        <v>9</v>
      </c>
      <c r="K16" s="127">
        <f>'ef-FT'!BD12</f>
        <v>6</v>
      </c>
      <c r="L16" s="127">
        <f>'ef-FT'!BE12</f>
        <v>2</v>
      </c>
      <c r="M16" s="127">
        <f>'ef-FT'!BF12</f>
        <v>1</v>
      </c>
      <c r="N16" s="127">
        <f>'ef-FT'!BG12</f>
        <v>20</v>
      </c>
      <c r="O16" s="127" t="str">
        <f>'ef-FT'!BH12</f>
        <v>19 - 9</v>
      </c>
      <c r="P16" s="275">
        <f>'ef-FT'!BI12</f>
        <v>10</v>
      </c>
      <c r="Q16" s="276">
        <f>'ef-FT'!BJ12</f>
        <v>11</v>
      </c>
      <c r="R16" s="127">
        <f>'ef-FT'!BK12</f>
        <v>7</v>
      </c>
      <c r="S16" s="127">
        <f>'ef-FT'!BL12</f>
        <v>2</v>
      </c>
      <c r="T16" s="127">
        <f>'ef-FT'!BM12</f>
        <v>2</v>
      </c>
      <c r="U16" s="127">
        <f>'ef-FT'!BN12</f>
        <v>23</v>
      </c>
      <c r="V16" s="127" t="str">
        <f>'ef-FT'!BO12</f>
        <v>13 - 4</v>
      </c>
      <c r="W16" s="127">
        <f>'ef-FT'!BP12</f>
        <v>9</v>
      </c>
    </row>
    <row r="17" spans="1:24">
      <c r="A17" s="24">
        <v>10</v>
      </c>
      <c r="B17" s="11" t="str">
        <f>'ef-FT'!AU13</f>
        <v>Real Salt Lake</v>
      </c>
      <c r="C17" s="93">
        <f>'ef-FT'!AV13</f>
        <v>21</v>
      </c>
      <c r="D17" s="93">
        <f>'ef-FT'!AW13</f>
        <v>11</v>
      </c>
      <c r="E17" s="93">
        <f>'ef-FT'!AX13</f>
        <v>6</v>
      </c>
      <c r="F17" s="93">
        <f>'ef-FT'!AY13</f>
        <v>4</v>
      </c>
      <c r="G17" s="93">
        <f>'ef-FT'!AZ13</f>
        <v>39</v>
      </c>
      <c r="H17" s="93" t="str">
        <f>'ef-FT'!BA13</f>
        <v>36 - 16</v>
      </c>
      <c r="I17" s="58">
        <f>'ef-FT'!BB13</f>
        <v>20</v>
      </c>
      <c r="J17" s="59">
        <f>'ef-FT'!BC13</f>
        <v>11</v>
      </c>
      <c r="K17" s="93">
        <f>'ef-FT'!BD13</f>
        <v>8</v>
      </c>
      <c r="L17" s="93">
        <f>'ef-FT'!BE13</f>
        <v>3</v>
      </c>
      <c r="M17" s="93">
        <f>'ef-FT'!BF13</f>
        <v>0</v>
      </c>
      <c r="N17" s="93">
        <f>'ef-FT'!BG13</f>
        <v>27</v>
      </c>
      <c r="O17" s="93" t="str">
        <f>'ef-FT'!BH13</f>
        <v>26 - 6</v>
      </c>
      <c r="P17" s="58">
        <f>'ef-FT'!BI13</f>
        <v>20</v>
      </c>
      <c r="Q17" s="59">
        <f>'ef-FT'!BJ13</f>
        <v>10</v>
      </c>
      <c r="R17" s="93">
        <f>'ef-FT'!BK13</f>
        <v>3</v>
      </c>
      <c r="S17" s="93">
        <f>'ef-FT'!BL13</f>
        <v>3</v>
      </c>
      <c r="T17" s="93">
        <f>'ef-FT'!BM13</f>
        <v>4</v>
      </c>
      <c r="U17" s="93">
        <f>'ef-FT'!BN13</f>
        <v>12</v>
      </c>
      <c r="V17" s="93" t="str">
        <f>'ef-FT'!BO13</f>
        <v>10 - 10</v>
      </c>
      <c r="W17" s="93">
        <f>'ef-FT'!BP13</f>
        <v>0</v>
      </c>
    </row>
    <row r="18" spans="1:24">
      <c r="A18" s="24">
        <v>11</v>
      </c>
      <c r="B18" s="11" t="str">
        <f>'ef-FT'!AU14</f>
        <v>Dallas</v>
      </c>
      <c r="C18" s="93">
        <f>'ef-FT'!AV14</f>
        <v>19</v>
      </c>
      <c r="D18" s="93">
        <f>'ef-FT'!AW14</f>
        <v>8</v>
      </c>
      <c r="E18" s="93">
        <f>'ef-FT'!AX14</f>
        <v>9</v>
      </c>
      <c r="F18" s="93">
        <f>'ef-FT'!AY14</f>
        <v>2</v>
      </c>
      <c r="G18" s="93">
        <f>'ef-FT'!AZ14</f>
        <v>33</v>
      </c>
      <c r="H18" s="93" t="str">
        <f>'ef-FT'!BA14</f>
        <v>27 - 17</v>
      </c>
      <c r="I18" s="58">
        <f>'ef-FT'!BB14</f>
        <v>10</v>
      </c>
      <c r="J18" s="59">
        <f>'ef-FT'!BC14</f>
        <v>9</v>
      </c>
      <c r="K18" s="93">
        <f>'ef-FT'!BD14</f>
        <v>5</v>
      </c>
      <c r="L18" s="93">
        <f>'ef-FT'!BE14</f>
        <v>3</v>
      </c>
      <c r="M18" s="93">
        <f>'ef-FT'!BF14</f>
        <v>1</v>
      </c>
      <c r="N18" s="93">
        <f>'ef-FT'!BG14</f>
        <v>18</v>
      </c>
      <c r="O18" s="93" t="str">
        <f>'ef-FT'!BH14</f>
        <v>14 - 7</v>
      </c>
      <c r="P18" s="58">
        <f>'ef-FT'!BI14</f>
        <v>7</v>
      </c>
      <c r="Q18" s="59">
        <f>'ef-FT'!BJ14</f>
        <v>10</v>
      </c>
      <c r="R18" s="93">
        <f>'ef-FT'!BK14</f>
        <v>3</v>
      </c>
      <c r="S18" s="93">
        <f>'ef-FT'!BL14</f>
        <v>6</v>
      </c>
      <c r="T18" s="93">
        <f>'ef-FT'!BM14</f>
        <v>1</v>
      </c>
      <c r="U18" s="93">
        <f>'ef-FT'!BN14</f>
        <v>15</v>
      </c>
      <c r="V18" s="93" t="str">
        <f>'ef-FT'!BO14</f>
        <v>13 - 10</v>
      </c>
      <c r="W18" s="93">
        <f>'ef-FT'!BP14</f>
        <v>3</v>
      </c>
    </row>
    <row r="19" spans="1:24">
      <c r="A19" s="24">
        <v>12</v>
      </c>
      <c r="B19" s="11" t="str">
        <f>'ef-FT'!AU15</f>
        <v>Seattle Sounders FC</v>
      </c>
      <c r="C19" s="93">
        <f>'ef-FT'!AV15</f>
        <v>21</v>
      </c>
      <c r="D19" s="93">
        <f>'ef-FT'!AW15</f>
        <v>8</v>
      </c>
      <c r="E19" s="93">
        <f>'ef-FT'!AX15</f>
        <v>5</v>
      </c>
      <c r="F19" s="93">
        <f>'ef-FT'!AY15</f>
        <v>8</v>
      </c>
      <c r="G19" s="93">
        <f>'ef-FT'!AZ15</f>
        <v>29</v>
      </c>
      <c r="H19" s="93" t="str">
        <f>'ef-FT'!BA15</f>
        <v>23 - 25</v>
      </c>
      <c r="I19" s="58">
        <f>'ef-FT'!BB15</f>
        <v>-2</v>
      </c>
      <c r="J19" s="59">
        <f>'ef-FT'!BC15</f>
        <v>11</v>
      </c>
      <c r="K19" s="93">
        <f>'ef-FT'!BD15</f>
        <v>5</v>
      </c>
      <c r="L19" s="93">
        <f>'ef-FT'!BE15</f>
        <v>2</v>
      </c>
      <c r="M19" s="93">
        <f>'ef-FT'!BF15</f>
        <v>4</v>
      </c>
      <c r="N19" s="93">
        <f>'ef-FT'!BG15</f>
        <v>17</v>
      </c>
      <c r="O19" s="93" t="str">
        <f>'ef-FT'!BH15</f>
        <v>14 - 12</v>
      </c>
      <c r="P19" s="58">
        <f>'ef-FT'!BI15</f>
        <v>2</v>
      </c>
      <c r="Q19" s="59">
        <f>'ef-FT'!BJ15</f>
        <v>10</v>
      </c>
      <c r="R19" s="93">
        <f>'ef-FT'!BK15</f>
        <v>3</v>
      </c>
      <c r="S19" s="93">
        <f>'ef-FT'!BL15</f>
        <v>3</v>
      </c>
      <c r="T19" s="93">
        <f>'ef-FT'!BM15</f>
        <v>4</v>
      </c>
      <c r="U19" s="93">
        <f>'ef-FT'!BN15</f>
        <v>12</v>
      </c>
      <c r="V19" s="93" t="str">
        <f>'ef-FT'!BO15</f>
        <v>9 - 13</v>
      </c>
      <c r="W19" s="93">
        <f>'ef-FT'!BP15</f>
        <v>-4</v>
      </c>
    </row>
    <row r="20" spans="1:24">
      <c r="A20" s="24">
        <v>13</v>
      </c>
      <c r="B20" s="11" t="str">
        <f>'ef-FT'!AU16</f>
        <v>Colorado</v>
      </c>
      <c r="C20" s="93">
        <f>'ef-FT'!AV16</f>
        <v>19</v>
      </c>
      <c r="D20" s="93">
        <f>'ef-FT'!AW16</f>
        <v>7</v>
      </c>
      <c r="E20" s="93">
        <f>'ef-FT'!AX16</f>
        <v>7</v>
      </c>
      <c r="F20" s="93">
        <f>'ef-FT'!AY16</f>
        <v>5</v>
      </c>
      <c r="G20" s="93">
        <f>'ef-FT'!AZ16</f>
        <v>28</v>
      </c>
      <c r="H20" s="93" t="str">
        <f>'ef-FT'!BA16</f>
        <v>21 - 18</v>
      </c>
      <c r="I20" s="58">
        <f>'ef-FT'!BB16</f>
        <v>3</v>
      </c>
      <c r="J20" s="59">
        <f>'ef-FT'!BC16</f>
        <v>9</v>
      </c>
      <c r="K20" s="93">
        <f>'ef-FT'!BD16</f>
        <v>4</v>
      </c>
      <c r="L20" s="93">
        <f>'ef-FT'!BE16</f>
        <v>4</v>
      </c>
      <c r="M20" s="93">
        <f>'ef-FT'!BF16</f>
        <v>1</v>
      </c>
      <c r="N20" s="93">
        <f>'ef-FT'!BG16</f>
        <v>16</v>
      </c>
      <c r="O20" s="93" t="str">
        <f>'ef-FT'!BH16</f>
        <v>11 - 7</v>
      </c>
      <c r="P20" s="58">
        <f>'ef-FT'!BI16</f>
        <v>4</v>
      </c>
      <c r="Q20" s="59">
        <f>'ef-FT'!BJ16</f>
        <v>10</v>
      </c>
      <c r="R20" s="93">
        <f>'ef-FT'!BK16</f>
        <v>3</v>
      </c>
      <c r="S20" s="93">
        <f>'ef-FT'!BL16</f>
        <v>3</v>
      </c>
      <c r="T20" s="93">
        <f>'ef-FT'!BM16</f>
        <v>4</v>
      </c>
      <c r="U20" s="93">
        <f>'ef-FT'!BN16</f>
        <v>12</v>
      </c>
      <c r="V20" s="93" t="str">
        <f>'ef-FT'!BO16</f>
        <v>10 - 11</v>
      </c>
      <c r="W20" s="93">
        <f>'ef-FT'!BP16</f>
        <v>-1</v>
      </c>
    </row>
    <row r="21" spans="1:24">
      <c r="A21" s="24">
        <v>14</v>
      </c>
      <c r="B21" s="11" t="str">
        <f>'ef-FT'!AU17</f>
        <v>San Jose</v>
      </c>
      <c r="C21" s="93">
        <f>'ef-FT'!AV17</f>
        <v>18</v>
      </c>
      <c r="D21" s="93">
        <f>'ef-FT'!AW17</f>
        <v>7</v>
      </c>
      <c r="E21" s="93">
        <f>'ef-FT'!AX17</f>
        <v>5</v>
      </c>
      <c r="F21" s="93">
        <f>'ef-FT'!AY17</f>
        <v>6</v>
      </c>
      <c r="G21" s="93">
        <f>'ef-FT'!AZ17</f>
        <v>26</v>
      </c>
      <c r="H21" s="93" t="str">
        <f>'ef-FT'!BA17</f>
        <v>21 - 20</v>
      </c>
      <c r="I21" s="58">
        <f>'ef-FT'!BB17</f>
        <v>1</v>
      </c>
      <c r="J21" s="59">
        <f>'ef-FT'!BC17</f>
        <v>9</v>
      </c>
      <c r="K21" s="93">
        <f>'ef-FT'!BD17</f>
        <v>4</v>
      </c>
      <c r="L21" s="93">
        <f>'ef-FT'!BE17</f>
        <v>2</v>
      </c>
      <c r="M21" s="93">
        <f>'ef-FT'!BF17</f>
        <v>3</v>
      </c>
      <c r="N21" s="93">
        <f>'ef-FT'!BG17</f>
        <v>14</v>
      </c>
      <c r="O21" s="93" t="str">
        <f>'ef-FT'!BH17</f>
        <v>12 - 10</v>
      </c>
      <c r="P21" s="58">
        <f>'ef-FT'!BI17</f>
        <v>2</v>
      </c>
      <c r="Q21" s="59">
        <f>'ef-FT'!BJ17</f>
        <v>9</v>
      </c>
      <c r="R21" s="93">
        <f>'ef-FT'!BK17</f>
        <v>3</v>
      </c>
      <c r="S21" s="93">
        <f>'ef-FT'!BL17</f>
        <v>3</v>
      </c>
      <c r="T21" s="93">
        <f>'ef-FT'!BM17</f>
        <v>3</v>
      </c>
      <c r="U21" s="93">
        <f>'ef-FT'!BN17</f>
        <v>12</v>
      </c>
      <c r="V21" s="93" t="str">
        <f>'ef-FT'!BO17</f>
        <v>9 - 10</v>
      </c>
      <c r="W21" s="93">
        <f>'ef-FT'!BP17</f>
        <v>-1</v>
      </c>
    </row>
    <row r="22" spans="1:24">
      <c r="A22" s="24">
        <v>15</v>
      </c>
      <c r="B22" s="11" t="str">
        <f>'ef-FT'!AU18</f>
        <v>Houston</v>
      </c>
      <c r="C22" s="93">
        <f>'ef-FT'!AV18</f>
        <v>20</v>
      </c>
      <c r="D22" s="93">
        <f>'ef-FT'!AW18</f>
        <v>5</v>
      </c>
      <c r="E22" s="93">
        <f>'ef-FT'!AX18</f>
        <v>5</v>
      </c>
      <c r="F22" s="93">
        <f>'ef-FT'!AY18</f>
        <v>10</v>
      </c>
      <c r="G22" s="93">
        <f>'ef-FT'!AZ18</f>
        <v>20</v>
      </c>
      <c r="H22" s="93" t="str">
        <f>'ef-FT'!BA18</f>
        <v>22 - 30</v>
      </c>
      <c r="I22" s="58">
        <f>'ef-FT'!BB18</f>
        <v>-8</v>
      </c>
      <c r="J22" s="59">
        <f>'ef-FT'!BC18</f>
        <v>10</v>
      </c>
      <c r="K22" s="93">
        <f>'ef-FT'!BD18</f>
        <v>4</v>
      </c>
      <c r="L22" s="93">
        <f>'ef-FT'!BE18</f>
        <v>3</v>
      </c>
      <c r="M22" s="93">
        <f>'ef-FT'!BF18</f>
        <v>3</v>
      </c>
      <c r="N22" s="93">
        <f>'ef-FT'!BG18</f>
        <v>15</v>
      </c>
      <c r="O22" s="93" t="str">
        <f>'ef-FT'!BH18</f>
        <v>15 - 11</v>
      </c>
      <c r="P22" s="58">
        <f>'ef-FT'!BI18</f>
        <v>4</v>
      </c>
      <c r="Q22" s="59">
        <f>'ef-FT'!BJ18</f>
        <v>10</v>
      </c>
      <c r="R22" s="93">
        <f>'ef-FT'!BK18</f>
        <v>1</v>
      </c>
      <c r="S22" s="93">
        <f>'ef-FT'!BL18</f>
        <v>2</v>
      </c>
      <c r="T22" s="93">
        <f>'ef-FT'!BM18</f>
        <v>7</v>
      </c>
      <c r="U22" s="93">
        <f>'ef-FT'!BN18</f>
        <v>5</v>
      </c>
      <c r="V22" s="93" t="str">
        <f>'ef-FT'!BO18</f>
        <v>7 - 19</v>
      </c>
      <c r="W22" s="93">
        <f>'ef-FT'!BP18</f>
        <v>-12</v>
      </c>
    </row>
    <row r="23" spans="1:24">
      <c r="A23" s="24">
        <v>16</v>
      </c>
      <c r="B23" s="11" t="str">
        <f>'ef-FT'!AU19</f>
        <v>Chivas USA</v>
      </c>
      <c r="C23" s="93">
        <f>'ef-FT'!AV19</f>
        <v>19</v>
      </c>
      <c r="D23" s="93">
        <f>'ef-FT'!AW19</f>
        <v>5</v>
      </c>
      <c r="E23" s="93">
        <f>'ef-FT'!AX19</f>
        <v>4</v>
      </c>
      <c r="F23" s="93">
        <f>'ef-FT'!AY19</f>
        <v>10</v>
      </c>
      <c r="G23" s="93">
        <f>'ef-FT'!AZ19</f>
        <v>19</v>
      </c>
      <c r="H23" s="93" t="str">
        <f>'ef-FT'!BA19</f>
        <v>22 - 25</v>
      </c>
      <c r="I23" s="58">
        <f>'ef-FT'!BB19</f>
        <v>-3</v>
      </c>
      <c r="J23" s="59">
        <f>'ef-FT'!BC19</f>
        <v>9</v>
      </c>
      <c r="K23" s="93">
        <f>'ef-FT'!BD19</f>
        <v>3</v>
      </c>
      <c r="L23" s="93">
        <f>'ef-FT'!BE19</f>
        <v>2</v>
      </c>
      <c r="M23" s="93">
        <f>'ef-FT'!BF19</f>
        <v>4</v>
      </c>
      <c r="N23" s="93">
        <f>'ef-FT'!BG19</f>
        <v>11</v>
      </c>
      <c r="O23" s="93" t="str">
        <f>'ef-FT'!BH19</f>
        <v>11 - 11</v>
      </c>
      <c r="P23" s="58">
        <f>'ef-FT'!BI19</f>
        <v>0</v>
      </c>
      <c r="Q23" s="59">
        <f>'ef-FT'!BJ19</f>
        <v>10</v>
      </c>
      <c r="R23" s="93">
        <f>'ef-FT'!BK19</f>
        <v>2</v>
      </c>
      <c r="S23" s="93">
        <f>'ef-FT'!BL19</f>
        <v>2</v>
      </c>
      <c r="T23" s="93">
        <f>'ef-FT'!BM19</f>
        <v>6</v>
      </c>
      <c r="U23" s="93">
        <f>'ef-FT'!BN19</f>
        <v>8</v>
      </c>
      <c r="V23" s="93" t="str">
        <f>'ef-FT'!BO19</f>
        <v>11 - 14</v>
      </c>
      <c r="W23" s="93">
        <f>'ef-FT'!BP19</f>
        <v>-3</v>
      </c>
    </row>
    <row r="25" spans="1:24" ht="15" customHeight="1">
      <c r="B25" s="61"/>
      <c r="C25" s="173" t="s">
        <v>2</v>
      </c>
      <c r="D25" s="174"/>
      <c r="E25" s="174"/>
      <c r="F25" s="174"/>
      <c r="G25" s="174"/>
      <c r="H25" s="174"/>
      <c r="I25" s="175"/>
      <c r="J25" s="173" t="s">
        <v>2</v>
      </c>
      <c r="K25" s="174"/>
      <c r="L25" s="174"/>
      <c r="M25" s="174"/>
      <c r="N25" s="174"/>
      <c r="O25" s="174"/>
      <c r="P25" s="175"/>
      <c r="Q25" s="173" t="s">
        <v>2</v>
      </c>
      <c r="R25" s="174"/>
      <c r="S25" s="174"/>
      <c r="T25" s="174"/>
      <c r="U25" s="174"/>
      <c r="V25" s="174"/>
      <c r="W25" s="175"/>
      <c r="X25" s="105"/>
    </row>
    <row r="26" spans="1:24" ht="15" customHeight="1">
      <c r="B26" s="60"/>
      <c r="C26" s="176"/>
      <c r="D26" s="177"/>
      <c r="E26" s="177"/>
      <c r="F26" s="177"/>
      <c r="G26" s="177"/>
      <c r="H26" s="177"/>
      <c r="I26" s="178"/>
      <c r="J26" s="176"/>
      <c r="K26" s="177"/>
      <c r="L26" s="177"/>
      <c r="M26" s="177"/>
      <c r="N26" s="177"/>
      <c r="O26" s="177"/>
      <c r="P26" s="178"/>
      <c r="Q26" s="176"/>
      <c r="R26" s="177"/>
      <c r="S26" s="177"/>
      <c r="T26" s="177"/>
      <c r="U26" s="177"/>
      <c r="V26" s="177"/>
      <c r="W26" s="178"/>
      <c r="X26" s="105"/>
    </row>
    <row r="27" spans="1:24" ht="15" customHeight="1">
      <c r="B27" s="60"/>
      <c r="C27" s="179"/>
      <c r="D27" s="180"/>
      <c r="E27" s="180"/>
      <c r="F27" s="180"/>
      <c r="G27" s="180"/>
      <c r="H27" s="180"/>
      <c r="I27" s="181"/>
      <c r="J27" s="179"/>
      <c r="K27" s="180"/>
      <c r="L27" s="180"/>
      <c r="M27" s="180"/>
      <c r="N27" s="180"/>
      <c r="O27" s="180"/>
      <c r="P27" s="181"/>
      <c r="Q27" s="179"/>
      <c r="R27" s="180"/>
      <c r="S27" s="180"/>
      <c r="T27" s="180"/>
      <c r="U27" s="180"/>
      <c r="V27" s="180"/>
      <c r="W27" s="181"/>
      <c r="X27" s="105"/>
    </row>
    <row r="28" spans="1:24">
      <c r="B28" s="62"/>
      <c r="C28" s="182" t="s">
        <v>5</v>
      </c>
      <c r="D28" s="183"/>
      <c r="E28" s="183"/>
      <c r="F28" s="183"/>
      <c r="G28" s="183"/>
      <c r="H28" s="183"/>
      <c r="I28" s="184"/>
      <c r="J28" s="182" t="s">
        <v>5</v>
      </c>
      <c r="K28" s="183"/>
      <c r="L28" s="183"/>
      <c r="M28" s="183"/>
      <c r="N28" s="183"/>
      <c r="O28" s="183"/>
      <c r="P28" s="184"/>
      <c r="Q28" s="182" t="s">
        <v>5</v>
      </c>
      <c r="R28" s="183"/>
      <c r="S28" s="183"/>
      <c r="T28" s="183"/>
      <c r="U28" s="183"/>
      <c r="V28" s="183"/>
      <c r="W28" s="184"/>
    </row>
    <row r="29" spans="1:24">
      <c r="B29" s="21"/>
    </row>
    <row r="30" spans="1:24">
      <c r="B30" s="21"/>
    </row>
  </sheetData>
  <sheetProtection password="EA2C" sheet="1" objects="1" scenarios="1"/>
  <mergeCells count="14">
    <mergeCell ref="C1:W1"/>
    <mergeCell ref="C13:W13"/>
    <mergeCell ref="C2:I2"/>
    <mergeCell ref="J2:P2"/>
    <mergeCell ref="Q2:W2"/>
    <mergeCell ref="C25:I27"/>
    <mergeCell ref="C28:I28"/>
    <mergeCell ref="J25:P27"/>
    <mergeCell ref="J28:P28"/>
    <mergeCell ref="Q25:W27"/>
    <mergeCell ref="Q28:W28"/>
    <mergeCell ref="C14:I14"/>
    <mergeCell ref="J14:P14"/>
    <mergeCell ref="Q14:W14"/>
  </mergeCells>
  <hyperlinks>
    <hyperlink ref="C25" r:id="rId1"/>
    <hyperlink ref="J25" r:id="rId2"/>
    <hyperlink ref="Q25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4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14" sqref="J14"/>
    </sheetView>
  </sheetViews>
  <sheetFormatPr defaultRowHeight="15"/>
  <cols>
    <col min="1" max="1" width="4.85546875" style="10" customWidth="1"/>
    <col min="2" max="2" width="36.42578125" style="10" customWidth="1"/>
    <col min="3" max="3" width="6.5703125" style="10" customWidth="1"/>
    <col min="4" max="4" width="36.42578125" style="10" customWidth="1"/>
    <col min="5" max="5" width="6.5703125" style="10" customWidth="1"/>
    <col min="6" max="6" width="36.42578125" style="10" customWidth="1"/>
    <col min="7" max="7" width="6.5703125" style="10" customWidth="1"/>
    <col min="8" max="8" width="36.42578125" style="10" customWidth="1"/>
    <col min="9" max="9" width="6.5703125" style="10" customWidth="1"/>
    <col min="10" max="10" width="29.140625" style="10" customWidth="1"/>
    <col min="11" max="11" width="4.85546875" style="10" customWidth="1"/>
    <col min="12" max="19" width="29.140625" style="10" customWidth="1"/>
    <col min="20" max="16384" width="9.140625" style="10"/>
  </cols>
  <sheetData>
    <row r="1" spans="1:11">
      <c r="A1" s="101"/>
      <c r="B1" s="190" t="str">
        <f>lg!U4</f>
        <v>type</v>
      </c>
      <c r="C1" s="190"/>
      <c r="D1" s="149" t="s">
        <v>126</v>
      </c>
      <c r="E1" s="148"/>
      <c r="F1" s="101"/>
      <c r="G1" s="101"/>
      <c r="H1" s="101"/>
      <c r="I1" s="101"/>
      <c r="J1" s="101"/>
      <c r="K1" s="101"/>
    </row>
    <row r="2" spans="1:11">
      <c r="A2" s="101"/>
      <c r="B2" s="190" t="str">
        <f>lg!H4</f>
        <v>Follow</v>
      </c>
      <c r="C2" s="190"/>
      <c r="D2" s="102" t="str">
        <f>Fixture!C3</f>
        <v>Los Angeles</v>
      </c>
      <c r="E2" s="191" t="s">
        <v>93</v>
      </c>
      <c r="F2" s="192"/>
      <c r="G2" s="192"/>
      <c r="H2" s="103" t="str">
        <f>Fixture!E3</f>
        <v>Dallas</v>
      </c>
      <c r="I2" s="101"/>
      <c r="J2" s="101"/>
      <c r="K2" s="101"/>
    </row>
    <row r="3" spans="1:11">
      <c r="A3" s="104"/>
      <c r="B3" s="69"/>
      <c r="C3" s="70"/>
      <c r="D3" s="70"/>
      <c r="E3" s="70"/>
      <c r="F3" s="70"/>
      <c r="G3" s="70"/>
      <c r="H3" s="70"/>
      <c r="I3" s="104"/>
      <c r="J3" s="104"/>
      <c r="K3" s="104"/>
    </row>
    <row r="4" spans="1:11">
      <c r="A4" s="101"/>
      <c r="B4" s="188" t="str">
        <f>lg!V4</f>
        <v>Most Points</v>
      </c>
      <c r="C4" s="189"/>
      <c r="D4" s="188" t="str">
        <f>lg!W4</f>
        <v>Most Wins</v>
      </c>
      <c r="E4" s="189"/>
      <c r="F4" s="188" t="str">
        <f>lg!X4</f>
        <v>Fewest Losses</v>
      </c>
      <c r="G4" s="189"/>
      <c r="H4" s="188" t="str">
        <f>lg!Y4</f>
        <v>Most Goal Scored</v>
      </c>
      <c r="I4" s="189"/>
      <c r="J4" s="101"/>
      <c r="K4" s="101"/>
    </row>
    <row r="5" spans="1:11">
      <c r="A5" s="24">
        <v>1</v>
      </c>
      <c r="B5" s="11" t="str">
        <f>'ef-FT'!GR4</f>
        <v>Los Angeles</v>
      </c>
      <c r="C5" s="68">
        <f>'ef-FT'!HV4</f>
        <v>43</v>
      </c>
      <c r="D5" s="11" t="str">
        <f>'ef-FT'!GT4</f>
        <v>Los Angeles</v>
      </c>
      <c r="E5" s="68">
        <f>'ef-FT'!HX4</f>
        <v>13</v>
      </c>
      <c r="F5" s="11" t="str">
        <f>'ef-FT'!GW4</f>
        <v>Dallas</v>
      </c>
      <c r="G5" s="68">
        <f>'ef-FT'!IA4</f>
        <v>2</v>
      </c>
      <c r="H5" s="11" t="str">
        <f>'ef-FT'!GX4</f>
        <v>Real Salt Lake</v>
      </c>
      <c r="I5" s="68">
        <f>'ef-FT'!IB4</f>
        <v>36</v>
      </c>
      <c r="J5" s="101"/>
      <c r="K5" s="101"/>
    </row>
    <row r="6" spans="1:11">
      <c r="A6" s="73">
        <v>2</v>
      </c>
      <c r="B6" s="75" t="str">
        <f>'ef-FT'!GR5</f>
        <v>Real Salt Lake</v>
      </c>
      <c r="C6" s="74">
        <f>'ef-FT'!HV5</f>
        <v>39</v>
      </c>
      <c r="D6" s="75" t="str">
        <f>'ef-FT'!GT5</f>
        <v>Columbus</v>
      </c>
      <c r="E6" s="74">
        <f>'ef-FT'!HX5</f>
        <v>11</v>
      </c>
      <c r="F6" s="75" t="str">
        <f>'ef-FT'!GW5</f>
        <v>Los Angeles</v>
      </c>
      <c r="G6" s="74">
        <f>'ef-FT'!IA5</f>
        <v>3</v>
      </c>
      <c r="H6" s="75" t="str">
        <f>'ef-FT'!GX5</f>
        <v>Los Angeles</v>
      </c>
      <c r="I6" s="74">
        <f>'ef-FT'!IB5</f>
        <v>32</v>
      </c>
      <c r="J6" s="101"/>
      <c r="K6" s="101"/>
    </row>
    <row r="7" spans="1:11">
      <c r="A7" s="24">
        <v>3</v>
      </c>
      <c r="B7" s="11" t="str">
        <f>'ef-FT'!GR6</f>
        <v>Columbus</v>
      </c>
      <c r="C7" s="68">
        <f>'ef-FT'!HV6</f>
        <v>37</v>
      </c>
      <c r="D7" s="11" t="str">
        <f>'ef-FT'!GT6</f>
        <v>Real Salt Lake</v>
      </c>
      <c r="E7" s="68">
        <f>'ef-FT'!HX6</f>
        <v>11</v>
      </c>
      <c r="F7" s="11" t="str">
        <f>'ef-FT'!GW6</f>
        <v>Real Salt Lake</v>
      </c>
      <c r="G7" s="68">
        <f>'ef-FT'!IA6</f>
        <v>4</v>
      </c>
      <c r="H7" s="11" t="str">
        <f>'ef-FT'!GX6</f>
        <v>Columbus</v>
      </c>
      <c r="I7" s="68">
        <f>'ef-FT'!IB6</f>
        <v>28</v>
      </c>
      <c r="J7" s="101"/>
      <c r="K7" s="101"/>
    </row>
    <row r="8" spans="1:11">
      <c r="A8" s="73">
        <v>4</v>
      </c>
      <c r="B8" s="75" t="str">
        <f>'ef-FT'!GR7</f>
        <v>Dallas</v>
      </c>
      <c r="C8" s="74">
        <f>'ef-FT'!HV7</f>
        <v>33</v>
      </c>
      <c r="D8" s="75" t="str">
        <f>'ef-FT'!GT7</f>
        <v>New York Red Bulls</v>
      </c>
      <c r="E8" s="74">
        <f>'ef-FT'!HX7</f>
        <v>9</v>
      </c>
      <c r="F8" s="75" t="str">
        <f>'ef-FT'!GW7</f>
        <v>Columbus</v>
      </c>
      <c r="G8" s="74">
        <f>'ef-FT'!IA7</f>
        <v>5</v>
      </c>
      <c r="H8" s="75" t="str">
        <f>'ef-FT'!GX7</f>
        <v>Dallas</v>
      </c>
      <c r="I8" s="74">
        <f>'ef-FT'!IB7</f>
        <v>27</v>
      </c>
      <c r="J8" s="101"/>
      <c r="K8" s="101"/>
    </row>
    <row r="9" spans="1:11">
      <c r="A9" s="24">
        <v>5</v>
      </c>
      <c r="B9" s="11" t="str">
        <f>'ef-FT'!GR8</f>
        <v>New York Red Bulls</v>
      </c>
      <c r="C9" s="68">
        <f>'ef-FT'!HV8</f>
        <v>31</v>
      </c>
      <c r="D9" s="11" t="str">
        <f>'ef-FT'!GT8</f>
        <v>Dallas</v>
      </c>
      <c r="E9" s="68">
        <f>'ef-FT'!HX8</f>
        <v>8</v>
      </c>
      <c r="F9" s="11" t="str">
        <f>'ef-FT'!GW8</f>
        <v>Chicago</v>
      </c>
      <c r="G9" s="68">
        <f>'ef-FT'!IA8</f>
        <v>5</v>
      </c>
      <c r="H9" s="11" t="str">
        <f>'ef-FT'!GX8</f>
        <v>Philadelphia Union</v>
      </c>
      <c r="I9" s="68">
        <f>'ef-FT'!IB8</f>
        <v>23</v>
      </c>
      <c r="J9" s="101"/>
      <c r="K9" s="101"/>
    </row>
    <row r="10" spans="1:11">
      <c r="A10" s="73">
        <v>6</v>
      </c>
      <c r="B10" s="75" t="str">
        <f>'ef-FT'!GR9</f>
        <v>Seattle Sounders FC</v>
      </c>
      <c r="C10" s="74">
        <f>'ef-FT'!HV9</f>
        <v>29</v>
      </c>
      <c r="D10" s="75" t="str">
        <f>'ef-FT'!GT9</f>
        <v>Seattle Sounders FC</v>
      </c>
      <c r="E10" s="74">
        <f>'ef-FT'!HX9</f>
        <v>8</v>
      </c>
      <c r="F10" s="75" t="str">
        <f>'ef-FT'!GW9</f>
        <v>Colorado</v>
      </c>
      <c r="G10" s="74">
        <f>'ef-FT'!IA9</f>
        <v>5</v>
      </c>
      <c r="H10" s="75" t="str">
        <f>'ef-FT'!GX9</f>
        <v>Seattle Sounders FC</v>
      </c>
      <c r="I10" s="74">
        <f>'ef-FT'!IB9</f>
        <v>23</v>
      </c>
      <c r="J10" s="101"/>
      <c r="K10" s="101"/>
    </row>
    <row r="11" spans="1:11">
      <c r="A11" s="24">
        <v>7</v>
      </c>
      <c r="B11" s="11" t="str">
        <f>'ef-FT'!GR10</f>
        <v>Colorado</v>
      </c>
      <c r="C11" s="68">
        <f>'ef-FT'!HV10</f>
        <v>28</v>
      </c>
      <c r="D11" s="11" t="str">
        <f>'ef-FT'!GT10</f>
        <v>Toronto FC</v>
      </c>
      <c r="E11" s="68">
        <f>'ef-FT'!HX10</f>
        <v>7</v>
      </c>
      <c r="F11" s="11" t="str">
        <f>'ef-FT'!GW10</f>
        <v>San Jose</v>
      </c>
      <c r="G11" s="68">
        <f>'ef-FT'!IA10</f>
        <v>6</v>
      </c>
      <c r="H11" s="11" t="str">
        <f>'ef-FT'!GX10</f>
        <v>Houston</v>
      </c>
      <c r="I11" s="68">
        <f>'ef-FT'!IB10</f>
        <v>22</v>
      </c>
      <c r="J11" s="101"/>
      <c r="K11" s="101"/>
    </row>
    <row r="12" spans="1:11">
      <c r="A12" s="73">
        <v>8</v>
      </c>
      <c r="B12" s="75" t="str">
        <f>'ef-FT'!GR11</f>
        <v>Toronto FC</v>
      </c>
      <c r="C12" s="74">
        <f>'ef-FT'!HV11</f>
        <v>26</v>
      </c>
      <c r="D12" s="75" t="str">
        <f>'ef-FT'!GT11</f>
        <v>Colorado</v>
      </c>
      <c r="E12" s="74">
        <f>'ef-FT'!HX11</f>
        <v>7</v>
      </c>
      <c r="F12" s="75" t="str">
        <f>'ef-FT'!GW11</f>
        <v>New York Red Bulls</v>
      </c>
      <c r="G12" s="74">
        <f>'ef-FT'!IA11</f>
        <v>7</v>
      </c>
      <c r="H12" s="75" t="str">
        <f>'ef-FT'!GX11</f>
        <v>Chivas USA</v>
      </c>
      <c r="I12" s="74">
        <f>'ef-FT'!IB11</f>
        <v>22</v>
      </c>
      <c r="J12" s="101"/>
      <c r="K12" s="101"/>
    </row>
    <row r="13" spans="1:11">
      <c r="A13" s="24">
        <v>9</v>
      </c>
      <c r="B13" s="11" t="str">
        <f>'ef-FT'!GR12</f>
        <v>San Jose</v>
      </c>
      <c r="C13" s="68">
        <f>'ef-FT'!HV12</f>
        <v>26</v>
      </c>
      <c r="D13" s="11" t="str">
        <f>'ef-FT'!GT12</f>
        <v>San Jose</v>
      </c>
      <c r="E13" s="68">
        <f>'ef-FT'!HX12</f>
        <v>7</v>
      </c>
      <c r="F13" s="11" t="str">
        <f>'ef-FT'!GW12</f>
        <v>Toronto FC</v>
      </c>
      <c r="G13" s="68">
        <f>'ef-FT'!IA12</f>
        <v>7</v>
      </c>
      <c r="H13" s="11" t="str">
        <f>'ef-FT'!GX12</f>
        <v>New York Red Bulls</v>
      </c>
      <c r="I13" s="68">
        <f>'ef-FT'!IB12</f>
        <v>21</v>
      </c>
      <c r="J13" s="101"/>
      <c r="K13" s="101"/>
    </row>
    <row r="14" spans="1:11">
      <c r="A14" s="73">
        <v>10</v>
      </c>
      <c r="B14" s="75" t="str">
        <f>'ef-FT'!GR13</f>
        <v>New England</v>
      </c>
      <c r="C14" s="74">
        <f>'ef-FT'!HV13</f>
        <v>21</v>
      </c>
      <c r="D14" s="75" t="str">
        <f>'ef-FT'!GT13</f>
        <v>New England</v>
      </c>
      <c r="E14" s="74">
        <f>'ef-FT'!HX13</f>
        <v>6</v>
      </c>
      <c r="F14" s="75" t="str">
        <f>'ef-FT'!GW13</f>
        <v>Seattle Sounders FC</v>
      </c>
      <c r="G14" s="74">
        <f>'ef-FT'!IA13</f>
        <v>8</v>
      </c>
      <c r="H14" s="75" t="str">
        <f>'ef-FT'!GX13</f>
        <v>Toronto FC</v>
      </c>
      <c r="I14" s="74">
        <f>'ef-FT'!IB13</f>
        <v>21</v>
      </c>
      <c r="J14" s="101"/>
      <c r="K14" s="101"/>
    </row>
    <row r="15" spans="1:11">
      <c r="A15" s="24">
        <v>11</v>
      </c>
      <c r="B15" s="11" t="str">
        <f>'ef-FT'!GR14</f>
        <v>Chicago</v>
      </c>
      <c r="C15" s="68">
        <f>'ef-FT'!HV14</f>
        <v>21</v>
      </c>
      <c r="D15" s="11" t="str">
        <f>'ef-FT'!GT14</f>
        <v>Chicago</v>
      </c>
      <c r="E15" s="68">
        <f>'ef-FT'!HX14</f>
        <v>5</v>
      </c>
      <c r="F15" s="11" t="str">
        <f>'ef-FT'!GW14</f>
        <v>New England</v>
      </c>
      <c r="G15" s="68">
        <f>'ef-FT'!IA14</f>
        <v>9</v>
      </c>
      <c r="H15" s="11" t="str">
        <f>'ef-FT'!GX14</f>
        <v>Chicago</v>
      </c>
      <c r="I15" s="68">
        <f>'ef-FT'!IB14</f>
        <v>21</v>
      </c>
      <c r="J15" s="101"/>
      <c r="K15" s="101"/>
    </row>
    <row r="16" spans="1:11">
      <c r="A16" s="73">
        <v>12</v>
      </c>
      <c r="B16" s="75" t="str">
        <f>'ef-FT'!GR15</f>
        <v>Kansas City</v>
      </c>
      <c r="C16" s="74">
        <f>'ef-FT'!HV15</f>
        <v>20</v>
      </c>
      <c r="D16" s="75" t="str">
        <f>'ef-FT'!GT15</f>
        <v>Kansas City</v>
      </c>
      <c r="E16" s="74">
        <f>'ef-FT'!HX15</f>
        <v>5</v>
      </c>
      <c r="F16" s="75" t="str">
        <f>'ef-FT'!GW15</f>
        <v>Kansas City</v>
      </c>
      <c r="G16" s="74">
        <f>'ef-FT'!IA15</f>
        <v>9</v>
      </c>
      <c r="H16" s="75" t="str">
        <f>'ef-FT'!GX15</f>
        <v>Colorado</v>
      </c>
      <c r="I16" s="74">
        <f>'ef-FT'!IB15</f>
        <v>21</v>
      </c>
      <c r="J16" s="101"/>
      <c r="K16" s="101"/>
    </row>
    <row r="17" spans="1:11">
      <c r="A17" s="24">
        <v>13</v>
      </c>
      <c r="B17" s="11" t="str">
        <f>'ef-FT'!GR16</f>
        <v>Houston</v>
      </c>
      <c r="C17" s="68">
        <f>'ef-FT'!HV16</f>
        <v>20</v>
      </c>
      <c r="D17" s="11" t="str">
        <f>'ef-FT'!GT16</f>
        <v>Houston</v>
      </c>
      <c r="E17" s="68">
        <f>'ef-FT'!HX16</f>
        <v>5</v>
      </c>
      <c r="F17" s="11" t="str">
        <f>'ef-FT'!GW16</f>
        <v>Philadelphia Union</v>
      </c>
      <c r="G17" s="68">
        <f>'ef-FT'!IA16</f>
        <v>10</v>
      </c>
      <c r="H17" s="11" t="str">
        <f>'ef-FT'!GX16</f>
        <v>San Jose</v>
      </c>
      <c r="I17" s="68">
        <f>'ef-FT'!IB16</f>
        <v>21</v>
      </c>
      <c r="J17" s="101"/>
      <c r="K17" s="101"/>
    </row>
    <row r="18" spans="1:11">
      <c r="A18" s="73">
        <v>14</v>
      </c>
      <c r="B18" s="75" t="str">
        <f>'ef-FT'!GR17</f>
        <v>Chivas USA</v>
      </c>
      <c r="C18" s="74">
        <f>'ef-FT'!HV17</f>
        <v>19</v>
      </c>
      <c r="D18" s="75" t="str">
        <f>'ef-FT'!GT17</f>
        <v>Chivas USA</v>
      </c>
      <c r="E18" s="74">
        <f>'ef-FT'!HX17</f>
        <v>5</v>
      </c>
      <c r="F18" s="75" t="str">
        <f>'ef-FT'!GW17</f>
        <v>Houston</v>
      </c>
      <c r="G18" s="74">
        <f>'ef-FT'!IA17</f>
        <v>10</v>
      </c>
      <c r="H18" s="75" t="str">
        <f>'ef-FT'!GX17</f>
        <v>New England</v>
      </c>
      <c r="I18" s="74">
        <f>'ef-FT'!IB17</f>
        <v>18</v>
      </c>
      <c r="J18" s="101"/>
      <c r="K18" s="101"/>
    </row>
    <row r="19" spans="1:11">
      <c r="A19" s="24">
        <v>15</v>
      </c>
      <c r="B19" s="11" t="str">
        <f>'ef-FT'!GR18</f>
        <v>Philadelphia Union</v>
      </c>
      <c r="C19" s="68">
        <f>'ef-FT'!HV18</f>
        <v>17</v>
      </c>
      <c r="D19" s="11" t="str">
        <f>'ef-FT'!GT18</f>
        <v>Philadelphia Union</v>
      </c>
      <c r="E19" s="68">
        <f>'ef-FT'!HX18</f>
        <v>4</v>
      </c>
      <c r="F19" s="11" t="str">
        <f>'ef-FT'!GW18</f>
        <v>Chivas USA</v>
      </c>
      <c r="G19" s="68">
        <f>'ef-FT'!IA18</f>
        <v>10</v>
      </c>
      <c r="H19" s="11" t="str">
        <f>'ef-FT'!GX18</f>
        <v>Kansas City</v>
      </c>
      <c r="I19" s="68">
        <f>'ef-FT'!IB18</f>
        <v>15</v>
      </c>
      <c r="J19" s="101"/>
      <c r="K19" s="101"/>
    </row>
    <row r="20" spans="1:11">
      <c r="A20" s="73">
        <v>16</v>
      </c>
      <c r="B20" s="75" t="str">
        <f>'ef-FT'!GR19</f>
        <v>DC United</v>
      </c>
      <c r="C20" s="74">
        <f>'ef-FT'!HV19</f>
        <v>12</v>
      </c>
      <c r="D20" s="75" t="str">
        <f>'ef-FT'!GT19</f>
        <v>DC United</v>
      </c>
      <c r="E20" s="74">
        <f>'ef-FT'!HX19</f>
        <v>3</v>
      </c>
      <c r="F20" s="75" t="str">
        <f>'ef-FT'!GW19</f>
        <v>DC United</v>
      </c>
      <c r="G20" s="74">
        <f>'ef-FT'!IA19</f>
        <v>14</v>
      </c>
      <c r="H20" s="75" t="str">
        <f>'ef-FT'!GX19</f>
        <v>DC United</v>
      </c>
      <c r="I20" s="74">
        <f>'ef-FT'!IB19</f>
        <v>13</v>
      </c>
      <c r="J20" s="101"/>
      <c r="K20" s="101"/>
    </row>
    <row r="21" spans="1:1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</row>
    <row r="22" spans="1:11" ht="15" customHeight="1">
      <c r="A22" s="67"/>
      <c r="B22" s="187" t="s">
        <v>2</v>
      </c>
      <c r="C22" s="187"/>
      <c r="D22" s="187" t="s">
        <v>2</v>
      </c>
      <c r="E22" s="187"/>
      <c r="F22" s="187" t="s">
        <v>2</v>
      </c>
      <c r="G22" s="187"/>
      <c r="H22" s="187" t="s">
        <v>2</v>
      </c>
      <c r="I22" s="187"/>
      <c r="J22" s="67"/>
      <c r="K22" s="67"/>
    </row>
    <row r="23" spans="1:11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</row>
    <row r="24" spans="1:11">
      <c r="A24" s="101"/>
      <c r="B24" s="188" t="str">
        <f>lg!Z4</f>
        <v>Fewest Goals Conceded</v>
      </c>
      <c r="C24" s="189"/>
      <c r="D24" s="188" t="str">
        <f>lg!AA4</f>
        <v>Highest Goal Difference</v>
      </c>
      <c r="E24" s="189"/>
      <c r="F24" s="188" t="str">
        <f>lg!AB4</f>
        <v>Fewest Games Failed to Score</v>
      </c>
      <c r="G24" s="189"/>
      <c r="H24" s="188" t="str">
        <f>lg!AC4</f>
        <v>Most Clean Sheets</v>
      </c>
      <c r="I24" s="189"/>
      <c r="J24" s="185"/>
      <c r="K24" s="186"/>
    </row>
    <row r="25" spans="1:11">
      <c r="A25" s="24">
        <v>1</v>
      </c>
      <c r="B25" s="11" t="str">
        <f>'ef-FT'!HA4</f>
        <v>Los Angeles</v>
      </c>
      <c r="C25" s="68">
        <f>'ef-FT'!IE4</f>
        <v>13</v>
      </c>
      <c r="D25" s="11" t="str">
        <f>'ef-FT'!HB4</f>
        <v>Real Salt Lake</v>
      </c>
      <c r="E25" s="68">
        <f>'ef-FT'!IF4</f>
        <v>20</v>
      </c>
      <c r="F25" s="11" t="str">
        <f>'ef-FT'!HE4</f>
        <v>Dallas</v>
      </c>
      <c r="G25" s="68">
        <f>'ef-FT'!II4</f>
        <v>1</v>
      </c>
      <c r="H25" s="11" t="str">
        <f>'ef-FT'!HF4</f>
        <v>Los Angeles</v>
      </c>
      <c r="I25" s="68">
        <f>'ef-FT'!IJ4</f>
        <v>11</v>
      </c>
      <c r="J25" s="100"/>
      <c r="K25" s="67"/>
    </row>
    <row r="26" spans="1:11">
      <c r="A26" s="73">
        <v>2</v>
      </c>
      <c r="B26" s="75" t="str">
        <f>'ef-FT'!HA5</f>
        <v>Real Salt Lake</v>
      </c>
      <c r="C26" s="74">
        <f>'ef-FT'!IE5</f>
        <v>16</v>
      </c>
      <c r="D26" s="75" t="str">
        <f>'ef-FT'!HB5</f>
        <v>Los Angeles</v>
      </c>
      <c r="E26" s="74">
        <f>'ef-FT'!IF5</f>
        <v>19</v>
      </c>
      <c r="F26" s="75" t="str">
        <f>'ef-FT'!HE5</f>
        <v>Chicago</v>
      </c>
      <c r="G26" s="74">
        <f>'ef-FT'!II5</f>
        <v>3</v>
      </c>
      <c r="H26" s="75" t="str">
        <f>'ef-FT'!HF5</f>
        <v>Real Salt Lake</v>
      </c>
      <c r="I26" s="74">
        <f>'ef-FT'!IJ5</f>
        <v>9</v>
      </c>
      <c r="J26" s="100"/>
      <c r="K26" s="67"/>
    </row>
    <row r="27" spans="1:11">
      <c r="A27" s="24">
        <v>3</v>
      </c>
      <c r="B27" s="11" t="str">
        <f>'ef-FT'!HA6</f>
        <v>Dallas</v>
      </c>
      <c r="C27" s="68">
        <f>'ef-FT'!IE6</f>
        <v>17</v>
      </c>
      <c r="D27" s="11" t="str">
        <f>'ef-FT'!HB6</f>
        <v>Dallas</v>
      </c>
      <c r="E27" s="68">
        <f>'ef-FT'!IF6</f>
        <v>10</v>
      </c>
      <c r="F27" s="11" t="str">
        <f>'ef-FT'!HE6</f>
        <v>Philadelphia Union</v>
      </c>
      <c r="G27" s="68">
        <f>'ef-FT'!II6</f>
        <v>3</v>
      </c>
      <c r="H27" s="11" t="str">
        <f>'ef-FT'!HF6</f>
        <v>Columbus</v>
      </c>
      <c r="I27" s="68">
        <f>'ef-FT'!IJ6</f>
        <v>8</v>
      </c>
      <c r="J27" s="100"/>
      <c r="K27" s="67"/>
    </row>
    <row r="28" spans="1:11">
      <c r="A28" s="73">
        <v>4</v>
      </c>
      <c r="B28" s="75" t="str">
        <f>'ef-FT'!HA7</f>
        <v>Colorado</v>
      </c>
      <c r="C28" s="74">
        <f>'ef-FT'!IE7</f>
        <v>18</v>
      </c>
      <c r="D28" s="75" t="str">
        <f>'ef-FT'!HB7</f>
        <v>Columbus</v>
      </c>
      <c r="E28" s="74">
        <f>'ef-FT'!IF7</f>
        <v>9</v>
      </c>
      <c r="F28" s="75" t="str">
        <f>'ef-FT'!HE7</f>
        <v>Real Salt Lake</v>
      </c>
      <c r="G28" s="74">
        <f>'ef-FT'!II7</f>
        <v>4</v>
      </c>
      <c r="H28" s="75" t="str">
        <f>'ef-FT'!HF7</f>
        <v>New York Red Bulls</v>
      </c>
      <c r="I28" s="74">
        <f>'ef-FT'!IJ7</f>
        <v>8</v>
      </c>
      <c r="J28" s="100"/>
      <c r="K28" s="67"/>
    </row>
    <row r="29" spans="1:11">
      <c r="A29" s="24">
        <v>5</v>
      </c>
      <c r="B29" s="11" t="str">
        <f>'ef-FT'!HA8</f>
        <v>Columbus</v>
      </c>
      <c r="C29" s="68">
        <f>'ef-FT'!IE8</f>
        <v>19</v>
      </c>
      <c r="D29" s="11" t="str">
        <f>'ef-FT'!HB8</f>
        <v>Colorado</v>
      </c>
      <c r="E29" s="68">
        <f>'ef-FT'!IF8</f>
        <v>3</v>
      </c>
      <c r="F29" s="11" t="str">
        <f>'ef-FT'!HE8</f>
        <v>Colorado</v>
      </c>
      <c r="G29" s="68">
        <f>'ef-FT'!II8</f>
        <v>4</v>
      </c>
      <c r="H29" s="11" t="str">
        <f>'ef-FT'!HF8</f>
        <v>Seattle Sounders FC</v>
      </c>
      <c r="I29" s="68">
        <f>'ef-FT'!IJ8</f>
        <v>8</v>
      </c>
      <c r="J29" s="100"/>
      <c r="K29" s="67"/>
    </row>
    <row r="30" spans="1:11">
      <c r="A30" s="73">
        <v>6</v>
      </c>
      <c r="B30" s="75" t="str">
        <f>'ef-FT'!HA9</f>
        <v>San Jose</v>
      </c>
      <c r="C30" s="74">
        <f>'ef-FT'!IE9</f>
        <v>20</v>
      </c>
      <c r="D30" s="75" t="str">
        <f>'ef-FT'!HB9</f>
        <v>San Jose</v>
      </c>
      <c r="E30" s="74">
        <f>'ef-FT'!IF9</f>
        <v>1</v>
      </c>
      <c r="F30" s="75" t="str">
        <f>'ef-FT'!HE9</f>
        <v>Columbus</v>
      </c>
      <c r="G30" s="74">
        <f>'ef-FT'!II9</f>
        <v>5</v>
      </c>
      <c r="H30" s="75" t="str">
        <f>'ef-FT'!HF9</f>
        <v>Kansas City</v>
      </c>
      <c r="I30" s="74">
        <f>'ef-FT'!IJ9</f>
        <v>7</v>
      </c>
      <c r="J30" s="100"/>
      <c r="K30" s="67"/>
    </row>
    <row r="31" spans="1:11">
      <c r="A31" s="24">
        <v>7</v>
      </c>
      <c r="B31" s="11" t="str">
        <f>'ef-FT'!HA10</f>
        <v>Toronto FC</v>
      </c>
      <c r="C31" s="68">
        <f>'ef-FT'!IE10</f>
        <v>21</v>
      </c>
      <c r="D31" s="11" t="str">
        <f>'ef-FT'!HB10</f>
        <v>Toronto FC</v>
      </c>
      <c r="E31" s="68">
        <f>'ef-FT'!IF10</f>
        <v>0</v>
      </c>
      <c r="F31" s="11" t="str">
        <f>'ef-FT'!HE10</f>
        <v>Los Angeles</v>
      </c>
      <c r="G31" s="68">
        <f>'ef-FT'!II10</f>
        <v>5</v>
      </c>
      <c r="H31" s="11" t="str">
        <f>'ef-FT'!HF10</f>
        <v>San Jose</v>
      </c>
      <c r="I31" s="68">
        <f>'ef-FT'!IJ10</f>
        <v>7</v>
      </c>
      <c r="J31" s="100"/>
      <c r="K31" s="67"/>
    </row>
    <row r="32" spans="1:11">
      <c r="A32" s="73">
        <v>8</v>
      </c>
      <c r="B32" s="75" t="str">
        <f>'ef-FT'!HA11</f>
        <v>Chicago</v>
      </c>
      <c r="C32" s="74">
        <f>'ef-FT'!IE11</f>
        <v>21</v>
      </c>
      <c r="D32" s="75" t="str">
        <f>'ef-FT'!HB11</f>
        <v>Chicago</v>
      </c>
      <c r="E32" s="74">
        <f>'ef-FT'!IF11</f>
        <v>0</v>
      </c>
      <c r="F32" s="75" t="str">
        <f>'ef-FT'!HE11</f>
        <v>Toronto FC</v>
      </c>
      <c r="G32" s="74">
        <f>'ef-FT'!II11</f>
        <v>6</v>
      </c>
      <c r="H32" s="75" t="str">
        <f>'ef-FT'!HF11</f>
        <v>Toronto FC</v>
      </c>
      <c r="I32" s="74">
        <f>'ef-FT'!IJ11</f>
        <v>6</v>
      </c>
      <c r="J32" s="100"/>
      <c r="K32" s="67"/>
    </row>
    <row r="33" spans="1:11">
      <c r="A33" s="24">
        <v>9</v>
      </c>
      <c r="B33" s="11" t="str">
        <f>'ef-FT'!HA12</f>
        <v>New York Red Bulls</v>
      </c>
      <c r="C33" s="68">
        <f>'ef-FT'!IE12</f>
        <v>22</v>
      </c>
      <c r="D33" s="11" t="str">
        <f>'ef-FT'!HB12</f>
        <v>New York Red Bulls</v>
      </c>
      <c r="E33" s="68">
        <f>'ef-FT'!IF12</f>
        <v>-1</v>
      </c>
      <c r="F33" s="11" t="str">
        <f>'ef-FT'!HE12</f>
        <v>Seattle Sounders FC</v>
      </c>
      <c r="G33" s="68">
        <f>'ef-FT'!II12</f>
        <v>6</v>
      </c>
      <c r="H33" s="11" t="str">
        <f>'ef-FT'!HF12</f>
        <v>New England</v>
      </c>
      <c r="I33" s="68">
        <f>'ef-FT'!IJ12</f>
        <v>5</v>
      </c>
      <c r="J33" s="100"/>
      <c r="K33" s="67"/>
    </row>
    <row r="34" spans="1:11">
      <c r="A34" s="73">
        <v>10</v>
      </c>
      <c r="B34" s="75" t="str">
        <f>'ef-FT'!HA13</f>
        <v>Kansas City</v>
      </c>
      <c r="C34" s="74">
        <f>'ef-FT'!IE13</f>
        <v>22</v>
      </c>
      <c r="D34" s="75" t="str">
        <f>'ef-FT'!HB13</f>
        <v>Seattle Sounders FC</v>
      </c>
      <c r="E34" s="74">
        <f>'ef-FT'!IF13</f>
        <v>-2</v>
      </c>
      <c r="F34" s="75" t="str">
        <f>'ef-FT'!HE13</f>
        <v>San Jose</v>
      </c>
      <c r="G34" s="74">
        <f>'ef-FT'!II13</f>
        <v>6</v>
      </c>
      <c r="H34" s="75" t="str">
        <f>'ef-FT'!HF13</f>
        <v>Dallas</v>
      </c>
      <c r="I34" s="74">
        <f>'ef-FT'!IJ13</f>
        <v>5</v>
      </c>
      <c r="J34" s="100"/>
      <c r="K34" s="67"/>
    </row>
    <row r="35" spans="1:11">
      <c r="A35" s="24">
        <v>11</v>
      </c>
      <c r="B35" s="11" t="str">
        <f>'ef-FT'!HA14</f>
        <v>Seattle Sounders FC</v>
      </c>
      <c r="C35" s="68">
        <f>'ef-FT'!IE14</f>
        <v>25</v>
      </c>
      <c r="D35" s="11" t="str">
        <f>'ef-FT'!HB14</f>
        <v>Chivas USA</v>
      </c>
      <c r="E35" s="68">
        <f>'ef-FT'!IF14</f>
        <v>-3</v>
      </c>
      <c r="F35" s="11" t="str">
        <f>'ef-FT'!HE14</f>
        <v>New York Red Bulls</v>
      </c>
      <c r="G35" s="68">
        <f>'ef-FT'!II14</f>
        <v>7</v>
      </c>
      <c r="H35" s="11" t="str">
        <f>'ef-FT'!HF14</f>
        <v>Colorado</v>
      </c>
      <c r="I35" s="68">
        <f>'ef-FT'!IJ14</f>
        <v>5</v>
      </c>
      <c r="J35" s="100"/>
      <c r="K35" s="67"/>
    </row>
    <row r="36" spans="1:11">
      <c r="A36" s="73">
        <v>12</v>
      </c>
      <c r="B36" s="75" t="str">
        <f>'ef-FT'!HA15</f>
        <v>Chivas USA</v>
      </c>
      <c r="C36" s="74">
        <f>'ef-FT'!IE15</f>
        <v>25</v>
      </c>
      <c r="D36" s="75" t="str">
        <f>'ef-FT'!HB15</f>
        <v>Kansas City</v>
      </c>
      <c r="E36" s="74">
        <f>'ef-FT'!IF15</f>
        <v>-7</v>
      </c>
      <c r="F36" s="75" t="str">
        <f>'ef-FT'!HE15</f>
        <v>Houston</v>
      </c>
      <c r="G36" s="74">
        <f>'ef-FT'!II15</f>
        <v>7</v>
      </c>
      <c r="H36" s="75" t="str">
        <f>'ef-FT'!HF15</f>
        <v>Houston</v>
      </c>
      <c r="I36" s="74">
        <f>'ef-FT'!IJ15</f>
        <v>5</v>
      </c>
      <c r="J36" s="100"/>
      <c r="K36" s="67"/>
    </row>
    <row r="37" spans="1:11">
      <c r="A37" s="24">
        <v>13</v>
      </c>
      <c r="B37" s="11" t="str">
        <f>'ef-FT'!HA16</f>
        <v>New England</v>
      </c>
      <c r="C37" s="68">
        <f>'ef-FT'!IE16</f>
        <v>27</v>
      </c>
      <c r="D37" s="11" t="str">
        <f>'ef-FT'!HB16</f>
        <v>Houston</v>
      </c>
      <c r="E37" s="68">
        <f>'ef-FT'!IF16</f>
        <v>-8</v>
      </c>
      <c r="F37" s="11" t="str">
        <f>'ef-FT'!HE16</f>
        <v>Chivas USA</v>
      </c>
      <c r="G37" s="68">
        <f>'ef-FT'!II16</f>
        <v>7</v>
      </c>
      <c r="H37" s="11" t="str">
        <f>'ef-FT'!HF16</f>
        <v>Chicago</v>
      </c>
      <c r="I37" s="68">
        <f>'ef-FT'!IJ16</f>
        <v>4</v>
      </c>
      <c r="J37" s="100"/>
      <c r="K37" s="67"/>
    </row>
    <row r="38" spans="1:11">
      <c r="A38" s="73">
        <v>14</v>
      </c>
      <c r="B38" s="75" t="str">
        <f>'ef-FT'!HA17</f>
        <v>Houston</v>
      </c>
      <c r="C38" s="74">
        <f>'ef-FT'!IE17</f>
        <v>30</v>
      </c>
      <c r="D38" s="75" t="str">
        <f>'ef-FT'!HB17</f>
        <v>New England</v>
      </c>
      <c r="E38" s="74">
        <f>'ef-FT'!IF17</f>
        <v>-9</v>
      </c>
      <c r="F38" s="75" t="str">
        <f>'ef-FT'!HE17</f>
        <v>New England</v>
      </c>
      <c r="G38" s="74">
        <f>'ef-FT'!II17</f>
        <v>8</v>
      </c>
      <c r="H38" s="75" t="str">
        <f>'ef-FT'!HF17</f>
        <v>Chivas USA</v>
      </c>
      <c r="I38" s="74">
        <f>'ef-FT'!IJ17</f>
        <v>4</v>
      </c>
      <c r="J38" s="100"/>
      <c r="K38" s="67"/>
    </row>
    <row r="39" spans="1:11">
      <c r="A39" s="24">
        <v>15</v>
      </c>
      <c r="B39" s="11" t="str">
        <f>'ef-FT'!HA18</f>
        <v>Philadelphia Union</v>
      </c>
      <c r="C39" s="68">
        <f>'ef-FT'!IE18</f>
        <v>33</v>
      </c>
      <c r="D39" s="11" t="str">
        <f>'ef-FT'!HB18</f>
        <v>Philadelphia Union</v>
      </c>
      <c r="E39" s="68">
        <f>'ef-FT'!IF18</f>
        <v>-10</v>
      </c>
      <c r="F39" s="11" t="str">
        <f>'ef-FT'!HE18</f>
        <v>Kansas City</v>
      </c>
      <c r="G39" s="68">
        <f>'ef-FT'!II18</f>
        <v>9</v>
      </c>
      <c r="H39" s="11" t="str">
        <f>'ef-FT'!HF18</f>
        <v>DC United</v>
      </c>
      <c r="I39" s="68">
        <f>'ef-FT'!IJ18</f>
        <v>2</v>
      </c>
      <c r="J39" s="100"/>
      <c r="K39" s="67"/>
    </row>
    <row r="40" spans="1:11">
      <c r="A40" s="73">
        <v>16</v>
      </c>
      <c r="B40" s="75" t="str">
        <f>'ef-FT'!HA19</f>
        <v>DC United</v>
      </c>
      <c r="C40" s="74">
        <f>'ef-FT'!IE19</f>
        <v>35</v>
      </c>
      <c r="D40" s="75" t="str">
        <f>'ef-FT'!HB19</f>
        <v>DC United</v>
      </c>
      <c r="E40" s="74">
        <f>'ef-FT'!IF19</f>
        <v>-22</v>
      </c>
      <c r="F40" s="75" t="str">
        <f>'ef-FT'!HE19</f>
        <v>DC United</v>
      </c>
      <c r="G40" s="74">
        <f>'ef-FT'!II19</f>
        <v>13</v>
      </c>
      <c r="H40" s="75" t="str">
        <f>'ef-FT'!HF19</f>
        <v>Philadelphia Union</v>
      </c>
      <c r="I40" s="74">
        <f>'ef-FT'!IJ19</f>
        <v>0</v>
      </c>
      <c r="J40" s="100"/>
      <c r="K40" s="67"/>
    </row>
    <row r="41" spans="1:11">
      <c r="A41" s="67"/>
      <c r="B41" s="67"/>
      <c r="C41" s="67"/>
      <c r="D41" s="67"/>
      <c r="E41" s="67"/>
      <c r="F41" s="67"/>
      <c r="G41" s="67"/>
      <c r="H41" s="67"/>
      <c r="I41" s="67"/>
      <c r="J41" s="101"/>
      <c r="K41" s="101"/>
    </row>
    <row r="42" spans="1:11">
      <c r="A42" s="67"/>
      <c r="B42" s="67"/>
      <c r="C42" s="67"/>
      <c r="D42" s="67"/>
      <c r="E42" s="67"/>
      <c r="F42" s="67"/>
      <c r="G42" s="67"/>
      <c r="H42" s="67"/>
      <c r="I42" s="67"/>
      <c r="J42" s="101"/>
      <c r="K42" s="101"/>
    </row>
    <row r="43" spans="1:11">
      <c r="A43" s="67"/>
      <c r="B43" s="101"/>
      <c r="C43" s="101"/>
      <c r="D43" s="101"/>
      <c r="E43" s="101"/>
      <c r="F43" s="101"/>
      <c r="G43" s="101"/>
      <c r="H43" s="101"/>
      <c r="I43" s="101"/>
      <c r="J43" s="101"/>
      <c r="K43" s="101"/>
    </row>
    <row r="44" spans="1:11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</row>
    <row r="45" spans="1:11">
      <c r="A45" s="24">
        <v>1</v>
      </c>
    </row>
    <row r="46" spans="1:11">
      <c r="A46" s="73">
        <v>2</v>
      </c>
    </row>
    <row r="47" spans="1:11">
      <c r="A47" s="24">
        <v>3</v>
      </c>
    </row>
    <row r="48" spans="1:11">
      <c r="A48" s="73">
        <v>4</v>
      </c>
    </row>
    <row r="49" spans="1:1">
      <c r="A49" s="24">
        <v>5</v>
      </c>
    </row>
    <row r="50" spans="1:1">
      <c r="A50" s="73">
        <v>6</v>
      </c>
    </row>
    <row r="51" spans="1:1">
      <c r="A51" s="24">
        <v>7</v>
      </c>
    </row>
    <row r="52" spans="1:1">
      <c r="A52" s="73">
        <v>8</v>
      </c>
    </row>
    <row r="53" spans="1:1">
      <c r="A53" s="24">
        <v>9</v>
      </c>
    </row>
    <row r="54" spans="1:1">
      <c r="A54" s="73">
        <v>10</v>
      </c>
    </row>
    <row r="55" spans="1:1">
      <c r="A55" s="24">
        <v>11</v>
      </c>
    </row>
    <row r="56" spans="1:1">
      <c r="A56" s="73">
        <v>12</v>
      </c>
    </row>
    <row r="57" spans="1:1">
      <c r="A57" s="24">
        <v>13</v>
      </c>
    </row>
    <row r="58" spans="1:1">
      <c r="A58" s="73">
        <v>14</v>
      </c>
    </row>
    <row r="59" spans="1:1">
      <c r="A59" s="24">
        <v>15</v>
      </c>
    </row>
    <row r="60" spans="1:1">
      <c r="A60" s="73">
        <v>16</v>
      </c>
    </row>
    <row r="61" spans="1:1">
      <c r="A61" s="24">
        <v>17</v>
      </c>
    </row>
    <row r="62" spans="1:1">
      <c r="A62" s="73">
        <v>18</v>
      </c>
    </row>
    <row r="63" spans="1:1">
      <c r="A63" s="24">
        <v>19</v>
      </c>
    </row>
    <row r="64" spans="1:1">
      <c r="A64" s="73">
        <v>20</v>
      </c>
    </row>
  </sheetData>
  <sheetProtection password="EA2C" sheet="1" objects="1" scenarios="1"/>
  <mergeCells count="16">
    <mergeCell ref="B2:C2"/>
    <mergeCell ref="B1:C1"/>
    <mergeCell ref="F4:G4"/>
    <mergeCell ref="H4:I4"/>
    <mergeCell ref="B24:C24"/>
    <mergeCell ref="D24:E24"/>
    <mergeCell ref="E2:G2"/>
    <mergeCell ref="B4:C4"/>
    <mergeCell ref="D4:E4"/>
    <mergeCell ref="J24:K24"/>
    <mergeCell ref="B22:C22"/>
    <mergeCell ref="D22:E22"/>
    <mergeCell ref="F22:G22"/>
    <mergeCell ref="H22:I22"/>
    <mergeCell ref="F24:G24"/>
    <mergeCell ref="H24:I24"/>
  </mergeCells>
  <conditionalFormatting sqref="B25:B40 D25:D40 F25:F40 H25:H40 J25:J40 D5:D20 H5:H20 F5:F20 B5:B20">
    <cfRule type="cellIs" dxfId="8" priority="32" stopIfTrue="1" operator="equal">
      <formula>$H$2</formula>
    </cfRule>
  </conditionalFormatting>
  <conditionalFormatting sqref="B25:B40 D25:D40 F25:F40 H25:H40 J25:J40 D5:D20 H5:H20 F5:F20 B5:B20">
    <cfRule type="cellIs" dxfId="7" priority="31" stopIfTrue="1" operator="equal">
      <formula>$D$2</formula>
    </cfRule>
  </conditionalFormatting>
  <dataValidations count="2">
    <dataValidation type="list" allowBlank="1" showInputMessage="1" showErrorMessage="1" sqref="D1">
      <formula1>type</formula1>
    </dataValidation>
    <dataValidation type="list" allowBlank="1" showInputMessage="1" showErrorMessage="1" sqref="C3 H3 I2:I3">
      <formula1>Teams</formula1>
    </dataValidation>
  </dataValidations>
  <hyperlinks>
    <hyperlink ref="B22" r:id="rId1"/>
    <hyperlink ref="D22" r:id="rId2"/>
    <hyperlink ref="F22" r:id="rId3"/>
    <hyperlink ref="H22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F4" sqref="F4"/>
    </sheetView>
  </sheetViews>
  <sheetFormatPr defaultRowHeight="15"/>
  <cols>
    <col min="1" max="1" width="37.28515625" style="10" bestFit="1" customWidth="1"/>
    <col min="2" max="2" width="10" style="10" customWidth="1"/>
    <col min="3" max="4" width="11.42578125" style="10" customWidth="1"/>
    <col min="5" max="5" width="10" style="10" customWidth="1"/>
    <col min="6" max="6" width="32.140625" style="10" bestFit="1" customWidth="1"/>
    <col min="7" max="7" width="10" style="10" customWidth="1"/>
    <col min="8" max="9" width="11.42578125" style="10" customWidth="1"/>
    <col min="10" max="10" width="10" style="10" customWidth="1"/>
    <col min="11" max="15" width="29.140625" style="10" customWidth="1"/>
    <col min="16" max="16384" width="9.140625" style="10"/>
  </cols>
  <sheetData>
    <row r="1" spans="1:14">
      <c r="A1" s="79" t="str">
        <f>lg!U4</f>
        <v>type</v>
      </c>
      <c r="B1" s="193" t="s">
        <v>126</v>
      </c>
      <c r="C1" s="193"/>
      <c r="D1" s="193"/>
      <c r="E1" s="193"/>
      <c r="F1" s="106"/>
      <c r="G1" s="106"/>
      <c r="H1" s="106"/>
      <c r="I1" s="106"/>
      <c r="J1" s="106"/>
      <c r="K1" s="116"/>
      <c r="L1" s="78"/>
      <c r="M1" s="78"/>
      <c r="N1" s="21"/>
    </row>
    <row r="2" spans="1:14">
      <c r="A2" s="80" t="str">
        <f>lg!H4</f>
        <v>Follow</v>
      </c>
      <c r="B2" s="281" t="str">
        <f>Fixture!C3</f>
        <v>Los Angeles</v>
      </c>
      <c r="C2" s="281"/>
      <c r="D2" s="281"/>
      <c r="E2" s="281"/>
      <c r="F2" s="84" t="s">
        <v>93</v>
      </c>
      <c r="G2" s="194" t="str">
        <f>Fixture!E3</f>
        <v>Dallas</v>
      </c>
      <c r="H2" s="194"/>
      <c r="I2" s="194"/>
      <c r="J2" s="194"/>
      <c r="K2" s="116"/>
      <c r="L2" s="21"/>
      <c r="M2" s="21"/>
      <c r="N2" s="21"/>
    </row>
    <row r="3" spans="1:14" ht="18.75" customHeight="1">
      <c r="A3" s="81"/>
      <c r="B3" s="85" t="s">
        <v>128</v>
      </c>
      <c r="C3" s="85" t="s">
        <v>129</v>
      </c>
      <c r="D3" s="85" t="str">
        <f>lg!AD4</f>
        <v>Ave.</v>
      </c>
      <c r="E3" s="85" t="s">
        <v>131</v>
      </c>
      <c r="F3" s="106"/>
      <c r="G3" s="85" t="s">
        <v>128</v>
      </c>
      <c r="H3" s="85" t="s">
        <v>129</v>
      </c>
      <c r="I3" s="85" t="str">
        <f>D3</f>
        <v>Ave.</v>
      </c>
      <c r="J3" s="85" t="s">
        <v>131</v>
      </c>
      <c r="K3" s="116"/>
      <c r="L3" s="21"/>
      <c r="M3" s="21"/>
      <c r="N3" s="21"/>
    </row>
    <row r="4" spans="1:14" ht="18.75" customHeight="1">
      <c r="A4" s="83" t="s">
        <v>127</v>
      </c>
      <c r="B4" s="108">
        <f>'ef-FT'!IP30</f>
        <v>43</v>
      </c>
      <c r="C4" s="108">
        <f>'ef-FT'!IQ30</f>
        <v>20</v>
      </c>
      <c r="D4" s="157">
        <f>'ef-FT'!IR30</f>
        <v>2.15</v>
      </c>
      <c r="E4" s="108">
        <f>'ef-FT'!IS30</f>
        <v>1</v>
      </c>
      <c r="F4" s="110"/>
      <c r="G4" s="108">
        <f>'ef-FT'!IV30</f>
        <v>33</v>
      </c>
      <c r="H4" s="108">
        <f>'ef-FT'!IW30</f>
        <v>19</v>
      </c>
      <c r="I4" s="157">
        <f>'ef-FT'!IX30</f>
        <v>1.736842105263158</v>
      </c>
      <c r="J4" s="108">
        <f>'ef-FT'!IY30</f>
        <v>4</v>
      </c>
      <c r="K4" s="116"/>
      <c r="M4" s="21"/>
      <c r="N4" s="21"/>
    </row>
    <row r="5" spans="1:14" ht="15" customHeight="1">
      <c r="A5" s="82"/>
      <c r="B5" s="106"/>
      <c r="C5" s="106"/>
      <c r="D5" s="111"/>
      <c r="E5" s="106"/>
      <c r="F5" s="106"/>
      <c r="G5" s="106"/>
      <c r="H5" s="106"/>
      <c r="I5" s="111"/>
      <c r="J5" s="106"/>
      <c r="K5" s="116"/>
      <c r="M5" s="21"/>
      <c r="N5" s="21"/>
    </row>
    <row r="6" spans="1:14" ht="18.75" customHeight="1">
      <c r="A6" s="83" t="s">
        <v>156</v>
      </c>
      <c r="B6" s="108">
        <f>'ef-FT'!IP33</f>
        <v>32</v>
      </c>
      <c r="C6" s="108">
        <f>'ef-FT'!IQ33</f>
        <v>20</v>
      </c>
      <c r="D6" s="157">
        <f>'ef-FT'!IR33</f>
        <v>1.6</v>
      </c>
      <c r="E6" s="108">
        <f>'ef-FT'!IS33</f>
        <v>2</v>
      </c>
      <c r="F6" s="110"/>
      <c r="G6" s="108">
        <f>'ef-FT'!IV33</f>
        <v>27</v>
      </c>
      <c r="H6" s="108">
        <f>'ef-FT'!IW33</f>
        <v>19</v>
      </c>
      <c r="I6" s="157">
        <f>'ef-FT'!IX33</f>
        <v>1.4210526315789473</v>
      </c>
      <c r="J6" s="108">
        <f>'ef-FT'!IY33</f>
        <v>4</v>
      </c>
      <c r="K6" s="117"/>
    </row>
    <row r="7" spans="1:14" ht="15" customHeight="1">
      <c r="A7" s="82"/>
      <c r="B7" s="106"/>
      <c r="C7" s="106"/>
      <c r="D7" s="158"/>
      <c r="E7" s="106"/>
      <c r="F7" s="106"/>
      <c r="G7" s="106"/>
      <c r="H7" s="106"/>
      <c r="I7" s="158"/>
      <c r="J7" s="106"/>
      <c r="K7" s="117"/>
    </row>
    <row r="8" spans="1:14" ht="18.75" customHeight="1">
      <c r="A8" s="83" t="s">
        <v>157</v>
      </c>
      <c r="B8" s="108">
        <f>'ef-FT'!IP34</f>
        <v>13</v>
      </c>
      <c r="C8" s="108">
        <f>'ef-FT'!IQ34</f>
        <v>20</v>
      </c>
      <c r="D8" s="157">
        <f>'ef-FT'!IR34</f>
        <v>0.65</v>
      </c>
      <c r="E8" s="108">
        <f>'ef-FT'!IS34</f>
        <v>16</v>
      </c>
      <c r="F8" s="110"/>
      <c r="G8" s="108">
        <f>'ef-FT'!IV34</f>
        <v>17</v>
      </c>
      <c r="H8" s="108">
        <f>'ef-FT'!IW34</f>
        <v>19</v>
      </c>
      <c r="I8" s="157">
        <f>'ef-FT'!IX34</f>
        <v>0.89473684210526316</v>
      </c>
      <c r="J8" s="108">
        <f>'ef-FT'!IY34</f>
        <v>14</v>
      </c>
      <c r="K8" s="117"/>
    </row>
    <row r="9" spans="1:14" ht="15" customHeight="1">
      <c r="A9" s="107"/>
      <c r="B9" s="106"/>
      <c r="C9" s="106"/>
      <c r="D9" s="158"/>
      <c r="E9" s="106"/>
      <c r="F9" s="106"/>
      <c r="G9" s="106"/>
      <c r="H9" s="106"/>
      <c r="I9" s="158"/>
      <c r="J9" s="106"/>
      <c r="K9" s="117"/>
    </row>
    <row r="10" spans="1:14" ht="18.75" customHeight="1">
      <c r="A10" s="83" t="s">
        <v>158</v>
      </c>
      <c r="B10" s="108">
        <f>'ef-FT'!IP35</f>
        <v>19</v>
      </c>
      <c r="C10" s="108">
        <f>'ef-FT'!IQ35</f>
        <v>20</v>
      </c>
      <c r="D10" s="157">
        <f>'ef-FT'!IR35</f>
        <v>0.95</v>
      </c>
      <c r="E10" s="108">
        <f>'ef-FT'!IS35</f>
        <v>2</v>
      </c>
      <c r="F10" s="110"/>
      <c r="G10" s="108">
        <f>'ef-FT'!IV35</f>
        <v>10</v>
      </c>
      <c r="H10" s="108">
        <f>'ef-FT'!IW35</f>
        <v>19</v>
      </c>
      <c r="I10" s="157">
        <f>'ef-FT'!IX35</f>
        <v>0.52631578947368418</v>
      </c>
      <c r="J10" s="108">
        <f>'ef-FT'!IY35</f>
        <v>3</v>
      </c>
      <c r="K10" s="117"/>
    </row>
    <row r="11" spans="1:14" ht="15" customHeight="1">
      <c r="K11" s="117"/>
    </row>
    <row r="12" spans="1:14" ht="18.75" customHeight="1">
      <c r="B12" s="85" t="s">
        <v>128</v>
      </c>
      <c r="C12" s="85" t="s">
        <v>129</v>
      </c>
      <c r="D12" s="85" t="s">
        <v>130</v>
      </c>
      <c r="E12" s="85" t="s">
        <v>131</v>
      </c>
      <c r="F12" s="106"/>
      <c r="G12" s="85" t="s">
        <v>128</v>
      </c>
      <c r="H12" s="85" t="s">
        <v>129</v>
      </c>
      <c r="I12" s="85" t="s">
        <v>130</v>
      </c>
      <c r="J12" s="85" t="s">
        <v>131</v>
      </c>
      <c r="K12" s="117"/>
    </row>
    <row r="13" spans="1:14" ht="18.75" customHeight="1">
      <c r="A13" s="83" t="s">
        <v>69</v>
      </c>
      <c r="B13" s="108">
        <f>'ef-FT'!IP31</f>
        <v>13</v>
      </c>
      <c r="C13" s="108">
        <f>'ef-FT'!IQ31</f>
        <v>20</v>
      </c>
      <c r="D13" s="109">
        <f>'ef-FT'!IR31</f>
        <v>0.65</v>
      </c>
      <c r="E13" s="108">
        <f>'ef-FT'!IS31</f>
        <v>1</v>
      </c>
      <c r="F13" s="110"/>
      <c r="G13" s="108">
        <f>'ef-FT'!IV31</f>
        <v>8</v>
      </c>
      <c r="H13" s="108">
        <f>'ef-FT'!IW31</f>
        <v>19</v>
      </c>
      <c r="I13" s="109">
        <f>'ef-FT'!IX31</f>
        <v>0.42105263157894735</v>
      </c>
      <c r="J13" s="108">
        <f>'ef-FT'!IY31</f>
        <v>5</v>
      </c>
      <c r="K13" s="117"/>
    </row>
    <row r="14" spans="1:14" ht="15" customHeight="1">
      <c r="A14" s="82"/>
      <c r="B14" s="106"/>
      <c r="C14" s="106"/>
      <c r="D14" s="111"/>
      <c r="E14" s="106"/>
      <c r="F14" s="106"/>
      <c r="G14" s="106"/>
      <c r="H14" s="106"/>
      <c r="I14" s="111"/>
      <c r="J14" s="106"/>
      <c r="K14" s="117"/>
    </row>
    <row r="15" spans="1:14" ht="18.75" customHeight="1">
      <c r="A15" s="83" t="s">
        <v>72</v>
      </c>
      <c r="B15" s="108">
        <f>'ef-FT'!IP32</f>
        <v>3</v>
      </c>
      <c r="C15" s="108">
        <f>'ef-FT'!IQ32</f>
        <v>20</v>
      </c>
      <c r="D15" s="109">
        <f>'ef-FT'!IR32</f>
        <v>0.15</v>
      </c>
      <c r="E15" s="108">
        <f>'ef-FT'!IS32</f>
        <v>2</v>
      </c>
      <c r="F15" s="110"/>
      <c r="G15" s="108">
        <f>'ef-FT'!IV32</f>
        <v>2</v>
      </c>
      <c r="H15" s="108">
        <f>'ef-FT'!IW32</f>
        <v>19</v>
      </c>
      <c r="I15" s="109">
        <f>'ef-FT'!IX32</f>
        <v>0.10526315789473684</v>
      </c>
      <c r="J15" s="108">
        <f>'ef-FT'!IY32</f>
        <v>16</v>
      </c>
      <c r="K15" s="117"/>
    </row>
    <row r="16" spans="1:14" ht="15" customHeight="1">
      <c r="A16" s="82"/>
      <c r="B16" s="106"/>
      <c r="C16" s="106"/>
      <c r="D16" s="111"/>
      <c r="E16" s="106"/>
      <c r="F16" s="106"/>
      <c r="G16" s="106"/>
      <c r="H16" s="106"/>
      <c r="I16" s="111"/>
      <c r="J16" s="106"/>
      <c r="K16" s="117"/>
    </row>
    <row r="17" spans="1:11" ht="18.75" customHeight="1">
      <c r="A17" s="83" t="s">
        <v>78</v>
      </c>
      <c r="B17" s="108">
        <f>'ef-FT'!IP36</f>
        <v>5</v>
      </c>
      <c r="C17" s="108">
        <f>'ef-FT'!IQ36</f>
        <v>20</v>
      </c>
      <c r="D17" s="109">
        <f>'ef-FT'!IR36</f>
        <v>0.25</v>
      </c>
      <c r="E17" s="108">
        <f>'ef-FT'!IS36</f>
        <v>7</v>
      </c>
      <c r="F17" s="110"/>
      <c r="G17" s="108">
        <f>'ef-FT'!IV36</f>
        <v>1</v>
      </c>
      <c r="H17" s="108">
        <f>'ef-FT'!IW36</f>
        <v>19</v>
      </c>
      <c r="I17" s="109">
        <f>'ef-FT'!IX36</f>
        <v>5.2631578947368418E-2</v>
      </c>
      <c r="J17" s="108">
        <f>'ef-FT'!IY36</f>
        <v>16</v>
      </c>
      <c r="K17" s="117"/>
    </row>
    <row r="18" spans="1:11" ht="15" customHeight="1">
      <c r="A18" s="82"/>
      <c r="B18" s="106"/>
      <c r="C18" s="106"/>
      <c r="D18" s="111"/>
      <c r="E18" s="106"/>
      <c r="F18" s="106"/>
      <c r="G18" s="106"/>
      <c r="H18" s="106"/>
      <c r="I18" s="111"/>
      <c r="J18" s="106"/>
      <c r="K18" s="117"/>
    </row>
    <row r="19" spans="1:11" ht="18.75" customHeight="1">
      <c r="A19" s="83" t="s">
        <v>77</v>
      </c>
      <c r="B19" s="108">
        <f>'ef-FT'!IP37</f>
        <v>11</v>
      </c>
      <c r="C19" s="108">
        <f>'ef-FT'!IQ37</f>
        <v>20</v>
      </c>
      <c r="D19" s="109">
        <f>'ef-FT'!IR37</f>
        <v>0.55000000000000004</v>
      </c>
      <c r="E19" s="108">
        <f>'ef-FT'!IS37</f>
        <v>1</v>
      </c>
      <c r="F19" s="110"/>
      <c r="G19" s="108">
        <f>'ef-FT'!IV37</f>
        <v>5</v>
      </c>
      <c r="H19" s="108">
        <f>'ef-FT'!IW37</f>
        <v>19</v>
      </c>
      <c r="I19" s="109">
        <f>'ef-FT'!IX37</f>
        <v>0.26315789473684209</v>
      </c>
      <c r="J19" s="108">
        <f>'ef-FT'!IY37</f>
        <v>10</v>
      </c>
      <c r="K19" s="117"/>
    </row>
    <row r="20" spans="1:11">
      <c r="A20" s="36"/>
      <c r="B20" s="117"/>
      <c r="C20" s="117"/>
      <c r="D20" s="117"/>
      <c r="E20" s="117"/>
      <c r="F20" s="117"/>
      <c r="G20" s="117"/>
      <c r="H20" s="117"/>
      <c r="I20" s="117"/>
      <c r="J20" s="117"/>
      <c r="K20" s="117"/>
    </row>
    <row r="21" spans="1:11" ht="15" customHeight="1">
      <c r="A21" s="101"/>
      <c r="B21" s="195" t="s">
        <v>2</v>
      </c>
      <c r="C21" s="195"/>
      <c r="D21" s="195"/>
      <c r="E21" s="195"/>
      <c r="F21" s="118"/>
      <c r="G21" s="195" t="s">
        <v>2</v>
      </c>
      <c r="H21" s="195"/>
      <c r="I21" s="195"/>
      <c r="J21" s="195"/>
      <c r="K21" s="101"/>
    </row>
    <row r="22" spans="1:11">
      <c r="A22" s="101"/>
      <c r="B22" s="195"/>
      <c r="C22" s="195"/>
      <c r="D22" s="195"/>
      <c r="E22" s="195"/>
      <c r="F22" s="119"/>
      <c r="G22" s="195"/>
      <c r="H22" s="195"/>
      <c r="I22" s="195"/>
      <c r="J22" s="195"/>
      <c r="K22" s="101"/>
    </row>
    <row r="23" spans="1:11">
      <c r="A23" s="104"/>
      <c r="B23" s="196" t="s">
        <v>5</v>
      </c>
      <c r="C23" s="196"/>
      <c r="D23" s="196"/>
      <c r="E23" s="196"/>
      <c r="F23" s="104"/>
      <c r="G23" s="196" t="s">
        <v>5</v>
      </c>
      <c r="H23" s="196"/>
      <c r="I23" s="196"/>
      <c r="J23" s="196"/>
      <c r="K23" s="101"/>
    </row>
    <row r="24" spans="1:11">
      <c r="A24" s="104"/>
      <c r="B24" s="104"/>
      <c r="C24" s="104"/>
      <c r="D24" s="104"/>
      <c r="E24" s="104"/>
      <c r="F24" s="104"/>
      <c r="G24" s="104"/>
      <c r="H24" s="104"/>
      <c r="I24" s="104"/>
      <c r="J24" s="101"/>
      <c r="K24" s="101"/>
    </row>
    <row r="25" spans="1:11">
      <c r="F25" s="101"/>
      <c r="G25" s="101"/>
      <c r="H25" s="101"/>
      <c r="I25" s="101"/>
      <c r="J25" s="101"/>
      <c r="K25" s="101"/>
    </row>
    <row r="33" spans="1:10">
      <c r="A33" s="155"/>
      <c r="B33" s="153"/>
      <c r="C33" s="153"/>
      <c r="D33" s="154"/>
      <c r="E33" s="153"/>
      <c r="F33" s="110"/>
      <c r="G33" s="153"/>
      <c r="H33" s="153"/>
      <c r="I33" s="153"/>
      <c r="J33" s="153"/>
    </row>
  </sheetData>
  <sheetProtection password="EA2C" sheet="1" objects="1" scenarios="1"/>
  <mergeCells count="7">
    <mergeCell ref="B1:E1"/>
    <mergeCell ref="G2:J2"/>
    <mergeCell ref="G21:J22"/>
    <mergeCell ref="G23:J23"/>
    <mergeCell ref="B21:E22"/>
    <mergeCell ref="B23:E23"/>
    <mergeCell ref="B2:E2"/>
  </mergeCells>
  <conditionalFormatting sqref="A18 A14 A16 A7 A20 A5">
    <cfRule type="cellIs" dxfId="16" priority="59" stopIfTrue="1" operator="equal">
      <formula>$B$2</formula>
    </cfRule>
  </conditionalFormatting>
  <conditionalFormatting sqref="A18 A16 A14 A7 A5 A20">
    <cfRule type="cellIs" dxfId="15" priority="61" stopIfTrue="1" operator="equal">
      <formula>$G$2</formula>
    </cfRule>
  </conditionalFormatting>
  <dataValidations count="1">
    <dataValidation type="list" allowBlank="1" showInputMessage="1" showErrorMessage="1" sqref="B1">
      <formula1>type</formula1>
    </dataValidation>
  </dataValidations>
  <hyperlinks>
    <hyperlink ref="G21" r:id="rId1"/>
    <hyperlink ref="B21" r:id="rId2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43"/>
  <sheetViews>
    <sheetView workbookViewId="0">
      <selection activeCell="A22" sqref="A22:A23"/>
    </sheetView>
  </sheetViews>
  <sheetFormatPr defaultRowHeight="15"/>
  <cols>
    <col min="1" max="1" width="26.140625" style="10" bestFit="1" customWidth="1"/>
    <col min="2" max="48" width="3.28515625" style="10" customWidth="1"/>
    <col min="49" max="60" width="4" style="10" customWidth="1"/>
    <col min="61" max="16384" width="9.140625" style="10"/>
  </cols>
  <sheetData>
    <row r="1" spans="1:51">
      <c r="A1" s="250" t="s">
        <v>139</v>
      </c>
      <c r="B1" s="210" t="str">
        <f>lg!H4&amp;" "&amp;lg!L4&amp;"s &amp;"</f>
        <v>Follow Teams &amp;</v>
      </c>
      <c r="C1" s="210"/>
      <c r="D1" s="210"/>
      <c r="E1" s="210"/>
      <c r="F1" s="210"/>
      <c r="G1" s="210"/>
      <c r="H1" s="242" t="s">
        <v>184</v>
      </c>
      <c r="I1" s="243"/>
      <c r="J1" s="243"/>
      <c r="K1" s="243"/>
      <c r="L1" s="243"/>
      <c r="M1" s="243"/>
      <c r="N1" s="243"/>
      <c r="O1" s="243"/>
      <c r="P1" s="243"/>
      <c r="Q1" s="243"/>
      <c r="R1" s="244"/>
      <c r="S1" s="8" t="s">
        <v>141</v>
      </c>
      <c r="T1" s="242" t="s">
        <v>185</v>
      </c>
      <c r="U1" s="243"/>
      <c r="V1" s="243"/>
      <c r="W1" s="243"/>
      <c r="X1" s="243"/>
      <c r="Y1" s="243"/>
      <c r="Z1" s="243"/>
      <c r="AA1" s="243"/>
      <c r="AB1" s="243"/>
      <c r="AC1" s="243"/>
      <c r="AD1" s="244"/>
      <c r="AE1" s="8" t="s">
        <v>141</v>
      </c>
      <c r="AF1" s="242" t="s">
        <v>193</v>
      </c>
      <c r="AG1" s="243"/>
      <c r="AH1" s="243"/>
      <c r="AI1" s="243"/>
      <c r="AJ1" s="243"/>
      <c r="AK1" s="243"/>
      <c r="AL1" s="243"/>
      <c r="AM1" s="243"/>
      <c r="AN1" s="243"/>
      <c r="AO1" s="243"/>
      <c r="AP1" s="244"/>
      <c r="AQ1" s="2"/>
      <c r="AR1" s="2"/>
      <c r="AX1" s="10" t="str">
        <f>Fixture!C3</f>
        <v>Los Angeles</v>
      </c>
      <c r="AY1" s="10" t="str">
        <f>Fixture!E3</f>
        <v>Dallas</v>
      </c>
    </row>
    <row r="2" spans="1:51">
      <c r="A2" s="248"/>
      <c r="B2" s="266" t="s">
        <v>210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  <c r="AB2" s="266"/>
      <c r="AC2" s="266"/>
      <c r="AD2" s="266"/>
      <c r="AE2" s="266"/>
      <c r="AF2" s="266"/>
      <c r="AG2" s="266"/>
      <c r="AH2" s="266"/>
      <c r="AI2" s="267"/>
      <c r="AJ2" s="268"/>
      <c r="AK2" s="268"/>
      <c r="AL2" s="268"/>
      <c r="AM2" s="268"/>
      <c r="AN2" s="268"/>
      <c r="AO2" s="268"/>
      <c r="AP2" s="268"/>
      <c r="AQ2" s="2"/>
      <c r="AR2" s="2"/>
    </row>
    <row r="3" spans="1:51">
      <c r="A3" s="249"/>
      <c r="B3" s="114" t="s">
        <v>140</v>
      </c>
      <c r="C3" s="114" t="s">
        <v>140</v>
      </c>
      <c r="D3" s="113">
        <v>1</v>
      </c>
      <c r="E3" s="113">
        <v>2</v>
      </c>
      <c r="F3" s="113">
        <v>3</v>
      </c>
      <c r="G3" s="113">
        <v>4</v>
      </c>
      <c r="H3" s="113">
        <v>5</v>
      </c>
      <c r="I3" s="113">
        <v>6</v>
      </c>
      <c r="J3" s="113">
        <v>7</v>
      </c>
      <c r="K3" s="113">
        <v>8</v>
      </c>
      <c r="L3" s="113">
        <v>9</v>
      </c>
      <c r="M3" s="113">
        <v>10</v>
      </c>
      <c r="N3" s="113">
        <v>11</v>
      </c>
      <c r="O3" s="113">
        <v>12</v>
      </c>
      <c r="P3" s="113">
        <v>13</v>
      </c>
      <c r="Q3" s="113">
        <v>14</v>
      </c>
      <c r="R3" s="113">
        <v>15</v>
      </c>
      <c r="S3" s="113">
        <v>16</v>
      </c>
      <c r="T3" s="113">
        <v>17</v>
      </c>
      <c r="U3" s="113">
        <v>18</v>
      </c>
      <c r="V3" s="113">
        <v>19</v>
      </c>
      <c r="W3" s="113">
        <v>20</v>
      </c>
      <c r="X3" s="113">
        <v>21</v>
      </c>
      <c r="Y3" s="113">
        <v>22</v>
      </c>
      <c r="Z3" s="113">
        <v>23</v>
      </c>
      <c r="AA3" s="113">
        <v>24</v>
      </c>
      <c r="AB3" s="113">
        <v>25</v>
      </c>
      <c r="AC3" s="113">
        <v>26</v>
      </c>
      <c r="AD3" s="113">
        <v>27</v>
      </c>
      <c r="AE3" s="113">
        <v>28</v>
      </c>
      <c r="AF3" s="113">
        <v>29</v>
      </c>
      <c r="AG3" s="113">
        <v>30</v>
      </c>
      <c r="AH3" s="113"/>
      <c r="AI3" s="253"/>
      <c r="AJ3" s="254"/>
      <c r="AK3" s="254"/>
      <c r="AL3" s="254"/>
      <c r="AM3" s="254"/>
      <c r="AN3" s="254"/>
      <c r="AO3" s="254"/>
      <c r="AP3" s="255"/>
      <c r="AQ3" s="234"/>
      <c r="AR3" s="234"/>
      <c r="AS3" s="112"/>
    </row>
    <row r="4" spans="1:51" ht="7.5" customHeight="1">
      <c r="A4" s="245" t="str">
        <f>'ef-FT'!E4</f>
        <v>Columbus</v>
      </c>
      <c r="B4" s="198">
        <v>1</v>
      </c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7">
        <v>1</v>
      </c>
      <c r="O4" s="205"/>
      <c r="P4" s="207"/>
      <c r="Q4" s="204"/>
      <c r="R4" s="204"/>
      <c r="S4" s="204"/>
      <c r="T4" s="204"/>
      <c r="U4" s="205"/>
      <c r="V4" s="204"/>
      <c r="W4" s="204"/>
      <c r="X4" s="207">
        <v>1</v>
      </c>
      <c r="Y4" s="204"/>
      <c r="Z4" s="204"/>
      <c r="AA4" s="204"/>
      <c r="AB4" s="204"/>
      <c r="AC4" s="207"/>
      <c r="AD4" s="204"/>
      <c r="AE4" s="204"/>
      <c r="AF4" s="204"/>
      <c r="AG4" s="204"/>
      <c r="AH4" s="198">
        <v>1</v>
      </c>
      <c r="AI4" s="256"/>
      <c r="AJ4" s="257"/>
      <c r="AK4" s="257"/>
      <c r="AL4" s="257"/>
      <c r="AM4" s="257"/>
      <c r="AN4" s="257"/>
      <c r="AO4" s="257"/>
      <c r="AP4" s="258"/>
      <c r="AQ4" s="234"/>
      <c r="AR4" s="234"/>
      <c r="AS4" s="112"/>
    </row>
    <row r="5" spans="1:51" ht="7.5" customHeight="1">
      <c r="A5" s="211"/>
      <c r="B5" s="198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7"/>
      <c r="O5" s="206"/>
      <c r="P5" s="207"/>
      <c r="Q5" s="204"/>
      <c r="R5" s="204"/>
      <c r="S5" s="204"/>
      <c r="T5" s="204"/>
      <c r="U5" s="206"/>
      <c r="V5" s="204"/>
      <c r="W5" s="204"/>
      <c r="X5" s="207"/>
      <c r="Y5" s="204"/>
      <c r="Z5" s="204"/>
      <c r="AA5" s="204"/>
      <c r="AB5" s="204"/>
      <c r="AC5" s="207"/>
      <c r="AD5" s="204"/>
      <c r="AE5" s="204"/>
      <c r="AF5" s="204"/>
      <c r="AG5" s="204"/>
      <c r="AH5" s="198"/>
      <c r="AI5" s="256"/>
      <c r="AJ5" s="257"/>
      <c r="AK5" s="257"/>
      <c r="AL5" s="257"/>
      <c r="AM5" s="257"/>
      <c r="AN5" s="257"/>
      <c r="AO5" s="257"/>
      <c r="AP5" s="258"/>
      <c r="AQ5" s="234"/>
      <c r="AR5" s="234"/>
      <c r="AS5" s="112"/>
    </row>
    <row r="6" spans="1:51" ht="7.5" customHeight="1">
      <c r="A6" s="209" t="str">
        <f>'ef-FT'!E5</f>
        <v>New York Red Bulls</v>
      </c>
      <c r="B6" s="199">
        <v>2</v>
      </c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3">
        <v>2</v>
      </c>
      <c r="O6" s="201"/>
      <c r="P6" s="203"/>
      <c r="Q6" s="200"/>
      <c r="R6" s="200"/>
      <c r="S6" s="200"/>
      <c r="T6" s="200"/>
      <c r="U6" s="201"/>
      <c r="V6" s="200"/>
      <c r="W6" s="200"/>
      <c r="X6" s="203">
        <v>2</v>
      </c>
      <c r="Y6" s="200"/>
      <c r="Z6" s="200"/>
      <c r="AA6" s="200"/>
      <c r="AB6" s="200"/>
      <c r="AC6" s="203"/>
      <c r="AD6" s="200"/>
      <c r="AE6" s="200"/>
      <c r="AF6" s="200"/>
      <c r="AG6" s="200"/>
      <c r="AH6" s="199">
        <v>2</v>
      </c>
      <c r="AI6" s="256"/>
      <c r="AJ6" s="257"/>
      <c r="AK6" s="257"/>
      <c r="AL6" s="257"/>
      <c r="AM6" s="257"/>
      <c r="AN6" s="257"/>
      <c r="AO6" s="257"/>
      <c r="AP6" s="258"/>
      <c r="AQ6" s="234"/>
      <c r="AR6" s="234"/>
      <c r="AS6" s="112"/>
    </row>
    <row r="7" spans="1:51" ht="7.5" customHeight="1">
      <c r="A7" s="209"/>
      <c r="B7" s="199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3"/>
      <c r="O7" s="202"/>
      <c r="P7" s="203"/>
      <c r="Q7" s="200"/>
      <c r="R7" s="200"/>
      <c r="S7" s="200"/>
      <c r="T7" s="200"/>
      <c r="U7" s="202"/>
      <c r="V7" s="200"/>
      <c r="W7" s="200"/>
      <c r="X7" s="203"/>
      <c r="Y7" s="200"/>
      <c r="Z7" s="200"/>
      <c r="AA7" s="200"/>
      <c r="AB7" s="200"/>
      <c r="AC7" s="203"/>
      <c r="AD7" s="200"/>
      <c r="AE7" s="200"/>
      <c r="AF7" s="200"/>
      <c r="AG7" s="200"/>
      <c r="AH7" s="199"/>
      <c r="AI7" s="256"/>
      <c r="AJ7" s="257"/>
      <c r="AK7" s="257"/>
      <c r="AL7" s="257"/>
      <c r="AM7" s="257"/>
      <c r="AN7" s="257"/>
      <c r="AO7" s="257"/>
      <c r="AP7" s="258"/>
      <c r="AQ7" s="234"/>
      <c r="AR7" s="234"/>
      <c r="AS7" s="112"/>
    </row>
    <row r="8" spans="1:51" ht="7.5" customHeight="1">
      <c r="A8" s="208" t="str">
        <f>'ef-FT'!E6</f>
        <v>Toronto FC</v>
      </c>
      <c r="B8" s="198">
        <v>3</v>
      </c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7">
        <v>3</v>
      </c>
      <c r="O8" s="205"/>
      <c r="P8" s="207"/>
      <c r="Q8" s="204"/>
      <c r="R8" s="204"/>
      <c r="S8" s="204"/>
      <c r="T8" s="204"/>
      <c r="U8" s="205"/>
      <c r="V8" s="204"/>
      <c r="W8" s="204"/>
      <c r="X8" s="207">
        <v>3</v>
      </c>
      <c r="Y8" s="204"/>
      <c r="Z8" s="204"/>
      <c r="AA8" s="204"/>
      <c r="AB8" s="204"/>
      <c r="AC8" s="207"/>
      <c r="AD8" s="204"/>
      <c r="AE8" s="204"/>
      <c r="AF8" s="204"/>
      <c r="AG8" s="204"/>
      <c r="AH8" s="198">
        <v>3</v>
      </c>
      <c r="AI8" s="256"/>
      <c r="AJ8" s="257"/>
      <c r="AK8" s="257"/>
      <c r="AL8" s="257"/>
      <c r="AM8" s="257"/>
      <c r="AN8" s="257"/>
      <c r="AO8" s="257"/>
      <c r="AP8" s="258"/>
      <c r="AQ8" s="234"/>
      <c r="AR8" s="234"/>
      <c r="AS8" s="112"/>
    </row>
    <row r="9" spans="1:51" ht="7.5" customHeight="1">
      <c r="A9" s="208"/>
      <c r="B9" s="198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7"/>
      <c r="O9" s="206"/>
      <c r="P9" s="207"/>
      <c r="Q9" s="204"/>
      <c r="R9" s="204"/>
      <c r="S9" s="204"/>
      <c r="T9" s="204"/>
      <c r="U9" s="206"/>
      <c r="V9" s="204"/>
      <c r="W9" s="204"/>
      <c r="X9" s="207"/>
      <c r="Y9" s="204"/>
      <c r="Z9" s="204"/>
      <c r="AA9" s="204"/>
      <c r="AB9" s="204"/>
      <c r="AC9" s="207"/>
      <c r="AD9" s="204"/>
      <c r="AE9" s="204"/>
      <c r="AF9" s="204"/>
      <c r="AG9" s="204"/>
      <c r="AH9" s="198"/>
      <c r="AI9" s="256"/>
      <c r="AJ9" s="257"/>
      <c r="AK9" s="257"/>
      <c r="AL9" s="257"/>
      <c r="AM9" s="257"/>
      <c r="AN9" s="257"/>
      <c r="AO9" s="257"/>
      <c r="AP9" s="258"/>
      <c r="AQ9" s="234"/>
      <c r="AR9" s="234"/>
      <c r="AS9" s="112"/>
    </row>
    <row r="10" spans="1:51" ht="7.5" customHeight="1">
      <c r="A10" s="209" t="str">
        <f>'ef-FT'!E7</f>
        <v>New England</v>
      </c>
      <c r="B10" s="199">
        <v>4</v>
      </c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3">
        <v>4</v>
      </c>
      <c r="O10" s="201"/>
      <c r="P10" s="203"/>
      <c r="Q10" s="200"/>
      <c r="R10" s="200"/>
      <c r="S10" s="200"/>
      <c r="T10" s="200"/>
      <c r="U10" s="201"/>
      <c r="V10" s="200"/>
      <c r="W10" s="200"/>
      <c r="X10" s="203">
        <v>4</v>
      </c>
      <c r="Y10" s="200"/>
      <c r="Z10" s="200"/>
      <c r="AA10" s="200"/>
      <c r="AB10" s="200"/>
      <c r="AC10" s="203"/>
      <c r="AD10" s="200"/>
      <c r="AE10" s="200"/>
      <c r="AF10" s="200"/>
      <c r="AG10" s="200"/>
      <c r="AH10" s="199">
        <v>4</v>
      </c>
      <c r="AI10" s="256"/>
      <c r="AJ10" s="257"/>
      <c r="AK10" s="257"/>
      <c r="AL10" s="257"/>
      <c r="AM10" s="257"/>
      <c r="AN10" s="257"/>
      <c r="AO10" s="257"/>
      <c r="AP10" s="258"/>
      <c r="AQ10" s="234"/>
      <c r="AR10" s="234"/>
      <c r="AS10" s="112"/>
    </row>
    <row r="11" spans="1:51" ht="7.5" customHeight="1">
      <c r="A11" s="209"/>
      <c r="B11" s="199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3"/>
      <c r="O11" s="202"/>
      <c r="P11" s="203"/>
      <c r="Q11" s="200"/>
      <c r="R11" s="200"/>
      <c r="S11" s="200"/>
      <c r="T11" s="200"/>
      <c r="U11" s="202"/>
      <c r="V11" s="200"/>
      <c r="W11" s="200"/>
      <c r="X11" s="203"/>
      <c r="Y11" s="200"/>
      <c r="Z11" s="200"/>
      <c r="AA11" s="200"/>
      <c r="AB11" s="200"/>
      <c r="AC11" s="203"/>
      <c r="AD11" s="200"/>
      <c r="AE11" s="200"/>
      <c r="AF11" s="200"/>
      <c r="AG11" s="200"/>
      <c r="AH11" s="199"/>
      <c r="AI11" s="256"/>
      <c r="AJ11" s="257"/>
      <c r="AK11" s="257"/>
      <c r="AL11" s="257"/>
      <c r="AM11" s="257"/>
      <c r="AN11" s="257"/>
      <c r="AO11" s="257"/>
      <c r="AP11" s="258"/>
      <c r="AQ11" s="234"/>
      <c r="AR11" s="234"/>
      <c r="AS11" s="112"/>
    </row>
    <row r="12" spans="1:51" ht="7.5" customHeight="1">
      <c r="A12" s="208" t="str">
        <f>'ef-FT'!E8</f>
        <v>Chicago</v>
      </c>
      <c r="B12" s="198">
        <v>5</v>
      </c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7">
        <v>5</v>
      </c>
      <c r="O12" s="205"/>
      <c r="P12" s="207"/>
      <c r="Q12" s="204"/>
      <c r="R12" s="204"/>
      <c r="S12" s="204"/>
      <c r="T12" s="204"/>
      <c r="U12" s="205"/>
      <c r="V12" s="204"/>
      <c r="W12" s="204"/>
      <c r="X12" s="207">
        <v>5</v>
      </c>
      <c r="Y12" s="204"/>
      <c r="Z12" s="204"/>
      <c r="AA12" s="204"/>
      <c r="AB12" s="204"/>
      <c r="AC12" s="207"/>
      <c r="AD12" s="204"/>
      <c r="AE12" s="204"/>
      <c r="AF12" s="204"/>
      <c r="AG12" s="204"/>
      <c r="AH12" s="198">
        <v>5</v>
      </c>
      <c r="AI12" s="256"/>
      <c r="AJ12" s="257"/>
      <c r="AK12" s="257"/>
      <c r="AL12" s="257"/>
      <c r="AM12" s="257"/>
      <c r="AN12" s="257"/>
      <c r="AO12" s="257"/>
      <c r="AP12" s="258"/>
      <c r="AQ12" s="234"/>
      <c r="AR12" s="234"/>
      <c r="AS12" s="112"/>
    </row>
    <row r="13" spans="1:51" ht="7.5" customHeight="1">
      <c r="A13" s="208"/>
      <c r="B13" s="198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7"/>
      <c r="O13" s="206"/>
      <c r="P13" s="207"/>
      <c r="Q13" s="204"/>
      <c r="R13" s="204"/>
      <c r="S13" s="204"/>
      <c r="T13" s="204"/>
      <c r="U13" s="206"/>
      <c r="V13" s="204"/>
      <c r="W13" s="204"/>
      <c r="X13" s="207"/>
      <c r="Y13" s="204"/>
      <c r="Z13" s="204"/>
      <c r="AA13" s="204"/>
      <c r="AB13" s="204"/>
      <c r="AC13" s="207"/>
      <c r="AD13" s="204"/>
      <c r="AE13" s="204"/>
      <c r="AF13" s="204"/>
      <c r="AG13" s="204"/>
      <c r="AH13" s="198"/>
      <c r="AI13" s="256"/>
      <c r="AJ13" s="257"/>
      <c r="AK13" s="257"/>
      <c r="AL13" s="257"/>
      <c r="AM13" s="257"/>
      <c r="AN13" s="257"/>
      <c r="AO13" s="257"/>
      <c r="AP13" s="258"/>
      <c r="AQ13" s="234"/>
      <c r="AR13" s="234"/>
      <c r="AS13" s="112"/>
    </row>
    <row r="14" spans="1:51" ht="7.5" customHeight="1">
      <c r="A14" s="209" t="str">
        <f>'ef-FT'!E9</f>
        <v>Kansas City</v>
      </c>
      <c r="B14" s="199">
        <v>6</v>
      </c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3">
        <v>6</v>
      </c>
      <c r="O14" s="201"/>
      <c r="P14" s="203"/>
      <c r="Q14" s="200"/>
      <c r="R14" s="200"/>
      <c r="S14" s="200"/>
      <c r="T14" s="200"/>
      <c r="U14" s="201"/>
      <c r="V14" s="200"/>
      <c r="W14" s="200"/>
      <c r="X14" s="203">
        <v>6</v>
      </c>
      <c r="Y14" s="200"/>
      <c r="Z14" s="200"/>
      <c r="AA14" s="200"/>
      <c r="AB14" s="200"/>
      <c r="AC14" s="203"/>
      <c r="AD14" s="200"/>
      <c r="AE14" s="200"/>
      <c r="AF14" s="200"/>
      <c r="AG14" s="200"/>
      <c r="AH14" s="199">
        <v>6</v>
      </c>
      <c r="AI14" s="256"/>
      <c r="AJ14" s="257"/>
      <c r="AK14" s="257"/>
      <c r="AL14" s="257"/>
      <c r="AM14" s="257"/>
      <c r="AN14" s="257"/>
      <c r="AO14" s="257"/>
      <c r="AP14" s="258"/>
      <c r="AQ14" s="234"/>
      <c r="AR14" s="234"/>
      <c r="AS14" s="112"/>
    </row>
    <row r="15" spans="1:51" ht="7.5" customHeight="1">
      <c r="A15" s="209"/>
      <c r="B15" s="199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3"/>
      <c r="O15" s="202"/>
      <c r="P15" s="203"/>
      <c r="Q15" s="200"/>
      <c r="R15" s="200"/>
      <c r="S15" s="200"/>
      <c r="T15" s="200"/>
      <c r="U15" s="202"/>
      <c r="V15" s="200"/>
      <c r="W15" s="200"/>
      <c r="X15" s="203"/>
      <c r="Y15" s="200"/>
      <c r="Z15" s="200"/>
      <c r="AA15" s="200"/>
      <c r="AB15" s="200"/>
      <c r="AC15" s="203"/>
      <c r="AD15" s="200"/>
      <c r="AE15" s="200"/>
      <c r="AF15" s="200"/>
      <c r="AG15" s="200"/>
      <c r="AH15" s="199"/>
      <c r="AI15" s="256"/>
      <c r="AJ15" s="257"/>
      <c r="AK15" s="257"/>
      <c r="AL15" s="257"/>
      <c r="AM15" s="257"/>
      <c r="AN15" s="257"/>
      <c r="AO15" s="257"/>
      <c r="AP15" s="258"/>
      <c r="AQ15" s="234"/>
      <c r="AR15" s="234"/>
      <c r="AS15" s="112"/>
    </row>
    <row r="16" spans="1:51" ht="7.5" customHeight="1">
      <c r="A16" s="208" t="str">
        <f>'ef-FT'!E10</f>
        <v>Philadelphia Union</v>
      </c>
      <c r="B16" s="198">
        <v>7</v>
      </c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7">
        <v>7</v>
      </c>
      <c r="O16" s="205"/>
      <c r="P16" s="207"/>
      <c r="Q16" s="204"/>
      <c r="R16" s="204"/>
      <c r="S16" s="204"/>
      <c r="T16" s="204"/>
      <c r="U16" s="205"/>
      <c r="V16" s="204"/>
      <c r="W16" s="204"/>
      <c r="X16" s="207">
        <v>7</v>
      </c>
      <c r="Y16" s="204"/>
      <c r="Z16" s="204"/>
      <c r="AA16" s="204"/>
      <c r="AB16" s="204"/>
      <c r="AC16" s="207"/>
      <c r="AD16" s="204"/>
      <c r="AE16" s="204"/>
      <c r="AF16" s="204"/>
      <c r="AG16" s="204"/>
      <c r="AH16" s="198">
        <v>7</v>
      </c>
      <c r="AI16" s="256"/>
      <c r="AJ16" s="257"/>
      <c r="AK16" s="257"/>
      <c r="AL16" s="257"/>
      <c r="AM16" s="257"/>
      <c r="AN16" s="257"/>
      <c r="AO16" s="257"/>
      <c r="AP16" s="258"/>
      <c r="AQ16" s="234"/>
      <c r="AR16" s="234"/>
      <c r="AS16" s="112"/>
    </row>
    <row r="17" spans="1:47" ht="7.5" customHeight="1">
      <c r="A17" s="208"/>
      <c r="B17" s="198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7"/>
      <c r="O17" s="206"/>
      <c r="P17" s="207"/>
      <c r="Q17" s="204"/>
      <c r="R17" s="204"/>
      <c r="S17" s="204"/>
      <c r="T17" s="204"/>
      <c r="U17" s="206"/>
      <c r="V17" s="204"/>
      <c r="W17" s="204"/>
      <c r="X17" s="207"/>
      <c r="Y17" s="204"/>
      <c r="Z17" s="204"/>
      <c r="AA17" s="204"/>
      <c r="AB17" s="204"/>
      <c r="AC17" s="207"/>
      <c r="AD17" s="204"/>
      <c r="AE17" s="204"/>
      <c r="AF17" s="204"/>
      <c r="AG17" s="204"/>
      <c r="AH17" s="198"/>
      <c r="AI17" s="256"/>
      <c r="AJ17" s="257"/>
      <c r="AK17" s="257"/>
      <c r="AL17" s="257"/>
      <c r="AM17" s="257"/>
      <c r="AN17" s="257"/>
      <c r="AO17" s="257"/>
      <c r="AP17" s="258"/>
      <c r="AQ17" s="234"/>
      <c r="AR17" s="234"/>
      <c r="AS17" s="112"/>
    </row>
    <row r="18" spans="1:47" ht="7.5" customHeight="1">
      <c r="A18" s="209" t="str">
        <f>'ef-FT'!E11</f>
        <v>DC United</v>
      </c>
      <c r="B18" s="199">
        <v>8</v>
      </c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3">
        <v>8</v>
      </c>
      <c r="O18" s="201"/>
      <c r="P18" s="203"/>
      <c r="Q18" s="200"/>
      <c r="R18" s="200"/>
      <c r="S18" s="200"/>
      <c r="T18" s="200"/>
      <c r="U18" s="201"/>
      <c r="V18" s="200"/>
      <c r="W18" s="200"/>
      <c r="X18" s="203">
        <v>8</v>
      </c>
      <c r="Y18" s="200"/>
      <c r="Z18" s="200"/>
      <c r="AA18" s="200"/>
      <c r="AB18" s="200"/>
      <c r="AC18" s="203"/>
      <c r="AD18" s="200"/>
      <c r="AE18" s="200"/>
      <c r="AF18" s="200"/>
      <c r="AG18" s="200"/>
      <c r="AH18" s="199">
        <v>8</v>
      </c>
      <c r="AI18" s="256"/>
      <c r="AJ18" s="257"/>
      <c r="AK18" s="257"/>
      <c r="AL18" s="257"/>
      <c r="AM18" s="257"/>
      <c r="AN18" s="257"/>
      <c r="AO18" s="257"/>
      <c r="AP18" s="258"/>
      <c r="AQ18" s="234"/>
      <c r="AR18" s="234"/>
      <c r="AS18" s="112"/>
    </row>
    <row r="19" spans="1:47" ht="7.5" customHeight="1">
      <c r="A19" s="209"/>
      <c r="B19" s="199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3"/>
      <c r="O19" s="202"/>
      <c r="P19" s="203"/>
      <c r="Q19" s="200"/>
      <c r="R19" s="200"/>
      <c r="S19" s="200"/>
      <c r="T19" s="200"/>
      <c r="U19" s="202"/>
      <c r="V19" s="200"/>
      <c r="W19" s="200"/>
      <c r="X19" s="203"/>
      <c r="Y19" s="200"/>
      <c r="Z19" s="200"/>
      <c r="AA19" s="200"/>
      <c r="AB19" s="200"/>
      <c r="AC19" s="203"/>
      <c r="AD19" s="200"/>
      <c r="AE19" s="200"/>
      <c r="AF19" s="200"/>
      <c r="AG19" s="200"/>
      <c r="AH19" s="199"/>
      <c r="AI19" s="256"/>
      <c r="AJ19" s="257"/>
      <c r="AK19" s="257"/>
      <c r="AL19" s="257"/>
      <c r="AM19" s="257"/>
      <c r="AN19" s="257"/>
      <c r="AO19" s="257"/>
      <c r="AP19" s="258"/>
      <c r="AQ19" s="234"/>
      <c r="AR19" s="234"/>
      <c r="AS19" s="112"/>
    </row>
    <row r="20" spans="1:47" ht="7.5" customHeight="1">
      <c r="A20" s="260"/>
      <c r="B20" s="261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51"/>
      <c r="P20" s="263"/>
      <c r="Q20" s="262"/>
      <c r="R20" s="262"/>
      <c r="S20" s="262"/>
      <c r="T20" s="262"/>
      <c r="U20" s="251"/>
      <c r="V20" s="262"/>
      <c r="W20" s="262"/>
      <c r="X20" s="262"/>
      <c r="Y20" s="262"/>
      <c r="Z20" s="262"/>
      <c r="AA20" s="262"/>
      <c r="AB20" s="262"/>
      <c r="AC20" s="263"/>
      <c r="AD20" s="262"/>
      <c r="AE20" s="262"/>
      <c r="AF20" s="262"/>
      <c r="AG20" s="262"/>
      <c r="AH20" s="262"/>
      <c r="AI20" s="259"/>
      <c r="AJ20" s="259"/>
      <c r="AK20" s="259"/>
      <c r="AL20" s="259"/>
      <c r="AM20" s="259"/>
      <c r="AN20" s="259"/>
      <c r="AO20" s="259"/>
      <c r="AP20" s="254"/>
      <c r="AQ20" s="234"/>
      <c r="AR20" s="234"/>
      <c r="AS20" s="112"/>
      <c r="AT20" s="21"/>
    </row>
    <row r="21" spans="1:47" ht="7.5" customHeight="1">
      <c r="A21" s="264"/>
      <c r="B21" s="252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65"/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65"/>
      <c r="AD21" s="251"/>
      <c r="AE21" s="251"/>
      <c r="AF21" s="251"/>
      <c r="AG21" s="251"/>
      <c r="AH21" s="251"/>
      <c r="AI21" s="259"/>
      <c r="AJ21" s="259"/>
      <c r="AK21" s="259"/>
      <c r="AL21" s="259"/>
      <c r="AM21" s="259"/>
      <c r="AN21" s="259"/>
      <c r="AO21" s="259"/>
      <c r="AP21" s="254"/>
      <c r="AQ21" s="234"/>
      <c r="AR21" s="234"/>
      <c r="AS21" s="112"/>
      <c r="AT21" s="21"/>
    </row>
    <row r="22" spans="1:47">
      <c r="A22" s="246"/>
      <c r="B22" s="266" t="s">
        <v>211</v>
      </c>
      <c r="C22" s="266"/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6"/>
      <c r="S22" s="266"/>
      <c r="T22" s="266"/>
      <c r="U22" s="266"/>
      <c r="V22" s="266"/>
      <c r="W22" s="266"/>
      <c r="X22" s="266"/>
      <c r="Y22" s="266"/>
      <c r="Z22" s="266"/>
      <c r="AA22" s="266"/>
      <c r="AB22" s="266"/>
      <c r="AC22" s="266"/>
      <c r="AD22" s="266"/>
      <c r="AE22" s="266"/>
      <c r="AF22" s="266"/>
      <c r="AG22" s="266"/>
      <c r="AH22" s="266"/>
      <c r="AI22" s="269"/>
      <c r="AJ22" s="270"/>
      <c r="AK22" s="270"/>
      <c r="AL22" s="270"/>
      <c r="AM22" s="270"/>
      <c r="AN22" s="270"/>
      <c r="AO22" s="270"/>
      <c r="AP22" s="270"/>
      <c r="AQ22" s="2"/>
      <c r="AR22" s="2"/>
    </row>
    <row r="23" spans="1:47">
      <c r="A23" s="247"/>
      <c r="B23" s="114" t="s">
        <v>140</v>
      </c>
      <c r="C23" s="114" t="s">
        <v>140</v>
      </c>
      <c r="D23" s="113">
        <v>1</v>
      </c>
      <c r="E23" s="113">
        <v>2</v>
      </c>
      <c r="F23" s="113">
        <v>3</v>
      </c>
      <c r="G23" s="113">
        <v>4</v>
      </c>
      <c r="H23" s="113">
        <v>5</v>
      </c>
      <c r="I23" s="113">
        <v>6</v>
      </c>
      <c r="J23" s="113">
        <v>7</v>
      </c>
      <c r="K23" s="113">
        <v>8</v>
      </c>
      <c r="L23" s="113">
        <v>9</v>
      </c>
      <c r="M23" s="113">
        <v>10</v>
      </c>
      <c r="N23" s="113">
        <v>11</v>
      </c>
      <c r="O23" s="113">
        <v>12</v>
      </c>
      <c r="P23" s="113">
        <v>13</v>
      </c>
      <c r="Q23" s="113">
        <v>14</v>
      </c>
      <c r="R23" s="113">
        <v>15</v>
      </c>
      <c r="S23" s="113">
        <v>16</v>
      </c>
      <c r="T23" s="113">
        <v>17</v>
      </c>
      <c r="U23" s="113">
        <v>18</v>
      </c>
      <c r="V23" s="113">
        <v>19</v>
      </c>
      <c r="W23" s="113">
        <v>20</v>
      </c>
      <c r="X23" s="113">
        <v>21</v>
      </c>
      <c r="Y23" s="113">
        <v>22</v>
      </c>
      <c r="Z23" s="113">
        <v>23</v>
      </c>
      <c r="AA23" s="113">
        <v>24</v>
      </c>
      <c r="AB23" s="113">
        <v>25</v>
      </c>
      <c r="AC23" s="113">
        <v>26</v>
      </c>
      <c r="AD23" s="113">
        <v>27</v>
      </c>
      <c r="AE23" s="113">
        <v>28</v>
      </c>
      <c r="AF23" s="113">
        <v>29</v>
      </c>
      <c r="AG23" s="113">
        <v>30</v>
      </c>
      <c r="AH23" s="113"/>
      <c r="AI23" s="253"/>
      <c r="AJ23" s="254"/>
      <c r="AK23" s="254"/>
      <c r="AL23" s="254"/>
      <c r="AM23" s="254"/>
      <c r="AN23" s="254"/>
      <c r="AO23" s="254"/>
      <c r="AP23" s="255"/>
      <c r="AQ23" s="234"/>
      <c r="AR23" s="234"/>
      <c r="AS23" s="112"/>
      <c r="AT23" s="112"/>
      <c r="AU23" s="112"/>
    </row>
    <row r="24" spans="1:47" ht="7.5" customHeight="1">
      <c r="A24" s="211" t="str">
        <f>'ef-FT'!E12</f>
        <v>Los Angeles</v>
      </c>
      <c r="B24" s="198">
        <v>1</v>
      </c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7">
        <v>1</v>
      </c>
      <c r="O24" s="205"/>
      <c r="P24" s="207"/>
      <c r="Q24" s="204"/>
      <c r="R24" s="204"/>
      <c r="S24" s="204"/>
      <c r="T24" s="204"/>
      <c r="U24" s="205"/>
      <c r="V24" s="204"/>
      <c r="W24" s="204"/>
      <c r="X24" s="207">
        <v>1</v>
      </c>
      <c r="Y24" s="204"/>
      <c r="Z24" s="204"/>
      <c r="AA24" s="204"/>
      <c r="AB24" s="204"/>
      <c r="AC24" s="207"/>
      <c r="AD24" s="204"/>
      <c r="AE24" s="204"/>
      <c r="AF24" s="204"/>
      <c r="AG24" s="204"/>
      <c r="AH24" s="198">
        <v>1</v>
      </c>
      <c r="AI24" s="256"/>
      <c r="AJ24" s="257"/>
      <c r="AK24" s="257"/>
      <c r="AL24" s="257"/>
      <c r="AM24" s="257"/>
      <c r="AN24" s="257"/>
      <c r="AO24" s="257"/>
      <c r="AP24" s="258"/>
      <c r="AQ24" s="234"/>
      <c r="AR24" s="234"/>
      <c r="AS24" s="112"/>
      <c r="AT24" s="112"/>
      <c r="AU24" s="112"/>
    </row>
    <row r="25" spans="1:47" ht="7.5" customHeight="1">
      <c r="A25" s="208"/>
      <c r="B25" s="198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7"/>
      <c r="O25" s="206"/>
      <c r="P25" s="207"/>
      <c r="Q25" s="204"/>
      <c r="R25" s="204"/>
      <c r="S25" s="204"/>
      <c r="T25" s="204"/>
      <c r="U25" s="206"/>
      <c r="V25" s="204"/>
      <c r="W25" s="204"/>
      <c r="X25" s="207"/>
      <c r="Y25" s="204"/>
      <c r="Z25" s="204"/>
      <c r="AA25" s="204"/>
      <c r="AB25" s="204"/>
      <c r="AC25" s="207"/>
      <c r="AD25" s="204"/>
      <c r="AE25" s="204"/>
      <c r="AF25" s="204"/>
      <c r="AG25" s="204"/>
      <c r="AH25" s="198"/>
      <c r="AI25" s="256"/>
      <c r="AJ25" s="257"/>
      <c r="AK25" s="257"/>
      <c r="AL25" s="257"/>
      <c r="AM25" s="257"/>
      <c r="AN25" s="257"/>
      <c r="AO25" s="257"/>
      <c r="AP25" s="258"/>
      <c r="AQ25" s="234"/>
      <c r="AR25" s="234"/>
      <c r="AS25" s="112"/>
      <c r="AT25" s="112"/>
      <c r="AU25" s="112"/>
    </row>
    <row r="26" spans="1:47" ht="7.5" customHeight="1">
      <c r="A26" s="209" t="str">
        <f>'ef-FT'!E13</f>
        <v>Real Salt Lake</v>
      </c>
      <c r="B26" s="199">
        <v>2</v>
      </c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3">
        <v>2</v>
      </c>
      <c r="O26" s="201"/>
      <c r="P26" s="203"/>
      <c r="Q26" s="200"/>
      <c r="R26" s="200"/>
      <c r="S26" s="200"/>
      <c r="T26" s="200"/>
      <c r="U26" s="201"/>
      <c r="V26" s="200"/>
      <c r="W26" s="200"/>
      <c r="X26" s="203">
        <v>2</v>
      </c>
      <c r="Y26" s="200"/>
      <c r="Z26" s="200"/>
      <c r="AA26" s="200"/>
      <c r="AB26" s="200"/>
      <c r="AC26" s="203"/>
      <c r="AD26" s="200"/>
      <c r="AE26" s="200"/>
      <c r="AF26" s="200"/>
      <c r="AG26" s="200"/>
      <c r="AH26" s="199">
        <v>2</v>
      </c>
      <c r="AI26" s="256"/>
      <c r="AJ26" s="257"/>
      <c r="AK26" s="257"/>
      <c r="AL26" s="257"/>
      <c r="AM26" s="257"/>
      <c r="AN26" s="257"/>
      <c r="AO26" s="257"/>
      <c r="AP26" s="258"/>
      <c r="AQ26" s="234"/>
      <c r="AR26" s="234"/>
      <c r="AS26" s="112"/>
      <c r="AT26" s="112"/>
      <c r="AU26" s="112"/>
    </row>
    <row r="27" spans="1:47" ht="7.5" customHeight="1">
      <c r="A27" s="209"/>
      <c r="B27" s="199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3"/>
      <c r="O27" s="202"/>
      <c r="P27" s="203"/>
      <c r="Q27" s="200"/>
      <c r="R27" s="200"/>
      <c r="S27" s="200"/>
      <c r="T27" s="200"/>
      <c r="U27" s="202"/>
      <c r="V27" s="200"/>
      <c r="W27" s="200"/>
      <c r="X27" s="203"/>
      <c r="Y27" s="200"/>
      <c r="Z27" s="200"/>
      <c r="AA27" s="200"/>
      <c r="AB27" s="200"/>
      <c r="AC27" s="203"/>
      <c r="AD27" s="200"/>
      <c r="AE27" s="200"/>
      <c r="AF27" s="200"/>
      <c r="AG27" s="200"/>
      <c r="AH27" s="199"/>
      <c r="AI27" s="256"/>
      <c r="AJ27" s="257"/>
      <c r="AK27" s="257"/>
      <c r="AL27" s="257"/>
      <c r="AM27" s="257"/>
      <c r="AN27" s="257"/>
      <c r="AO27" s="257"/>
      <c r="AP27" s="258"/>
      <c r="AQ27" s="234"/>
      <c r="AR27" s="234"/>
      <c r="AS27" s="112"/>
      <c r="AT27" s="112"/>
      <c r="AU27" s="112"/>
    </row>
    <row r="28" spans="1:47" ht="7.5" customHeight="1">
      <c r="A28" s="208" t="str">
        <f>'ef-FT'!E14</f>
        <v>Dallas</v>
      </c>
      <c r="B28" s="198">
        <v>3</v>
      </c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7">
        <v>3</v>
      </c>
      <c r="O28" s="205"/>
      <c r="P28" s="207"/>
      <c r="Q28" s="204"/>
      <c r="R28" s="204"/>
      <c r="S28" s="204"/>
      <c r="T28" s="204"/>
      <c r="U28" s="205"/>
      <c r="V28" s="204"/>
      <c r="W28" s="204"/>
      <c r="X28" s="207">
        <v>3</v>
      </c>
      <c r="Y28" s="204"/>
      <c r="Z28" s="204"/>
      <c r="AA28" s="204"/>
      <c r="AB28" s="204"/>
      <c r="AC28" s="207"/>
      <c r="AD28" s="204"/>
      <c r="AE28" s="204"/>
      <c r="AF28" s="204"/>
      <c r="AG28" s="204"/>
      <c r="AH28" s="198">
        <v>3</v>
      </c>
      <c r="AI28" s="256"/>
      <c r="AJ28" s="257"/>
      <c r="AK28" s="257"/>
      <c r="AL28" s="257"/>
      <c r="AM28" s="257"/>
      <c r="AN28" s="257"/>
      <c r="AO28" s="257"/>
      <c r="AP28" s="258"/>
      <c r="AQ28" s="234"/>
      <c r="AR28" s="234"/>
      <c r="AS28" s="112"/>
      <c r="AT28" s="112"/>
      <c r="AU28" s="112"/>
    </row>
    <row r="29" spans="1:47" ht="7.5" customHeight="1">
      <c r="A29" s="208"/>
      <c r="B29" s="198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7"/>
      <c r="O29" s="206"/>
      <c r="P29" s="207"/>
      <c r="Q29" s="204"/>
      <c r="R29" s="204"/>
      <c r="S29" s="204"/>
      <c r="T29" s="204"/>
      <c r="U29" s="206"/>
      <c r="V29" s="204"/>
      <c r="W29" s="204"/>
      <c r="X29" s="207"/>
      <c r="Y29" s="204"/>
      <c r="Z29" s="204"/>
      <c r="AA29" s="204"/>
      <c r="AB29" s="204"/>
      <c r="AC29" s="207"/>
      <c r="AD29" s="204"/>
      <c r="AE29" s="204"/>
      <c r="AF29" s="204"/>
      <c r="AG29" s="204"/>
      <c r="AH29" s="198"/>
      <c r="AI29" s="256"/>
      <c r="AJ29" s="257"/>
      <c r="AK29" s="257"/>
      <c r="AL29" s="257"/>
      <c r="AM29" s="257"/>
      <c r="AN29" s="257"/>
      <c r="AO29" s="257"/>
      <c r="AP29" s="258"/>
      <c r="AQ29" s="234"/>
      <c r="AR29" s="234"/>
      <c r="AS29" s="112"/>
      <c r="AT29" s="112"/>
      <c r="AU29" s="112"/>
    </row>
    <row r="30" spans="1:47" ht="7.5" customHeight="1">
      <c r="A30" s="209" t="str">
        <f>'ef-FT'!E15</f>
        <v>Seattle Sounders FC</v>
      </c>
      <c r="B30" s="199">
        <v>4</v>
      </c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3">
        <v>4</v>
      </c>
      <c r="O30" s="201"/>
      <c r="P30" s="203"/>
      <c r="Q30" s="200"/>
      <c r="R30" s="200"/>
      <c r="S30" s="200"/>
      <c r="T30" s="200"/>
      <c r="U30" s="201"/>
      <c r="V30" s="200"/>
      <c r="W30" s="200"/>
      <c r="X30" s="203">
        <v>4</v>
      </c>
      <c r="Y30" s="200"/>
      <c r="Z30" s="200"/>
      <c r="AA30" s="200"/>
      <c r="AB30" s="200"/>
      <c r="AC30" s="203"/>
      <c r="AD30" s="200"/>
      <c r="AE30" s="200"/>
      <c r="AF30" s="200"/>
      <c r="AG30" s="200"/>
      <c r="AH30" s="199">
        <v>4</v>
      </c>
      <c r="AI30" s="256"/>
      <c r="AJ30" s="257"/>
      <c r="AK30" s="257"/>
      <c r="AL30" s="257"/>
      <c r="AM30" s="257"/>
      <c r="AN30" s="257"/>
      <c r="AO30" s="257"/>
      <c r="AP30" s="258"/>
      <c r="AQ30" s="234"/>
      <c r="AR30" s="234"/>
      <c r="AS30" s="112"/>
      <c r="AT30" s="112"/>
      <c r="AU30" s="112"/>
    </row>
    <row r="31" spans="1:47" ht="7.5" customHeight="1">
      <c r="A31" s="209"/>
      <c r="B31" s="199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3"/>
      <c r="O31" s="202"/>
      <c r="P31" s="203"/>
      <c r="Q31" s="200"/>
      <c r="R31" s="200"/>
      <c r="S31" s="200"/>
      <c r="T31" s="200"/>
      <c r="U31" s="202"/>
      <c r="V31" s="200"/>
      <c r="W31" s="200"/>
      <c r="X31" s="203"/>
      <c r="Y31" s="200"/>
      <c r="Z31" s="200"/>
      <c r="AA31" s="200"/>
      <c r="AB31" s="200"/>
      <c r="AC31" s="203"/>
      <c r="AD31" s="200"/>
      <c r="AE31" s="200"/>
      <c r="AF31" s="200"/>
      <c r="AG31" s="200"/>
      <c r="AH31" s="199"/>
      <c r="AI31" s="256"/>
      <c r="AJ31" s="257"/>
      <c r="AK31" s="257"/>
      <c r="AL31" s="257"/>
      <c r="AM31" s="257"/>
      <c r="AN31" s="257"/>
      <c r="AO31" s="257"/>
      <c r="AP31" s="258"/>
      <c r="AQ31" s="234"/>
      <c r="AR31" s="234"/>
      <c r="AS31" s="112"/>
      <c r="AT31" s="112"/>
      <c r="AU31" s="112"/>
    </row>
    <row r="32" spans="1:47" ht="7.5" customHeight="1">
      <c r="A32" s="208" t="str">
        <f>'ef-FT'!E16</f>
        <v>Colorado</v>
      </c>
      <c r="B32" s="198">
        <v>5</v>
      </c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7">
        <v>5</v>
      </c>
      <c r="O32" s="205"/>
      <c r="P32" s="207"/>
      <c r="Q32" s="204"/>
      <c r="R32" s="204"/>
      <c r="S32" s="204"/>
      <c r="T32" s="204"/>
      <c r="U32" s="205"/>
      <c r="V32" s="204"/>
      <c r="W32" s="204"/>
      <c r="X32" s="207">
        <v>5</v>
      </c>
      <c r="Y32" s="204"/>
      <c r="Z32" s="204"/>
      <c r="AA32" s="204"/>
      <c r="AB32" s="204"/>
      <c r="AC32" s="207"/>
      <c r="AD32" s="204"/>
      <c r="AE32" s="204"/>
      <c r="AF32" s="204"/>
      <c r="AG32" s="204"/>
      <c r="AH32" s="198">
        <v>5</v>
      </c>
      <c r="AI32" s="256"/>
      <c r="AJ32" s="257"/>
      <c r="AK32" s="257"/>
      <c r="AL32" s="257"/>
      <c r="AM32" s="257"/>
      <c r="AN32" s="257"/>
      <c r="AO32" s="257"/>
      <c r="AP32" s="258"/>
      <c r="AQ32" s="234"/>
      <c r="AR32" s="234"/>
      <c r="AS32" s="112"/>
      <c r="AT32" s="112"/>
      <c r="AU32" s="112"/>
    </row>
    <row r="33" spans="1:48" ht="7.5" customHeight="1">
      <c r="A33" s="208"/>
      <c r="B33" s="198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7"/>
      <c r="O33" s="206"/>
      <c r="P33" s="207"/>
      <c r="Q33" s="204"/>
      <c r="R33" s="204"/>
      <c r="S33" s="204"/>
      <c r="T33" s="204"/>
      <c r="U33" s="206"/>
      <c r="V33" s="204"/>
      <c r="W33" s="204"/>
      <c r="X33" s="207"/>
      <c r="Y33" s="204"/>
      <c r="Z33" s="204"/>
      <c r="AA33" s="204"/>
      <c r="AB33" s="204"/>
      <c r="AC33" s="207"/>
      <c r="AD33" s="204"/>
      <c r="AE33" s="204"/>
      <c r="AF33" s="204"/>
      <c r="AG33" s="204"/>
      <c r="AH33" s="198"/>
      <c r="AI33" s="256"/>
      <c r="AJ33" s="257"/>
      <c r="AK33" s="257"/>
      <c r="AL33" s="257"/>
      <c r="AM33" s="257"/>
      <c r="AN33" s="257"/>
      <c r="AO33" s="257"/>
      <c r="AP33" s="258"/>
      <c r="AQ33" s="234"/>
      <c r="AR33" s="234"/>
      <c r="AS33" s="112"/>
      <c r="AT33" s="112"/>
      <c r="AU33" s="112"/>
    </row>
    <row r="34" spans="1:48" ht="7.5" customHeight="1">
      <c r="A34" s="209" t="str">
        <f>'ef-FT'!E17</f>
        <v>San Jose</v>
      </c>
      <c r="B34" s="199">
        <v>6</v>
      </c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3">
        <v>6</v>
      </c>
      <c r="O34" s="201"/>
      <c r="P34" s="203"/>
      <c r="Q34" s="200"/>
      <c r="R34" s="200"/>
      <c r="S34" s="200"/>
      <c r="T34" s="200"/>
      <c r="U34" s="201"/>
      <c r="V34" s="200"/>
      <c r="W34" s="200"/>
      <c r="X34" s="203">
        <v>6</v>
      </c>
      <c r="Y34" s="200"/>
      <c r="Z34" s="200"/>
      <c r="AA34" s="200"/>
      <c r="AB34" s="200"/>
      <c r="AC34" s="203"/>
      <c r="AD34" s="200"/>
      <c r="AE34" s="200"/>
      <c r="AF34" s="200"/>
      <c r="AG34" s="200"/>
      <c r="AH34" s="199">
        <v>6</v>
      </c>
      <c r="AI34" s="256"/>
      <c r="AJ34" s="257"/>
      <c r="AK34" s="257"/>
      <c r="AL34" s="257"/>
      <c r="AM34" s="257"/>
      <c r="AN34" s="257"/>
      <c r="AO34" s="257"/>
      <c r="AP34" s="258"/>
      <c r="AQ34" s="234"/>
      <c r="AR34" s="234"/>
      <c r="AS34" s="112"/>
      <c r="AT34" s="112"/>
      <c r="AU34" s="112"/>
    </row>
    <row r="35" spans="1:48" ht="7.5" customHeight="1">
      <c r="A35" s="209"/>
      <c r="B35" s="199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3"/>
      <c r="O35" s="202"/>
      <c r="P35" s="203"/>
      <c r="Q35" s="200"/>
      <c r="R35" s="200"/>
      <c r="S35" s="200"/>
      <c r="T35" s="200"/>
      <c r="U35" s="202"/>
      <c r="V35" s="200"/>
      <c r="W35" s="200"/>
      <c r="X35" s="203"/>
      <c r="Y35" s="200"/>
      <c r="Z35" s="200"/>
      <c r="AA35" s="200"/>
      <c r="AB35" s="200"/>
      <c r="AC35" s="203"/>
      <c r="AD35" s="200"/>
      <c r="AE35" s="200"/>
      <c r="AF35" s="200"/>
      <c r="AG35" s="200"/>
      <c r="AH35" s="199"/>
      <c r="AI35" s="256"/>
      <c r="AJ35" s="257"/>
      <c r="AK35" s="257"/>
      <c r="AL35" s="257"/>
      <c r="AM35" s="257"/>
      <c r="AN35" s="257"/>
      <c r="AO35" s="257"/>
      <c r="AP35" s="258"/>
      <c r="AQ35" s="234"/>
      <c r="AR35" s="234"/>
      <c r="AS35" s="112"/>
      <c r="AT35" s="112"/>
      <c r="AU35" s="112"/>
    </row>
    <row r="36" spans="1:48" ht="7.5" customHeight="1">
      <c r="A36" s="208" t="str">
        <f>'ef-FT'!E18</f>
        <v>Houston</v>
      </c>
      <c r="B36" s="198">
        <v>7</v>
      </c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7">
        <v>7</v>
      </c>
      <c r="O36" s="205"/>
      <c r="P36" s="207"/>
      <c r="Q36" s="204"/>
      <c r="R36" s="204"/>
      <c r="S36" s="204"/>
      <c r="T36" s="204"/>
      <c r="U36" s="205"/>
      <c r="V36" s="204"/>
      <c r="W36" s="204"/>
      <c r="X36" s="207">
        <v>7</v>
      </c>
      <c r="Y36" s="204"/>
      <c r="Z36" s="204"/>
      <c r="AA36" s="204"/>
      <c r="AB36" s="204"/>
      <c r="AC36" s="207"/>
      <c r="AD36" s="204"/>
      <c r="AE36" s="204"/>
      <c r="AF36" s="204"/>
      <c r="AG36" s="204"/>
      <c r="AH36" s="198">
        <v>7</v>
      </c>
      <c r="AI36" s="256"/>
      <c r="AJ36" s="257"/>
      <c r="AK36" s="257"/>
      <c r="AL36" s="257"/>
      <c r="AM36" s="257"/>
      <c r="AN36" s="257"/>
      <c r="AO36" s="257"/>
      <c r="AP36" s="258"/>
      <c r="AQ36" s="234"/>
      <c r="AR36" s="234"/>
      <c r="AS36" s="112"/>
      <c r="AT36" s="112"/>
      <c r="AU36" s="112"/>
    </row>
    <row r="37" spans="1:48" ht="7.5" customHeight="1">
      <c r="A37" s="208"/>
      <c r="B37" s="198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7"/>
      <c r="O37" s="206"/>
      <c r="P37" s="207"/>
      <c r="Q37" s="204"/>
      <c r="R37" s="204"/>
      <c r="S37" s="204"/>
      <c r="T37" s="204"/>
      <c r="U37" s="206"/>
      <c r="V37" s="204"/>
      <c r="W37" s="204"/>
      <c r="X37" s="207"/>
      <c r="Y37" s="204"/>
      <c r="Z37" s="204"/>
      <c r="AA37" s="204"/>
      <c r="AB37" s="204"/>
      <c r="AC37" s="207"/>
      <c r="AD37" s="204"/>
      <c r="AE37" s="204"/>
      <c r="AF37" s="204"/>
      <c r="AG37" s="204"/>
      <c r="AH37" s="198"/>
      <c r="AI37" s="256"/>
      <c r="AJ37" s="257"/>
      <c r="AK37" s="257"/>
      <c r="AL37" s="257"/>
      <c r="AM37" s="257"/>
      <c r="AN37" s="257"/>
      <c r="AO37" s="257"/>
      <c r="AP37" s="258"/>
      <c r="AQ37" s="234"/>
      <c r="AR37" s="234"/>
      <c r="AS37" s="112"/>
      <c r="AT37" s="112"/>
      <c r="AU37" s="112"/>
    </row>
    <row r="38" spans="1:48" ht="7.5" customHeight="1">
      <c r="A38" s="209" t="str">
        <f>'ef-FT'!E19</f>
        <v>Chivas USA</v>
      </c>
      <c r="B38" s="199">
        <v>8</v>
      </c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3">
        <v>8</v>
      </c>
      <c r="O38" s="201"/>
      <c r="P38" s="203"/>
      <c r="Q38" s="200"/>
      <c r="R38" s="200"/>
      <c r="S38" s="200"/>
      <c r="T38" s="200"/>
      <c r="U38" s="201"/>
      <c r="V38" s="200"/>
      <c r="W38" s="200"/>
      <c r="X38" s="203">
        <v>8</v>
      </c>
      <c r="Y38" s="200"/>
      <c r="Z38" s="200"/>
      <c r="AA38" s="200"/>
      <c r="AB38" s="200"/>
      <c r="AC38" s="203"/>
      <c r="AD38" s="200"/>
      <c r="AE38" s="200"/>
      <c r="AF38" s="200"/>
      <c r="AG38" s="200"/>
      <c r="AH38" s="199">
        <v>8</v>
      </c>
      <c r="AI38" s="256"/>
      <c r="AJ38" s="257"/>
      <c r="AK38" s="257"/>
      <c r="AL38" s="257"/>
      <c r="AM38" s="257"/>
      <c r="AN38" s="257"/>
      <c r="AO38" s="257"/>
      <c r="AP38" s="258"/>
      <c r="AQ38" s="234"/>
      <c r="AR38" s="234"/>
      <c r="AS38" s="112"/>
      <c r="AT38" s="112"/>
      <c r="AU38" s="112"/>
      <c r="AV38" s="21"/>
    </row>
    <row r="39" spans="1:48" ht="7.5" customHeight="1">
      <c r="A39" s="209"/>
      <c r="B39" s="199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3"/>
      <c r="O39" s="202"/>
      <c r="P39" s="203"/>
      <c r="Q39" s="200"/>
      <c r="R39" s="200"/>
      <c r="S39" s="200"/>
      <c r="T39" s="200"/>
      <c r="U39" s="202"/>
      <c r="V39" s="200"/>
      <c r="W39" s="200"/>
      <c r="X39" s="203"/>
      <c r="Y39" s="200"/>
      <c r="Z39" s="200"/>
      <c r="AA39" s="200"/>
      <c r="AB39" s="200"/>
      <c r="AC39" s="203"/>
      <c r="AD39" s="200"/>
      <c r="AE39" s="200"/>
      <c r="AF39" s="200"/>
      <c r="AG39" s="200"/>
      <c r="AH39" s="199"/>
      <c r="AI39" s="256"/>
      <c r="AJ39" s="257"/>
      <c r="AK39" s="257"/>
      <c r="AL39" s="257"/>
      <c r="AM39" s="257"/>
      <c r="AN39" s="257"/>
      <c r="AO39" s="257"/>
      <c r="AP39" s="258"/>
      <c r="AQ39" s="234"/>
      <c r="AR39" s="234"/>
      <c r="AS39" s="112"/>
      <c r="AT39" s="112"/>
      <c r="AU39" s="112"/>
      <c r="AV39" s="21"/>
    </row>
    <row r="40" spans="1:4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26"/>
      <c r="AJ40" s="226"/>
      <c r="AK40" s="226"/>
      <c r="AL40" s="226"/>
      <c r="AM40" s="226"/>
      <c r="AN40" s="226"/>
      <c r="AO40" s="226"/>
      <c r="AP40" s="226"/>
      <c r="AQ40" s="226"/>
      <c r="AR40" s="226"/>
      <c r="AS40" s="21"/>
      <c r="AT40" s="21"/>
      <c r="AU40" s="21"/>
      <c r="AV40" s="21"/>
    </row>
    <row r="41" spans="1:48" ht="15" customHeight="1">
      <c r="B41" s="195" t="s">
        <v>2</v>
      </c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95" t="s">
        <v>2</v>
      </c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</row>
    <row r="42" spans="1:48" ht="15" customHeight="1">
      <c r="B42" s="195"/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</row>
    <row r="43" spans="1:48">
      <c r="B43" s="197" t="s">
        <v>5</v>
      </c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AC43" s="197" t="s">
        <v>5</v>
      </c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</row>
  </sheetData>
  <sheetProtection password="EA2C" sheet="1" objects="1" scenarios="1"/>
  <mergeCells count="684">
    <mergeCell ref="A22:A23"/>
    <mergeCell ref="A2:A3"/>
    <mergeCell ref="B22:AH22"/>
    <mergeCell ref="B2:AH2"/>
    <mergeCell ref="B1:G1"/>
    <mergeCell ref="H1:R1"/>
    <mergeCell ref="T1:AD1"/>
    <mergeCell ref="AF1:AP1"/>
    <mergeCell ref="A32:A33"/>
    <mergeCell ref="A34:A35"/>
    <mergeCell ref="A36:A37"/>
    <mergeCell ref="A38:A39"/>
    <mergeCell ref="A16:A17"/>
    <mergeCell ref="A18:A19"/>
    <mergeCell ref="A24:A25"/>
    <mergeCell ref="A26:A27"/>
    <mergeCell ref="A28:A29"/>
    <mergeCell ref="A30:A31"/>
    <mergeCell ref="A4:A5"/>
    <mergeCell ref="A6:A7"/>
    <mergeCell ref="A8:A9"/>
    <mergeCell ref="A10:A11"/>
    <mergeCell ref="A12:A13"/>
    <mergeCell ref="A14:A15"/>
    <mergeCell ref="AL36:AL37"/>
    <mergeCell ref="AM36:AM37"/>
    <mergeCell ref="AN36:AN37"/>
    <mergeCell ref="AO36:AO37"/>
    <mergeCell ref="AL38:AL39"/>
    <mergeCell ref="AM38:AM39"/>
    <mergeCell ref="AN38:AN39"/>
    <mergeCell ref="AO38:AO39"/>
    <mergeCell ref="AL32:AL33"/>
    <mergeCell ref="AM32:AM33"/>
    <mergeCell ref="AN32:AN33"/>
    <mergeCell ref="AO32:AO33"/>
    <mergeCell ref="AL34:AL35"/>
    <mergeCell ref="AM34:AM35"/>
    <mergeCell ref="AN34:AN35"/>
    <mergeCell ref="AO34:AO35"/>
    <mergeCell ref="AL28:AL29"/>
    <mergeCell ref="AM28:AM29"/>
    <mergeCell ref="AN28:AN29"/>
    <mergeCell ref="AO28:AO29"/>
    <mergeCell ref="AL30:AL31"/>
    <mergeCell ref="AM30:AM31"/>
    <mergeCell ref="AN30:AN31"/>
    <mergeCell ref="AO30:AO31"/>
    <mergeCell ref="AL24:AL25"/>
    <mergeCell ref="AM24:AM25"/>
    <mergeCell ref="AN24:AN25"/>
    <mergeCell ref="AO24:AO25"/>
    <mergeCell ref="AL26:AL27"/>
    <mergeCell ref="AM26:AM27"/>
    <mergeCell ref="AN26:AN27"/>
    <mergeCell ref="AO26:AO27"/>
    <mergeCell ref="AL16:AL17"/>
    <mergeCell ref="AM16:AM17"/>
    <mergeCell ref="AN16:AN17"/>
    <mergeCell ref="AO16:AO17"/>
    <mergeCell ref="AL18:AL19"/>
    <mergeCell ref="AM18:AM19"/>
    <mergeCell ref="AN18:AN19"/>
    <mergeCell ref="AO18:AO19"/>
    <mergeCell ref="AN12:AN13"/>
    <mergeCell ref="AO12:AO13"/>
    <mergeCell ref="AL14:AL15"/>
    <mergeCell ref="AM14:AM15"/>
    <mergeCell ref="AN14:AN15"/>
    <mergeCell ref="AO14:AO15"/>
    <mergeCell ref="AN8:AN9"/>
    <mergeCell ref="AO8:AO9"/>
    <mergeCell ref="AL10:AL11"/>
    <mergeCell ref="AM10:AM11"/>
    <mergeCell ref="AN10:AN11"/>
    <mergeCell ref="AO10:AO11"/>
    <mergeCell ref="AN4:AN5"/>
    <mergeCell ref="AO4:AO5"/>
    <mergeCell ref="AL6:AL7"/>
    <mergeCell ref="AM6:AM7"/>
    <mergeCell ref="AN6:AN7"/>
    <mergeCell ref="AO6:AO7"/>
    <mergeCell ref="AL4:AL5"/>
    <mergeCell ref="AM4:AM5"/>
    <mergeCell ref="AL8:AL9"/>
    <mergeCell ref="AM8:AM9"/>
    <mergeCell ref="AL12:AL13"/>
    <mergeCell ref="AM12:AM13"/>
    <mergeCell ref="AH36:AH37"/>
    <mergeCell ref="AI36:AI37"/>
    <mergeCell ref="AJ36:AJ37"/>
    <mergeCell ref="AK36:AK37"/>
    <mergeCell ref="AH38:AH39"/>
    <mergeCell ref="AI38:AI39"/>
    <mergeCell ref="AJ38:AJ39"/>
    <mergeCell ref="AK38:AK39"/>
    <mergeCell ref="AH32:AH33"/>
    <mergeCell ref="AI32:AI33"/>
    <mergeCell ref="AJ32:AJ33"/>
    <mergeCell ref="AK32:AK33"/>
    <mergeCell ref="AH34:AH35"/>
    <mergeCell ref="AI34:AI35"/>
    <mergeCell ref="AJ34:AJ35"/>
    <mergeCell ref="AK34:AK35"/>
    <mergeCell ref="AH28:AH29"/>
    <mergeCell ref="AI28:AI29"/>
    <mergeCell ref="AJ28:AJ29"/>
    <mergeCell ref="AK28:AK29"/>
    <mergeCell ref="AH30:AH31"/>
    <mergeCell ref="AI30:AI31"/>
    <mergeCell ref="AJ30:AJ31"/>
    <mergeCell ref="AK30:AK31"/>
    <mergeCell ref="AH24:AH25"/>
    <mergeCell ref="AI24:AI25"/>
    <mergeCell ref="AJ24:AJ25"/>
    <mergeCell ref="AK24:AK25"/>
    <mergeCell ref="AH26:AH27"/>
    <mergeCell ref="AI26:AI27"/>
    <mergeCell ref="AJ26:AJ27"/>
    <mergeCell ref="AK26:AK27"/>
    <mergeCell ref="AH16:AH17"/>
    <mergeCell ref="AI16:AI17"/>
    <mergeCell ref="AJ16:AJ17"/>
    <mergeCell ref="AK16:AK17"/>
    <mergeCell ref="AH18:AH19"/>
    <mergeCell ref="AI18:AI19"/>
    <mergeCell ref="AJ18:AJ19"/>
    <mergeCell ref="AK18:AK19"/>
    <mergeCell ref="AJ12:AJ13"/>
    <mergeCell ref="AK12:AK13"/>
    <mergeCell ref="AH14:AH15"/>
    <mergeCell ref="AI14:AI15"/>
    <mergeCell ref="AJ14:AJ15"/>
    <mergeCell ref="AK14:AK15"/>
    <mergeCell ref="AJ8:AJ9"/>
    <mergeCell ref="AK8:AK9"/>
    <mergeCell ref="AH10:AH11"/>
    <mergeCell ref="AI10:AI11"/>
    <mergeCell ref="AJ10:AJ11"/>
    <mergeCell ref="AK10:AK11"/>
    <mergeCell ref="AJ4:AJ5"/>
    <mergeCell ref="AK4:AK5"/>
    <mergeCell ref="AH6:AH7"/>
    <mergeCell ref="AI6:AI7"/>
    <mergeCell ref="AJ6:AJ7"/>
    <mergeCell ref="AK6:AK7"/>
    <mergeCell ref="AH4:AH5"/>
    <mergeCell ref="AI4:AI5"/>
    <mergeCell ref="AH8:AH9"/>
    <mergeCell ref="AI8:AI9"/>
    <mergeCell ref="AH12:AH13"/>
    <mergeCell ref="AI12:AI13"/>
    <mergeCell ref="AD36:AD37"/>
    <mergeCell ref="AE36:AE37"/>
    <mergeCell ref="AF36:AF37"/>
    <mergeCell ref="AG36:AG37"/>
    <mergeCell ref="AD38:AD39"/>
    <mergeCell ref="AE38:AE39"/>
    <mergeCell ref="AF38:AF39"/>
    <mergeCell ref="AG38:AG39"/>
    <mergeCell ref="AD32:AD33"/>
    <mergeCell ref="AE32:AE33"/>
    <mergeCell ref="AF32:AF33"/>
    <mergeCell ref="AG32:AG33"/>
    <mergeCell ref="AD34:AD35"/>
    <mergeCell ref="AE34:AE35"/>
    <mergeCell ref="AF34:AF35"/>
    <mergeCell ref="AG34:AG35"/>
    <mergeCell ref="AD28:AD29"/>
    <mergeCell ref="AE28:AE29"/>
    <mergeCell ref="AF28:AF29"/>
    <mergeCell ref="AG28:AG29"/>
    <mergeCell ref="AD30:AD31"/>
    <mergeCell ref="AE30:AE31"/>
    <mergeCell ref="AF30:AF31"/>
    <mergeCell ref="AG30:AG31"/>
    <mergeCell ref="AD24:AD25"/>
    <mergeCell ref="AE24:AE25"/>
    <mergeCell ref="AF24:AF25"/>
    <mergeCell ref="AG24:AG25"/>
    <mergeCell ref="AD26:AD27"/>
    <mergeCell ref="AE26:AE27"/>
    <mergeCell ref="AF26:AF27"/>
    <mergeCell ref="AG26:AG27"/>
    <mergeCell ref="AD16:AD17"/>
    <mergeCell ref="AE16:AE17"/>
    <mergeCell ref="AF16:AF17"/>
    <mergeCell ref="AG16:AG17"/>
    <mergeCell ref="AD18:AD19"/>
    <mergeCell ref="AE18:AE19"/>
    <mergeCell ref="AF18:AF19"/>
    <mergeCell ref="AG18:AG19"/>
    <mergeCell ref="AF12:AF13"/>
    <mergeCell ref="AG12:AG13"/>
    <mergeCell ref="AD14:AD15"/>
    <mergeCell ref="AE14:AE15"/>
    <mergeCell ref="AF14:AF15"/>
    <mergeCell ref="AG14:AG15"/>
    <mergeCell ref="AF8:AF9"/>
    <mergeCell ref="AG8:AG9"/>
    <mergeCell ref="AD10:AD11"/>
    <mergeCell ref="AE10:AE11"/>
    <mergeCell ref="AF10:AF11"/>
    <mergeCell ref="AG10:AG11"/>
    <mergeCell ref="AF4:AF5"/>
    <mergeCell ref="AG4:AG5"/>
    <mergeCell ref="AD6:AD7"/>
    <mergeCell ref="AE6:AE7"/>
    <mergeCell ref="AF6:AF7"/>
    <mergeCell ref="AG6:AG7"/>
    <mergeCell ref="AD4:AD5"/>
    <mergeCell ref="AE4:AE5"/>
    <mergeCell ref="AD8:AD9"/>
    <mergeCell ref="AE8:AE9"/>
    <mergeCell ref="AD12:AD13"/>
    <mergeCell ref="AE12:AE13"/>
    <mergeCell ref="Z36:Z37"/>
    <mergeCell ref="AA36:AA37"/>
    <mergeCell ref="AB36:AB37"/>
    <mergeCell ref="AC36:AC37"/>
    <mergeCell ref="Z38:Z39"/>
    <mergeCell ref="AA38:AA39"/>
    <mergeCell ref="AB38:AB39"/>
    <mergeCell ref="AC38:AC39"/>
    <mergeCell ref="Z32:Z33"/>
    <mergeCell ref="AA32:AA33"/>
    <mergeCell ref="AB32:AB33"/>
    <mergeCell ref="AC32:AC33"/>
    <mergeCell ref="Z34:Z35"/>
    <mergeCell ref="AA34:AA35"/>
    <mergeCell ref="AB34:AB35"/>
    <mergeCell ref="AC34:AC35"/>
    <mergeCell ref="Z28:Z29"/>
    <mergeCell ref="AA28:AA29"/>
    <mergeCell ref="AB28:AB29"/>
    <mergeCell ref="AC28:AC29"/>
    <mergeCell ref="Z30:Z31"/>
    <mergeCell ref="AA30:AA31"/>
    <mergeCell ref="AB30:AB31"/>
    <mergeCell ref="AC30:AC31"/>
    <mergeCell ref="Z24:Z25"/>
    <mergeCell ref="AA24:AA25"/>
    <mergeCell ref="AB24:AB25"/>
    <mergeCell ref="AC24:AC25"/>
    <mergeCell ref="Z26:Z27"/>
    <mergeCell ref="AA26:AA27"/>
    <mergeCell ref="AB26:AB27"/>
    <mergeCell ref="AC26:AC27"/>
    <mergeCell ref="AB16:AB17"/>
    <mergeCell ref="AC16:AC17"/>
    <mergeCell ref="Z18:Z19"/>
    <mergeCell ref="AA18:AA19"/>
    <mergeCell ref="AB18:AB19"/>
    <mergeCell ref="AC18:AC19"/>
    <mergeCell ref="AB12:AB13"/>
    <mergeCell ref="AC12:AC13"/>
    <mergeCell ref="Z14:Z15"/>
    <mergeCell ref="AA14:AA15"/>
    <mergeCell ref="AB14:AB15"/>
    <mergeCell ref="AC14:AC15"/>
    <mergeCell ref="AB8:AB9"/>
    <mergeCell ref="AC8:AC9"/>
    <mergeCell ref="Z10:Z11"/>
    <mergeCell ref="AA10:AA11"/>
    <mergeCell ref="AB10:AB11"/>
    <mergeCell ref="AC10:AC11"/>
    <mergeCell ref="AB4:AB5"/>
    <mergeCell ref="AC4:AC5"/>
    <mergeCell ref="Z6:Z7"/>
    <mergeCell ref="AA6:AA7"/>
    <mergeCell ref="AB6:AB7"/>
    <mergeCell ref="AC6:AC7"/>
    <mergeCell ref="Z4:Z5"/>
    <mergeCell ref="AA4:AA5"/>
    <mergeCell ref="Z8:Z9"/>
    <mergeCell ref="AA8:AA9"/>
    <mergeCell ref="Z12:Z13"/>
    <mergeCell ref="AA12:AA13"/>
    <mergeCell ref="X38:X39"/>
    <mergeCell ref="V36:V37"/>
    <mergeCell ref="W36:W37"/>
    <mergeCell ref="X36:X37"/>
    <mergeCell ref="Y36:Y37"/>
    <mergeCell ref="V38:V39"/>
    <mergeCell ref="W38:W39"/>
    <mergeCell ref="Z16:Z17"/>
    <mergeCell ref="AA16:AA17"/>
    <mergeCell ref="Y38:Y39"/>
    <mergeCell ref="V32:V33"/>
    <mergeCell ref="W32:W33"/>
    <mergeCell ref="X32:X33"/>
    <mergeCell ref="Y32:Y33"/>
    <mergeCell ref="V34:V35"/>
    <mergeCell ref="W34:W35"/>
    <mergeCell ref="X34:X35"/>
    <mergeCell ref="Y34:Y35"/>
    <mergeCell ref="X28:X29"/>
    <mergeCell ref="Y28:Y29"/>
    <mergeCell ref="V30:V31"/>
    <mergeCell ref="W30:W31"/>
    <mergeCell ref="X30:X31"/>
    <mergeCell ref="Y30:Y31"/>
    <mergeCell ref="V24:V25"/>
    <mergeCell ref="W24:W25"/>
    <mergeCell ref="X24:X25"/>
    <mergeCell ref="Y24:Y25"/>
    <mergeCell ref="V26:V27"/>
    <mergeCell ref="W26:W27"/>
    <mergeCell ref="X26:X27"/>
    <mergeCell ref="Y26:Y27"/>
    <mergeCell ref="X16:X17"/>
    <mergeCell ref="Y16:Y17"/>
    <mergeCell ref="V18:V19"/>
    <mergeCell ref="W18:W19"/>
    <mergeCell ref="X18:X19"/>
    <mergeCell ref="Y18:Y19"/>
    <mergeCell ref="X12:X13"/>
    <mergeCell ref="Y12:Y13"/>
    <mergeCell ref="V14:V15"/>
    <mergeCell ref="W14:W15"/>
    <mergeCell ref="X14:X15"/>
    <mergeCell ref="Y14:Y15"/>
    <mergeCell ref="X8:X9"/>
    <mergeCell ref="Y8:Y9"/>
    <mergeCell ref="V10:V11"/>
    <mergeCell ref="W10:W11"/>
    <mergeCell ref="X10:X11"/>
    <mergeCell ref="Y10:Y11"/>
    <mergeCell ref="X4:X5"/>
    <mergeCell ref="Y4:Y5"/>
    <mergeCell ref="V6:V7"/>
    <mergeCell ref="W6:W7"/>
    <mergeCell ref="X6:X7"/>
    <mergeCell ref="Y6:Y7"/>
    <mergeCell ref="T28:T29"/>
    <mergeCell ref="T30:T31"/>
    <mergeCell ref="U38:U39"/>
    <mergeCell ref="V4:V5"/>
    <mergeCell ref="W4:W5"/>
    <mergeCell ref="V8:V9"/>
    <mergeCell ref="W8:W9"/>
    <mergeCell ref="V12:V13"/>
    <mergeCell ref="W12:W13"/>
    <mergeCell ref="U26:U27"/>
    <mergeCell ref="U28:U29"/>
    <mergeCell ref="U30:U31"/>
    <mergeCell ref="U32:U33"/>
    <mergeCell ref="U34:U35"/>
    <mergeCell ref="U36:U37"/>
    <mergeCell ref="V16:V17"/>
    <mergeCell ref="W16:W17"/>
    <mergeCell ref="V28:V29"/>
    <mergeCell ref="W28:W29"/>
    <mergeCell ref="U4:U5"/>
    <mergeCell ref="U6:U7"/>
    <mergeCell ref="U8:U9"/>
    <mergeCell ref="U10:U11"/>
    <mergeCell ref="U12:U13"/>
    <mergeCell ref="U14:U15"/>
    <mergeCell ref="U16:U17"/>
    <mergeCell ref="U18:U19"/>
    <mergeCell ref="U24:U25"/>
    <mergeCell ref="T4:T5"/>
    <mergeCell ref="T6:T7"/>
    <mergeCell ref="T8:T9"/>
    <mergeCell ref="T10:T11"/>
    <mergeCell ref="T12:T13"/>
    <mergeCell ref="T14:T15"/>
    <mergeCell ref="S26:S27"/>
    <mergeCell ref="S28:S29"/>
    <mergeCell ref="S30:S31"/>
    <mergeCell ref="S32:S33"/>
    <mergeCell ref="S34:S35"/>
    <mergeCell ref="S36:S37"/>
    <mergeCell ref="T32:T33"/>
    <mergeCell ref="T34:T35"/>
    <mergeCell ref="T36:T37"/>
    <mergeCell ref="T38:T39"/>
    <mergeCell ref="T16:T17"/>
    <mergeCell ref="T18:T19"/>
    <mergeCell ref="T24:T25"/>
    <mergeCell ref="T26:T27"/>
    <mergeCell ref="R16:R17"/>
    <mergeCell ref="R18:R19"/>
    <mergeCell ref="R24:R25"/>
    <mergeCell ref="R26:R27"/>
    <mergeCell ref="R28:R29"/>
    <mergeCell ref="R30:R31"/>
    <mergeCell ref="S38:S39"/>
    <mergeCell ref="S4:S5"/>
    <mergeCell ref="S6:S7"/>
    <mergeCell ref="S8:S9"/>
    <mergeCell ref="S10:S11"/>
    <mergeCell ref="S12:S13"/>
    <mergeCell ref="S14:S15"/>
    <mergeCell ref="S16:S17"/>
    <mergeCell ref="S18:S19"/>
    <mergeCell ref="S24:S25"/>
    <mergeCell ref="P28:P29"/>
    <mergeCell ref="P30:P31"/>
    <mergeCell ref="Q38:Q39"/>
    <mergeCell ref="R4:R5"/>
    <mergeCell ref="R6:R7"/>
    <mergeCell ref="R8:R9"/>
    <mergeCell ref="R10:R11"/>
    <mergeCell ref="R12:R13"/>
    <mergeCell ref="R14:R15"/>
    <mergeCell ref="Q26:Q27"/>
    <mergeCell ref="Q28:Q29"/>
    <mergeCell ref="Q30:Q31"/>
    <mergeCell ref="Q32:Q33"/>
    <mergeCell ref="Q34:Q35"/>
    <mergeCell ref="Q36:Q37"/>
    <mergeCell ref="R32:R33"/>
    <mergeCell ref="R34:R35"/>
    <mergeCell ref="R36:R37"/>
    <mergeCell ref="R38:R39"/>
    <mergeCell ref="Q4:Q5"/>
    <mergeCell ref="Q6:Q7"/>
    <mergeCell ref="Q8:Q9"/>
    <mergeCell ref="Q10:Q11"/>
    <mergeCell ref="Q12:Q13"/>
    <mergeCell ref="Q14:Q15"/>
    <mergeCell ref="Q16:Q17"/>
    <mergeCell ref="Q18:Q19"/>
    <mergeCell ref="Q24:Q25"/>
    <mergeCell ref="P4:P5"/>
    <mergeCell ref="P6:P7"/>
    <mergeCell ref="P8:P9"/>
    <mergeCell ref="P10:P11"/>
    <mergeCell ref="P12:P13"/>
    <mergeCell ref="P14:P15"/>
    <mergeCell ref="O26:O27"/>
    <mergeCell ref="O28:O29"/>
    <mergeCell ref="O30:O31"/>
    <mergeCell ref="O32:O33"/>
    <mergeCell ref="O34:O35"/>
    <mergeCell ref="O36:O37"/>
    <mergeCell ref="P32:P33"/>
    <mergeCell ref="P34:P35"/>
    <mergeCell ref="P36:P37"/>
    <mergeCell ref="P38:P39"/>
    <mergeCell ref="P16:P17"/>
    <mergeCell ref="P18:P19"/>
    <mergeCell ref="P24:P25"/>
    <mergeCell ref="P26:P27"/>
    <mergeCell ref="N16:N17"/>
    <mergeCell ref="N18:N19"/>
    <mergeCell ref="N24:N25"/>
    <mergeCell ref="N26:N27"/>
    <mergeCell ref="N28:N29"/>
    <mergeCell ref="N30:N31"/>
    <mergeCell ref="O38:O39"/>
    <mergeCell ref="O4:O5"/>
    <mergeCell ref="O6:O7"/>
    <mergeCell ref="O8:O9"/>
    <mergeCell ref="O10:O11"/>
    <mergeCell ref="O12:O13"/>
    <mergeCell ref="O14:O15"/>
    <mergeCell ref="O16:O17"/>
    <mergeCell ref="O18:O19"/>
    <mergeCell ref="O24:O25"/>
    <mergeCell ref="L28:L29"/>
    <mergeCell ref="L30:L31"/>
    <mergeCell ref="M38:M39"/>
    <mergeCell ref="N4:N5"/>
    <mergeCell ref="N6:N7"/>
    <mergeCell ref="N8:N9"/>
    <mergeCell ref="N10:N11"/>
    <mergeCell ref="N12:N13"/>
    <mergeCell ref="N14:N15"/>
    <mergeCell ref="M26:M27"/>
    <mergeCell ref="M28:M29"/>
    <mergeCell ref="M30:M31"/>
    <mergeCell ref="M32:M33"/>
    <mergeCell ref="M34:M35"/>
    <mergeCell ref="M36:M37"/>
    <mergeCell ref="N32:N33"/>
    <mergeCell ref="N34:N35"/>
    <mergeCell ref="N36:N37"/>
    <mergeCell ref="N38:N39"/>
    <mergeCell ref="M4:M5"/>
    <mergeCell ref="M6:M7"/>
    <mergeCell ref="M8:M9"/>
    <mergeCell ref="M10:M11"/>
    <mergeCell ref="M12:M13"/>
    <mergeCell ref="M14:M15"/>
    <mergeCell ref="M16:M17"/>
    <mergeCell ref="M18:M19"/>
    <mergeCell ref="M24:M25"/>
    <mergeCell ref="L4:L5"/>
    <mergeCell ref="L6:L7"/>
    <mergeCell ref="L8:L9"/>
    <mergeCell ref="L10:L11"/>
    <mergeCell ref="L12:L13"/>
    <mergeCell ref="L14:L15"/>
    <mergeCell ref="K26:K27"/>
    <mergeCell ref="K28:K29"/>
    <mergeCell ref="K30:K31"/>
    <mergeCell ref="K32:K33"/>
    <mergeCell ref="K34:K35"/>
    <mergeCell ref="K36:K37"/>
    <mergeCell ref="L32:L33"/>
    <mergeCell ref="L34:L35"/>
    <mergeCell ref="L36:L37"/>
    <mergeCell ref="L38:L39"/>
    <mergeCell ref="L16:L17"/>
    <mergeCell ref="L18:L19"/>
    <mergeCell ref="L24:L25"/>
    <mergeCell ref="L26:L27"/>
    <mergeCell ref="J16:J17"/>
    <mergeCell ref="J18:J19"/>
    <mergeCell ref="J24:J25"/>
    <mergeCell ref="J26:J27"/>
    <mergeCell ref="J28:J29"/>
    <mergeCell ref="J30:J31"/>
    <mergeCell ref="K38:K39"/>
    <mergeCell ref="K4:K5"/>
    <mergeCell ref="K6:K7"/>
    <mergeCell ref="K8:K9"/>
    <mergeCell ref="K10:K11"/>
    <mergeCell ref="K12:K13"/>
    <mergeCell ref="K14:K15"/>
    <mergeCell ref="K16:K17"/>
    <mergeCell ref="K18:K19"/>
    <mergeCell ref="K24:K25"/>
    <mergeCell ref="H28:H29"/>
    <mergeCell ref="H30:H31"/>
    <mergeCell ref="I38:I39"/>
    <mergeCell ref="J4:J5"/>
    <mergeCell ref="J6:J7"/>
    <mergeCell ref="J8:J9"/>
    <mergeCell ref="J10:J11"/>
    <mergeCell ref="J12:J13"/>
    <mergeCell ref="J14:J15"/>
    <mergeCell ref="I26:I27"/>
    <mergeCell ref="I28:I29"/>
    <mergeCell ref="I30:I31"/>
    <mergeCell ref="I32:I33"/>
    <mergeCell ref="I34:I35"/>
    <mergeCell ref="I36:I37"/>
    <mergeCell ref="J32:J33"/>
    <mergeCell ref="J34:J35"/>
    <mergeCell ref="J36:J37"/>
    <mergeCell ref="J38:J39"/>
    <mergeCell ref="I4:I5"/>
    <mergeCell ref="I6:I7"/>
    <mergeCell ref="I8:I9"/>
    <mergeCell ref="I10:I11"/>
    <mergeCell ref="I12:I13"/>
    <mergeCell ref="I14:I15"/>
    <mergeCell ref="I16:I17"/>
    <mergeCell ref="I18:I19"/>
    <mergeCell ref="I24:I25"/>
    <mergeCell ref="H4:H5"/>
    <mergeCell ref="H6:H7"/>
    <mergeCell ref="H8:H9"/>
    <mergeCell ref="H10:H11"/>
    <mergeCell ref="H12:H13"/>
    <mergeCell ref="H14:H15"/>
    <mergeCell ref="G26:G27"/>
    <mergeCell ref="G28:G29"/>
    <mergeCell ref="G30:G31"/>
    <mergeCell ref="G32:G33"/>
    <mergeCell ref="G34:G35"/>
    <mergeCell ref="G36:G37"/>
    <mergeCell ref="H32:H33"/>
    <mergeCell ref="H34:H35"/>
    <mergeCell ref="H36:H37"/>
    <mergeCell ref="H38:H39"/>
    <mergeCell ref="H16:H17"/>
    <mergeCell ref="H18:H19"/>
    <mergeCell ref="H24:H25"/>
    <mergeCell ref="H26:H27"/>
    <mergeCell ref="F16:F17"/>
    <mergeCell ref="F18:F19"/>
    <mergeCell ref="F24:F25"/>
    <mergeCell ref="F26:F27"/>
    <mergeCell ref="F28:F29"/>
    <mergeCell ref="F30:F31"/>
    <mergeCell ref="G38:G39"/>
    <mergeCell ref="G4:G5"/>
    <mergeCell ref="G6:G7"/>
    <mergeCell ref="G8:G9"/>
    <mergeCell ref="G10:G11"/>
    <mergeCell ref="G12:G13"/>
    <mergeCell ref="G14:G15"/>
    <mergeCell ref="G16:G17"/>
    <mergeCell ref="G18:G19"/>
    <mergeCell ref="G24:G25"/>
    <mergeCell ref="D26:D27"/>
    <mergeCell ref="D28:D29"/>
    <mergeCell ref="D30:D31"/>
    <mergeCell ref="E38:E39"/>
    <mergeCell ref="F4:F5"/>
    <mergeCell ref="F6:F7"/>
    <mergeCell ref="F8:F9"/>
    <mergeCell ref="F10:F11"/>
    <mergeCell ref="F12:F13"/>
    <mergeCell ref="F14:F15"/>
    <mergeCell ref="E26:E27"/>
    <mergeCell ref="E28:E29"/>
    <mergeCell ref="E30:E31"/>
    <mergeCell ref="E32:E33"/>
    <mergeCell ref="E34:E35"/>
    <mergeCell ref="E36:E37"/>
    <mergeCell ref="F32:F33"/>
    <mergeCell ref="F34:F35"/>
    <mergeCell ref="F36:F37"/>
    <mergeCell ref="F38:F39"/>
    <mergeCell ref="E4:E5"/>
    <mergeCell ref="E6:E7"/>
    <mergeCell ref="E8:E9"/>
    <mergeCell ref="E10:E11"/>
    <mergeCell ref="E12:E13"/>
    <mergeCell ref="E14:E15"/>
    <mergeCell ref="E16:E17"/>
    <mergeCell ref="E18:E19"/>
    <mergeCell ref="E24:E25"/>
    <mergeCell ref="D4:D5"/>
    <mergeCell ref="D6:D7"/>
    <mergeCell ref="D8:D9"/>
    <mergeCell ref="D10:D11"/>
    <mergeCell ref="D12:D13"/>
    <mergeCell ref="D14:D15"/>
    <mergeCell ref="C26:C27"/>
    <mergeCell ref="C28:C29"/>
    <mergeCell ref="C30:C31"/>
    <mergeCell ref="C32:C33"/>
    <mergeCell ref="C34:C35"/>
    <mergeCell ref="C36:C37"/>
    <mergeCell ref="D32:D33"/>
    <mergeCell ref="D34:D35"/>
    <mergeCell ref="D36:D37"/>
    <mergeCell ref="D38:D39"/>
    <mergeCell ref="D16:D17"/>
    <mergeCell ref="D18:D19"/>
    <mergeCell ref="D24:D25"/>
    <mergeCell ref="C4:C5"/>
    <mergeCell ref="C6:C7"/>
    <mergeCell ref="C8:C9"/>
    <mergeCell ref="C10:C11"/>
    <mergeCell ref="C12:C13"/>
    <mergeCell ref="C14:C15"/>
    <mergeCell ref="C16:C17"/>
    <mergeCell ref="C18:C19"/>
    <mergeCell ref="C24:C25"/>
    <mergeCell ref="B32:B33"/>
    <mergeCell ref="B34:B35"/>
    <mergeCell ref="B36:B37"/>
    <mergeCell ref="B38:B39"/>
    <mergeCell ref="B16:B17"/>
    <mergeCell ref="B18:B19"/>
    <mergeCell ref="B24:B25"/>
    <mergeCell ref="B26:B27"/>
    <mergeCell ref="B28:B29"/>
    <mergeCell ref="B30:B31"/>
    <mergeCell ref="C38:C39"/>
    <mergeCell ref="B4:B5"/>
    <mergeCell ref="B6:B7"/>
    <mergeCell ref="B8:B9"/>
    <mergeCell ref="B10:B11"/>
    <mergeCell ref="B12:B13"/>
    <mergeCell ref="B14:B15"/>
    <mergeCell ref="B43:O43"/>
    <mergeCell ref="AC43:AP43"/>
    <mergeCell ref="B41:O42"/>
    <mergeCell ref="AC41:AP42"/>
    <mergeCell ref="AP4:AP5"/>
    <mergeCell ref="AP6:AP7"/>
    <mergeCell ref="AP8:AP9"/>
    <mergeCell ref="AP10:AP11"/>
    <mergeCell ref="AP12:AP13"/>
    <mergeCell ref="AP14:AP15"/>
    <mergeCell ref="AP16:AP17"/>
    <mergeCell ref="AP18:AP19"/>
    <mergeCell ref="AP36:AP37"/>
    <mergeCell ref="AP38:AP39"/>
    <mergeCell ref="AP24:AP25"/>
    <mergeCell ref="AP26:AP27"/>
    <mergeCell ref="AP28:AP29"/>
    <mergeCell ref="AP30:AP31"/>
    <mergeCell ref="AP32:AP33"/>
    <mergeCell ref="AP34:AP35"/>
  </mergeCells>
  <conditionalFormatting sqref="A24:A39 A4:A22">
    <cfRule type="cellIs" dxfId="6" priority="1" operator="equal">
      <formula>$AY$1</formula>
    </cfRule>
    <cfRule type="cellIs" dxfId="5" priority="2" operator="equal">
      <formula>$AX$1</formula>
    </cfRule>
    <cfRule type="cellIs" dxfId="4" priority="4" operator="equal">
      <formula>$AF$1</formula>
    </cfRule>
    <cfRule type="cellIs" dxfId="3" priority="5" operator="equal">
      <formula>$T$1</formula>
    </cfRule>
    <cfRule type="cellIs" dxfId="2" priority="6" operator="equal">
      <formula>$H$1</formula>
    </cfRule>
  </conditionalFormatting>
  <dataValidations disablePrompts="1" count="1">
    <dataValidation type="list" allowBlank="1" showInputMessage="1" showErrorMessage="1" sqref="T1:AD1 H1:R1 AF1:AP1">
      <formula1>Teams</formula1>
    </dataValidation>
  </dataValidations>
  <hyperlinks>
    <hyperlink ref="B41" r:id="rId1"/>
    <hyperlink ref="AC41" r:id="rId2"/>
  </hyperlinks>
  <pageMargins left="0.7" right="0.7" top="0.75" bottom="0.75" header="0.3" footer="0.3"/>
  <pageSetup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U3800"/>
  <sheetViews>
    <sheetView topLeftCell="YA1" zoomScale="70" zoomScaleNormal="70" workbookViewId="0">
      <selection activeCell="YB2" sqref="YB2"/>
    </sheetView>
  </sheetViews>
  <sheetFormatPr defaultRowHeight="15"/>
  <cols>
    <col min="1" max="1" width="64.5703125" style="10" hidden="1" customWidth="1"/>
    <col min="2" max="2" width="3.42578125" style="10" hidden="1" customWidth="1"/>
    <col min="3" max="3" width="67.42578125" style="10" hidden="1" customWidth="1"/>
    <col min="4" max="4" width="13.42578125" style="10" hidden="1" customWidth="1"/>
    <col min="5" max="5" width="19.28515625" style="10" hidden="1" customWidth="1"/>
    <col min="6" max="6" width="10.7109375" style="10" hidden="1" customWidth="1"/>
    <col min="7" max="7" width="19.28515625" style="10" hidden="1" customWidth="1"/>
    <col min="8" max="9" width="10.7109375" style="10" hidden="1" customWidth="1"/>
    <col min="10" max="10" width="15.5703125" style="10" hidden="1" customWidth="1"/>
    <col min="11" max="11" width="17.7109375" style="10" hidden="1" customWidth="1"/>
    <col min="12" max="12" width="17.85546875" style="10" hidden="1" customWidth="1"/>
    <col min="13" max="13" width="10.7109375" style="10" hidden="1" customWidth="1"/>
    <col min="14" max="14" width="21.42578125" style="10" hidden="1" customWidth="1"/>
    <col min="15" max="15" width="8.7109375" style="10" hidden="1" customWidth="1"/>
    <col min="16" max="16" width="8.85546875" style="10" hidden="1" customWidth="1"/>
    <col min="17" max="17" width="5" style="10" hidden="1" customWidth="1"/>
    <col min="18" max="18" width="3.42578125" style="10" hidden="1" customWidth="1"/>
    <col min="19" max="19" width="2.85546875" style="10" hidden="1" customWidth="1"/>
    <col min="20" max="20" width="2.5703125" style="10" hidden="1" customWidth="1"/>
    <col min="21" max="21" width="2.85546875" style="10" hidden="1" customWidth="1"/>
    <col min="22" max="22" width="5.7109375" style="10" hidden="1" customWidth="1"/>
    <col min="23" max="23" width="4" style="10" hidden="1" customWidth="1"/>
    <col min="24" max="24" width="4.28515625" style="10" hidden="1" customWidth="1"/>
    <col min="25" max="25" width="8.28515625" style="10" hidden="1" customWidth="1"/>
    <col min="26" max="26" width="4.28515625" style="10" hidden="1" customWidth="1"/>
    <col min="27" max="27" width="8.7109375" style="10" hidden="1" customWidth="1"/>
    <col min="28" max="28" width="8.85546875" style="10" hidden="1" customWidth="1"/>
    <col min="29" max="29" width="9.140625" style="10" hidden="1" customWidth="1"/>
    <col min="30" max="30" width="3.42578125" style="10" hidden="1" customWidth="1"/>
    <col min="31" max="31" width="2.85546875" style="10" hidden="1" customWidth="1"/>
    <col min="32" max="32" width="2.5703125" style="10" hidden="1" customWidth="1"/>
    <col min="33" max="33" width="2.85546875" style="10" hidden="1" customWidth="1"/>
    <col min="34" max="34" width="5.7109375" style="10" hidden="1" customWidth="1"/>
    <col min="35" max="35" width="4" style="10" hidden="1" customWidth="1"/>
    <col min="36" max="36" width="4.28515625" style="10" hidden="1" customWidth="1"/>
    <col min="37" max="37" width="8.28515625" style="10" hidden="1" customWidth="1"/>
    <col min="38" max="38" width="4.28515625" style="10" hidden="1" customWidth="1"/>
    <col min="39" max="39" width="8.7109375" style="10" hidden="1" customWidth="1"/>
    <col min="40" max="40" width="8.85546875" style="10" hidden="1" customWidth="1"/>
    <col min="41" max="41" width="9.140625" style="10" hidden="1" customWidth="1"/>
    <col min="42" max="42" width="4.85546875" style="10" hidden="1" customWidth="1"/>
    <col min="43" max="43" width="16.85546875" style="10" hidden="1" customWidth="1"/>
    <col min="44" max="44" width="2.42578125" style="10" hidden="1" customWidth="1"/>
    <col min="45" max="45" width="16.85546875" style="10" hidden="1" customWidth="1"/>
    <col min="46" max="46" width="2.42578125" style="10" hidden="1" customWidth="1"/>
    <col min="47" max="47" width="19.28515625" style="10" hidden="1" customWidth="1"/>
    <col min="48" max="49" width="3.42578125" style="10" hidden="1" customWidth="1"/>
    <col min="50" max="50" width="2.5703125" style="10" hidden="1" customWidth="1"/>
    <col min="51" max="51" width="3.42578125" style="10" hidden="1" customWidth="1"/>
    <col min="52" max="52" width="5.7109375" style="10" hidden="1" customWidth="1"/>
    <col min="53" max="53" width="8.28515625" style="10" hidden="1" customWidth="1"/>
    <col min="54" max="54" width="4.28515625" style="10" hidden="1" customWidth="1"/>
    <col min="55" max="55" width="3.42578125" style="10" hidden="1" customWidth="1"/>
    <col min="56" max="56" width="2.85546875" style="10" hidden="1" customWidth="1"/>
    <col min="57" max="57" width="2.5703125" style="10" hidden="1" customWidth="1"/>
    <col min="58" max="58" width="2.85546875" style="10" hidden="1" customWidth="1"/>
    <col min="59" max="59" width="5.7109375" style="10" hidden="1" customWidth="1"/>
    <col min="60" max="60" width="8.28515625" style="10" hidden="1" customWidth="1"/>
    <col min="61" max="61" width="4.28515625" style="10" hidden="1" customWidth="1"/>
    <col min="62" max="62" width="3.42578125" style="10" hidden="1" customWidth="1"/>
    <col min="63" max="63" width="2.85546875" style="10" hidden="1" customWidth="1"/>
    <col min="64" max="64" width="2.5703125" style="10" hidden="1" customWidth="1"/>
    <col min="65" max="65" width="2.85546875" style="10" hidden="1" customWidth="1"/>
    <col min="66" max="66" width="5.7109375" style="10" hidden="1" customWidth="1"/>
    <col min="67" max="67" width="8.28515625" style="10" hidden="1" customWidth="1"/>
    <col min="68" max="68" width="4.28515625" style="10" hidden="1" customWidth="1"/>
    <col min="69" max="70" width="9.140625" style="10" hidden="1" customWidth="1"/>
    <col min="71" max="71" width="9.7109375" style="10" hidden="1" customWidth="1"/>
    <col min="72" max="73" width="5.5703125" style="10" hidden="1" customWidth="1"/>
    <col min="74" max="74" width="7.28515625" style="10" hidden="1" customWidth="1"/>
    <col min="75" max="78" width="9.140625" style="10" hidden="1" customWidth="1"/>
    <col min="79" max="79" width="12.140625" style="10" hidden="1" customWidth="1"/>
    <col min="80" max="80" width="13.85546875" style="10" hidden="1" customWidth="1"/>
    <col min="81" max="81" width="10.5703125" style="10" hidden="1" customWidth="1"/>
    <col min="82" max="82" width="12.28515625" style="10" hidden="1" customWidth="1"/>
    <col min="83" max="83" width="12.85546875" style="10" hidden="1" customWidth="1"/>
    <col min="84" max="84" width="14.42578125" style="10" hidden="1" customWidth="1"/>
    <col min="85" max="85" width="17.28515625" style="10" hidden="1" customWidth="1"/>
    <col min="86" max="86" width="20" style="10" hidden="1" customWidth="1"/>
    <col min="87" max="87" width="21.140625" style="10" hidden="1" customWidth="1"/>
    <col min="88" max="88" width="22.85546875" style="10" hidden="1" customWidth="1"/>
    <col min="89" max="89" width="22.42578125" style="10" hidden="1" customWidth="1"/>
    <col min="90" max="90" width="22" style="10" hidden="1" customWidth="1"/>
    <col min="91" max="91" width="26.7109375" style="10" hidden="1" customWidth="1"/>
    <col min="92" max="92" width="28.140625" style="10" hidden="1" customWidth="1"/>
    <col min="93" max="93" width="18.140625" style="10" hidden="1" customWidth="1"/>
    <col min="94" max="94" width="19.5703125" style="10" hidden="1" customWidth="1"/>
    <col min="95" max="95" width="9.140625" style="10" hidden="1" customWidth="1"/>
    <col min="96" max="96" width="12.140625" style="10" hidden="1" customWidth="1"/>
    <col min="97" max="97" width="13.85546875" style="10" hidden="1" customWidth="1"/>
    <col min="98" max="98" width="10.5703125" style="10" hidden="1" customWidth="1"/>
    <col min="99" max="99" width="12.28515625" style="10" hidden="1" customWidth="1"/>
    <col min="100" max="100" width="12.85546875" style="10" hidden="1" customWidth="1"/>
    <col min="101" max="101" width="14.42578125" style="10" hidden="1" customWidth="1"/>
    <col min="102" max="102" width="17.28515625" style="10" hidden="1" customWidth="1"/>
    <col min="103" max="103" width="20" style="10" hidden="1" customWidth="1"/>
    <col min="104" max="104" width="21.140625" style="10" hidden="1" customWidth="1"/>
    <col min="105" max="105" width="22.85546875" style="10" hidden="1" customWidth="1"/>
    <col min="106" max="106" width="22.42578125" style="10" hidden="1" customWidth="1"/>
    <col min="107" max="107" width="22" style="10" hidden="1" customWidth="1"/>
    <col min="108" max="108" width="26.7109375" style="10" hidden="1" customWidth="1"/>
    <col min="109" max="109" width="28.140625" style="10" hidden="1" customWidth="1"/>
    <col min="110" max="110" width="18.140625" style="10" hidden="1" customWidth="1"/>
    <col min="111" max="111" width="19.5703125" style="10" hidden="1" customWidth="1"/>
    <col min="112" max="112" width="9.140625" style="10" hidden="1" customWidth="1"/>
    <col min="113" max="113" width="12.140625" style="10" hidden="1" customWidth="1"/>
    <col min="114" max="114" width="13.85546875" style="10" hidden="1" customWidth="1"/>
    <col min="115" max="115" width="10.5703125" style="10" hidden="1" customWidth="1"/>
    <col min="116" max="116" width="12.28515625" style="10" hidden="1" customWidth="1"/>
    <col min="117" max="117" width="12.85546875" style="10" hidden="1" customWidth="1"/>
    <col min="118" max="118" width="14.42578125" style="10" hidden="1" customWidth="1"/>
    <col min="119" max="119" width="17.28515625" style="10" hidden="1" customWidth="1"/>
    <col min="120" max="120" width="20" style="10" hidden="1" customWidth="1"/>
    <col min="121" max="121" width="21.140625" style="10" hidden="1" customWidth="1"/>
    <col min="122" max="122" width="22.85546875" style="10" hidden="1" customWidth="1"/>
    <col min="123" max="123" width="22.42578125" style="10" hidden="1" customWidth="1"/>
    <col min="124" max="124" width="22" style="10" hidden="1" customWidth="1"/>
    <col min="125" max="125" width="26.7109375" style="10" hidden="1" customWidth="1"/>
    <col min="126" max="126" width="28.140625" style="10" hidden="1" customWidth="1"/>
    <col min="127" max="127" width="18.140625" style="10" hidden="1" customWidth="1"/>
    <col min="128" max="128" width="19.5703125" style="10" hidden="1" customWidth="1"/>
    <col min="129" max="129" width="18.42578125" style="10" hidden="1" customWidth="1"/>
    <col min="130" max="131" width="3.42578125" style="10" hidden="1" customWidth="1"/>
    <col min="132" max="132" width="12.140625" style="10" hidden="1" customWidth="1"/>
    <col min="133" max="133" width="13.85546875" style="10" hidden="1" customWidth="1"/>
    <col min="134" max="134" width="10.5703125" style="10" hidden="1" customWidth="1"/>
    <col min="135" max="135" width="12.28515625" style="10" hidden="1" customWidth="1"/>
    <col min="136" max="136" width="12.85546875" style="10" hidden="1" customWidth="1"/>
    <col min="137" max="137" width="14.42578125" style="10" hidden="1" customWidth="1"/>
    <col min="138" max="138" width="17.28515625" style="10" hidden="1" customWidth="1"/>
    <col min="139" max="139" width="20" style="10" hidden="1" customWidth="1"/>
    <col min="140" max="140" width="21.140625" style="10" hidden="1" customWidth="1"/>
    <col min="141" max="141" width="22.85546875" style="10" hidden="1" customWidth="1"/>
    <col min="142" max="142" width="22.42578125" style="10" hidden="1" customWidth="1"/>
    <col min="143" max="143" width="22" style="10" hidden="1" customWidth="1"/>
    <col min="144" max="144" width="26.7109375" style="10" hidden="1" customWidth="1"/>
    <col min="145" max="145" width="28.140625" style="10" hidden="1" customWidth="1"/>
    <col min="146" max="146" width="18.140625" style="10" hidden="1" customWidth="1"/>
    <col min="147" max="147" width="19.5703125" style="10" hidden="1" customWidth="1"/>
    <col min="148" max="148" width="9.140625" style="10" hidden="1" customWidth="1"/>
    <col min="149" max="149" width="12.140625" style="10" hidden="1" customWidth="1"/>
    <col min="150" max="150" width="13.85546875" style="10" hidden="1" customWidth="1"/>
    <col min="151" max="151" width="12.140625" style="10" hidden="1" customWidth="1"/>
    <col min="152" max="152" width="13.85546875" style="10" hidden="1" customWidth="1"/>
    <col min="153" max="153" width="10.5703125" style="10" hidden="1" customWidth="1"/>
    <col min="154" max="154" width="12.28515625" style="10" hidden="1" customWidth="1"/>
    <col min="155" max="155" width="12.85546875" style="10" hidden="1" customWidth="1"/>
    <col min="156" max="156" width="14.42578125" style="10" hidden="1" customWidth="1"/>
    <col min="157" max="157" width="17.28515625" style="10" hidden="1" customWidth="1"/>
    <col min="158" max="158" width="20" style="10" hidden="1" customWidth="1"/>
    <col min="159" max="159" width="22.42578125" style="10" hidden="1" customWidth="1"/>
    <col min="160" max="160" width="22" style="10" hidden="1" customWidth="1"/>
    <col min="161" max="161" width="26.7109375" style="10" hidden="1" customWidth="1"/>
    <col min="162" max="162" width="28.140625" style="10" hidden="1" customWidth="1"/>
    <col min="163" max="163" width="18.140625" style="10" hidden="1" customWidth="1"/>
    <col min="164" max="164" width="19.5703125" style="10" hidden="1" customWidth="1"/>
    <col min="165" max="165" width="9.140625" style="10" hidden="1" customWidth="1"/>
    <col min="166" max="166" width="12.140625" style="10" hidden="1" customWidth="1"/>
    <col min="167" max="167" width="13.85546875" style="10" hidden="1" customWidth="1"/>
    <col min="168" max="168" width="10.5703125" style="10" hidden="1" customWidth="1"/>
    <col min="169" max="169" width="12.28515625" style="10" hidden="1" customWidth="1"/>
    <col min="170" max="170" width="12.85546875" style="10" hidden="1" customWidth="1"/>
    <col min="171" max="171" width="14.42578125" style="10" hidden="1" customWidth="1"/>
    <col min="172" max="172" width="17.28515625" style="10" hidden="1" customWidth="1"/>
    <col min="173" max="173" width="20" style="10" hidden="1" customWidth="1"/>
    <col min="174" max="174" width="22.85546875" style="10" hidden="1" customWidth="1"/>
    <col min="175" max="175" width="21.140625" style="10" hidden="1" customWidth="1"/>
    <col min="176" max="176" width="22.42578125" style="10" hidden="1" customWidth="1"/>
    <col min="177" max="177" width="22" style="10" hidden="1" customWidth="1"/>
    <col min="178" max="178" width="26.7109375" style="10" hidden="1" customWidth="1"/>
    <col min="179" max="179" width="28.140625" style="10" hidden="1" customWidth="1"/>
    <col min="180" max="180" width="18.140625" style="10" hidden="1" customWidth="1"/>
    <col min="181" max="181" width="19.5703125" style="10" hidden="1" customWidth="1"/>
    <col min="182" max="182" width="9.140625" style="10" hidden="1" customWidth="1"/>
    <col min="183" max="183" width="12.140625" style="10" hidden="1" customWidth="1"/>
    <col min="184" max="184" width="13.85546875" style="10" hidden="1" customWidth="1"/>
    <col min="185" max="185" width="10.5703125" style="10" hidden="1" customWidth="1"/>
    <col min="186" max="186" width="12.28515625" style="10" hidden="1" customWidth="1"/>
    <col min="187" max="187" width="12.85546875" style="10" hidden="1" customWidth="1"/>
    <col min="188" max="188" width="14.42578125" style="10" hidden="1" customWidth="1"/>
    <col min="189" max="189" width="17.28515625" style="10" hidden="1" customWidth="1"/>
    <col min="190" max="190" width="20" style="10" hidden="1" customWidth="1"/>
    <col min="191" max="191" width="22.85546875" style="10" hidden="1" customWidth="1"/>
    <col min="192" max="192" width="21.140625" style="10" hidden="1" customWidth="1"/>
    <col min="193" max="193" width="22.42578125" style="10" hidden="1" customWidth="1"/>
    <col min="194" max="194" width="22" style="10" hidden="1" customWidth="1"/>
    <col min="195" max="195" width="26.7109375" style="10" hidden="1" customWidth="1"/>
    <col min="196" max="196" width="28.140625" style="10" hidden="1" customWidth="1"/>
    <col min="197" max="197" width="18.140625" style="10" hidden="1" customWidth="1"/>
    <col min="198" max="198" width="19.5703125" style="10" hidden="1" customWidth="1"/>
    <col min="199" max="199" width="9.140625" style="10" hidden="1" customWidth="1"/>
    <col min="200" max="206" width="19.28515625" style="10" hidden="1" customWidth="1"/>
    <col min="207" max="207" width="20" style="10" hidden="1" customWidth="1"/>
    <col min="208" max="208" width="22.85546875" style="10" hidden="1" customWidth="1"/>
    <col min="209" max="209" width="21.140625" style="10" hidden="1" customWidth="1"/>
    <col min="210" max="210" width="22.42578125" style="10" hidden="1" customWidth="1"/>
    <col min="211" max="211" width="22" style="10" hidden="1" customWidth="1"/>
    <col min="212" max="212" width="26.7109375" style="10" hidden="1" customWidth="1"/>
    <col min="213" max="213" width="28.140625" style="10" hidden="1" customWidth="1"/>
    <col min="214" max="214" width="19.28515625" style="10" hidden="1" customWidth="1"/>
    <col min="215" max="215" width="19.5703125" style="10" hidden="1" customWidth="1"/>
    <col min="216" max="216" width="9.140625" style="10" hidden="1" customWidth="1"/>
    <col min="217" max="219" width="3.42578125" style="10" hidden="1" customWidth="1"/>
    <col min="220" max="220" width="3" style="10" hidden="1" customWidth="1"/>
    <col min="221" max="221" width="3.42578125" style="10" hidden="1" customWidth="1"/>
    <col min="222" max="222" width="5.7109375" style="10" hidden="1" customWidth="1"/>
    <col min="223" max="223" width="4" style="10" hidden="1" customWidth="1"/>
    <col min="224" max="224" width="4.28515625" style="10" hidden="1" customWidth="1"/>
    <col min="225" max="225" width="8.28515625" style="10" hidden="1" customWidth="1"/>
    <col min="226" max="226" width="4.28515625" style="10" hidden="1" customWidth="1"/>
    <col min="227" max="227" width="8.7109375" style="10" hidden="1" customWidth="1"/>
    <col min="228" max="228" width="8.85546875" style="10" hidden="1" customWidth="1"/>
    <col min="229" max="229" width="9.140625" style="10" hidden="1" customWidth="1"/>
    <col min="230" max="230" width="12.140625" style="10" hidden="1" customWidth="1"/>
    <col min="231" max="231" width="13.85546875" style="10" hidden="1" customWidth="1"/>
    <col min="232" max="232" width="10.5703125" style="10" hidden="1" customWidth="1"/>
    <col min="233" max="233" width="12.28515625" style="10" hidden="1" customWidth="1"/>
    <col min="234" max="234" width="12.85546875" style="10" hidden="1" customWidth="1"/>
    <col min="235" max="235" width="14.42578125" style="10" hidden="1" customWidth="1"/>
    <col min="236" max="236" width="17.28515625" style="10" hidden="1" customWidth="1"/>
    <col min="237" max="237" width="20" style="10" hidden="1" customWidth="1"/>
    <col min="238" max="238" width="22.85546875" style="10" hidden="1" customWidth="1"/>
    <col min="239" max="239" width="21.140625" style="10" hidden="1" customWidth="1"/>
    <col min="240" max="240" width="22.42578125" style="10" hidden="1" customWidth="1"/>
    <col min="241" max="241" width="22" style="10" hidden="1" customWidth="1"/>
    <col min="242" max="242" width="26.7109375" style="10" hidden="1" customWidth="1"/>
    <col min="243" max="243" width="28.140625" style="10" hidden="1" customWidth="1"/>
    <col min="244" max="244" width="18.140625" style="10" hidden="1" customWidth="1"/>
    <col min="245" max="245" width="19.5703125" style="10" hidden="1" customWidth="1"/>
    <col min="246" max="247" width="9.140625" style="10" hidden="1" customWidth="1"/>
    <col min="248" max="249" width="35" style="10" hidden="1" customWidth="1"/>
    <col min="250" max="250" width="4.85546875" style="10" hidden="1" customWidth="1"/>
    <col min="251" max="251" width="7.28515625" style="10" hidden="1" customWidth="1"/>
    <col min="252" max="252" width="6.5703125" style="10" hidden="1" customWidth="1"/>
    <col min="253" max="253" width="6" style="10" hidden="1" customWidth="1"/>
    <col min="254" max="254" width="9.140625" style="10" hidden="1" customWidth="1"/>
    <col min="255" max="255" width="35" style="10" hidden="1" customWidth="1"/>
    <col min="256" max="256" width="4.85546875" style="10" hidden="1" customWidth="1"/>
    <col min="257" max="257" width="7.28515625" style="10" hidden="1" customWidth="1"/>
    <col min="258" max="258" width="6.5703125" style="10" hidden="1" customWidth="1"/>
    <col min="259" max="259" width="6" style="10" hidden="1" customWidth="1"/>
    <col min="260" max="261" width="9.140625" style="10" hidden="1" customWidth="1"/>
    <col min="262" max="262" width="12.140625" style="10" hidden="1" customWidth="1"/>
    <col min="263" max="263" width="13.85546875" style="10" hidden="1" customWidth="1"/>
    <col min="264" max="264" width="10.5703125" style="10" hidden="1" customWidth="1"/>
    <col min="265" max="265" width="12.28515625" style="10" hidden="1" customWidth="1"/>
    <col min="266" max="266" width="12.85546875" style="10" hidden="1" customWidth="1"/>
    <col min="267" max="267" width="14.42578125" style="10" hidden="1" customWidth="1"/>
    <col min="268" max="268" width="17.28515625" style="10" hidden="1" customWidth="1"/>
    <col min="269" max="269" width="20" style="10" hidden="1" customWidth="1"/>
    <col min="270" max="270" width="22.85546875" style="10" hidden="1" customWidth="1"/>
    <col min="271" max="271" width="21.140625" style="10" hidden="1" customWidth="1"/>
    <col min="272" max="272" width="22.42578125" style="10" hidden="1" customWidth="1"/>
    <col min="273" max="273" width="22" style="10" hidden="1" customWidth="1"/>
    <col min="274" max="274" width="26.7109375" style="10" hidden="1" customWidth="1"/>
    <col min="275" max="275" width="28.140625" style="10" hidden="1" customWidth="1"/>
    <col min="276" max="276" width="18.140625" style="10" hidden="1" customWidth="1"/>
    <col min="277" max="277" width="19.5703125" style="10" hidden="1" customWidth="1"/>
    <col min="278" max="278" width="9.140625" style="10" hidden="1" customWidth="1"/>
    <col min="279" max="285" width="19.28515625" style="10" hidden="1" customWidth="1"/>
    <col min="286" max="286" width="20" style="10" hidden="1" customWidth="1"/>
    <col min="287" max="287" width="22.85546875" style="10" hidden="1" customWidth="1"/>
    <col min="288" max="288" width="21.140625" style="10" hidden="1" customWidth="1"/>
    <col min="289" max="289" width="22.42578125" style="10" hidden="1" customWidth="1"/>
    <col min="290" max="290" width="22" style="10" hidden="1" customWidth="1"/>
    <col min="291" max="291" width="26.7109375" style="10" hidden="1" customWidth="1"/>
    <col min="292" max="292" width="28.140625" style="10" hidden="1" customWidth="1"/>
    <col min="293" max="293" width="19.28515625" style="10" hidden="1" customWidth="1"/>
    <col min="294" max="294" width="19.5703125" style="10" hidden="1" customWidth="1"/>
    <col min="295" max="297" width="9.140625" style="10" hidden="1" customWidth="1"/>
    <col min="298" max="298" width="4.85546875" style="10" hidden="1" customWidth="1"/>
    <col min="299" max="299" width="3.42578125" style="10" hidden="1" customWidth="1"/>
    <col min="300" max="300" width="19.28515625" style="10" hidden="1" customWidth="1"/>
    <col min="301" max="301" width="6.85546875" style="10" hidden="1" customWidth="1"/>
    <col min="302" max="302" width="4.85546875" style="10" hidden="1" customWidth="1"/>
    <col min="303" max="303" width="5" style="10" hidden="1" customWidth="1"/>
    <col min="304" max="304" width="16.85546875" style="10" hidden="1" customWidth="1"/>
    <col min="305" max="305" width="9.140625" style="10" hidden="1" customWidth="1"/>
    <col min="306" max="306" width="17" style="10" hidden="1" customWidth="1"/>
    <col min="307" max="307" width="3.42578125" style="10" hidden="1" customWidth="1"/>
    <col min="308" max="308" width="6.85546875" style="10" hidden="1" customWidth="1"/>
    <col min="309" max="309" width="4.85546875" style="10" hidden="1" customWidth="1"/>
    <col min="310" max="310" width="5" style="10" hidden="1" customWidth="1"/>
    <col min="311" max="311" width="16.85546875" style="10" hidden="1" customWidth="1"/>
    <col min="312" max="312" width="9.140625" style="10" hidden="1" customWidth="1"/>
    <col min="313" max="313" width="18.5703125" style="10" hidden="1" customWidth="1"/>
    <col min="314" max="314" width="3.42578125" style="10" hidden="1" customWidth="1"/>
    <col min="315" max="315" width="6.85546875" style="10" hidden="1" customWidth="1"/>
    <col min="316" max="316" width="4.85546875" style="10" hidden="1" customWidth="1"/>
    <col min="317" max="317" width="5" style="10" hidden="1" customWidth="1"/>
    <col min="318" max="318" width="16.85546875" style="10" hidden="1" customWidth="1"/>
    <col min="319" max="320" width="9.140625" style="10" hidden="1" customWidth="1"/>
    <col min="321" max="321" width="3.42578125" style="10" hidden="1" customWidth="1"/>
    <col min="322" max="322" width="6.85546875" style="10" hidden="1" customWidth="1"/>
    <col min="323" max="323" width="4.85546875" style="10" hidden="1" customWidth="1"/>
    <col min="324" max="324" width="5" style="10" hidden="1" customWidth="1"/>
    <col min="325" max="325" width="16.85546875" style="10" hidden="1" customWidth="1"/>
    <col min="326" max="327" width="9.140625" style="10" hidden="1" customWidth="1"/>
    <col min="328" max="328" width="3.42578125" style="10" hidden="1" customWidth="1"/>
    <col min="329" max="329" width="6.85546875" style="10" hidden="1" customWidth="1"/>
    <col min="330" max="330" width="4.85546875" style="10" hidden="1" customWidth="1"/>
    <col min="331" max="331" width="5" style="10" hidden="1" customWidth="1"/>
    <col min="332" max="332" width="16.85546875" style="10" hidden="1" customWidth="1"/>
    <col min="333" max="334" width="9.140625" style="10" hidden="1" customWidth="1"/>
    <col min="335" max="335" width="3.42578125" style="10" hidden="1" customWidth="1"/>
    <col min="336" max="336" width="6.85546875" style="10" hidden="1" customWidth="1"/>
    <col min="337" max="337" width="4.85546875" style="10" hidden="1" customWidth="1"/>
    <col min="338" max="338" width="5" style="10" hidden="1" customWidth="1"/>
    <col min="339" max="339" width="16.85546875" style="10" hidden="1" customWidth="1"/>
    <col min="340" max="341" width="9.140625" style="10" hidden="1" customWidth="1"/>
    <col min="342" max="342" width="3.42578125" style="10" hidden="1" customWidth="1"/>
    <col min="343" max="343" width="6.85546875" style="10" hidden="1" customWidth="1"/>
    <col min="344" max="344" width="4.85546875" style="10" hidden="1" customWidth="1"/>
    <col min="345" max="345" width="5" style="10" hidden="1" customWidth="1"/>
    <col min="346" max="346" width="16.85546875" style="10" hidden="1" customWidth="1"/>
    <col min="347" max="348" width="9.140625" style="10" hidden="1" customWidth="1"/>
    <col min="349" max="349" width="3.42578125" style="10" hidden="1" customWidth="1"/>
    <col min="350" max="350" width="6.85546875" style="10" hidden="1" customWidth="1"/>
    <col min="351" max="351" width="4.85546875" style="10" hidden="1" customWidth="1"/>
    <col min="352" max="352" width="5" style="10" hidden="1" customWidth="1"/>
    <col min="353" max="353" width="16.85546875" style="10" hidden="1" customWidth="1"/>
    <col min="354" max="355" width="9.140625" style="10" hidden="1" customWidth="1"/>
    <col min="356" max="356" width="3.42578125" style="10" hidden="1" customWidth="1"/>
    <col min="357" max="357" width="6.85546875" style="10" hidden="1" customWidth="1"/>
    <col min="358" max="358" width="4.85546875" style="10" hidden="1" customWidth="1"/>
    <col min="359" max="359" width="5" style="10" hidden="1" customWidth="1"/>
    <col min="360" max="360" width="16.85546875" style="10" hidden="1" customWidth="1"/>
    <col min="361" max="362" width="9.140625" style="10" hidden="1" customWidth="1"/>
    <col min="363" max="363" width="3.42578125" style="10" hidden="1" customWidth="1"/>
    <col min="364" max="364" width="6.85546875" style="10" hidden="1" customWidth="1"/>
    <col min="365" max="365" width="4.85546875" style="10" hidden="1" customWidth="1"/>
    <col min="366" max="366" width="5" style="10" hidden="1" customWidth="1"/>
    <col min="367" max="367" width="16.85546875" style="10" hidden="1" customWidth="1"/>
    <col min="368" max="369" width="9.140625" style="10" hidden="1" customWidth="1"/>
    <col min="370" max="370" width="4.28515625" style="10" hidden="1" customWidth="1"/>
    <col min="371" max="371" width="6.85546875" style="10" hidden="1" customWidth="1"/>
    <col min="372" max="372" width="4.85546875" style="10" hidden="1" customWidth="1"/>
    <col min="373" max="373" width="5" style="10" hidden="1" customWidth="1"/>
    <col min="374" max="374" width="16.85546875" style="10" hidden="1" customWidth="1"/>
    <col min="375" max="376" width="9.140625" style="10" hidden="1" customWidth="1"/>
    <col min="377" max="377" width="4.28515625" style="10" hidden="1" customWidth="1"/>
    <col min="378" max="378" width="6.85546875" style="10" hidden="1" customWidth="1"/>
    <col min="379" max="379" width="4.85546875" style="10" hidden="1" customWidth="1"/>
    <col min="380" max="380" width="5" style="10" hidden="1" customWidth="1"/>
    <col min="381" max="381" width="16.7109375" style="10" hidden="1" customWidth="1"/>
    <col min="382" max="383" width="9.140625" style="10" hidden="1" customWidth="1"/>
    <col min="384" max="384" width="4.28515625" style="10" hidden="1" customWidth="1"/>
    <col min="385" max="385" width="6.85546875" style="10" hidden="1" customWidth="1"/>
    <col min="386" max="386" width="4.85546875" style="10" hidden="1" customWidth="1"/>
    <col min="387" max="387" width="5" style="10" hidden="1" customWidth="1"/>
    <col min="388" max="388" width="16.85546875" style="10" hidden="1" customWidth="1"/>
    <col min="389" max="390" width="9.140625" style="10" hidden="1" customWidth="1"/>
    <col min="391" max="391" width="4.28515625" style="10" hidden="1" customWidth="1"/>
    <col min="392" max="392" width="6.85546875" style="10" hidden="1" customWidth="1"/>
    <col min="393" max="393" width="4.85546875" style="10" hidden="1" customWidth="1"/>
    <col min="394" max="394" width="5" style="10" hidden="1" customWidth="1"/>
    <col min="395" max="395" width="16.85546875" style="10" hidden="1" customWidth="1"/>
    <col min="396" max="397" width="9.140625" style="10" hidden="1" customWidth="1"/>
    <col min="398" max="398" width="4.28515625" style="10" hidden="1" customWidth="1"/>
    <col min="399" max="399" width="6.85546875" style="10" hidden="1" customWidth="1"/>
    <col min="400" max="400" width="4.85546875" style="10" hidden="1" customWidth="1"/>
    <col min="401" max="401" width="5" style="10" hidden="1" customWidth="1"/>
    <col min="402" max="402" width="16.85546875" style="10" hidden="1" customWidth="1"/>
    <col min="403" max="404" width="9.140625" style="10" hidden="1" customWidth="1"/>
    <col min="405" max="405" width="4.28515625" style="10" hidden="1" customWidth="1"/>
    <col min="406" max="406" width="6.85546875" style="10" hidden="1" customWidth="1"/>
    <col min="407" max="407" width="4.85546875" style="10" hidden="1" customWidth="1"/>
    <col min="408" max="408" width="5" style="10" hidden="1" customWidth="1"/>
    <col min="409" max="409" width="16.85546875" style="10" hidden="1" customWidth="1"/>
    <col min="410" max="411" width="9.140625" style="10" hidden="1" customWidth="1"/>
    <col min="412" max="412" width="4.28515625" style="10" hidden="1" customWidth="1"/>
    <col min="413" max="413" width="6.85546875" style="10" hidden="1" customWidth="1"/>
    <col min="414" max="414" width="4.85546875" style="10" hidden="1" customWidth="1"/>
    <col min="415" max="415" width="5" style="10" hidden="1" customWidth="1"/>
    <col min="416" max="416" width="16.85546875" style="10" hidden="1" customWidth="1"/>
    <col min="417" max="418" width="9.140625" style="10" hidden="1" customWidth="1"/>
    <col min="419" max="419" width="4.28515625" style="10" hidden="1" customWidth="1"/>
    <col min="420" max="420" width="6.85546875" style="10" hidden="1" customWidth="1"/>
    <col min="421" max="421" width="4.85546875" style="10" hidden="1" customWidth="1"/>
    <col min="422" max="422" width="5" style="10" hidden="1" customWidth="1"/>
    <col min="423" max="423" width="16.85546875" style="10" hidden="1" customWidth="1"/>
    <col min="424" max="425" width="9.140625" style="10" hidden="1" customWidth="1"/>
    <col min="426" max="426" width="4.28515625" style="10" hidden="1" customWidth="1"/>
    <col min="427" max="427" width="6.85546875" style="10" hidden="1" customWidth="1"/>
    <col min="428" max="428" width="4.85546875" style="10" hidden="1" customWidth="1"/>
    <col min="429" max="429" width="5" style="10" hidden="1" customWidth="1"/>
    <col min="430" max="430" width="16.7109375" style="10" hidden="1" customWidth="1"/>
    <col min="431" max="432" width="9.140625" style="10" hidden="1" customWidth="1"/>
    <col min="433" max="433" width="4.28515625" style="10" hidden="1" customWidth="1"/>
    <col min="434" max="434" width="6.85546875" style="10" hidden="1" customWidth="1"/>
    <col min="435" max="435" width="4.85546875" style="10" hidden="1" customWidth="1"/>
    <col min="436" max="436" width="5" style="10" hidden="1" customWidth="1"/>
    <col min="437" max="437" width="16.85546875" style="10" hidden="1" customWidth="1"/>
    <col min="438" max="439" width="9.140625" style="10" hidden="1" customWidth="1"/>
    <col min="440" max="440" width="4.28515625" style="10" hidden="1" customWidth="1"/>
    <col min="441" max="441" width="6.85546875" style="10" hidden="1" customWidth="1"/>
    <col min="442" max="442" width="4.85546875" style="10" hidden="1" customWidth="1"/>
    <col min="443" max="443" width="5" style="10" hidden="1" customWidth="1"/>
    <col min="444" max="444" width="16.85546875" style="10" hidden="1" customWidth="1"/>
    <col min="445" max="446" width="9.140625" style="10" hidden="1" customWidth="1"/>
    <col min="447" max="447" width="4.28515625" style="10" hidden="1" customWidth="1"/>
    <col min="448" max="448" width="6.85546875" style="10" hidden="1" customWidth="1"/>
    <col min="449" max="449" width="4.85546875" style="10" hidden="1" customWidth="1"/>
    <col min="450" max="450" width="5" style="10" hidden="1" customWidth="1"/>
    <col min="451" max="451" width="16.85546875" style="10" hidden="1" customWidth="1"/>
    <col min="452" max="453" width="9.140625" style="10" hidden="1" customWidth="1"/>
    <col min="454" max="454" width="4.28515625" style="10" hidden="1" customWidth="1"/>
    <col min="455" max="455" width="6.85546875" style="10" hidden="1" customWidth="1"/>
    <col min="456" max="456" width="4.85546875" style="10" hidden="1" customWidth="1"/>
    <col min="457" max="457" width="5" style="10" hidden="1" customWidth="1"/>
    <col min="458" max="458" width="16.85546875" style="10" hidden="1" customWidth="1"/>
    <col min="459" max="460" width="9.140625" style="10" hidden="1" customWidth="1"/>
    <col min="461" max="461" width="4.28515625" style="10" hidden="1" customWidth="1"/>
    <col min="462" max="462" width="6.85546875" style="10" hidden="1" customWidth="1"/>
    <col min="463" max="463" width="4.85546875" style="10" hidden="1" customWidth="1"/>
    <col min="464" max="464" width="5" style="10" hidden="1" customWidth="1"/>
    <col min="465" max="465" width="16.85546875" style="10" hidden="1" customWidth="1"/>
    <col min="466" max="467" width="9.140625" style="10" hidden="1" customWidth="1"/>
    <col min="468" max="468" width="4.28515625" style="10" hidden="1" customWidth="1"/>
    <col min="469" max="469" width="6.85546875" style="10" hidden="1" customWidth="1"/>
    <col min="470" max="470" width="4.85546875" style="10" hidden="1" customWidth="1"/>
    <col min="471" max="471" width="5" style="10" hidden="1" customWidth="1"/>
    <col min="472" max="472" width="16.85546875" style="10" hidden="1" customWidth="1"/>
    <col min="473" max="474" width="9.140625" style="10" hidden="1" customWidth="1"/>
    <col min="475" max="475" width="4.28515625" style="10" hidden="1" customWidth="1"/>
    <col min="476" max="476" width="6.85546875" style="10" hidden="1" customWidth="1"/>
    <col min="477" max="477" width="4.85546875" style="10" hidden="1" customWidth="1"/>
    <col min="478" max="478" width="5" style="10" hidden="1" customWidth="1"/>
    <col min="479" max="479" width="16.85546875" style="10" hidden="1" customWidth="1"/>
    <col min="480" max="481" width="9.140625" style="10" hidden="1" customWidth="1"/>
    <col min="482" max="482" width="4.28515625" style="10" hidden="1" customWidth="1"/>
    <col min="483" max="483" width="6.85546875" style="10" hidden="1" customWidth="1"/>
    <col min="484" max="484" width="4.85546875" style="10" hidden="1" customWidth="1"/>
    <col min="485" max="485" width="5" style="10" hidden="1" customWidth="1"/>
    <col min="486" max="486" width="16.85546875" style="10" hidden="1" customWidth="1"/>
    <col min="487" max="488" width="9.140625" style="10" hidden="1" customWidth="1"/>
    <col min="489" max="489" width="4.28515625" style="10" hidden="1" customWidth="1"/>
    <col min="490" max="490" width="6.85546875" style="10" hidden="1" customWidth="1"/>
    <col min="491" max="491" width="4.85546875" style="10" hidden="1" customWidth="1"/>
    <col min="492" max="492" width="5" style="10" hidden="1" customWidth="1"/>
    <col min="493" max="493" width="16.85546875" style="10" hidden="1" customWidth="1"/>
    <col min="494" max="495" width="9.140625" style="10" hidden="1" customWidth="1"/>
    <col min="496" max="496" width="4.28515625" style="10" hidden="1" customWidth="1"/>
    <col min="497" max="497" width="6.85546875" style="10" hidden="1" customWidth="1"/>
    <col min="498" max="498" width="4.85546875" style="10" hidden="1" customWidth="1"/>
    <col min="499" max="499" width="5" style="10" hidden="1" customWidth="1"/>
    <col min="500" max="500" width="16.85546875" style="10" hidden="1" customWidth="1"/>
    <col min="501" max="502" width="9.140625" style="10" hidden="1" customWidth="1"/>
    <col min="503" max="503" width="4.28515625" style="10" hidden="1" customWidth="1"/>
    <col min="504" max="504" width="6.85546875" style="10" hidden="1" customWidth="1"/>
    <col min="505" max="505" width="4.85546875" style="10" hidden="1" customWidth="1"/>
    <col min="506" max="506" width="5" style="10" hidden="1" customWidth="1"/>
    <col min="507" max="507" width="16.85546875" style="10" hidden="1" customWidth="1"/>
    <col min="508" max="509" width="9.140625" style="10" hidden="1" customWidth="1"/>
    <col min="510" max="510" width="4.28515625" style="10" hidden="1" customWidth="1"/>
    <col min="511" max="511" width="6.85546875" style="10" hidden="1" customWidth="1"/>
    <col min="512" max="512" width="4.85546875" style="10" hidden="1" customWidth="1"/>
    <col min="513" max="513" width="5" style="10" hidden="1" customWidth="1"/>
    <col min="514" max="514" width="16.85546875" style="10" hidden="1" customWidth="1"/>
    <col min="515" max="516" width="9.140625" style="10" hidden="1" customWidth="1"/>
    <col min="517" max="517" width="4.28515625" style="10" hidden="1" customWidth="1"/>
    <col min="518" max="518" width="6.85546875" style="10" hidden="1" customWidth="1"/>
    <col min="519" max="519" width="4.85546875" style="10" hidden="1" customWidth="1"/>
    <col min="520" max="520" width="5" style="10" hidden="1" customWidth="1"/>
    <col min="521" max="521" width="16.85546875" style="10" hidden="1" customWidth="1"/>
    <col min="522" max="523" width="9.140625" style="10" hidden="1" customWidth="1"/>
    <col min="524" max="524" width="4.28515625" style="10" hidden="1" customWidth="1"/>
    <col min="525" max="525" width="6.85546875" style="10" hidden="1" customWidth="1"/>
    <col min="526" max="526" width="4.85546875" style="10" hidden="1" customWidth="1"/>
    <col min="527" max="527" width="5" style="10" hidden="1" customWidth="1"/>
    <col min="528" max="528" width="16.85546875" style="10" hidden="1" customWidth="1"/>
    <col min="529" max="530" width="9.140625" style="10" hidden="1" customWidth="1"/>
    <col min="531" max="531" width="4.28515625" style="10" hidden="1" customWidth="1"/>
    <col min="532" max="532" width="6.85546875" style="10" hidden="1" customWidth="1"/>
    <col min="533" max="533" width="4.85546875" style="10" hidden="1" customWidth="1"/>
    <col min="534" max="534" width="5" style="10" hidden="1" customWidth="1"/>
    <col min="535" max="535" width="16.85546875" style="10" hidden="1" customWidth="1"/>
    <col min="536" max="537" width="9.140625" style="10" hidden="1" customWidth="1"/>
    <col min="538" max="538" width="4.28515625" style="10" hidden="1" customWidth="1"/>
    <col min="539" max="539" width="6.85546875" style="10" hidden="1" customWidth="1"/>
    <col min="540" max="540" width="4.85546875" style="10" hidden="1" customWidth="1"/>
    <col min="541" max="541" width="5" style="10" hidden="1" customWidth="1"/>
    <col min="542" max="542" width="16.85546875" style="10" hidden="1" customWidth="1"/>
    <col min="543" max="544" width="9.140625" style="10" hidden="1" customWidth="1"/>
    <col min="545" max="545" width="4.28515625" style="10" hidden="1" customWidth="1"/>
    <col min="546" max="546" width="6.85546875" style="10" hidden="1" customWidth="1"/>
    <col min="547" max="547" width="4.85546875" style="10" hidden="1" customWidth="1"/>
    <col min="548" max="548" width="5" style="10" hidden="1" customWidth="1"/>
    <col min="549" max="549" width="16.85546875" style="10" hidden="1" customWidth="1"/>
    <col min="550" max="551" width="9.140625" style="10" hidden="1" customWidth="1"/>
    <col min="552" max="552" width="4.28515625" style="10" hidden="1" customWidth="1"/>
    <col min="553" max="553" width="6.85546875" style="10" hidden="1" customWidth="1"/>
    <col min="554" max="554" width="4.85546875" style="10" hidden="1" customWidth="1"/>
    <col min="555" max="555" width="5" style="10" hidden="1" customWidth="1"/>
    <col min="556" max="556" width="16.85546875" style="10" hidden="1" customWidth="1"/>
    <col min="557" max="558" width="9.140625" style="10" hidden="1" customWidth="1"/>
    <col min="559" max="559" width="4.28515625" style="10" hidden="1" customWidth="1"/>
    <col min="560" max="560" width="6.85546875" style="10" hidden="1" customWidth="1"/>
    <col min="561" max="561" width="4.85546875" style="10" hidden="1" customWidth="1"/>
    <col min="562" max="562" width="5" style="10" hidden="1" customWidth="1"/>
    <col min="563" max="563" width="16.85546875" style="10" hidden="1" customWidth="1"/>
    <col min="564" max="565" width="9.140625" style="10" hidden="1" customWidth="1"/>
    <col min="566" max="566" width="4.28515625" style="10" hidden="1" customWidth="1"/>
    <col min="567" max="567" width="9.140625" style="10" hidden="1" customWidth="1"/>
    <col min="568" max="568" width="19.28515625" style="10" hidden="1" customWidth="1"/>
    <col min="569" max="583" width="3.42578125" style="10" hidden="1" customWidth="1"/>
    <col min="584" max="606" width="4.42578125" style="10" hidden="1" customWidth="1"/>
    <col min="607" max="607" width="3.42578125" style="10" hidden="1" customWidth="1"/>
    <col min="608" max="608" width="9.140625" style="10" hidden="1" customWidth="1"/>
    <col min="609" max="609" width="19.28515625" style="10" hidden="1" customWidth="1"/>
    <col min="610" max="611" width="5.85546875" style="10" hidden="1" customWidth="1"/>
    <col min="612" max="632" width="5.5703125" style="10" hidden="1" customWidth="1"/>
    <col min="633" max="649" width="6" style="10" hidden="1" customWidth="1"/>
    <col min="650" max="650" width="9.140625" style="10" hidden="1" customWidth="1"/>
    <col min="651" max="651" width="2.140625" style="10" bestFit="1" customWidth="1"/>
    <col min="652" max="652" width="12.140625" style="10" bestFit="1" customWidth="1"/>
    <col min="653" max="653" width="27" style="10" bestFit="1" customWidth="1"/>
    <col min="654" max="16384" width="9.140625" style="10"/>
  </cols>
  <sheetData>
    <row r="1" spans="4:723">
      <c r="YA1" s="10" t="s">
        <v>177</v>
      </c>
      <c r="YB1" s="280"/>
      <c r="YC1" s="280"/>
      <c r="YD1" s="280"/>
      <c r="YE1" s="280"/>
      <c r="YF1" s="280"/>
      <c r="YG1" s="280"/>
      <c r="YH1" s="280"/>
      <c r="YI1" s="280"/>
      <c r="YJ1" s="280"/>
      <c r="YK1" s="280"/>
      <c r="YL1" s="280"/>
      <c r="YM1" s="280"/>
      <c r="YN1" s="280"/>
      <c r="YO1" s="280"/>
      <c r="YP1" s="280"/>
      <c r="YQ1" s="280"/>
      <c r="YR1" s="280"/>
      <c r="YS1" s="280"/>
      <c r="YT1" s="280"/>
      <c r="YU1" s="280"/>
      <c r="YV1" s="280"/>
      <c r="YW1" s="280"/>
      <c r="YX1" s="280"/>
      <c r="YY1" s="280"/>
      <c r="YZ1" s="280"/>
      <c r="ZA1" s="280"/>
      <c r="ZB1" s="280"/>
      <c r="ZC1" s="280"/>
      <c r="ZD1" s="280"/>
      <c r="ZE1" s="280"/>
      <c r="ZF1" s="280"/>
      <c r="ZG1" s="280"/>
      <c r="ZH1" s="280"/>
      <c r="ZI1" s="280"/>
      <c r="ZJ1" s="280"/>
      <c r="ZK1" s="280"/>
      <c r="ZL1" s="280"/>
      <c r="ZM1" s="280"/>
      <c r="ZN1" s="280"/>
      <c r="ZO1" s="280"/>
      <c r="ZP1" s="280"/>
      <c r="ZQ1" s="280"/>
      <c r="ZR1" s="280"/>
      <c r="ZS1" s="280"/>
      <c r="ZT1" s="280"/>
      <c r="ZU1" s="280"/>
      <c r="ZV1" s="280"/>
      <c r="ZW1" s="280"/>
      <c r="ZX1" s="280"/>
      <c r="ZY1" s="280"/>
      <c r="ZZ1" s="280"/>
      <c r="AAA1" s="280"/>
      <c r="AAB1" s="280"/>
      <c r="AAC1" s="280"/>
      <c r="AAD1" s="241"/>
      <c r="AAE1" s="241"/>
      <c r="AAF1" s="241"/>
      <c r="AAG1" s="241"/>
      <c r="AAH1" s="241"/>
      <c r="AAI1" s="241"/>
      <c r="AAJ1" s="241"/>
      <c r="AAK1" s="241"/>
      <c r="AAL1" s="241"/>
      <c r="AAM1" s="241"/>
      <c r="AAN1" s="241"/>
      <c r="AAO1" s="241"/>
      <c r="AAP1" s="241"/>
      <c r="AAQ1" s="241"/>
      <c r="AAR1" s="241"/>
      <c r="AAS1" s="241"/>
      <c r="AAT1" s="241"/>
      <c r="AAU1" s="241"/>
    </row>
    <row r="2" spans="4:723">
      <c r="D2" s="2"/>
      <c r="E2" s="2"/>
      <c r="F2" s="214" t="s">
        <v>68</v>
      </c>
      <c r="G2" s="215"/>
      <c r="H2" s="215"/>
      <c r="I2" s="215"/>
      <c r="J2" s="215"/>
      <c r="K2" s="215"/>
      <c r="L2" s="215"/>
      <c r="M2" s="215"/>
      <c r="N2" s="215"/>
      <c r="O2" s="216"/>
      <c r="P2" s="121"/>
      <c r="Q2" s="121"/>
      <c r="R2" s="217" t="s">
        <v>8</v>
      </c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121"/>
      <c r="AD2" s="214" t="s">
        <v>10</v>
      </c>
      <c r="AE2" s="215"/>
      <c r="AF2" s="215"/>
      <c r="AG2" s="215"/>
      <c r="AH2" s="215"/>
      <c r="AI2" s="215"/>
      <c r="AJ2" s="215"/>
      <c r="AK2" s="215"/>
      <c r="AL2" s="215"/>
      <c r="AM2" s="215"/>
      <c r="AN2" s="216"/>
      <c r="AO2" s="121"/>
      <c r="AP2" s="121"/>
      <c r="AQ2" s="121"/>
      <c r="AR2" s="121"/>
      <c r="AS2" s="121"/>
      <c r="AT2" s="121"/>
      <c r="AU2" s="121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S2" s="115" t="s">
        <v>62</v>
      </c>
      <c r="BU2" s="123">
        <v>0.16666666666666666</v>
      </c>
      <c r="CA2" s="212" t="s">
        <v>88</v>
      </c>
      <c r="CB2" s="212"/>
      <c r="CC2" s="212"/>
      <c r="CD2" s="212"/>
      <c r="CE2" s="212"/>
      <c r="CF2" s="212"/>
      <c r="CG2" s="212"/>
      <c r="CH2" s="212"/>
      <c r="CI2" s="212"/>
      <c r="CJ2" s="212"/>
      <c r="CK2" s="212"/>
      <c r="CL2" s="212"/>
      <c r="CM2" s="212"/>
      <c r="CN2" s="212"/>
      <c r="CO2" s="212"/>
      <c r="CP2" s="124"/>
      <c r="CR2" s="212" t="s">
        <v>89</v>
      </c>
      <c r="CS2" s="212"/>
      <c r="CT2" s="212"/>
      <c r="CU2" s="212"/>
      <c r="CV2" s="212"/>
      <c r="CW2" s="212"/>
      <c r="CX2" s="212"/>
      <c r="CY2" s="212"/>
      <c r="CZ2" s="212"/>
      <c r="DA2" s="212"/>
      <c r="DB2" s="212"/>
      <c r="DC2" s="212"/>
      <c r="DD2" s="212"/>
      <c r="DE2" s="212"/>
      <c r="DF2" s="212"/>
      <c r="DG2" s="124"/>
      <c r="DI2" s="212" t="s">
        <v>90</v>
      </c>
      <c r="DJ2" s="212"/>
      <c r="DK2" s="212"/>
      <c r="DL2" s="212"/>
      <c r="DM2" s="212"/>
      <c r="DN2" s="212"/>
      <c r="DO2" s="212"/>
      <c r="DP2" s="212"/>
      <c r="DQ2" s="212"/>
      <c r="DR2" s="212"/>
      <c r="DS2" s="212"/>
      <c r="DT2" s="212"/>
      <c r="DU2" s="212"/>
      <c r="DV2" s="212"/>
      <c r="DW2" s="212"/>
      <c r="DX2" s="124"/>
      <c r="DY2" s="124"/>
      <c r="DZ2" s="124"/>
      <c r="EB2" s="212" t="s">
        <v>88</v>
      </c>
      <c r="EC2" s="212"/>
      <c r="ED2" s="212"/>
      <c r="EE2" s="212"/>
      <c r="EF2" s="212"/>
      <c r="EG2" s="212"/>
      <c r="EH2" s="212"/>
      <c r="EI2" s="212"/>
      <c r="EJ2" s="212"/>
      <c r="EK2" s="212"/>
      <c r="EL2" s="212"/>
      <c r="EM2" s="212"/>
      <c r="EN2" s="212"/>
      <c r="EO2" s="212"/>
      <c r="EP2" s="212"/>
      <c r="EQ2" s="212"/>
      <c r="ES2" s="212" t="s">
        <v>89</v>
      </c>
      <c r="ET2" s="212"/>
      <c r="EU2" s="212"/>
      <c r="EV2" s="212"/>
      <c r="EW2" s="212"/>
      <c r="EX2" s="212"/>
      <c r="EY2" s="212"/>
      <c r="EZ2" s="212"/>
      <c r="FA2" s="212"/>
      <c r="FB2" s="212"/>
      <c r="FC2" s="212"/>
      <c r="FD2" s="212"/>
      <c r="FE2" s="212"/>
      <c r="FF2" s="212"/>
      <c r="FG2" s="212"/>
      <c r="FH2" s="212"/>
      <c r="FJ2" s="212" t="s">
        <v>90</v>
      </c>
      <c r="FK2" s="212"/>
      <c r="FL2" s="212"/>
      <c r="FM2" s="212"/>
      <c r="FN2" s="212"/>
      <c r="FO2" s="212"/>
      <c r="FP2" s="212"/>
      <c r="FQ2" s="212"/>
      <c r="FR2" s="212"/>
      <c r="FS2" s="212"/>
      <c r="FT2" s="212"/>
      <c r="FU2" s="212"/>
      <c r="FV2" s="212"/>
      <c r="FW2" s="212"/>
      <c r="FX2" s="212"/>
      <c r="FY2" s="212"/>
      <c r="GA2" s="212" t="s">
        <v>132</v>
      </c>
      <c r="GB2" s="212"/>
      <c r="GC2" s="212"/>
      <c r="GD2" s="212"/>
      <c r="GE2" s="212"/>
      <c r="GF2" s="212"/>
      <c r="GG2" s="212"/>
      <c r="GH2" s="212"/>
      <c r="GI2" s="212"/>
      <c r="GJ2" s="212"/>
      <c r="GK2" s="212"/>
      <c r="GL2" s="212"/>
      <c r="GM2" s="212"/>
      <c r="GN2" s="212"/>
      <c r="GO2" s="212"/>
      <c r="GP2" s="212"/>
      <c r="GR2" s="212" t="s">
        <v>133</v>
      </c>
      <c r="GS2" s="212"/>
      <c r="GT2" s="212"/>
      <c r="GU2" s="212"/>
      <c r="GV2" s="212"/>
      <c r="GW2" s="212"/>
      <c r="GX2" s="212"/>
      <c r="GY2" s="212"/>
      <c r="GZ2" s="212"/>
      <c r="HA2" s="212"/>
      <c r="HB2" s="212"/>
      <c r="HC2" s="212"/>
      <c r="HD2" s="212"/>
      <c r="HE2" s="212"/>
      <c r="HF2" s="212"/>
      <c r="HG2" s="212"/>
      <c r="HI2" s="10">
        <v>1</v>
      </c>
      <c r="HJ2" s="125">
        <v>2</v>
      </c>
      <c r="HK2" s="10">
        <v>3</v>
      </c>
      <c r="HL2" s="125">
        <v>4</v>
      </c>
      <c r="HM2" s="10">
        <v>5</v>
      </c>
      <c r="HN2" s="125">
        <v>6</v>
      </c>
      <c r="HO2" s="10">
        <v>7</v>
      </c>
      <c r="HP2" s="125">
        <v>8</v>
      </c>
      <c r="HQ2" s="10">
        <v>9</v>
      </c>
      <c r="HR2" s="125">
        <v>10</v>
      </c>
      <c r="HS2" s="10">
        <v>11</v>
      </c>
      <c r="HT2" s="125">
        <v>12</v>
      </c>
      <c r="HU2" s="125"/>
      <c r="HV2" s="212" t="s">
        <v>94</v>
      </c>
      <c r="HW2" s="212"/>
      <c r="HX2" s="212"/>
      <c r="HY2" s="212"/>
      <c r="HZ2" s="212"/>
      <c r="IA2" s="212"/>
      <c r="IB2" s="212"/>
      <c r="IC2" s="212"/>
      <c r="ID2" s="212"/>
      <c r="IE2" s="212"/>
      <c r="IF2" s="212"/>
      <c r="IG2" s="212"/>
      <c r="IH2" s="212"/>
      <c r="II2" s="212"/>
      <c r="IJ2" s="212"/>
      <c r="IK2" s="212"/>
      <c r="JB2" s="212" t="s">
        <v>134</v>
      </c>
      <c r="JC2" s="212"/>
      <c r="JD2" s="212"/>
      <c r="JE2" s="212"/>
      <c r="JF2" s="212"/>
      <c r="JG2" s="212"/>
      <c r="JH2" s="212"/>
      <c r="JI2" s="212"/>
      <c r="JJ2" s="212"/>
      <c r="JK2" s="212"/>
      <c r="JL2" s="212"/>
      <c r="JM2" s="212"/>
      <c r="JN2" s="212"/>
      <c r="JO2" s="212"/>
      <c r="JP2" s="212"/>
      <c r="JQ2" s="212"/>
      <c r="JS2" s="212" t="s">
        <v>135</v>
      </c>
      <c r="JT2" s="212"/>
      <c r="JU2" s="212"/>
      <c r="JV2" s="212"/>
      <c r="JW2" s="212"/>
      <c r="JX2" s="212"/>
      <c r="JY2" s="212"/>
      <c r="JZ2" s="212"/>
      <c r="KA2" s="212"/>
      <c r="KB2" s="212"/>
      <c r="KC2" s="212"/>
      <c r="KD2" s="212"/>
      <c r="KE2" s="212"/>
      <c r="KF2" s="212"/>
      <c r="KG2" s="212"/>
      <c r="KH2" s="212"/>
      <c r="KO2" s="10">
        <v>1</v>
      </c>
      <c r="KV2" s="10">
        <f>KO2+1</f>
        <v>2</v>
      </c>
      <c r="LC2" s="10">
        <f>KV2+1</f>
        <v>3</v>
      </c>
      <c r="LJ2" s="10">
        <f>LC2+1</f>
        <v>4</v>
      </c>
      <c r="LQ2" s="10">
        <f>LJ2+1</f>
        <v>5</v>
      </c>
      <c r="LX2" s="10">
        <f>LQ2+1</f>
        <v>6</v>
      </c>
      <c r="ME2" s="10">
        <f>LX2+1</f>
        <v>7</v>
      </c>
      <c r="ML2" s="10">
        <f>ME2+1</f>
        <v>8</v>
      </c>
      <c r="MS2" s="10">
        <f>ML2+1</f>
        <v>9</v>
      </c>
      <c r="MZ2" s="10">
        <f>MS2+1</f>
        <v>10</v>
      </c>
      <c r="NG2" s="10">
        <f>MZ2+1</f>
        <v>11</v>
      </c>
      <c r="NN2" s="10">
        <f>NG2+1</f>
        <v>12</v>
      </c>
      <c r="NU2" s="10">
        <f>NN2+1</f>
        <v>13</v>
      </c>
      <c r="OB2" s="10">
        <f>NU2+1</f>
        <v>14</v>
      </c>
      <c r="OI2" s="10">
        <f>OB2+1</f>
        <v>15</v>
      </c>
      <c r="OP2" s="10">
        <f>OI2+1</f>
        <v>16</v>
      </c>
      <c r="OW2" s="10">
        <f>OP2+1</f>
        <v>17</v>
      </c>
      <c r="PD2" s="10">
        <f>OW2+1</f>
        <v>18</v>
      </c>
      <c r="PK2" s="10">
        <f>PD2+1</f>
        <v>19</v>
      </c>
      <c r="PR2" s="10">
        <f>PK2+1</f>
        <v>20</v>
      </c>
      <c r="PY2" s="10">
        <f>PR2+1</f>
        <v>21</v>
      </c>
      <c r="QF2" s="10">
        <f>PY2+1</f>
        <v>22</v>
      </c>
      <c r="QM2" s="10">
        <f>QF2+1</f>
        <v>23</v>
      </c>
      <c r="QT2" s="10">
        <f>QM2+1</f>
        <v>24</v>
      </c>
      <c r="RA2" s="10">
        <f>QT2+1</f>
        <v>25</v>
      </c>
      <c r="RH2" s="10">
        <f>RA2+1</f>
        <v>26</v>
      </c>
      <c r="RO2" s="10">
        <f>RH2+1</f>
        <v>27</v>
      </c>
      <c r="RV2" s="10">
        <f>RO2+1</f>
        <v>28</v>
      </c>
      <c r="SC2" s="10">
        <f>RV2+1</f>
        <v>29</v>
      </c>
      <c r="SJ2" s="10">
        <f>SC2+1</f>
        <v>30</v>
      </c>
      <c r="SQ2" s="10">
        <f>SJ2+1</f>
        <v>31</v>
      </c>
      <c r="SX2" s="10">
        <f>SQ2+1</f>
        <v>32</v>
      </c>
      <c r="TE2" s="10">
        <f>SX2+1</f>
        <v>33</v>
      </c>
      <c r="TL2" s="10">
        <f>TE2+1</f>
        <v>34</v>
      </c>
      <c r="TS2" s="10">
        <f>TL2+1</f>
        <v>35</v>
      </c>
      <c r="TZ2" s="10">
        <f>TS2+1</f>
        <v>36</v>
      </c>
      <c r="UG2" s="10">
        <f>TZ2+1</f>
        <v>37</v>
      </c>
      <c r="UN2" s="10">
        <f>UG2+1</f>
        <v>38</v>
      </c>
      <c r="UU2" s="126"/>
      <c r="UV2" s="126"/>
      <c r="UW2" s="126">
        <v>1</v>
      </c>
      <c r="UX2" s="126">
        <v>2</v>
      </c>
      <c r="UY2" s="126">
        <v>2</v>
      </c>
      <c r="UZ2" s="126">
        <v>3</v>
      </c>
      <c r="VA2" s="126">
        <v>4</v>
      </c>
      <c r="VB2" s="126">
        <v>5</v>
      </c>
      <c r="VC2" s="126">
        <v>6</v>
      </c>
      <c r="VD2" s="126">
        <v>7</v>
      </c>
      <c r="VE2" s="126">
        <v>8</v>
      </c>
      <c r="VF2" s="126">
        <v>9</v>
      </c>
      <c r="VG2" s="126">
        <v>10</v>
      </c>
      <c r="VH2" s="126">
        <v>11</v>
      </c>
      <c r="VI2" s="126">
        <v>12</v>
      </c>
      <c r="VJ2" s="126">
        <v>13</v>
      </c>
      <c r="VK2" s="126">
        <v>14</v>
      </c>
      <c r="VL2" s="126">
        <v>15</v>
      </c>
      <c r="VM2" s="126">
        <v>16</v>
      </c>
      <c r="VN2" s="126">
        <v>17</v>
      </c>
      <c r="VO2" s="126">
        <v>18</v>
      </c>
      <c r="VP2" s="126">
        <v>19</v>
      </c>
      <c r="VQ2" s="126">
        <v>20</v>
      </c>
      <c r="VR2" s="126">
        <v>21</v>
      </c>
      <c r="VS2" s="126">
        <v>22</v>
      </c>
      <c r="VT2" s="126">
        <v>23</v>
      </c>
      <c r="VU2" s="126">
        <v>24</v>
      </c>
      <c r="VV2" s="126">
        <v>25</v>
      </c>
      <c r="VW2" s="126">
        <v>26</v>
      </c>
      <c r="VX2" s="126">
        <v>27</v>
      </c>
      <c r="VY2" s="126">
        <v>28</v>
      </c>
      <c r="VZ2" s="126">
        <v>29</v>
      </c>
      <c r="WA2" s="126">
        <v>30</v>
      </c>
      <c r="WB2" s="126">
        <v>31</v>
      </c>
      <c r="WC2" s="126">
        <v>32</v>
      </c>
      <c r="WD2" s="126">
        <v>33</v>
      </c>
      <c r="WE2" s="126">
        <v>34</v>
      </c>
      <c r="WF2" s="126">
        <v>35</v>
      </c>
      <c r="WG2" s="126">
        <v>36</v>
      </c>
      <c r="WH2" s="126">
        <v>37</v>
      </c>
      <c r="WI2" s="126">
        <f>MAX(F4:F11)</f>
        <v>20</v>
      </c>
      <c r="WJ2" s="126"/>
      <c r="WK2" s="126"/>
      <c r="WL2" s="126"/>
      <c r="WM2" s="126"/>
      <c r="YB2" s="280"/>
      <c r="YC2" s="280"/>
      <c r="YD2" s="280"/>
      <c r="YE2" s="280"/>
      <c r="YF2" s="280"/>
      <c r="YG2" s="280"/>
      <c r="YH2" s="280"/>
      <c r="YI2" s="280"/>
      <c r="YJ2" s="280"/>
      <c r="YK2" s="280"/>
      <c r="YL2" s="280"/>
      <c r="YM2" s="280"/>
      <c r="YN2" s="280"/>
      <c r="YO2" s="280"/>
      <c r="YP2" s="280"/>
      <c r="YQ2" s="280"/>
      <c r="YR2" s="280"/>
      <c r="YS2" s="280"/>
      <c r="YT2" s="280"/>
      <c r="YU2" s="280"/>
      <c r="YV2" s="280"/>
      <c r="YW2" s="280"/>
      <c r="YX2" s="280"/>
      <c r="YY2" s="280"/>
      <c r="YZ2" s="280"/>
      <c r="ZA2" s="280"/>
      <c r="ZB2" s="280"/>
      <c r="ZC2" s="280"/>
      <c r="ZD2" s="280"/>
      <c r="ZE2" s="280"/>
      <c r="ZF2" s="280"/>
      <c r="ZG2" s="280"/>
      <c r="ZH2" s="280"/>
      <c r="ZI2" s="280"/>
      <c r="ZJ2" s="280"/>
      <c r="ZK2" s="280"/>
      <c r="ZL2" s="280"/>
      <c r="ZM2" s="280"/>
      <c r="ZN2" s="280"/>
      <c r="ZO2" s="280"/>
      <c r="ZP2" s="280"/>
      <c r="ZQ2" s="280"/>
      <c r="ZR2" s="280"/>
      <c r="ZS2" s="280"/>
      <c r="ZT2" s="280"/>
      <c r="ZU2" s="280"/>
      <c r="ZV2" s="280"/>
      <c r="ZW2" s="280"/>
      <c r="ZX2" s="280"/>
      <c r="ZY2" s="280"/>
      <c r="ZZ2" s="280"/>
      <c r="AAA2" s="280"/>
      <c r="AAB2" s="280"/>
      <c r="AAC2" s="280"/>
      <c r="AAD2" s="160"/>
      <c r="AAE2" s="160"/>
      <c r="AAF2" s="160"/>
      <c r="AAG2" s="160"/>
      <c r="AAH2" s="241"/>
      <c r="AAI2" s="241"/>
      <c r="AAJ2" s="241"/>
      <c r="AAK2" s="241"/>
      <c r="AAL2" s="241"/>
      <c r="AAM2" s="241"/>
      <c r="AAN2" s="241"/>
      <c r="AAO2" s="241"/>
      <c r="AAP2" s="241"/>
      <c r="AAQ2" s="241"/>
      <c r="AAR2" s="241"/>
      <c r="AAS2" s="241"/>
      <c r="AAT2" s="241"/>
      <c r="AAU2" s="241"/>
    </row>
    <row r="3" spans="4:723">
      <c r="D3" s="14" t="s">
        <v>67</v>
      </c>
      <c r="E3" s="127" t="s">
        <v>66</v>
      </c>
      <c r="F3" s="25" t="s">
        <v>17</v>
      </c>
      <c r="G3" s="25" t="s">
        <v>12</v>
      </c>
      <c r="H3" s="25" t="s">
        <v>13</v>
      </c>
      <c r="I3" s="25" t="s">
        <v>14</v>
      </c>
      <c r="J3" s="25" t="s">
        <v>18</v>
      </c>
      <c r="K3" s="25" t="s">
        <v>15</v>
      </c>
      <c r="L3" s="25" t="s">
        <v>16</v>
      </c>
      <c r="M3" s="25" t="s">
        <v>19</v>
      </c>
      <c r="N3" s="25" t="s">
        <v>20</v>
      </c>
      <c r="O3" s="65" t="s">
        <v>86</v>
      </c>
      <c r="P3" s="65" t="s">
        <v>87</v>
      </c>
      <c r="Q3" s="55"/>
      <c r="R3" s="25" t="s">
        <v>17</v>
      </c>
      <c r="S3" s="25" t="s">
        <v>12</v>
      </c>
      <c r="T3" s="25" t="s">
        <v>13</v>
      </c>
      <c r="U3" s="25" t="s">
        <v>14</v>
      </c>
      <c r="V3" s="25" t="s">
        <v>18</v>
      </c>
      <c r="W3" s="25" t="s">
        <v>15</v>
      </c>
      <c r="X3" s="25" t="s">
        <v>16</v>
      </c>
      <c r="Y3" s="25" t="s">
        <v>19</v>
      </c>
      <c r="Z3" s="25" t="s">
        <v>20</v>
      </c>
      <c r="AA3" s="65" t="s">
        <v>86</v>
      </c>
      <c r="AB3" s="65" t="s">
        <v>87</v>
      </c>
      <c r="AC3" s="55"/>
      <c r="AD3" s="66" t="s">
        <v>17</v>
      </c>
      <c r="AE3" s="66" t="s">
        <v>12</v>
      </c>
      <c r="AF3" s="66" t="s">
        <v>13</v>
      </c>
      <c r="AG3" s="66" t="s">
        <v>14</v>
      </c>
      <c r="AH3" s="66" t="s">
        <v>18</v>
      </c>
      <c r="AI3" s="66" t="s">
        <v>15</v>
      </c>
      <c r="AJ3" s="66" t="s">
        <v>16</v>
      </c>
      <c r="AK3" s="66" t="s">
        <v>19</v>
      </c>
      <c r="AL3" s="66" t="s">
        <v>20</v>
      </c>
      <c r="AM3" s="65" t="s">
        <v>86</v>
      </c>
      <c r="AN3" s="65" t="s">
        <v>87</v>
      </c>
      <c r="AO3" s="26"/>
      <c r="AP3" s="26"/>
      <c r="AQ3" s="26"/>
      <c r="AR3" s="26"/>
      <c r="AS3" s="26"/>
      <c r="AT3" s="26"/>
      <c r="AU3" s="26"/>
      <c r="AV3" s="25" t="s">
        <v>17</v>
      </c>
      <c r="AW3" s="25" t="s">
        <v>12</v>
      </c>
      <c r="AX3" s="25" t="s">
        <v>13</v>
      </c>
      <c r="AY3" s="25" t="s">
        <v>14</v>
      </c>
      <c r="AZ3" s="25" t="s">
        <v>18</v>
      </c>
      <c r="BA3" s="25" t="s">
        <v>19</v>
      </c>
      <c r="BB3" s="25" t="s">
        <v>20</v>
      </c>
      <c r="BC3" s="25" t="s">
        <v>17</v>
      </c>
      <c r="BD3" s="25" t="s">
        <v>12</v>
      </c>
      <c r="BE3" s="25" t="s">
        <v>13</v>
      </c>
      <c r="BF3" s="25" t="s">
        <v>14</v>
      </c>
      <c r="BG3" s="25" t="s">
        <v>18</v>
      </c>
      <c r="BH3" s="25" t="s">
        <v>19</v>
      </c>
      <c r="BI3" s="25" t="s">
        <v>20</v>
      </c>
      <c r="BJ3" s="25" t="s">
        <v>17</v>
      </c>
      <c r="BK3" s="25" t="s">
        <v>12</v>
      </c>
      <c r="BL3" s="25" t="s">
        <v>13</v>
      </c>
      <c r="BM3" s="25" t="s">
        <v>14</v>
      </c>
      <c r="BN3" s="25" t="s">
        <v>18</v>
      </c>
      <c r="BO3" s="25" t="s">
        <v>19</v>
      </c>
      <c r="BP3" s="25" t="s">
        <v>20</v>
      </c>
      <c r="BS3" s="10" t="s">
        <v>27</v>
      </c>
      <c r="BT3" s="123">
        <v>0.5</v>
      </c>
      <c r="BU3" s="123">
        <f>BT3-$BU$2</f>
        <v>0.33333333333333337</v>
      </c>
      <c r="BV3" s="10" t="s">
        <v>63</v>
      </c>
      <c r="CA3" s="10" t="s">
        <v>81</v>
      </c>
      <c r="CB3" s="10" t="s">
        <v>92</v>
      </c>
      <c r="CC3" s="10" t="s">
        <v>69</v>
      </c>
      <c r="CD3" s="10" t="s">
        <v>70</v>
      </c>
      <c r="CE3" s="10" t="s">
        <v>71</v>
      </c>
      <c r="CF3" s="10" t="s">
        <v>72</v>
      </c>
      <c r="CG3" s="10" t="s">
        <v>73</v>
      </c>
      <c r="CH3" s="10" t="s">
        <v>82</v>
      </c>
      <c r="CI3" s="10" t="s">
        <v>83</v>
      </c>
      <c r="CJ3" s="10" t="s">
        <v>74</v>
      </c>
      <c r="CK3" s="10" t="s">
        <v>75</v>
      </c>
      <c r="CL3" s="10" t="s">
        <v>76</v>
      </c>
      <c r="CM3" s="10" t="s">
        <v>80</v>
      </c>
      <c r="CN3" s="10" t="s">
        <v>78</v>
      </c>
      <c r="CO3" s="10" t="s">
        <v>77</v>
      </c>
      <c r="CP3" s="10" t="s">
        <v>79</v>
      </c>
      <c r="CQ3" s="21"/>
      <c r="CR3" s="10" t="s">
        <v>81</v>
      </c>
      <c r="CS3" s="10" t="s">
        <v>92</v>
      </c>
      <c r="CT3" s="10" t="s">
        <v>69</v>
      </c>
      <c r="CU3" s="10" t="s">
        <v>70</v>
      </c>
      <c r="CV3" s="10" t="s">
        <v>71</v>
      </c>
      <c r="CW3" s="10" t="s">
        <v>72</v>
      </c>
      <c r="CX3" s="10" t="s">
        <v>73</v>
      </c>
      <c r="CY3" s="10" t="s">
        <v>82</v>
      </c>
      <c r="CZ3" s="10" t="s">
        <v>83</v>
      </c>
      <c r="DA3" s="10" t="s">
        <v>74</v>
      </c>
      <c r="DB3" s="10" t="s">
        <v>75</v>
      </c>
      <c r="DC3" s="10" t="s">
        <v>76</v>
      </c>
      <c r="DD3" s="10" t="s">
        <v>80</v>
      </c>
      <c r="DE3" s="10" t="s">
        <v>78</v>
      </c>
      <c r="DF3" s="10" t="s">
        <v>77</v>
      </c>
      <c r="DG3" s="10" t="s">
        <v>79</v>
      </c>
      <c r="DH3" s="21"/>
      <c r="DI3" s="10" t="s">
        <v>81</v>
      </c>
      <c r="DJ3" s="10" t="s">
        <v>92</v>
      </c>
      <c r="DK3" s="10" t="s">
        <v>69</v>
      </c>
      <c r="DL3" s="10" t="s">
        <v>70</v>
      </c>
      <c r="DM3" s="10" t="s">
        <v>71</v>
      </c>
      <c r="DN3" s="10" t="s">
        <v>72</v>
      </c>
      <c r="DO3" s="10" t="s">
        <v>73</v>
      </c>
      <c r="DP3" s="10" t="s">
        <v>82</v>
      </c>
      <c r="DQ3" s="10" t="s">
        <v>83</v>
      </c>
      <c r="DR3" s="10" t="s">
        <v>74</v>
      </c>
      <c r="DS3" s="10" t="s">
        <v>75</v>
      </c>
      <c r="DT3" s="10" t="s">
        <v>76</v>
      </c>
      <c r="DU3" s="10" t="s">
        <v>80</v>
      </c>
      <c r="DV3" s="10" t="s">
        <v>78</v>
      </c>
      <c r="DW3" s="10" t="s">
        <v>77</v>
      </c>
      <c r="DX3" s="10" t="s">
        <v>79</v>
      </c>
      <c r="EB3" s="10" t="s">
        <v>81</v>
      </c>
      <c r="EC3" s="10" t="s">
        <v>92</v>
      </c>
      <c r="ED3" s="10" t="s">
        <v>69</v>
      </c>
      <c r="EE3" s="10" t="s">
        <v>70</v>
      </c>
      <c r="EF3" s="10" t="s">
        <v>71</v>
      </c>
      <c r="EG3" s="10" t="s">
        <v>72</v>
      </c>
      <c r="EH3" s="10" t="s">
        <v>73</v>
      </c>
      <c r="EI3" s="10" t="s">
        <v>82</v>
      </c>
      <c r="EJ3" s="10" t="s">
        <v>83</v>
      </c>
      <c r="EK3" s="10" t="s">
        <v>74</v>
      </c>
      <c r="EL3" s="10" t="s">
        <v>75</v>
      </c>
      <c r="EM3" s="10" t="s">
        <v>76</v>
      </c>
      <c r="EN3" s="10" t="s">
        <v>80</v>
      </c>
      <c r="EO3" s="10" t="s">
        <v>78</v>
      </c>
      <c r="EP3" s="10" t="s">
        <v>77</v>
      </c>
      <c r="EQ3" s="10" t="s">
        <v>79</v>
      </c>
      <c r="ES3" s="10" t="s">
        <v>81</v>
      </c>
      <c r="ET3" s="10" t="s">
        <v>92</v>
      </c>
      <c r="EU3" s="10" t="s">
        <v>81</v>
      </c>
      <c r="EV3" s="10" t="s">
        <v>92</v>
      </c>
      <c r="EW3" s="10" t="s">
        <v>69</v>
      </c>
      <c r="EX3" s="10" t="s">
        <v>70</v>
      </c>
      <c r="EY3" s="10" t="s">
        <v>71</v>
      </c>
      <c r="EZ3" s="10" t="s">
        <v>72</v>
      </c>
      <c r="FA3" s="10" t="s">
        <v>73</v>
      </c>
      <c r="FB3" s="10" t="s">
        <v>82</v>
      </c>
      <c r="FC3" s="10" t="s">
        <v>75</v>
      </c>
      <c r="FD3" s="10" t="s">
        <v>76</v>
      </c>
      <c r="FE3" s="10" t="s">
        <v>80</v>
      </c>
      <c r="FF3" s="10" t="s">
        <v>78</v>
      </c>
      <c r="FG3" s="10" t="s">
        <v>77</v>
      </c>
      <c r="FH3" s="10" t="s">
        <v>79</v>
      </c>
      <c r="FJ3" s="10" t="s">
        <v>81</v>
      </c>
      <c r="FK3" s="10" t="s">
        <v>92</v>
      </c>
      <c r="FL3" s="10" t="s">
        <v>69</v>
      </c>
      <c r="FM3" s="10" t="s">
        <v>70</v>
      </c>
      <c r="FN3" s="10" t="s">
        <v>71</v>
      </c>
      <c r="FO3" s="10" t="s">
        <v>72</v>
      </c>
      <c r="FP3" s="10" t="s">
        <v>73</v>
      </c>
      <c r="FQ3" s="10" t="s">
        <v>82</v>
      </c>
      <c r="FR3" s="10" t="s">
        <v>74</v>
      </c>
      <c r="FS3" s="10" t="s">
        <v>83</v>
      </c>
      <c r="FT3" s="10" t="s">
        <v>75</v>
      </c>
      <c r="FU3" s="10" t="s">
        <v>76</v>
      </c>
      <c r="FV3" s="10" t="s">
        <v>80</v>
      </c>
      <c r="FW3" s="10" t="s">
        <v>78</v>
      </c>
      <c r="FX3" s="10" t="s">
        <v>77</v>
      </c>
      <c r="FY3" s="10" t="s">
        <v>79</v>
      </c>
      <c r="GA3" s="10" t="s">
        <v>81</v>
      </c>
      <c r="GB3" s="10" t="s">
        <v>92</v>
      </c>
      <c r="GC3" s="10" t="s">
        <v>69</v>
      </c>
      <c r="GD3" s="10" t="s">
        <v>70</v>
      </c>
      <c r="GE3" s="10" t="s">
        <v>71</v>
      </c>
      <c r="GF3" s="10" t="s">
        <v>72</v>
      </c>
      <c r="GG3" s="10" t="s">
        <v>73</v>
      </c>
      <c r="GH3" s="10" t="s">
        <v>82</v>
      </c>
      <c r="GI3" s="10" t="s">
        <v>74</v>
      </c>
      <c r="GJ3" s="10" t="s">
        <v>83</v>
      </c>
      <c r="GK3" s="10" t="s">
        <v>75</v>
      </c>
      <c r="GL3" s="10" t="s">
        <v>76</v>
      </c>
      <c r="GM3" s="10" t="s">
        <v>80</v>
      </c>
      <c r="GN3" s="10" t="s">
        <v>78</v>
      </c>
      <c r="GO3" s="10" t="s">
        <v>77</v>
      </c>
      <c r="GP3" s="10" t="s">
        <v>79</v>
      </c>
      <c r="GR3" s="10" t="s">
        <v>81</v>
      </c>
      <c r="GS3" s="10" t="s">
        <v>92</v>
      </c>
      <c r="GT3" s="10" t="s">
        <v>69</v>
      </c>
      <c r="GU3" s="10" t="s">
        <v>70</v>
      </c>
      <c r="GV3" s="10" t="s">
        <v>71</v>
      </c>
      <c r="GW3" s="10" t="s">
        <v>72</v>
      </c>
      <c r="GX3" s="10" t="s">
        <v>73</v>
      </c>
      <c r="GY3" s="10" t="s">
        <v>82</v>
      </c>
      <c r="GZ3" s="10" t="s">
        <v>74</v>
      </c>
      <c r="HA3" s="10" t="s">
        <v>83</v>
      </c>
      <c r="HB3" s="10" t="s">
        <v>75</v>
      </c>
      <c r="HC3" s="10" t="s">
        <v>76</v>
      </c>
      <c r="HD3" s="10" t="s">
        <v>80</v>
      </c>
      <c r="HE3" s="10" t="s">
        <v>78</v>
      </c>
      <c r="HF3" s="10" t="s">
        <v>77</v>
      </c>
      <c r="HG3" s="10" t="s">
        <v>79</v>
      </c>
      <c r="HJ3" s="25" t="s">
        <v>17</v>
      </c>
      <c r="HK3" s="25" t="s">
        <v>12</v>
      </c>
      <c r="HL3" s="25" t="s">
        <v>13</v>
      </c>
      <c r="HM3" s="25" t="s">
        <v>14</v>
      </c>
      <c r="HN3" s="25" t="s">
        <v>18</v>
      </c>
      <c r="HO3" s="25" t="s">
        <v>15</v>
      </c>
      <c r="HP3" s="25" t="s">
        <v>16</v>
      </c>
      <c r="HQ3" s="25" t="s">
        <v>19</v>
      </c>
      <c r="HR3" s="25" t="s">
        <v>20</v>
      </c>
      <c r="HS3" s="65" t="s">
        <v>86</v>
      </c>
      <c r="HT3" s="65" t="s">
        <v>87</v>
      </c>
      <c r="HV3" s="10" t="s">
        <v>81</v>
      </c>
      <c r="HW3" s="10" t="s">
        <v>92</v>
      </c>
      <c r="HX3" s="10" t="s">
        <v>69</v>
      </c>
      <c r="HY3" s="10" t="s">
        <v>70</v>
      </c>
      <c r="HZ3" s="10" t="s">
        <v>71</v>
      </c>
      <c r="IA3" s="10" t="s">
        <v>72</v>
      </c>
      <c r="IB3" s="10" t="s">
        <v>73</v>
      </c>
      <c r="IC3" s="10" t="s">
        <v>82</v>
      </c>
      <c r="ID3" s="10" t="s">
        <v>74</v>
      </c>
      <c r="IE3" s="10" t="s">
        <v>83</v>
      </c>
      <c r="IF3" s="10" t="s">
        <v>75</v>
      </c>
      <c r="IG3" s="10" t="s">
        <v>76</v>
      </c>
      <c r="IH3" s="10" t="s">
        <v>80</v>
      </c>
      <c r="II3" s="10" t="s">
        <v>78</v>
      </c>
      <c r="IJ3" s="10" t="s">
        <v>77</v>
      </c>
      <c r="IK3" s="10" t="s">
        <v>79</v>
      </c>
      <c r="IO3" s="76" t="s">
        <v>91</v>
      </c>
      <c r="IP3" s="76" t="s">
        <v>128</v>
      </c>
      <c r="IQ3" s="76" t="s">
        <v>129</v>
      </c>
      <c r="IR3" s="128" t="s">
        <v>130</v>
      </c>
      <c r="IS3" s="128" t="s">
        <v>131</v>
      </c>
      <c r="IT3" s="112"/>
      <c r="IU3" s="76" t="s">
        <v>91</v>
      </c>
      <c r="IV3" s="76" t="s">
        <v>128</v>
      </c>
      <c r="IW3" s="76" t="s">
        <v>129</v>
      </c>
      <c r="IX3" s="128" t="s">
        <v>130</v>
      </c>
      <c r="IY3" s="128" t="s">
        <v>131</v>
      </c>
      <c r="JB3" s="10" t="s">
        <v>81</v>
      </c>
      <c r="JC3" s="10" t="s">
        <v>92</v>
      </c>
      <c r="JD3" s="10" t="s">
        <v>69</v>
      </c>
      <c r="JE3" s="10" t="s">
        <v>70</v>
      </c>
      <c r="JF3" s="10" t="s">
        <v>71</v>
      </c>
      <c r="JG3" s="10" t="s">
        <v>72</v>
      </c>
      <c r="JH3" s="10" t="s">
        <v>73</v>
      </c>
      <c r="JI3" s="10" t="s">
        <v>82</v>
      </c>
      <c r="JJ3" s="10" t="s">
        <v>74</v>
      </c>
      <c r="JK3" s="10" t="s">
        <v>83</v>
      </c>
      <c r="JL3" s="10" t="s">
        <v>75</v>
      </c>
      <c r="JM3" s="10" t="s">
        <v>76</v>
      </c>
      <c r="JN3" s="10" t="s">
        <v>80</v>
      </c>
      <c r="JO3" s="10" t="s">
        <v>78</v>
      </c>
      <c r="JP3" s="10" t="s">
        <v>77</v>
      </c>
      <c r="JQ3" s="10" t="s">
        <v>79</v>
      </c>
      <c r="JS3" s="10" t="s">
        <v>81</v>
      </c>
      <c r="JT3" s="10" t="s">
        <v>92</v>
      </c>
      <c r="JU3" s="10" t="s">
        <v>69</v>
      </c>
      <c r="JV3" s="10" t="s">
        <v>70</v>
      </c>
      <c r="JW3" s="10" t="s">
        <v>71</v>
      </c>
      <c r="JX3" s="10" t="s">
        <v>72</v>
      </c>
      <c r="JY3" s="10" t="s">
        <v>73</v>
      </c>
      <c r="JZ3" s="10" t="s">
        <v>82</v>
      </c>
      <c r="KA3" s="10" t="s">
        <v>74</v>
      </c>
      <c r="KB3" s="10" t="s">
        <v>83</v>
      </c>
      <c r="KC3" s="10" t="s">
        <v>75</v>
      </c>
      <c r="KD3" s="10" t="s">
        <v>76</v>
      </c>
      <c r="KE3" s="10" t="s">
        <v>80</v>
      </c>
      <c r="KF3" s="10" t="s">
        <v>78</v>
      </c>
      <c r="KG3" s="10" t="s">
        <v>77</v>
      </c>
      <c r="KH3" s="10" t="s">
        <v>79</v>
      </c>
      <c r="KM3" s="14" t="s">
        <v>67</v>
      </c>
      <c r="KN3" s="127" t="s">
        <v>66</v>
      </c>
      <c r="KO3" s="13" t="s">
        <v>18</v>
      </c>
      <c r="KP3" s="53" t="s">
        <v>15</v>
      </c>
      <c r="KQ3" s="53" t="s">
        <v>16</v>
      </c>
      <c r="KU3" s="86">
        <v>1</v>
      </c>
      <c r="KV3" s="13" t="s">
        <v>18</v>
      </c>
      <c r="KW3" s="53" t="s">
        <v>15</v>
      </c>
      <c r="KX3" s="53" t="s">
        <v>16</v>
      </c>
      <c r="LB3" s="86">
        <f>KU3+1</f>
        <v>2</v>
      </c>
      <c r="LC3" s="13" t="s">
        <v>18</v>
      </c>
      <c r="LD3" s="53" t="s">
        <v>15</v>
      </c>
      <c r="LE3" s="53" t="s">
        <v>16</v>
      </c>
      <c r="LI3" s="86">
        <f>LB3+1</f>
        <v>3</v>
      </c>
      <c r="LJ3" s="13" t="s">
        <v>18</v>
      </c>
      <c r="LK3" s="53" t="s">
        <v>15</v>
      </c>
      <c r="LL3" s="53" t="s">
        <v>16</v>
      </c>
      <c r="LP3" s="86">
        <f>LI3+1</f>
        <v>4</v>
      </c>
      <c r="LQ3" s="13" t="s">
        <v>18</v>
      </c>
      <c r="LR3" s="53" t="s">
        <v>15</v>
      </c>
      <c r="LS3" s="53" t="s">
        <v>16</v>
      </c>
      <c r="LW3" s="86">
        <f>LP3+1</f>
        <v>5</v>
      </c>
      <c r="LX3" s="13" t="s">
        <v>18</v>
      </c>
      <c r="LY3" s="53" t="s">
        <v>15</v>
      </c>
      <c r="LZ3" s="53" t="s">
        <v>16</v>
      </c>
      <c r="MD3" s="86">
        <f>LW3+1</f>
        <v>6</v>
      </c>
      <c r="ME3" s="13" t="s">
        <v>18</v>
      </c>
      <c r="MF3" s="53" t="s">
        <v>15</v>
      </c>
      <c r="MG3" s="53" t="s">
        <v>16</v>
      </c>
      <c r="MK3" s="86">
        <f>MD3+1</f>
        <v>7</v>
      </c>
      <c r="ML3" s="13" t="s">
        <v>18</v>
      </c>
      <c r="MM3" s="53" t="s">
        <v>15</v>
      </c>
      <c r="MN3" s="53" t="s">
        <v>16</v>
      </c>
      <c r="MR3" s="86">
        <f>MK3+1</f>
        <v>8</v>
      </c>
      <c r="MS3" s="13" t="s">
        <v>18</v>
      </c>
      <c r="MT3" s="53" t="s">
        <v>15</v>
      </c>
      <c r="MU3" s="53" t="s">
        <v>16</v>
      </c>
      <c r="MY3" s="86">
        <f>MR3+1</f>
        <v>9</v>
      </c>
      <c r="MZ3" s="13" t="s">
        <v>18</v>
      </c>
      <c r="NA3" s="53" t="s">
        <v>15</v>
      </c>
      <c r="NB3" s="53" t="s">
        <v>16</v>
      </c>
      <c r="NF3" s="86">
        <f>MY3+1</f>
        <v>10</v>
      </c>
      <c r="NG3" s="13" t="s">
        <v>18</v>
      </c>
      <c r="NH3" s="53" t="s">
        <v>15</v>
      </c>
      <c r="NI3" s="53" t="s">
        <v>16</v>
      </c>
      <c r="NM3" s="86">
        <f>NF3+1</f>
        <v>11</v>
      </c>
      <c r="NN3" s="13" t="s">
        <v>18</v>
      </c>
      <c r="NO3" s="53" t="s">
        <v>15</v>
      </c>
      <c r="NP3" s="53" t="s">
        <v>16</v>
      </c>
      <c r="NT3" s="86">
        <f>NM3+1</f>
        <v>12</v>
      </c>
      <c r="NU3" s="13" t="s">
        <v>18</v>
      </c>
      <c r="NV3" s="53" t="s">
        <v>15</v>
      </c>
      <c r="NW3" s="53" t="s">
        <v>16</v>
      </c>
      <c r="OA3" s="86">
        <f>NT3+1</f>
        <v>13</v>
      </c>
      <c r="OB3" s="13" t="s">
        <v>18</v>
      </c>
      <c r="OC3" s="53" t="s">
        <v>15</v>
      </c>
      <c r="OD3" s="53" t="s">
        <v>16</v>
      </c>
      <c r="OH3" s="86">
        <f>OA3+1</f>
        <v>14</v>
      </c>
      <c r="OI3" s="13" t="s">
        <v>18</v>
      </c>
      <c r="OJ3" s="53" t="s">
        <v>15</v>
      </c>
      <c r="OK3" s="53" t="s">
        <v>16</v>
      </c>
      <c r="OO3" s="86">
        <f>OH3+1</f>
        <v>15</v>
      </c>
      <c r="OP3" s="13" t="s">
        <v>18</v>
      </c>
      <c r="OQ3" s="53" t="s">
        <v>15</v>
      </c>
      <c r="OR3" s="53" t="s">
        <v>16</v>
      </c>
      <c r="OV3" s="86">
        <f>OO3+1</f>
        <v>16</v>
      </c>
      <c r="OW3" s="13" t="s">
        <v>18</v>
      </c>
      <c r="OX3" s="53" t="s">
        <v>15</v>
      </c>
      <c r="OY3" s="53" t="s">
        <v>16</v>
      </c>
      <c r="PC3" s="86">
        <f>OV3+1</f>
        <v>17</v>
      </c>
      <c r="PD3" s="13" t="s">
        <v>18</v>
      </c>
      <c r="PE3" s="53" t="s">
        <v>15</v>
      </c>
      <c r="PF3" s="53" t="s">
        <v>16</v>
      </c>
      <c r="PJ3" s="86">
        <f>PC3+1</f>
        <v>18</v>
      </c>
      <c r="PK3" s="13" t="s">
        <v>18</v>
      </c>
      <c r="PL3" s="53" t="s">
        <v>15</v>
      </c>
      <c r="PM3" s="53" t="s">
        <v>16</v>
      </c>
      <c r="PQ3" s="86">
        <f>PJ3+1</f>
        <v>19</v>
      </c>
      <c r="PR3" s="13" t="s">
        <v>18</v>
      </c>
      <c r="PS3" s="53" t="s">
        <v>15</v>
      </c>
      <c r="PT3" s="53" t="s">
        <v>16</v>
      </c>
      <c r="PX3" s="86">
        <f>PQ3+1</f>
        <v>20</v>
      </c>
      <c r="PY3" s="13" t="s">
        <v>18</v>
      </c>
      <c r="PZ3" s="53" t="s">
        <v>15</v>
      </c>
      <c r="QA3" s="53" t="s">
        <v>16</v>
      </c>
      <c r="QE3" s="86">
        <f>PX3+1</f>
        <v>21</v>
      </c>
      <c r="QF3" s="13" t="s">
        <v>18</v>
      </c>
      <c r="QG3" s="53" t="s">
        <v>15</v>
      </c>
      <c r="QH3" s="53" t="s">
        <v>16</v>
      </c>
      <c r="QL3" s="86">
        <f>QE3+1</f>
        <v>22</v>
      </c>
      <c r="QM3" s="13" t="s">
        <v>18</v>
      </c>
      <c r="QN3" s="53" t="s">
        <v>15</v>
      </c>
      <c r="QO3" s="53" t="s">
        <v>16</v>
      </c>
      <c r="QS3" s="86">
        <f>QL3+1</f>
        <v>23</v>
      </c>
      <c r="QT3" s="13" t="s">
        <v>18</v>
      </c>
      <c r="QU3" s="53" t="s">
        <v>15</v>
      </c>
      <c r="QV3" s="53" t="s">
        <v>16</v>
      </c>
      <c r="QZ3" s="86">
        <f>QS3+1</f>
        <v>24</v>
      </c>
      <c r="RA3" s="13" t="s">
        <v>18</v>
      </c>
      <c r="RB3" s="53" t="s">
        <v>15</v>
      </c>
      <c r="RC3" s="53" t="s">
        <v>16</v>
      </c>
      <c r="RG3" s="86">
        <f>QZ3+1</f>
        <v>25</v>
      </c>
      <c r="RH3" s="13" t="s">
        <v>18</v>
      </c>
      <c r="RI3" s="53" t="s">
        <v>15</v>
      </c>
      <c r="RJ3" s="53" t="s">
        <v>16</v>
      </c>
      <c r="RN3" s="86">
        <f>RG3+1</f>
        <v>26</v>
      </c>
      <c r="RO3" s="13" t="s">
        <v>18</v>
      </c>
      <c r="RP3" s="53" t="s">
        <v>15</v>
      </c>
      <c r="RQ3" s="53" t="s">
        <v>16</v>
      </c>
      <c r="RU3" s="86">
        <f>RN3+1</f>
        <v>27</v>
      </c>
      <c r="RV3" s="13" t="s">
        <v>18</v>
      </c>
      <c r="RW3" s="53" t="s">
        <v>15</v>
      </c>
      <c r="RX3" s="53" t="s">
        <v>16</v>
      </c>
      <c r="SB3" s="86">
        <f>RU3+1</f>
        <v>28</v>
      </c>
      <c r="SC3" s="13" t="s">
        <v>18</v>
      </c>
      <c r="SD3" s="53" t="s">
        <v>15</v>
      </c>
      <c r="SE3" s="53" t="s">
        <v>16</v>
      </c>
      <c r="SI3" s="86">
        <f>SB3+1</f>
        <v>29</v>
      </c>
      <c r="SJ3" s="13" t="s">
        <v>18</v>
      </c>
      <c r="SK3" s="53" t="s">
        <v>15</v>
      </c>
      <c r="SL3" s="53" t="s">
        <v>16</v>
      </c>
      <c r="SP3" s="86">
        <f>SI3+1</f>
        <v>30</v>
      </c>
      <c r="SQ3" s="13" t="s">
        <v>18</v>
      </c>
      <c r="SR3" s="53" t="s">
        <v>15</v>
      </c>
      <c r="SS3" s="53" t="s">
        <v>16</v>
      </c>
      <c r="SW3" s="86">
        <f>SP3+1</f>
        <v>31</v>
      </c>
      <c r="SX3" s="13" t="s">
        <v>18</v>
      </c>
      <c r="SY3" s="53" t="s">
        <v>15</v>
      </c>
      <c r="SZ3" s="53" t="s">
        <v>16</v>
      </c>
      <c r="TD3" s="86">
        <f>SW3+1</f>
        <v>32</v>
      </c>
      <c r="TE3" s="13" t="s">
        <v>18</v>
      </c>
      <c r="TF3" s="53" t="s">
        <v>15</v>
      </c>
      <c r="TG3" s="53" t="s">
        <v>16</v>
      </c>
      <c r="TK3" s="86">
        <f>TD3+1</f>
        <v>33</v>
      </c>
      <c r="TL3" s="13" t="s">
        <v>18</v>
      </c>
      <c r="TM3" s="53" t="s">
        <v>15</v>
      </c>
      <c r="TN3" s="53" t="s">
        <v>16</v>
      </c>
      <c r="TR3" s="86">
        <f>TK3+1</f>
        <v>34</v>
      </c>
      <c r="TS3" s="13" t="s">
        <v>18</v>
      </c>
      <c r="TT3" s="53" t="s">
        <v>15</v>
      </c>
      <c r="TU3" s="53" t="s">
        <v>16</v>
      </c>
      <c r="TY3" s="86">
        <f>TR3+1</f>
        <v>35</v>
      </c>
      <c r="TZ3" s="13" t="s">
        <v>18</v>
      </c>
      <c r="UA3" s="53" t="s">
        <v>15</v>
      </c>
      <c r="UB3" s="53" t="s">
        <v>16</v>
      </c>
      <c r="UF3" s="86">
        <f>TY3+1</f>
        <v>36</v>
      </c>
      <c r="UG3" s="13" t="s">
        <v>18</v>
      </c>
      <c r="UH3" s="53" t="s">
        <v>15</v>
      </c>
      <c r="UI3" s="53" t="s">
        <v>16</v>
      </c>
      <c r="UM3" s="86">
        <f>UF3+1</f>
        <v>37</v>
      </c>
      <c r="UN3" s="13" t="s">
        <v>18</v>
      </c>
      <c r="UO3" s="53" t="s">
        <v>15</v>
      </c>
      <c r="UP3" s="53" t="s">
        <v>16</v>
      </c>
      <c r="UT3" s="86">
        <f>UM3+1</f>
        <v>38</v>
      </c>
      <c r="UU3" s="88"/>
      <c r="UV3" s="89"/>
      <c r="UW3" s="89"/>
      <c r="UX3" s="126">
        <v>7</v>
      </c>
      <c r="UY3" s="126">
        <f>UX3+$UX3</f>
        <v>14</v>
      </c>
      <c r="UZ3" s="126">
        <f t="shared" ref="UZ3:WH3" si="0">UY3+$UX3</f>
        <v>21</v>
      </c>
      <c r="VA3" s="126">
        <f t="shared" si="0"/>
        <v>28</v>
      </c>
      <c r="VB3" s="126">
        <f t="shared" si="0"/>
        <v>35</v>
      </c>
      <c r="VC3" s="126">
        <f t="shared" si="0"/>
        <v>42</v>
      </c>
      <c r="VD3" s="126">
        <f t="shared" si="0"/>
        <v>49</v>
      </c>
      <c r="VE3" s="126">
        <f t="shared" si="0"/>
        <v>56</v>
      </c>
      <c r="VF3" s="126">
        <f t="shared" si="0"/>
        <v>63</v>
      </c>
      <c r="VG3" s="126">
        <f t="shared" si="0"/>
        <v>70</v>
      </c>
      <c r="VH3" s="126">
        <f t="shared" si="0"/>
        <v>77</v>
      </c>
      <c r="VI3" s="126">
        <f t="shared" si="0"/>
        <v>84</v>
      </c>
      <c r="VJ3" s="126">
        <f t="shared" si="0"/>
        <v>91</v>
      </c>
      <c r="VK3" s="126">
        <f t="shared" si="0"/>
        <v>98</v>
      </c>
      <c r="VL3" s="126">
        <f t="shared" si="0"/>
        <v>105</v>
      </c>
      <c r="VM3" s="126">
        <f t="shared" si="0"/>
        <v>112</v>
      </c>
      <c r="VN3" s="126">
        <f t="shared" si="0"/>
        <v>119</v>
      </c>
      <c r="VO3" s="126">
        <f t="shared" si="0"/>
        <v>126</v>
      </c>
      <c r="VP3" s="126">
        <f t="shared" si="0"/>
        <v>133</v>
      </c>
      <c r="VQ3" s="126">
        <f t="shared" si="0"/>
        <v>140</v>
      </c>
      <c r="VR3" s="126">
        <f t="shared" si="0"/>
        <v>147</v>
      </c>
      <c r="VS3" s="126">
        <f t="shared" si="0"/>
        <v>154</v>
      </c>
      <c r="VT3" s="126">
        <f t="shared" si="0"/>
        <v>161</v>
      </c>
      <c r="VU3" s="126">
        <f t="shared" si="0"/>
        <v>168</v>
      </c>
      <c r="VV3" s="126">
        <f t="shared" si="0"/>
        <v>175</v>
      </c>
      <c r="VW3" s="126">
        <f t="shared" si="0"/>
        <v>182</v>
      </c>
      <c r="VX3" s="126">
        <f t="shared" si="0"/>
        <v>189</v>
      </c>
      <c r="VY3" s="126">
        <f t="shared" si="0"/>
        <v>196</v>
      </c>
      <c r="VZ3" s="126">
        <f t="shared" si="0"/>
        <v>203</v>
      </c>
      <c r="WA3" s="126">
        <f t="shared" si="0"/>
        <v>210</v>
      </c>
      <c r="WB3" s="126">
        <f t="shared" si="0"/>
        <v>217</v>
      </c>
      <c r="WC3" s="126">
        <f t="shared" si="0"/>
        <v>224</v>
      </c>
      <c r="WD3" s="126">
        <f t="shared" si="0"/>
        <v>231</v>
      </c>
      <c r="WE3" s="126">
        <f t="shared" si="0"/>
        <v>238</v>
      </c>
      <c r="WF3" s="126">
        <f t="shared" si="0"/>
        <v>245</v>
      </c>
      <c r="WG3" s="126">
        <f t="shared" si="0"/>
        <v>252</v>
      </c>
      <c r="WH3" s="126">
        <f t="shared" si="0"/>
        <v>259</v>
      </c>
      <c r="WI3" s="126">
        <f>MAX(F12:F19)</f>
        <v>21</v>
      </c>
      <c r="WJ3" s="126"/>
      <c r="WK3" s="126"/>
      <c r="WL3" s="126"/>
      <c r="WM3" s="126"/>
      <c r="WN3" s="129">
        <v>1</v>
      </c>
      <c r="WO3" s="129">
        <v>2</v>
      </c>
      <c r="WP3" s="129">
        <v>3</v>
      </c>
      <c r="WQ3" s="129">
        <v>4</v>
      </c>
      <c r="WR3" s="129">
        <v>5</v>
      </c>
      <c r="WS3" s="129">
        <v>6</v>
      </c>
      <c r="WT3" s="129">
        <v>7</v>
      </c>
      <c r="WU3" s="129">
        <v>8</v>
      </c>
      <c r="WV3" s="129">
        <v>9</v>
      </c>
      <c r="WW3" s="129">
        <v>10</v>
      </c>
      <c r="WX3" s="129">
        <v>11</v>
      </c>
      <c r="WY3" s="129">
        <v>12</v>
      </c>
      <c r="WZ3" s="129">
        <v>13</v>
      </c>
      <c r="XA3" s="129">
        <v>14</v>
      </c>
      <c r="XB3" s="129">
        <v>15</v>
      </c>
      <c r="XC3" s="129">
        <v>16</v>
      </c>
      <c r="XD3" s="129">
        <v>17</v>
      </c>
      <c r="XE3" s="129">
        <v>18</v>
      </c>
      <c r="XF3" s="129">
        <v>19</v>
      </c>
      <c r="XG3" s="129">
        <v>20</v>
      </c>
      <c r="XH3" s="129">
        <v>21</v>
      </c>
      <c r="XI3" s="129">
        <v>22</v>
      </c>
      <c r="XJ3" s="129">
        <v>23</v>
      </c>
      <c r="XK3" s="129">
        <v>24</v>
      </c>
      <c r="XL3" s="129">
        <v>25</v>
      </c>
      <c r="XM3" s="129">
        <v>26</v>
      </c>
      <c r="XN3" s="129">
        <v>27</v>
      </c>
      <c r="XO3" s="129">
        <v>28</v>
      </c>
      <c r="XP3" s="129">
        <v>29</v>
      </c>
      <c r="XQ3" s="129">
        <v>30</v>
      </c>
      <c r="XR3" s="129">
        <v>31</v>
      </c>
      <c r="XS3" s="129">
        <v>32</v>
      </c>
      <c r="XT3" s="129">
        <v>33</v>
      </c>
      <c r="XU3" s="129">
        <v>34</v>
      </c>
      <c r="XV3" s="129">
        <v>35</v>
      </c>
      <c r="XW3" s="129">
        <v>36</v>
      </c>
      <c r="XX3" s="129">
        <v>37</v>
      </c>
      <c r="XY3" s="129">
        <v>38</v>
      </c>
      <c r="XZ3" s="241"/>
      <c r="YA3" s="241"/>
      <c r="YB3" s="280"/>
      <c r="YC3" s="280"/>
      <c r="YD3" s="280"/>
      <c r="YE3" s="161">
        <v>-1</v>
      </c>
      <c r="YF3" s="161">
        <v>0</v>
      </c>
      <c r="YG3" s="162">
        <v>1</v>
      </c>
      <c r="YH3" s="162">
        <v>2</v>
      </c>
      <c r="YI3" s="162">
        <v>3</v>
      </c>
      <c r="YJ3" s="162">
        <v>4</v>
      </c>
      <c r="YK3" s="162">
        <v>5</v>
      </c>
      <c r="YL3" s="162">
        <v>6</v>
      </c>
      <c r="YM3" s="162">
        <v>7</v>
      </c>
      <c r="YN3" s="162">
        <v>8</v>
      </c>
      <c r="YO3" s="162">
        <v>9</v>
      </c>
      <c r="YP3" s="162">
        <v>10</v>
      </c>
      <c r="YQ3" s="162">
        <v>11</v>
      </c>
      <c r="YR3" s="162">
        <v>12</v>
      </c>
      <c r="YS3" s="162">
        <v>13</v>
      </c>
      <c r="YT3" s="162">
        <v>14</v>
      </c>
      <c r="YU3" s="162">
        <v>15</v>
      </c>
      <c r="YV3" s="162">
        <v>16</v>
      </c>
      <c r="YW3" s="162">
        <v>17</v>
      </c>
      <c r="YX3" s="162">
        <v>18</v>
      </c>
      <c r="YY3" s="162">
        <v>19</v>
      </c>
      <c r="YZ3" s="162">
        <v>20</v>
      </c>
      <c r="ZA3" s="162">
        <v>21</v>
      </c>
      <c r="ZB3" s="162">
        <v>22</v>
      </c>
      <c r="ZC3" s="162">
        <v>23</v>
      </c>
      <c r="ZD3" s="162">
        <v>24</v>
      </c>
      <c r="ZE3" s="162">
        <v>25</v>
      </c>
      <c r="ZF3" s="162">
        <v>26</v>
      </c>
      <c r="ZG3" s="162">
        <v>27</v>
      </c>
      <c r="ZH3" s="162">
        <v>28</v>
      </c>
      <c r="ZI3" s="162">
        <v>29</v>
      </c>
      <c r="ZJ3" s="162">
        <v>30</v>
      </c>
      <c r="ZK3" s="162">
        <v>31</v>
      </c>
      <c r="ZL3" s="162">
        <v>32</v>
      </c>
      <c r="ZM3" s="162">
        <v>33</v>
      </c>
      <c r="ZN3" s="162">
        <v>34</v>
      </c>
      <c r="ZO3" s="162">
        <v>35</v>
      </c>
      <c r="ZP3" s="162">
        <v>36</v>
      </c>
      <c r="ZQ3" s="162">
        <v>37</v>
      </c>
      <c r="ZR3" s="162">
        <v>38</v>
      </c>
      <c r="ZS3" s="280"/>
      <c r="ZT3" s="280"/>
      <c r="ZU3" s="280"/>
      <c r="ZV3" s="280"/>
      <c r="ZW3" s="280"/>
      <c r="ZX3" s="280"/>
      <c r="ZY3" s="280"/>
      <c r="ZZ3" s="280"/>
      <c r="AAA3" s="280"/>
      <c r="AAB3" s="280"/>
      <c r="AAC3" s="280"/>
      <c r="AAD3" s="160"/>
      <c r="AAE3" s="160"/>
      <c r="AAF3" s="160"/>
      <c r="AAG3" s="160"/>
      <c r="AAH3" s="241"/>
      <c r="AAI3" s="241"/>
      <c r="AAJ3" s="241"/>
      <c r="AAK3" s="241"/>
      <c r="AAL3" s="241"/>
      <c r="AAM3" s="241"/>
      <c r="AAN3" s="241"/>
      <c r="AAO3" s="241"/>
      <c r="AAP3" s="241"/>
      <c r="AAQ3" s="241"/>
      <c r="AAR3" s="241"/>
      <c r="AAS3" s="241"/>
      <c r="AAT3" s="241"/>
      <c r="AAU3" s="241"/>
    </row>
    <row r="4" spans="4:723">
      <c r="D4" s="29">
        <v>1</v>
      </c>
      <c r="E4" s="31" t="s">
        <v>184</v>
      </c>
      <c r="F4" s="25">
        <f>SUMIF('ef-FT'!$C$2001:$C$3800,$E4,'ef-FT'!$E$2001:$E$3800)</f>
        <v>20</v>
      </c>
      <c r="G4" s="25">
        <f>SUMIF('ef-FT'!$C$2001:$C$3800,$E4,'ef-FT'!$F$2001:$F$3800)</f>
        <v>11</v>
      </c>
      <c r="H4" s="25">
        <f>SUMIF('ef-FT'!$C$2001:$C$3800,$E4,'ef-FT'!$G$2001:$G$3800)</f>
        <v>4</v>
      </c>
      <c r="I4" s="25">
        <f>SUMIF('ef-FT'!$C$2001:$C$3800,$E4,'ef-FT'!$H$2001:$H$3800)</f>
        <v>5</v>
      </c>
      <c r="J4" s="25">
        <f>SUMIF('ef-FT'!$C$2001:$C$3800,$E4,'ef-FT'!$D$2001:$D$3800)</f>
        <v>37</v>
      </c>
      <c r="K4" s="25">
        <f>SUMIF('ef-FT'!$C$2001:$C$3800,$E4,'ef-FT'!$I$2001:$I$3800)</f>
        <v>28</v>
      </c>
      <c r="L4" s="25">
        <f>SUMIF('ef-FT'!$C$2001:$C$3800,$E4,'ef-FT'!$J$2001:$J$3800)</f>
        <v>19</v>
      </c>
      <c r="M4" s="25" t="str">
        <f>CONCATENATE(K4, " - ",L4)</f>
        <v>28 - 19</v>
      </c>
      <c r="N4" s="25">
        <f>K4-L4</f>
        <v>9</v>
      </c>
      <c r="O4" s="25">
        <f>SUMIF('ef-FT'!$C$2001:$C$3800,$E4,'ef-FT'!$K$2001:$K$3800)</f>
        <v>5</v>
      </c>
      <c r="P4" s="25">
        <f>SUMIF('ef-FT'!$C$2001:$C$3800,$E4,'ef-FT'!$L$2001:$L$3800)</f>
        <v>8</v>
      </c>
      <c r="Q4" s="55"/>
      <c r="R4" s="25">
        <f>SUMIF('ef-FT'!$C$2001:$C$2999,$E4,'ef-FT'!$E$2001:$E$2999)</f>
        <v>10</v>
      </c>
      <c r="S4" s="25">
        <f>SUMIF('ef-FT'!$C$2001:$C$2999,$E4,'ef-FT'!$F$2001:$F$2999)</f>
        <v>8</v>
      </c>
      <c r="T4" s="25">
        <f>SUMIF('ef-FT'!$C$2001:$C$2999,$E4,'ef-FT'!$G$2001:$G$2999)</f>
        <v>0</v>
      </c>
      <c r="U4" s="25">
        <f>SUMIF('ef-FT'!$C$2001:$C$2999,$E4,'ef-FT'!$H$2001:$H$2999)</f>
        <v>2</v>
      </c>
      <c r="V4" s="25">
        <f>SUMIF('ef-FT'!$C$2001:$C$2999,$E4,'ef-FT'!$D$2001:$D$2999)</f>
        <v>24</v>
      </c>
      <c r="W4" s="25">
        <f>SUMIF('ef-FT'!$C$2001:$C$2999,$E4,'ef-FT'!$I$2001:$I$2999)</f>
        <v>16</v>
      </c>
      <c r="X4" s="25">
        <f>SUMIF('ef-FT'!$C$2001:$C$2999,$E4,'ef-FT'!$J$2001:$J$2999)</f>
        <v>6</v>
      </c>
      <c r="Y4" s="25" t="str">
        <f>CONCATENATE(W4, " - ",X4)</f>
        <v>16 - 6</v>
      </c>
      <c r="Z4" s="25">
        <f>W4-X4</f>
        <v>10</v>
      </c>
      <c r="AA4" s="25">
        <f>SUMIF('ef-FT'!$C$2001:$C$2999,$E4,'ef-FT'!$K$2001:$K$2999)</f>
        <v>2</v>
      </c>
      <c r="AB4" s="25">
        <f>SUMIF('ef-FT'!$C$2001:$C$2999,$E4,'ef-FT'!$L$2001:$L$2999)</f>
        <v>6</v>
      </c>
      <c r="AC4" s="55"/>
      <c r="AD4" s="25">
        <f>SUMIF('ef-FT'!$C$3000:$C$3800,$E4,'ef-FT'!$E$3000:$E$3800)</f>
        <v>10</v>
      </c>
      <c r="AE4" s="25">
        <f>SUMIF('ef-FT'!$C$3000:$C$3800,$E4,'ef-FT'!$F$3000:$F$3800)</f>
        <v>3</v>
      </c>
      <c r="AF4" s="25">
        <f>SUMIF('ef-FT'!$C$3000:$C$3800,$E4,'ef-FT'!$G$3000:$G$3800)</f>
        <v>4</v>
      </c>
      <c r="AG4" s="25">
        <f>SUMIF('ef-FT'!$C$3000:$C$3800,$E4,'ef-FT'!$H$3000:$H$3800)</f>
        <v>3</v>
      </c>
      <c r="AH4" s="25">
        <f>SUMIF('ef-FT'!$C$3000:$C$3800,$E4,'ef-FT'!$D$3000:$D$3800)</f>
        <v>13</v>
      </c>
      <c r="AI4" s="25">
        <f>SUMIF('ef-FT'!$C$3000:$C$3800,$E4,'ef-FT'!$I$3000:$I$3800)</f>
        <v>12</v>
      </c>
      <c r="AJ4" s="25">
        <f>SUMIF('ef-FT'!$C$3000:$C$3800,$E4,'ef-FT'!$J$3000:$J$3800)</f>
        <v>13</v>
      </c>
      <c r="AK4" s="25" t="str">
        <f>CONCATENATE(AI4, " - ",AJ4)</f>
        <v>12 - 13</v>
      </c>
      <c r="AL4" s="25">
        <f>AI4-AJ4</f>
        <v>-1</v>
      </c>
      <c r="AM4" s="25">
        <f>SUMIF('ef-FT'!$C$3000:$C$3800,$E4,'ef-FT'!$K$3000:$K$3800)</f>
        <v>3</v>
      </c>
      <c r="AN4" s="25">
        <f>SUMIF('ef-FT'!$C$3000:$C$3800,$E4,'ef-FT'!$L$3000:$L$3800)</f>
        <v>2</v>
      </c>
      <c r="AO4" s="26"/>
      <c r="AP4" s="27">
        <v>0.3</v>
      </c>
      <c r="AQ4" s="28">
        <f t="shared" ref="AQ4:AQ33" si="1">IF(E4=0,-10000000000,1000000000000+J4*100000000+N4*10000+K4+AP4)</f>
        <v>1003700090028.3</v>
      </c>
      <c r="AR4" s="29">
        <v>1</v>
      </c>
      <c r="AS4" s="28">
        <f>LARGE($AQ$4:$AQ$11,D4)</f>
        <v>1003700090028.3</v>
      </c>
      <c r="AT4" s="29">
        <f>VLOOKUP(AS4,$AQ$4:$AR$33,2,0)</f>
        <v>1</v>
      </c>
      <c r="AU4" s="30" t="str">
        <f>VLOOKUP(AT4,$D$4:$N$33,2,0)</f>
        <v>Columbus</v>
      </c>
      <c r="AV4" s="29">
        <f>VLOOKUP(AT4,$D$4:$N$33,3,0)</f>
        <v>20</v>
      </c>
      <c r="AW4" s="29">
        <f>VLOOKUP(AT4,$D$4:$N$33,4,0)</f>
        <v>11</v>
      </c>
      <c r="AX4" s="29">
        <f>VLOOKUP(AT4,$D$4:$N$33,5,0)</f>
        <v>4</v>
      </c>
      <c r="AY4" s="29">
        <f>VLOOKUP(AT4,$D$4:$N$33,6,0)</f>
        <v>5</v>
      </c>
      <c r="AZ4" s="29">
        <f>VLOOKUP(AT4,$D$4:$N$33,7,0)</f>
        <v>37</v>
      </c>
      <c r="BA4" s="29" t="str">
        <f>VLOOKUP(AT4,$D$4:$N$33,10,0)</f>
        <v>28 - 19</v>
      </c>
      <c r="BB4" s="29">
        <f>VLOOKUP(AT4,$D$4:$N$33,11,0)</f>
        <v>9</v>
      </c>
      <c r="BC4" s="90">
        <f>VLOOKUP($AT4,$D$4:R$33,15,0)</f>
        <v>10</v>
      </c>
      <c r="BD4" s="90">
        <f>VLOOKUP($AT4,$D$4:S$33,16,0)</f>
        <v>8</v>
      </c>
      <c r="BE4" s="90">
        <f>VLOOKUP($AT4,$D$4:T$33,17,0)</f>
        <v>0</v>
      </c>
      <c r="BF4" s="90">
        <f>VLOOKUP($AT4,$D$4:U$33,18,0)</f>
        <v>2</v>
      </c>
      <c r="BG4" s="90">
        <f>VLOOKUP($AT4,$D$4:V$33,19,0)</f>
        <v>24</v>
      </c>
      <c r="BH4" s="90" t="str">
        <f>VLOOKUP($AT4,$D$4:Y$33,22,0)</f>
        <v>16 - 6</v>
      </c>
      <c r="BI4" s="90">
        <f>VLOOKUP($AT4,$D$4:Z$33,23,0)</f>
        <v>10</v>
      </c>
      <c r="BJ4" s="90">
        <f>VLOOKUP($AT4,$D$4:AD$33,27,0)</f>
        <v>10</v>
      </c>
      <c r="BK4" s="90">
        <f>VLOOKUP($AT4,$D$4:AE$33,28,0)</f>
        <v>3</v>
      </c>
      <c r="BL4" s="90">
        <f>VLOOKUP($AT4,$D$4:AF$33,29,0)</f>
        <v>4</v>
      </c>
      <c r="BM4" s="90">
        <f>VLOOKUP($AT4,$D$4:AG$33,30,0)</f>
        <v>3</v>
      </c>
      <c r="BN4" s="90">
        <f>VLOOKUP($AT4,$D$4:AH$33,31,0)</f>
        <v>13</v>
      </c>
      <c r="BO4" s="90" t="str">
        <f>VLOOKUP($AT4,$D$4:AK$35,34,0)</f>
        <v>12 - 13</v>
      </c>
      <c r="BP4" s="90">
        <f>VLOOKUP($AT4,$D$4:AL$35,35,0)</f>
        <v>-1</v>
      </c>
      <c r="BS4" s="10" t="s">
        <v>28</v>
      </c>
      <c r="BT4" s="123">
        <v>0.45833333333333331</v>
      </c>
      <c r="BU4" s="123">
        <f t="shared" ref="BU4:BU17" si="2">BT4-$BU$2</f>
        <v>0.29166666666666663</v>
      </c>
      <c r="BV4" s="10" t="s">
        <v>63</v>
      </c>
      <c r="CA4" s="130">
        <f>IF($E4=0,-1+$AP4,J4+$AP4)</f>
        <v>37.299999999999997</v>
      </c>
      <c r="CB4" s="130">
        <f>IF(CA4&lt;0,100000-$AP4,J4-$AP4)</f>
        <v>36.700000000000003</v>
      </c>
      <c r="CC4" s="130">
        <f>IF($E4=0,-1+$AP4,G4+$AP4)</f>
        <v>11.3</v>
      </c>
      <c r="CD4" s="130">
        <f>IF(CC4&lt;0,100000-$AP4,G4-$AP4)</f>
        <v>10.7</v>
      </c>
      <c r="CE4" s="130">
        <f>IF($E4=0,-1+$AP4,I4+$AP4)</f>
        <v>5.3</v>
      </c>
      <c r="CF4" s="130">
        <f>IF(CE4&lt;0,100000-$AP4,I4-$AP4)</f>
        <v>4.7</v>
      </c>
      <c r="CG4" s="130">
        <f>IF($E4=0,-1+$AP4,K4+$AP4)</f>
        <v>28.3</v>
      </c>
      <c r="CH4" s="130">
        <f>IF(CG4&lt;0,100000-$AP4,K4-$AP4)</f>
        <v>27.7</v>
      </c>
      <c r="CI4" s="130">
        <f>IF($E4=0,-1+$AP4,L4+$AP4)</f>
        <v>19.3</v>
      </c>
      <c r="CJ4" s="130">
        <f>IF(CI4&lt;0,100000-$AP4,L4-$AP4)</f>
        <v>18.7</v>
      </c>
      <c r="CK4" s="130">
        <f>IF($E4=0,-100000+$AP4,N4+$AP4)</f>
        <v>9.3000000000000007</v>
      </c>
      <c r="CL4" s="130">
        <f>IF(CK4&lt;-50000,100000+$AP4,N4-$AP4)</f>
        <v>8.6999999999999993</v>
      </c>
      <c r="CM4" s="130">
        <f>IF($E4=0,-1+$AP4,O4+$AP4)</f>
        <v>5.3</v>
      </c>
      <c r="CN4" s="130">
        <f>IF(CM4&lt;0,100000-$AP4,O4-$AP4)</f>
        <v>4.7</v>
      </c>
      <c r="CO4" s="130">
        <f>IF($E4=0,-1+$AP4,P4+$AP4)</f>
        <v>8.3000000000000007</v>
      </c>
      <c r="CP4" s="130">
        <f>IF(CO4&lt;0,100000-$AP4,P4-$AP4)</f>
        <v>7.7</v>
      </c>
      <c r="CQ4" s="131"/>
      <c r="CR4" s="130">
        <f>IF($E4=0,-1+$AP4,V4+$AP4)</f>
        <v>24.3</v>
      </c>
      <c r="CS4" s="130">
        <f>IF(CR4&lt;0,100000-$AP4,V4-$AP4)</f>
        <v>23.7</v>
      </c>
      <c r="CT4" s="130">
        <f t="shared" ref="CT4:CT7" si="3">IF($E4=0,-1+$AP4,S4+$AP4)</f>
        <v>8.3000000000000007</v>
      </c>
      <c r="CU4" s="130">
        <f>IF(CT4&lt;0,100000-$AP4,S4-$AP4)</f>
        <v>7.7</v>
      </c>
      <c r="CV4" s="130">
        <f t="shared" ref="CV4:CV7" si="4">IF($E4=0,-1+$AP4,U4+$AP4)</f>
        <v>2.2999999999999998</v>
      </c>
      <c r="CW4" s="130">
        <f t="shared" ref="CW4:CW7" si="5">IF(CV4&lt;0,100000-$AP4,U4-$AP4)</f>
        <v>1.7</v>
      </c>
      <c r="CX4" s="130">
        <f t="shared" ref="CX4:CX7" si="6">IF($E4=0,-1+$AP4,W4+$AP4)</f>
        <v>16.3</v>
      </c>
      <c r="CY4" s="130">
        <f t="shared" ref="CY4:CY7" si="7">IF(CX4&lt;0,100000-$AP4,W4-$AP4)</f>
        <v>15.7</v>
      </c>
      <c r="CZ4" s="130">
        <f t="shared" ref="CZ4:CZ7" si="8">IF($E4=0,-1+$AP4,X4+$AP4)</f>
        <v>6.3</v>
      </c>
      <c r="DA4" s="130">
        <f t="shared" ref="DA4:DA7" si="9">IF(CZ4&lt;0,100000-$AP4,X4-$AP4)</f>
        <v>5.7</v>
      </c>
      <c r="DB4" s="130">
        <f t="shared" ref="DB4:DB7" si="10">IF($E4=0,-100000+$AP4,Z4+$AP4)</f>
        <v>10.3</v>
      </c>
      <c r="DC4" s="130">
        <f t="shared" ref="DC4:DC7" si="11">IF(DB4&lt;-50000,100000+$AP4,Z4-$AP4)</f>
        <v>9.6999999999999993</v>
      </c>
      <c r="DD4" s="130">
        <f t="shared" ref="DD4:DD7" si="12">IF($E4=0,-1+$AP4,AA4+$AP4)</f>
        <v>2.2999999999999998</v>
      </c>
      <c r="DE4" s="130">
        <f t="shared" ref="DE4:DE7" si="13">IF(DD4&lt;0,100000-$AP4,AA4-$AP4)</f>
        <v>1.7</v>
      </c>
      <c r="DF4" s="130">
        <f t="shared" ref="DF4:DF7" si="14">IF($E4=0,-1+$AP4,AB4+$AP4)</f>
        <v>6.3</v>
      </c>
      <c r="DG4" s="130">
        <f t="shared" ref="DG4:DG7" si="15">IF(DF4&lt;0,100000-$AP4,AB4-$AP4)</f>
        <v>5.7</v>
      </c>
      <c r="DH4" s="131"/>
      <c r="DI4" s="130">
        <f t="shared" ref="DI4:DI11" si="16">IF($E4=0,-1+$AP4,AH4+$AP4)</f>
        <v>13.3</v>
      </c>
      <c r="DJ4" s="130">
        <f>IF(DI4&lt;0,100000-$AP4,AH34-$AP4)</f>
        <v>-0.3</v>
      </c>
      <c r="DK4" s="130">
        <f t="shared" ref="DK4:DK11" si="17">IF($E4=0,-1+$AP4,AE4+$AP4)</f>
        <v>3.3</v>
      </c>
      <c r="DL4" s="130">
        <f t="shared" ref="DL4:DL12" si="18">IF(DK4&lt;0,100000-$AP4,AE4-$AP4)</f>
        <v>2.7</v>
      </c>
      <c r="DM4" s="130">
        <f t="shared" ref="DM4:DM11" si="19">IF($E4=0,-1+$AP4,AG4+$AP4)</f>
        <v>3.3</v>
      </c>
      <c r="DN4" s="130">
        <f t="shared" ref="DN4:DN11" si="20">IF(DM4&lt;0,100000-$AP4,AG4-$AP4)</f>
        <v>2.7</v>
      </c>
      <c r="DO4" s="130">
        <f t="shared" ref="DO4:DO11" si="21">IF($E4=0,-1+$AP4,AI4+$AP4)</f>
        <v>12.3</v>
      </c>
      <c r="DP4" s="130">
        <f t="shared" ref="DP4:DP11" si="22">IF(DO4&lt;0,100000-$AP4,AI4-$AP4)</f>
        <v>11.7</v>
      </c>
      <c r="DQ4" s="130">
        <f t="shared" ref="DQ4:DQ11" si="23">IF($E4=0,-1+$AP4,AJ4+$AP4)</f>
        <v>13.3</v>
      </c>
      <c r="DR4" s="130">
        <f t="shared" ref="DR4:DR11" si="24">IF(DQ4&lt;0,100000-$AP4,AJ4-$AP4)</f>
        <v>12.7</v>
      </c>
      <c r="DS4" s="130">
        <f t="shared" ref="DS4:DS11" si="25">IF($E4=0,-100000+$AP4,AL4+$AP4)</f>
        <v>-0.7</v>
      </c>
      <c r="DT4" s="130">
        <f t="shared" ref="DT4:DT11" si="26">IF(DS4&lt;-50000,100000+$AP4,AL4-$AP4)</f>
        <v>-1.3</v>
      </c>
      <c r="DU4" s="130">
        <f t="shared" ref="DU4:DU11" si="27">IF($E4=0,-1+$AP4,AM4+$AP4)</f>
        <v>3.3</v>
      </c>
      <c r="DV4" s="130">
        <f t="shared" ref="DV4:DV11" si="28">IF(DU4&lt;0,100000-$AP4,AM4-$AP4)</f>
        <v>2.7</v>
      </c>
      <c r="DW4" s="130">
        <f t="shared" ref="DW4:DW11" si="29">IF($E4=0,-1+$AP4,AN4+$AP4)</f>
        <v>2.2999999999999998</v>
      </c>
      <c r="DX4" s="130">
        <f t="shared" ref="DX4:DX11" si="30">IF(DW4&lt;0,100000-$AP4,AN4-$AP4)</f>
        <v>1.7</v>
      </c>
      <c r="DY4" s="132"/>
      <c r="DZ4" s="115">
        <v>1</v>
      </c>
      <c r="EA4" s="115">
        <v>30</v>
      </c>
      <c r="EB4" s="10">
        <f>MATCH(LARGE(CA$4:CA$33,$DZ4),CA$4:CA$33,0)</f>
        <v>9</v>
      </c>
      <c r="EC4" s="10">
        <f>MATCH(LARGE(CB$4:CB$33,$EA4),CB$4:CB$33,0)</f>
        <v>8</v>
      </c>
      <c r="ED4" s="10">
        <f>MATCH(LARGE(CC$4:CC$33,$DZ4),CC$4:CC$33,0)</f>
        <v>9</v>
      </c>
      <c r="EE4" s="10">
        <f>MATCH(LARGE(CD$4:CD$33,$EA4),CD$4:CD$33,0)</f>
        <v>8</v>
      </c>
      <c r="EF4" s="10">
        <f>MATCH(LARGE(CE$4:CE$33,$DZ4),CE$4:CE$33,0)</f>
        <v>8</v>
      </c>
      <c r="EG4" s="10">
        <f>MATCH(LARGE(CF$4:CF$33,$EA4),CF$4:CF$33,0)</f>
        <v>11</v>
      </c>
      <c r="EH4" s="10">
        <f>MATCH(LARGE(CG$4:CG$33,$DZ4),CG$4:CG$33,0)</f>
        <v>10</v>
      </c>
      <c r="EI4" s="10">
        <f>MATCH(LARGE(CH$4:CH$33,$EA4),CH$4:CH$33,0)</f>
        <v>8</v>
      </c>
      <c r="EJ4" s="10">
        <f>MATCH(LARGE(CI$4:CI$33,$DZ4),CI$4:CI$33,0)</f>
        <v>8</v>
      </c>
      <c r="EK4" s="218">
        <f>MATCH(LARGE(CJ$4:CJ$33,$EA4),CJ$4:CJ$33,0)</f>
        <v>9</v>
      </c>
      <c r="EL4" s="10">
        <f>MATCH(LARGE(CK$4:CK$33,$DZ4),CK$4:CK$33,0)</f>
        <v>10</v>
      </c>
      <c r="EM4" s="10">
        <f>MATCH(LARGE(CL$4:CL$33,$EA4),CL$4:CL$33,0)</f>
        <v>8</v>
      </c>
      <c r="EN4" s="10">
        <f>MATCH(LARGE(CM$4:CM$33,$DZ4),CM$4:CM$33,0)</f>
        <v>8</v>
      </c>
      <c r="EO4" s="10">
        <f>MATCH(LARGE(CN$4:CN$33,$EA4),CN$4:CN$33,0)</f>
        <v>11</v>
      </c>
      <c r="EP4" s="10">
        <f>MATCH(LARGE(CO$4:CO$33,$DZ4),CO$4:CO$33,0)</f>
        <v>9</v>
      </c>
      <c r="EQ4" s="10">
        <f>MATCH(LARGE(CP$4:CP$33,$EA4),CP$4:CP$33,0)</f>
        <v>7</v>
      </c>
      <c r="ES4" s="10">
        <f>MATCH(LARGE(CR$4:CR$33,$DZ4),CR$4:CR$33,0)</f>
        <v>10</v>
      </c>
      <c r="ET4" s="10">
        <f>MATCH(LARGE(CS$4:CS$33,$EA4),CS$4:CS$33,0)</f>
        <v>8</v>
      </c>
      <c r="EU4" s="10">
        <f>MATCH(LARGE(CT$4:CT$33,$DZ4),CT$4:CT$33,0)</f>
        <v>1</v>
      </c>
      <c r="EV4" s="10">
        <f>MATCH(LARGE(CU$4:CU$33,$EA4),CU$4:CU$33,0)</f>
        <v>5</v>
      </c>
      <c r="EW4" s="10">
        <f>MATCH(LARGE(CV$4:CV$33,$DZ4),CV$4:CV$33,0)</f>
        <v>8</v>
      </c>
      <c r="EX4" s="10">
        <f>MATCH(LARGE(CW$4:CW$33,$EA4),CW$4:CW$33,0)</f>
        <v>3</v>
      </c>
      <c r="EY4" s="10">
        <f>MATCH(LARGE(CX$4:CX$33,$DZ4),CX$4:CX$33,0)</f>
        <v>10</v>
      </c>
      <c r="EZ4" s="10">
        <f>MATCH(LARGE(CY$4:CY$33,$EA4),CY$4:CY$33,0)</f>
        <v>8</v>
      </c>
      <c r="FA4" s="10">
        <f>MATCH(LARGE(CZ$4:CZ$33,$DZ4),CZ$4:CZ$33,0)</f>
        <v>8</v>
      </c>
      <c r="FB4" s="10">
        <f>MATCH(LARGE(DA$4:DA$33,$EA4),DA$4:DA$33,0)</f>
        <v>3</v>
      </c>
      <c r="FC4" s="10">
        <f>MATCH(LARGE(DB$4:DB$33,$DZ4),DB$4:DB$33,0)</f>
        <v>10</v>
      </c>
      <c r="FD4" s="10">
        <f>MATCH(LARGE(DC$4:DC$33,$EA4),DC$4:DC$33,0)</f>
        <v>8</v>
      </c>
      <c r="FE4" s="10">
        <f>MATCH(LARGE(DD$4:DD$33,$DZ4),DD$4:DD$33,0)</f>
        <v>8</v>
      </c>
      <c r="FF4" s="10">
        <f>MATCH(LARGE(DE$4:DE$33,$EA4),DE$4:DE$33,0)</f>
        <v>7</v>
      </c>
      <c r="FG4" s="10">
        <f>MATCH(LARGE(DF$4:DF$33,$DZ4),DF$4:DF$33,0)</f>
        <v>1</v>
      </c>
      <c r="FH4" s="10">
        <f>MATCH(LARGE(DG$4:DG$33,$EA4),DG$4:DG$33,0)</f>
        <v>7</v>
      </c>
      <c r="FJ4" s="10">
        <f>MATCH(LARGE(DI$4:DI$33,$DZ4),DI$4:DI$33,0)</f>
        <v>9</v>
      </c>
      <c r="FK4" s="10">
        <f>MATCH(LARGE(DJ$4:DJ$33,$EA4),DJ$4:DJ$33,0)</f>
        <v>1</v>
      </c>
      <c r="FL4" s="10">
        <f>MATCH(LARGE(DK$4:DK$33,$DZ4),DK$4:DK$33,0)</f>
        <v>9</v>
      </c>
      <c r="FM4" s="10">
        <f>MATCH(LARGE(DL$4:DL$33,$EA4),DL$4:DL$33,0)</f>
        <v>3</v>
      </c>
      <c r="FN4" s="10">
        <f>MATCH(LARGE(DM$4:DM$33,$DZ4),DM$4:DM$33,0)</f>
        <v>7</v>
      </c>
      <c r="FO4" s="10">
        <f>MATCH(LARGE(DN$4:DN$33,$EA4),DN$4:DN$33,0)</f>
        <v>11</v>
      </c>
      <c r="FP4" s="10">
        <f>MATCH(LARGE(DO$4:DO$33,$DZ4),DO$4:DO$33,0)</f>
        <v>9</v>
      </c>
      <c r="FQ4" s="10">
        <f>MATCH(LARGE(DP$4:DP$33,$EA4),DP$4:DP$33,0)</f>
        <v>6</v>
      </c>
      <c r="FR4" s="10">
        <f>MATCH(LARGE(DQ$4:DQ$33,$DZ4),DQ$4:DQ$33,0)</f>
        <v>7</v>
      </c>
      <c r="FS4" s="10">
        <f>MATCH(LARGE(DR$4:DR$33,$EA4),DR$4:DR$33,0)</f>
        <v>9</v>
      </c>
      <c r="FT4" s="10">
        <f>MATCH(LARGE(DS$4:DS$33,$DZ4),DS$4:DS$33,0)</f>
        <v>9</v>
      </c>
      <c r="FU4" s="10">
        <f>MATCH(LARGE(DT$4:DT$33,$EA4),DT$4:DT$33,0)</f>
        <v>8</v>
      </c>
      <c r="FV4" s="10">
        <f>MATCH(LARGE(DU$4:DU$33,$DZ4),DU$4:DU$33,0)</f>
        <v>8</v>
      </c>
      <c r="FW4" s="10">
        <f>MATCH(LARGE(DV$4:DV$33,$EA4),DV$4:DV$33,0)</f>
        <v>11</v>
      </c>
      <c r="FX4" s="10">
        <f>MATCH(LARGE(DW$4:DW$33,$DZ4),DW$4:DW$33,0)</f>
        <v>9</v>
      </c>
      <c r="FY4" s="10">
        <f>MATCH(LARGE(DX$4:DX$33,$EA4),DX$4:DX$33,0)</f>
        <v>7</v>
      </c>
      <c r="GA4" s="10">
        <f>IF(lg!$C$18=1,EB4,IF(lg!$C$18=2,ES4,FJ4))</f>
        <v>9</v>
      </c>
      <c r="GB4" s="10">
        <f>IF(lg!$C$18=1,EC4,IF(lg!$C$18=2,ET4,FK4))</f>
        <v>8</v>
      </c>
      <c r="GC4" s="10">
        <f>IF(lg!$C$18=1,ED4,IF(lg!$C$18=2,EU4,FL4))</f>
        <v>9</v>
      </c>
      <c r="GD4" s="10">
        <f>IF(lg!$C$18=1,EE4,IF(lg!$C$18=2,EV4,FM4))</f>
        <v>8</v>
      </c>
      <c r="GE4" s="10">
        <f>IF(lg!$C$18=1,EF4,IF(lg!$C$18=2,EW4,FN4))</f>
        <v>8</v>
      </c>
      <c r="GF4" s="10">
        <f>IF(lg!$C$18=1,EG4,IF(lg!$C$18=2,EX4,FO4))</f>
        <v>11</v>
      </c>
      <c r="GG4" s="10">
        <f>IF(lg!$C$18=1,EH4,IF(lg!$C$18=2,EY4,FP4))</f>
        <v>10</v>
      </c>
      <c r="GH4" s="10">
        <f>IF(lg!$C$18=1,EI4,IF(lg!$C$18=2,EZ4,FQ4))</f>
        <v>8</v>
      </c>
      <c r="GI4" s="10">
        <f>IF(lg!$C$18=1,EJ4,IF(lg!$C$18=2,FA4,FR4))</f>
        <v>8</v>
      </c>
      <c r="GJ4" s="10">
        <f>IF(lg!$C$18=1,EK4,IF(lg!$C$18=2,FB4,FS4))</f>
        <v>9</v>
      </c>
      <c r="GK4" s="10">
        <f>IF(lg!$C$18=1,EL4,IF(lg!$C$18=2,FC4,FT4))</f>
        <v>10</v>
      </c>
      <c r="GL4" s="10">
        <f>IF(lg!$C$18=1,EM4,IF(lg!$C$18=2,FD4,FU4))</f>
        <v>8</v>
      </c>
      <c r="GM4" s="10">
        <f>IF(lg!$C$18=1,EN4,IF(lg!$C$18=2,FE4,FV4))</f>
        <v>8</v>
      </c>
      <c r="GN4" s="10">
        <f>IF(lg!$C$18=1,EO4,IF(lg!$C$18=2,FF4,FW4))</f>
        <v>11</v>
      </c>
      <c r="GO4" s="10">
        <f>IF(lg!$C$18=1,EP4,IF(lg!$C$18=2,FG4,FX4))</f>
        <v>9</v>
      </c>
      <c r="GP4" s="10">
        <f>IF(lg!$C$18=1,EQ4,IF(lg!$C$18=2,FH4,FY4))</f>
        <v>7</v>
      </c>
      <c r="GR4" s="10" t="str">
        <f>VLOOKUP(GA4,$D$4:$E$33,2,0)</f>
        <v>Los Angeles</v>
      </c>
      <c r="GS4" s="10" t="str">
        <f t="shared" ref="GS4:GS33" si="31">VLOOKUP(GB4,$D$4:$E$33,2,0)</f>
        <v>DC United</v>
      </c>
      <c r="GT4" s="10" t="str">
        <f t="shared" ref="GT4:GT33" si="32">VLOOKUP(GC4,$D$4:$E$33,2,0)</f>
        <v>Los Angeles</v>
      </c>
      <c r="GU4" s="10" t="str">
        <f t="shared" ref="GU4:GU33" si="33">VLOOKUP(GD4,$D$4:$E$33,2,0)</f>
        <v>DC United</v>
      </c>
      <c r="GV4" s="10" t="str">
        <f t="shared" ref="GV4:GV33" si="34">VLOOKUP(GE4,$D$4:$E$33,2,0)</f>
        <v>DC United</v>
      </c>
      <c r="GW4" s="10" t="str">
        <f t="shared" ref="GW4:GW33" si="35">VLOOKUP(GF4,$D$4:$E$33,2,0)</f>
        <v>Dallas</v>
      </c>
      <c r="GX4" s="10" t="str">
        <f t="shared" ref="GX4:GX33" si="36">VLOOKUP(GG4,$D$4:$E$33,2,0)</f>
        <v>Real Salt Lake</v>
      </c>
      <c r="GY4" s="10" t="str">
        <f t="shared" ref="GY4:GY33" si="37">VLOOKUP(GH4,$D$4:$E$33,2,0)</f>
        <v>DC United</v>
      </c>
      <c r="GZ4" s="10" t="str">
        <f t="shared" ref="GZ4:GZ33" si="38">VLOOKUP(GI4,$D$4:$E$33,2,0)</f>
        <v>DC United</v>
      </c>
      <c r="HA4" s="10" t="str">
        <f t="shared" ref="HA4:HA33" si="39">VLOOKUP(GJ4,$D$4:$E$33,2,0)</f>
        <v>Los Angeles</v>
      </c>
      <c r="HB4" s="10" t="str">
        <f t="shared" ref="HB4:HB33" si="40">VLOOKUP(GK4,$D$4:$E$33,2,0)</f>
        <v>Real Salt Lake</v>
      </c>
      <c r="HC4" s="10" t="str">
        <f t="shared" ref="HC4:HC33" si="41">VLOOKUP(GL4,$D$4:$E$33,2,0)</f>
        <v>DC United</v>
      </c>
      <c r="HD4" s="10" t="str">
        <f t="shared" ref="HD4:HD33" si="42">VLOOKUP(GM4,$D$4:$E$33,2,0)</f>
        <v>DC United</v>
      </c>
      <c r="HE4" s="10" t="str">
        <f t="shared" ref="HE4:HE33" si="43">VLOOKUP(GN4,$D$4:$E$33,2,0)</f>
        <v>Dallas</v>
      </c>
      <c r="HF4" s="10" t="str">
        <f t="shared" ref="HF4:HF33" si="44">VLOOKUP(GO4,$D$4:$E$33,2,0)</f>
        <v>Los Angeles</v>
      </c>
      <c r="HG4" s="10" t="str">
        <f t="shared" ref="HG4:HG33" si="45">VLOOKUP(GP4,$D$4:$E$33,2,0)</f>
        <v>Philadelphia Union</v>
      </c>
      <c r="HI4" s="10">
        <v>1</v>
      </c>
      <c r="HJ4" s="115">
        <f>IF(lg!$C$18=1,F4,IF(lg!$C$18=2,R4,AD4))</f>
        <v>20</v>
      </c>
      <c r="HK4" s="115">
        <f>IF(lg!$C$18=1,G4,IF(lg!$C$18=2,S4,AE4))</f>
        <v>11</v>
      </c>
      <c r="HL4" s="115">
        <f>IF(lg!$C$18=1,H4,IF(lg!$C$18=2,T4,AF4))</f>
        <v>4</v>
      </c>
      <c r="HM4" s="115">
        <f>IF(lg!$C$18=1,I4,IF(lg!$C$18=2,U4,AG4))</f>
        <v>5</v>
      </c>
      <c r="HN4" s="115">
        <f>IF(lg!$C$18=1,J4,IF(lg!$C$18=2,V4,AH4))</f>
        <v>37</v>
      </c>
      <c r="HO4" s="115">
        <f>IF(lg!$C$18=1,K4,IF(lg!$C$18=2,W4,AI4))</f>
        <v>28</v>
      </c>
      <c r="HP4" s="115">
        <f>IF(lg!$C$18=1,L4,IF(lg!$C$18=2,X4,AJ4))</f>
        <v>19</v>
      </c>
      <c r="HQ4" s="115" t="str">
        <f>IF(lg!$C$18=1,M4,IF(lg!$C$18=2,Y4,AK4))</f>
        <v>28 - 19</v>
      </c>
      <c r="HR4" s="115">
        <f>IF(lg!$C$18=1,N4,IF(lg!$C$18=2,Z4,AL4))</f>
        <v>9</v>
      </c>
      <c r="HS4" s="115">
        <f>IF(lg!$C$18=1,O4,IF(lg!$C$18=2,AA4,AM4))</f>
        <v>5</v>
      </c>
      <c r="HT4" s="115">
        <f>IF(lg!$C$18=1,P4,IF(lg!$C$18=2,AB4,AN4))</f>
        <v>8</v>
      </c>
      <c r="HV4" s="115">
        <f>VLOOKUP(GA4,$HI$4:$HT$33,6,0)</f>
        <v>43</v>
      </c>
      <c r="HW4" s="115">
        <f t="shared" ref="HW4" si="46">VLOOKUP(GB4,$HI$4:$HT$33,6,0)</f>
        <v>12</v>
      </c>
      <c r="HX4" s="115">
        <f>VLOOKUP(GC4,$HI$4:$HT$33,3,0)</f>
        <v>13</v>
      </c>
      <c r="HY4" s="115">
        <f>VLOOKUP(GD4,$HI$4:$HT$33,3,0)</f>
        <v>3</v>
      </c>
      <c r="HZ4" s="115">
        <f>VLOOKUP(GE4,$HI$4:$HT$33,5,0)</f>
        <v>14</v>
      </c>
      <c r="IA4" s="115">
        <f>VLOOKUP(GF4,$HI$4:$HT$33,5,0)</f>
        <v>2</v>
      </c>
      <c r="IB4" s="115">
        <f>VLOOKUP(GG4,$HI$4:$HT$33,7,0)</f>
        <v>36</v>
      </c>
      <c r="IC4" s="115">
        <f>VLOOKUP(GH4,$HI$4:$HT$33,7,0)</f>
        <v>13</v>
      </c>
      <c r="ID4" s="115">
        <f>VLOOKUP(GI4,$HI$4:$HT$33,8,0)</f>
        <v>35</v>
      </c>
      <c r="IE4" s="115">
        <f>VLOOKUP(GJ4,$HI$4:$HT$33,8,0)</f>
        <v>13</v>
      </c>
      <c r="IF4" s="115">
        <f>VLOOKUP(GK4,$HI$4:$HT$33,10,0)</f>
        <v>20</v>
      </c>
      <c r="IG4" s="115">
        <f>VLOOKUP(GL4,$HI$4:$HT$33,10,0)</f>
        <v>-22</v>
      </c>
      <c r="IH4" s="115">
        <f>VLOOKUP(GM4,$HI$4:$HT$33,11,0)</f>
        <v>13</v>
      </c>
      <c r="II4" s="115">
        <f>VLOOKUP(GN4,$HI$4:$HT$33,11,0)</f>
        <v>1</v>
      </c>
      <c r="IJ4" s="115">
        <f>VLOOKUP(GO4,$HI$4:$HT$33,12,0)</f>
        <v>11</v>
      </c>
      <c r="IK4" s="115">
        <f>VLOOKUP(GP4,$HI$4:$HT$33,12,0)</f>
        <v>0</v>
      </c>
      <c r="IL4" s="115"/>
      <c r="IN4" s="77" t="s">
        <v>127</v>
      </c>
      <c r="IO4" s="104" t="s">
        <v>126</v>
      </c>
      <c r="IP4" s="133">
        <f>VLOOKUP('ef-TeamStats'!B2,Table!$B$4:$W$23,6,0)</f>
        <v>43</v>
      </c>
      <c r="IQ4" s="133">
        <f>VLOOKUP('ef-TeamStats'!$B$2,Table!$B$4:$W$23,2,0)</f>
        <v>20</v>
      </c>
      <c r="IR4" s="134">
        <f t="shared" ref="IR4:IR27" si="47">IF(IQ4=0,0,IP4/IQ4)</f>
        <v>2.15</v>
      </c>
      <c r="IS4" s="133">
        <f>MATCH('ef-TeamStats'!$B$2,$JS$4:$JS$33,0)</f>
        <v>1</v>
      </c>
      <c r="IT4" s="104"/>
      <c r="IU4" s="104" t="s">
        <v>126</v>
      </c>
      <c r="IV4" s="67">
        <f>VLOOKUP('ef-TeamStats'!G2,Table!$B$4:$W$23,6,0)</f>
        <v>33</v>
      </c>
      <c r="IW4" s="133">
        <f>VLOOKUP('ef-TeamStats'!$G$2,Table!$B$4:$W$23,2,0)</f>
        <v>19</v>
      </c>
      <c r="IX4" s="134">
        <f t="shared" ref="IX4:IX27" si="48">IF(IW4=0,0,IV4/IW4)</f>
        <v>1.736842105263158</v>
      </c>
      <c r="IY4" s="133">
        <f>MATCH('ef-TeamStats'!$G$2,$JS$4:$JS$33,0)</f>
        <v>4</v>
      </c>
      <c r="JB4" s="10">
        <f>IF(lg!$F$18=1,EB4,IF(lg!$F$18=2,ES4,FJ4))</f>
        <v>9</v>
      </c>
      <c r="JC4" s="10">
        <f>IF(lg!$F$18=1,EC4,IF(lg!$F$18=2,ET4,FK4))</f>
        <v>8</v>
      </c>
      <c r="JD4" s="10">
        <f>IF(lg!$F$18=1,ED4,IF(lg!$F$18=2,EU4,FL4))</f>
        <v>9</v>
      </c>
      <c r="JE4" s="10">
        <f>IF(lg!$F$18=1,EE4,IF(lg!$F$18=2,EV4,FM4))</f>
        <v>8</v>
      </c>
      <c r="JF4" s="10">
        <f>IF(lg!$F$18=1,EF4,IF(lg!$F$18=2,EW4,FN4))</f>
        <v>8</v>
      </c>
      <c r="JG4" s="10">
        <f>IF(lg!$F$18=1,EG4,IF(lg!$F$18=2,EX4,FO4))</f>
        <v>11</v>
      </c>
      <c r="JH4" s="10">
        <f>IF(lg!$F$18=1,EH4,IF(lg!$F$18=2,EY4,FP4))</f>
        <v>10</v>
      </c>
      <c r="JI4" s="10">
        <f>IF(lg!$F$18=1,EI4,IF(lg!$F$18=2,EZ4,FQ4))</f>
        <v>8</v>
      </c>
      <c r="JJ4" s="10">
        <f>IF(lg!$F$18=1,EJ4,IF(lg!$F$18=2,FA4,FR4))</f>
        <v>8</v>
      </c>
      <c r="JK4" s="10">
        <f>IF(lg!$F$18=1,EK4,IF(lg!$F$18=2,FB4,FS4))</f>
        <v>9</v>
      </c>
      <c r="JL4" s="10">
        <f>IF(lg!$F$18=1,EL4,IF(lg!$F$18=2,FC4,FT4))</f>
        <v>10</v>
      </c>
      <c r="JM4" s="10">
        <f>IF(lg!$F$18=1,EM4,IF(lg!$F$18=2,FD4,FU4))</f>
        <v>8</v>
      </c>
      <c r="JN4" s="10">
        <f>IF(lg!$F$18=1,EN4,IF(lg!$F$18=2,FE4,FV4))</f>
        <v>8</v>
      </c>
      <c r="JO4" s="10">
        <f>IF(lg!$F$18=1,EO4,IF(lg!$F$18=2,FF4,FW4))</f>
        <v>11</v>
      </c>
      <c r="JP4" s="10">
        <f>IF(lg!$F$18=1,EP4,IF(lg!$F$18=2,FG4,FX4))</f>
        <v>9</v>
      </c>
      <c r="JQ4" s="10">
        <f>IF(lg!$F$18=1,EQ4,IF(lg!$F$18=2,FH4,FY4))</f>
        <v>7</v>
      </c>
      <c r="JS4" s="10" t="str">
        <f>VLOOKUP(JB4,$D$4:$E$33,2,0)</f>
        <v>Los Angeles</v>
      </c>
      <c r="JT4" s="10" t="str">
        <f t="shared" ref="JT4:JT33" si="49">VLOOKUP(JC4,$D$4:$E$33,2,0)</f>
        <v>DC United</v>
      </c>
      <c r="JU4" s="10" t="str">
        <f t="shared" ref="JU4:JU33" si="50">VLOOKUP(JD4,$D$4:$E$33,2,0)</f>
        <v>Los Angeles</v>
      </c>
      <c r="JV4" s="10" t="str">
        <f t="shared" ref="JV4:JV33" si="51">VLOOKUP(JE4,$D$4:$E$33,2,0)</f>
        <v>DC United</v>
      </c>
      <c r="JW4" s="10" t="str">
        <f t="shared" ref="JW4:JW33" si="52">VLOOKUP(JF4,$D$4:$E$33,2,0)</f>
        <v>DC United</v>
      </c>
      <c r="JX4" s="10" t="str">
        <f t="shared" ref="JX4:JX33" si="53">VLOOKUP(JG4,$D$4:$E$33,2,0)</f>
        <v>Dallas</v>
      </c>
      <c r="JY4" s="10" t="str">
        <f t="shared" ref="JY4:JY33" si="54">VLOOKUP(JH4,$D$4:$E$33,2,0)</f>
        <v>Real Salt Lake</v>
      </c>
      <c r="JZ4" s="10" t="str">
        <f t="shared" ref="JZ4:JZ33" si="55">VLOOKUP(JI4,$D$4:$E$33,2,0)</f>
        <v>DC United</v>
      </c>
      <c r="KA4" s="10" t="str">
        <f t="shared" ref="KA4:KA33" si="56">VLOOKUP(JJ4,$D$4:$E$33,2,0)</f>
        <v>DC United</v>
      </c>
      <c r="KB4" s="10" t="str">
        <f t="shared" ref="KB4:KB33" si="57">VLOOKUP(JK4,$D$4:$E$33,2,0)</f>
        <v>Los Angeles</v>
      </c>
      <c r="KC4" s="10" t="str">
        <f t="shared" ref="KC4:KC33" si="58">VLOOKUP(JL4,$D$4:$E$33,2,0)</f>
        <v>Real Salt Lake</v>
      </c>
      <c r="KD4" s="10" t="str">
        <f t="shared" ref="KD4:KD33" si="59">VLOOKUP(JM4,$D$4:$E$33,2,0)</f>
        <v>DC United</v>
      </c>
      <c r="KE4" s="10" t="str">
        <f t="shared" ref="KE4:KE33" si="60">VLOOKUP(JN4,$D$4:$E$33,2,0)</f>
        <v>DC United</v>
      </c>
      <c r="KF4" s="10" t="str">
        <f t="shared" ref="KF4:KF33" si="61">VLOOKUP(JO4,$D$4:$E$33,2,0)</f>
        <v>Dallas</v>
      </c>
      <c r="KG4" s="10" t="str">
        <f t="shared" ref="KG4:KG33" si="62">VLOOKUP(JP4,$D$4:$E$33,2,0)</f>
        <v>Los Angeles</v>
      </c>
      <c r="KH4" s="10" t="str">
        <f t="shared" ref="KH4:KH33" si="63">VLOOKUP(JQ4,$D$4:$E$33,2,0)</f>
        <v>Philadelphia Union</v>
      </c>
      <c r="KL4" s="27">
        <v>0.3</v>
      </c>
      <c r="KM4" s="29">
        <v>1</v>
      </c>
      <c r="KN4" s="31" t="str">
        <f>E4</f>
        <v>Columbus</v>
      </c>
      <c r="KO4" s="115">
        <f>IF(ISERROR(VLOOKUP(CONCATENATE($KN4,KO$2),$N$2001:$Q$3800,2,0)),0,VLOOKUP(CONCATENATE($KN4,KO$2),$N$2001:$Q$3800,2,0))</f>
        <v>3</v>
      </c>
      <c r="KP4" s="115">
        <f>IF(ISERROR(VLOOKUP(CONCATENATE($KN4,KO$2),$N$2001:$Q$3800,3,0)),0,VLOOKUP(CONCATENATE($KN4,KO$2),$N$2001:$Q$3800,3,0))</f>
        <v>2</v>
      </c>
      <c r="KQ4" s="115">
        <f>IF(ISERROR(VLOOKUP(CONCATENATE($KN4,KO$2),$N$2001:$Q$3800,4,0)),0,VLOOKUP(CONCATENATE($KN4,KO$2),$N$2001:$Q$3800,4,0))</f>
        <v>0</v>
      </c>
      <c r="KR4" s="28">
        <f>IF($KN4=0,-10000000000,1000000000000+KO4*100000000+(KP4-KQ4)*10000+$KL4+KP4)</f>
        <v>1000300020002.3</v>
      </c>
      <c r="KS4" s="29"/>
      <c r="KT4" s="28"/>
      <c r="KU4" s="29">
        <f>RANK(KR4,KR$4:KR$11)</f>
        <v>2</v>
      </c>
      <c r="KV4" s="115">
        <f>IF(ISERROR(VLOOKUP(CONCATENATE($KN4,KV$2),$N$2001:$Q$3800,2,0)),0,VLOOKUP(CONCATENATE($KN4,KV$2),$N$2001:$Q$3800,2,0))+KO4</f>
        <v>4</v>
      </c>
      <c r="KW4" s="115">
        <f>IF(ISERROR(VLOOKUP(CONCATENATE($KN4,KV$2),$N$2001:$Q$3800,3,0)),0,VLOOKUP(CONCATENATE($KN4,KV$2),$N$2001:$Q$3800,3,0))+KP4</f>
        <v>4</v>
      </c>
      <c r="KX4" s="115">
        <f>IF(ISERROR(VLOOKUP(CONCATENATE($KN4,KV$2),$N$2001:$Q$3800,4,0)),0,VLOOKUP(CONCATENATE($KN4,KV$2),$N$2001:$Q$3800,4,0))+KQ4</f>
        <v>2</v>
      </c>
      <c r="KY4" s="28">
        <f>IF($KN4=0,-10000000000,1000000000000+KV4*100000000+(KW4-KX4)*10000+$KL4+KW4)</f>
        <v>1000400020004.3</v>
      </c>
      <c r="KZ4" s="29"/>
      <c r="LA4" s="28"/>
      <c r="LB4" s="29">
        <f>RANK(KY4,KY$4:KY$11)</f>
        <v>3</v>
      </c>
      <c r="LC4" s="152">
        <f>IF(ISERROR(VLOOKUP(CONCATENATE($KN4,LC$2),$N$2001:$Q$3800,2,0)),0,VLOOKUP(CONCATENATE($KN4,LC$2),$N$2001:$Q$3800,2,0))+KV4</f>
        <v>7</v>
      </c>
      <c r="LD4" s="152">
        <f>IF(ISERROR(VLOOKUP(CONCATENATE($KN4,LC$2),$N$2001:$Q$3800,3,0)),0,VLOOKUP(CONCATENATE($KN4,LC$2),$N$2001:$Q$3800,3,0))+KW4</f>
        <v>5</v>
      </c>
      <c r="LE4" s="152">
        <f>IF(ISERROR(VLOOKUP(CONCATENATE($KN4,LC$2),$N$2001:$Q$3800,4,0)),0,VLOOKUP(CONCATENATE($KN4,LC$2),$N$2001:$Q$3800,4,0))+KX4</f>
        <v>2</v>
      </c>
      <c r="LF4" s="28">
        <f>IF($KN4=0,-10000000000,1000000000000+LC4*100000000+(LD4-LE4)*10000+$KL4+LD4)</f>
        <v>1000700030005.3</v>
      </c>
      <c r="LG4" s="29"/>
      <c r="LH4" s="28"/>
      <c r="LI4" s="29">
        <f>RANK(LF4,LF$4:LF$11)</f>
        <v>1</v>
      </c>
      <c r="LJ4" s="152">
        <f>IF(ISERROR(VLOOKUP(CONCATENATE($KN4,LJ$2),$N$2001:$Q$3800,2,0)),0,VLOOKUP(CONCATENATE($KN4,LJ$2),$N$2001:$Q$3800,2,0))+LC4</f>
        <v>8</v>
      </c>
      <c r="LK4" s="152">
        <f>IF(ISERROR(VLOOKUP(CONCATENATE($KN4,LJ$2),$N$2001:$Q$3800,3,0)),0,VLOOKUP(CONCATENATE($KN4,LJ$2),$N$2001:$Q$3800,3,0))+LD4</f>
        <v>6</v>
      </c>
      <c r="LL4" s="152">
        <f>IF(ISERROR(VLOOKUP(CONCATENATE($KN4,LJ$2),$N$2001:$Q$3800,4,0)),0,VLOOKUP(CONCATENATE($KN4,LJ$2),$N$2001:$Q$3800,4,0))+LE4</f>
        <v>3</v>
      </c>
      <c r="LM4" s="28">
        <f>IF($KN4=0,-10000000000,1000000000000+LJ4*100000000+(LK4-LL4)*10000+$KL4+LK4)</f>
        <v>1000800030006.3</v>
      </c>
      <c r="LN4" s="29"/>
      <c r="LO4" s="28"/>
      <c r="LP4" s="29">
        <f>RANK(LM4,LM$4:LM$11)</f>
        <v>2</v>
      </c>
      <c r="LQ4" s="152">
        <f>IF(ISERROR(VLOOKUP(CONCATENATE($KN4,LQ$2),$N$2001:$Q$3800,2,0)),0,VLOOKUP(CONCATENATE($KN4,LQ$2),$N$2001:$Q$3800,2,0))+LJ4</f>
        <v>11</v>
      </c>
      <c r="LR4" s="152">
        <f>IF(ISERROR(VLOOKUP(CONCATENATE($KN4,LQ$2),$N$2001:$Q$3800,3,0)),0,VLOOKUP(CONCATENATE($KN4,LQ$2),$N$2001:$Q$3800,3,0))+LK4</f>
        <v>9</v>
      </c>
      <c r="LS4" s="152">
        <f>IF(ISERROR(VLOOKUP(CONCATENATE($KN4,LQ$2),$N$2001:$Q$3800,4,0)),0,VLOOKUP(CONCATENATE($KN4,LQ$2),$N$2001:$Q$3800,4,0))+LL4</f>
        <v>5</v>
      </c>
      <c r="LT4" s="28">
        <f>IF($KN4=0,-10000000000,1000000000000+LQ4*100000000+(LR4-LS4)*10000+$KL4+LR4)</f>
        <v>1001100040009.3</v>
      </c>
      <c r="LU4" s="29"/>
      <c r="LV4" s="28"/>
      <c r="LW4" s="29">
        <f>RANK(LT4,LT$4:LT$11)</f>
        <v>2</v>
      </c>
      <c r="LX4" s="152">
        <f>IF(ISERROR(VLOOKUP(CONCATENATE($KN4,LX$2),$N$2001:$Q$3800,2,0)),0,VLOOKUP(CONCATENATE($KN4,LX$2),$N$2001:$Q$3800,2,0))+LQ4</f>
        <v>14</v>
      </c>
      <c r="LY4" s="152">
        <f>IF(ISERROR(VLOOKUP(CONCATENATE($KN4,LX$2),$N$2001:$Q$3800,3,0)),0,VLOOKUP(CONCATENATE($KN4,LX$2),$N$2001:$Q$3800,3,0))+LR4</f>
        <v>10</v>
      </c>
      <c r="LZ4" s="152">
        <f>IF(ISERROR(VLOOKUP(CONCATENATE($KN4,LX$2),$N$2001:$Q$3800,4,0)),0,VLOOKUP(CONCATENATE($KN4,LX$2),$N$2001:$Q$3800,4,0))+LS4</f>
        <v>5</v>
      </c>
      <c r="MA4" s="28">
        <f>IF($KN4=0,-10000000000,1000000000000+LX4*100000000+(LY4-LZ4)*10000+$KL4+LY4)</f>
        <v>1001400050010.3</v>
      </c>
      <c r="MB4" s="29"/>
      <c r="MC4" s="28"/>
      <c r="MD4" s="29">
        <f>RANK(MA4,MA$4:MA$11)</f>
        <v>2</v>
      </c>
      <c r="ME4" s="152">
        <f>IF(ISERROR(VLOOKUP(CONCATENATE($KN4,ME$2),$N$2001:$Q$3800,2,0)),0,VLOOKUP(CONCATENATE($KN4,ME$2),$N$2001:$Q$3800,2,0))+LX4</f>
        <v>17</v>
      </c>
      <c r="MF4" s="152">
        <f>IF(ISERROR(VLOOKUP(CONCATENATE($KN4,ME$2),$N$2001:$Q$3800,3,0)),0,VLOOKUP(CONCATENATE($KN4,ME$2),$N$2001:$Q$3800,3,0))+LY4</f>
        <v>13</v>
      </c>
      <c r="MG4" s="152">
        <f>IF(ISERROR(VLOOKUP(CONCATENATE($KN4,ME$2),$N$2001:$Q$3800,4,0)),0,VLOOKUP(CONCATENATE($KN4,ME$2),$N$2001:$Q$3800,4,0))+LZ4</f>
        <v>6</v>
      </c>
      <c r="MH4" s="28">
        <f>IF($KN4=0,-10000000000,1000000000000+ME4*100000000+(MF4-MG4)*10000+$KL4+MF4)</f>
        <v>1001700070013.3</v>
      </c>
      <c r="MI4" s="29"/>
      <c r="MJ4" s="28"/>
      <c r="MK4" s="29">
        <f>RANK(MH4,MH$4:MH$11)</f>
        <v>1</v>
      </c>
      <c r="ML4" s="152">
        <f>IF(ISERROR(VLOOKUP(CONCATENATE($KN4,ML$2),$N$2001:$Q$3800,2,0)),0,VLOOKUP(CONCATENATE($KN4,ML$2),$N$2001:$Q$3800,2,0))+ME4</f>
        <v>20</v>
      </c>
      <c r="MM4" s="152">
        <f>IF(ISERROR(VLOOKUP(CONCATENATE($KN4,ML$2),$N$2001:$Q$3800,3,0)),0,VLOOKUP(CONCATENATE($KN4,ML$2),$N$2001:$Q$3800,3,0))+MF4</f>
        <v>14</v>
      </c>
      <c r="MN4" s="152">
        <f>IF(ISERROR(VLOOKUP(CONCATENATE($KN4,ML$2),$N$2001:$Q$3800,4,0)),0,VLOOKUP(CONCATENATE($KN4,ML$2),$N$2001:$Q$3800,4,0))+MG4</f>
        <v>6</v>
      </c>
      <c r="MO4" s="28">
        <f>IF($KN4=0,-10000000000,1000000000000+ML4*100000000+(MM4-MN4)*10000+$KL4+MM4)</f>
        <v>1002000080014.3</v>
      </c>
      <c r="MP4" s="29"/>
      <c r="MQ4" s="28"/>
      <c r="MR4" s="29">
        <f>RANK(MO4,MO$4:MO$11)</f>
        <v>1</v>
      </c>
      <c r="MS4" s="152">
        <f>IF(ISERROR(VLOOKUP(CONCATENATE($KN4,MS$2),$N$2001:$Q$3800,2,0)),0,VLOOKUP(CONCATENATE($KN4,MS$2),$N$2001:$Q$3800,2,0))+ML4</f>
        <v>20</v>
      </c>
      <c r="MT4" s="152">
        <f>IF(ISERROR(VLOOKUP(CONCATENATE($KN4,MS$2),$N$2001:$Q$3800,3,0)),0,VLOOKUP(CONCATENATE($KN4,MS$2),$N$2001:$Q$3800,3,0))+MM4</f>
        <v>14</v>
      </c>
      <c r="MU4" s="152">
        <f>IF(ISERROR(VLOOKUP(CONCATENATE($KN4,MS$2),$N$2001:$Q$3800,4,0)),0,VLOOKUP(CONCATENATE($KN4,MS$2),$N$2001:$Q$3800,4,0))+MN4</f>
        <v>8</v>
      </c>
      <c r="MV4" s="28">
        <f>IF($KN4=0,-10000000000,1000000000000+MS4*100000000+(MT4-MU4)*10000+$KL4+MT4)</f>
        <v>1002000060014.3</v>
      </c>
      <c r="MW4" s="29"/>
      <c r="MX4" s="28"/>
      <c r="MY4" s="29">
        <f>RANK(MV4,MV$4:MV$11)</f>
        <v>1</v>
      </c>
      <c r="MZ4" s="152">
        <f>IF(ISERROR(VLOOKUP(CONCATENATE($KN4,MZ$2),$N$2001:$Q$3800,2,0)),0,VLOOKUP(CONCATENATE($KN4,MZ$2),$N$2001:$Q$3800,2,0))+MS4</f>
        <v>21</v>
      </c>
      <c r="NA4" s="152">
        <f>IF(ISERROR(VLOOKUP(CONCATENATE($KN4,MZ$2),$N$2001:$Q$3800,3,0)),0,VLOOKUP(CONCATENATE($KN4,MZ$2),$N$2001:$Q$3800,3,0))+MT4</f>
        <v>16</v>
      </c>
      <c r="NB4" s="152">
        <f>IF(ISERROR(VLOOKUP(CONCATENATE($KN4,MZ$2),$N$2001:$Q$3800,4,0)),0,VLOOKUP(CONCATENATE($KN4,MZ$2),$N$2001:$Q$3800,4,0))+MU4</f>
        <v>10</v>
      </c>
      <c r="NC4" s="28">
        <f>IF($KN4=0,-10000000000,1000000000000+MZ4*100000000+(NA4-NB4)*10000+$KL4+NA4)</f>
        <v>1002100060016.3</v>
      </c>
      <c r="ND4" s="29"/>
      <c r="NE4" s="28"/>
      <c r="NF4" s="29">
        <f>RANK(NC4,NC$4:NC$11)</f>
        <v>1</v>
      </c>
      <c r="NG4" s="152">
        <f>IF(ISERROR(VLOOKUP(CONCATENATE($KN4,NG$2),$N$2001:$Q$3800,2,0)),0,VLOOKUP(CONCATENATE($KN4,NG$2),$N$2001:$Q$3800,2,0))+MZ4</f>
        <v>21</v>
      </c>
      <c r="NH4" s="152">
        <f>IF(ISERROR(VLOOKUP(CONCATENATE($KN4,NG$2),$N$2001:$Q$3800,3,0)),0,VLOOKUP(CONCATENATE($KN4,NG$2),$N$2001:$Q$3800,3,0))+NA4</f>
        <v>16</v>
      </c>
      <c r="NI4" s="152">
        <f>IF(ISERROR(VLOOKUP(CONCATENATE($KN4,NG$2),$N$2001:$Q$3800,4,0)),0,VLOOKUP(CONCATENATE($KN4,NG$2),$N$2001:$Q$3800,4,0))+NB4</f>
        <v>11</v>
      </c>
      <c r="NJ4" s="28">
        <f>IF($KN4=0,-10000000000,1000000000000+NG4*100000000+(NH4-NI4)*10000+$KL4+NH4)</f>
        <v>1002100050016.3</v>
      </c>
      <c r="NK4" s="29"/>
      <c r="NL4" s="28"/>
      <c r="NM4" s="29">
        <f>RANK(NJ4,NJ$4:NJ$11)</f>
        <v>1</v>
      </c>
      <c r="NN4" s="152">
        <f>IF(ISERROR(VLOOKUP(CONCATENATE($KN4,NN$2),$N$2001:$Q$3800,2,0)),0,VLOOKUP(CONCATENATE($KN4,NN$2),$N$2001:$Q$3800,2,0))+NG4</f>
        <v>24</v>
      </c>
      <c r="NO4" s="152">
        <f>IF(ISERROR(VLOOKUP(CONCATENATE($KN4,NN$2),$N$2001:$Q$3800,3,0)),0,VLOOKUP(CONCATENATE($KN4,NN$2),$N$2001:$Q$3800,3,0))+NH4</f>
        <v>18</v>
      </c>
      <c r="NP4" s="152">
        <f>IF(ISERROR(VLOOKUP(CONCATENATE($KN4,NN$2),$N$2001:$Q$3800,4,0)),0,VLOOKUP(CONCATENATE($KN4,NN$2),$N$2001:$Q$3800,4,0))+NI4</f>
        <v>11</v>
      </c>
      <c r="NQ4" s="28">
        <f>IF($KN4=0,-10000000000,1000000000000+NN4*100000000+(NO4-NP4)*10000+$KL4+NO4)</f>
        <v>1002400070018.3</v>
      </c>
      <c r="NR4" s="29"/>
      <c r="NS4" s="28"/>
      <c r="NT4" s="29">
        <f>RANK(NQ4,NQ$4:NQ$11)</f>
        <v>1</v>
      </c>
      <c r="NU4" s="152">
        <f>IF(ISERROR(VLOOKUP(CONCATENATE($KN4,NU$2),$N$2001:$Q$3800,2,0)),0,VLOOKUP(CONCATENATE($KN4,NU$2),$N$2001:$Q$3800,2,0))+NN4</f>
        <v>27</v>
      </c>
      <c r="NV4" s="152">
        <f>IF(ISERROR(VLOOKUP(CONCATENATE($KN4,NU$2),$N$2001:$Q$3800,3,0)),0,VLOOKUP(CONCATENATE($KN4,NU$2),$N$2001:$Q$3800,3,0))+NO4</f>
        <v>20</v>
      </c>
      <c r="NW4" s="152">
        <f>IF(ISERROR(VLOOKUP(CONCATENATE($KN4,NU$2),$N$2001:$Q$3800,4,0)),0,VLOOKUP(CONCATENATE($KN4,NU$2),$N$2001:$Q$3800,4,0))+NP4</f>
        <v>12</v>
      </c>
      <c r="NX4" s="28">
        <f>IF($KN4=0,-10000000000,1000000000000+NU4*100000000+(NV4-NW4)*10000+$KL4+NV4)</f>
        <v>1002700080020.3</v>
      </c>
      <c r="NY4" s="29"/>
      <c r="NZ4" s="28"/>
      <c r="OA4" s="29">
        <f>RANK(NX4,NX$4:NX$11)</f>
        <v>1</v>
      </c>
      <c r="OB4" s="152">
        <f>IF(ISERROR(VLOOKUP(CONCATENATE($KN4,OB$2),$N$2001:$Q$3800,2,0)),0,VLOOKUP(CONCATENATE($KN4,OB$2),$N$2001:$Q$3800,2,0))+NU4</f>
        <v>28</v>
      </c>
      <c r="OC4" s="152">
        <f>IF(ISERROR(VLOOKUP(CONCATENATE($KN4,OB$2),$N$2001:$Q$3800,3,0)),0,VLOOKUP(CONCATENATE($KN4,OB$2),$N$2001:$Q$3800,3,0))+NV4</f>
        <v>20</v>
      </c>
      <c r="OD4" s="152">
        <f>IF(ISERROR(VLOOKUP(CONCATENATE($KN4,OB$2),$N$2001:$Q$3800,4,0)),0,VLOOKUP(CONCATENATE($KN4,OB$2),$N$2001:$Q$3800,4,0))+NW4</f>
        <v>12</v>
      </c>
      <c r="OE4" s="28">
        <f>IF($KN4=0,-10000000000,1000000000000+OB4*100000000+(OC4-OD4)*10000+$KL4+OC4)</f>
        <v>1002800080020.3</v>
      </c>
      <c r="OF4" s="29"/>
      <c r="OG4" s="28"/>
      <c r="OH4" s="29">
        <f>RANK(OE4,OE$4:OE$11)</f>
        <v>1</v>
      </c>
      <c r="OI4" s="152">
        <f>IF(ISERROR(VLOOKUP(CONCATENATE($KN4,OI$2),$N$2001:$Q$3800,2,0)),0,VLOOKUP(CONCATENATE($KN4,OI$2),$N$2001:$Q$3800,2,0))+OB4</f>
        <v>28</v>
      </c>
      <c r="OJ4" s="152">
        <f>IF(ISERROR(VLOOKUP(CONCATENATE($KN4,OI$2),$N$2001:$Q$3800,3,0)),0,VLOOKUP(CONCATENATE($KN4,OI$2),$N$2001:$Q$3800,3,0))+OC4</f>
        <v>20</v>
      </c>
      <c r="OK4" s="152">
        <f>IF(ISERROR(VLOOKUP(CONCATENATE($KN4,OI$2),$N$2001:$Q$3800,4,0)),0,VLOOKUP(CONCATENATE($KN4,OI$2),$N$2001:$Q$3800,4,0))+OD4</f>
        <v>13</v>
      </c>
      <c r="OL4" s="28">
        <f>IF($KN4=0,-10000000000,1000000000000+OI4*100000000+(OJ4-OK4)*10000+$KL4+OJ4)</f>
        <v>1002800070020.3</v>
      </c>
      <c r="OM4" s="29"/>
      <c r="ON4" s="28"/>
      <c r="OO4" s="29">
        <f>RANK(OL4,OL$4:OL$11)</f>
        <v>1</v>
      </c>
      <c r="OP4" s="152">
        <f>IF(ISERROR(VLOOKUP(CONCATENATE($KN4,OP$2),$N$2001:$Q$3800,2,0)),0,VLOOKUP(CONCATENATE($KN4,OP$2),$N$2001:$Q$3800,2,0))+OI4</f>
        <v>31</v>
      </c>
      <c r="OQ4" s="152">
        <f>IF(ISERROR(VLOOKUP(CONCATENATE($KN4,OP$2),$N$2001:$Q$3800,3,0)),0,VLOOKUP(CONCATENATE($KN4,OP$2),$N$2001:$Q$3800,3,0))+OJ4</f>
        <v>22</v>
      </c>
      <c r="OR4" s="152">
        <f>IF(ISERROR(VLOOKUP(CONCATENATE($KN4,OP$2),$N$2001:$Q$3800,4,0)),0,VLOOKUP(CONCATENATE($KN4,OP$2),$N$2001:$Q$3800,4,0))+OK4</f>
        <v>13</v>
      </c>
      <c r="OS4" s="28">
        <f>IF($KN4=0,-10000000000,1000000000000+OP4*100000000+(OQ4-OR4)*10000+$KL4+OQ4)</f>
        <v>1003100090022.3</v>
      </c>
      <c r="OT4" s="29"/>
      <c r="OU4" s="28"/>
      <c r="OV4" s="29">
        <f>RANK(OS4,OS$4:OS$11)</f>
        <v>1</v>
      </c>
      <c r="OW4" s="152">
        <f>IF(ISERROR(VLOOKUP(CONCATENATE($KN4,OW$2),$N$2001:$Q$3800,2,0)),0,VLOOKUP(CONCATENATE($KN4,OW$2),$N$2001:$Q$3800,2,0))+OP4</f>
        <v>34</v>
      </c>
      <c r="OX4" s="152">
        <f>IF(ISERROR(VLOOKUP(CONCATENATE($KN4,OW$2),$N$2001:$Q$3800,3,0)),0,VLOOKUP(CONCATENATE($KN4,OW$2),$N$2001:$Q$3800,3,0))+OQ4</f>
        <v>25</v>
      </c>
      <c r="OY4" s="152">
        <f>IF(ISERROR(VLOOKUP(CONCATENATE($KN4,OW$2),$N$2001:$Q$3800,4,0)),0,VLOOKUP(CONCATENATE($KN4,OW$2),$N$2001:$Q$3800,4,0))+OR4</f>
        <v>13</v>
      </c>
      <c r="OZ4" s="28">
        <f>IF($KN4=0,-10000000000,1000000000000+OW4*100000000+(OX4-OY4)*10000+$KL4+OX4)</f>
        <v>1003400120025.3</v>
      </c>
      <c r="PA4" s="29"/>
      <c r="PB4" s="28"/>
      <c r="PC4" s="29">
        <f>RANK(OZ4,OZ$4:OZ$11)</f>
        <v>1</v>
      </c>
      <c r="PD4" s="152">
        <f>IF(ISERROR(VLOOKUP(CONCATENATE($KN4,PD$2),$N$2001:$Q$3800,2,0)),0,VLOOKUP(CONCATENATE($KN4,PD$2),$N$2001:$Q$3800,2,0))+OW4</f>
        <v>34</v>
      </c>
      <c r="PE4" s="152">
        <f>IF(ISERROR(VLOOKUP(CONCATENATE($KN4,PD$2),$N$2001:$Q$3800,3,0)),0,VLOOKUP(CONCATENATE($KN4,PD$2),$N$2001:$Q$3800,3,0))+OX4</f>
        <v>26</v>
      </c>
      <c r="PF4" s="152">
        <f>IF(ISERROR(VLOOKUP(CONCATENATE($KN4,PD$2),$N$2001:$Q$3800,4,0)),0,VLOOKUP(CONCATENATE($KN4,PD$2),$N$2001:$Q$3800,4,0))+OY4</f>
        <v>16</v>
      </c>
      <c r="PG4" s="28">
        <f>IF($KN4=0,-10000000000,1000000000000+PD4*100000000+(PE4-PF4)*10000+$KL4+PE4)</f>
        <v>1003400100026.3</v>
      </c>
      <c r="PH4" s="29"/>
      <c r="PI4" s="28"/>
      <c r="PJ4" s="29">
        <f>RANK(PG4,PG$4:PG$11)</f>
        <v>1</v>
      </c>
      <c r="PK4" s="152">
        <f>IF(ISERROR(VLOOKUP(CONCATENATE($KN4,PK$2),$N$2001:$Q$3800,2,0)),0,VLOOKUP(CONCATENATE($KN4,PK$2),$N$2001:$Q$3800,2,0))+PD4</f>
        <v>37</v>
      </c>
      <c r="PL4" s="152">
        <f>IF(ISERROR(VLOOKUP(CONCATENATE($KN4,PK$2),$N$2001:$Q$3800,3,0)),0,VLOOKUP(CONCATENATE($KN4,PK$2),$N$2001:$Q$3800,3,0))+PE4</f>
        <v>28</v>
      </c>
      <c r="PM4" s="152">
        <f>IF(ISERROR(VLOOKUP(CONCATENATE($KN4,PK$2),$N$2001:$Q$3800,4,0)),0,VLOOKUP(CONCATENATE($KN4,PK$2),$N$2001:$Q$3800,4,0))+PF4</f>
        <v>17</v>
      </c>
      <c r="PN4" s="28">
        <f>IF($KN4=0,-10000000000,1000000000000+PK4*100000000+(PL4-PM4)*10000+$KL4+PL4)</f>
        <v>1003700110028.3</v>
      </c>
      <c r="PO4" s="29"/>
      <c r="PP4" s="28"/>
      <c r="PQ4" s="29">
        <f>RANK(PN4,PN$4:PN$11)</f>
        <v>1</v>
      </c>
      <c r="PR4" s="152">
        <f>IF(ISERROR(VLOOKUP(CONCATENATE($KN4,PR$2),$N$2001:$Q$3800,2,0)),0,VLOOKUP(CONCATENATE($KN4,PR$2),$N$2001:$Q$3800,2,0))+PK4</f>
        <v>37</v>
      </c>
      <c r="PS4" s="152">
        <f>IF(ISERROR(VLOOKUP(CONCATENATE($KN4,PR$2),$N$2001:$Q$3800,3,0)),0,VLOOKUP(CONCATENATE($KN4,PR$2),$N$2001:$Q$3800,3,0))+PL4</f>
        <v>28</v>
      </c>
      <c r="PT4" s="152">
        <f>IF(ISERROR(VLOOKUP(CONCATENATE($KN4,PR$2),$N$2001:$Q$3800,4,0)),0,VLOOKUP(CONCATENATE($KN4,PR$2),$N$2001:$Q$3800,4,0))+PM4</f>
        <v>19</v>
      </c>
      <c r="PU4" s="28">
        <f>IF($KN4=0,-10000000000,1000000000000+PR4*100000000+(PS4-PT4)*10000+$KL4+PS4)</f>
        <v>1003700090028.3</v>
      </c>
      <c r="PV4" s="29"/>
      <c r="PW4" s="28"/>
      <c r="PX4" s="29">
        <f>RANK(PU4,PU$4:PU$11)</f>
        <v>1</v>
      </c>
      <c r="PY4" s="152">
        <f>IF(ISERROR(VLOOKUP(CONCATENATE($KN4,PY$2),$N$2001:$Q$3800,2,0)),0,VLOOKUP(CONCATENATE($KN4,PY$2),$N$2001:$Q$3800,2,0))+PR4</f>
        <v>37</v>
      </c>
      <c r="PZ4" s="152">
        <f>IF(ISERROR(VLOOKUP(CONCATENATE($KN4,PY$2),$N$2001:$Q$3800,3,0)),0,VLOOKUP(CONCATENATE($KN4,PY$2),$N$2001:$Q$3800,3,0))+PS4</f>
        <v>28</v>
      </c>
      <c r="QA4" s="152">
        <f>IF(ISERROR(VLOOKUP(CONCATENATE($KN4,PY$2),$N$2001:$Q$3800,4,0)),0,VLOOKUP(CONCATENATE($KN4,PY$2),$N$2001:$Q$3800,4,0))+PT4</f>
        <v>19</v>
      </c>
      <c r="QB4" s="28">
        <f>IF($KN4=0,-10000000000,1000000000000+PY4*100000000+(PZ4-QA4)*10000+$KL4+PZ4)</f>
        <v>1003700090028.3</v>
      </c>
      <c r="QC4" s="29"/>
      <c r="QD4" s="28"/>
      <c r="QE4" s="29">
        <f>RANK(QB4,QB$4:QB$11)</f>
        <v>1</v>
      </c>
      <c r="QF4" s="152">
        <f>IF(ISERROR(VLOOKUP(CONCATENATE($KN4,QF$2),$N$2001:$Q$3800,2,0)),0,VLOOKUP(CONCATENATE($KN4,QF$2),$N$2001:$Q$3800,2,0))+PY4</f>
        <v>37</v>
      </c>
      <c r="QG4" s="152">
        <f>IF(ISERROR(VLOOKUP(CONCATENATE($KN4,QF$2),$N$2001:$Q$3800,3,0)),0,VLOOKUP(CONCATENATE($KN4,QF$2),$N$2001:$Q$3800,3,0))+PZ4</f>
        <v>28</v>
      </c>
      <c r="QH4" s="152">
        <f>IF(ISERROR(VLOOKUP(CONCATENATE($KN4,QF$2),$N$2001:$Q$3800,4,0)),0,VLOOKUP(CONCATENATE($KN4,QF$2),$N$2001:$Q$3800,4,0))+QA4</f>
        <v>19</v>
      </c>
      <c r="QI4" s="28">
        <f>IF($KN4=0,-10000000000,1000000000000+QF4*100000000+(QG4-QH4)*10000+$KL4+QG4)</f>
        <v>1003700090028.3</v>
      </c>
      <c r="QJ4" s="29"/>
      <c r="QK4" s="28"/>
      <c r="QL4" s="29">
        <f>RANK(QI4,QI$4:QI$11)</f>
        <v>1</v>
      </c>
      <c r="QM4" s="152">
        <f>IF(ISERROR(VLOOKUP(CONCATENATE($KN4,QM$2),$N$2001:$Q$3800,2,0)),0,VLOOKUP(CONCATENATE($KN4,QM$2),$N$2001:$Q$3800,2,0))+QF4</f>
        <v>37</v>
      </c>
      <c r="QN4" s="152">
        <f>IF(ISERROR(VLOOKUP(CONCATENATE($KN4,QM$2),$N$2001:$Q$3800,3,0)),0,VLOOKUP(CONCATENATE($KN4,QM$2),$N$2001:$Q$3800,3,0))+QG4</f>
        <v>28</v>
      </c>
      <c r="QO4" s="152">
        <f>IF(ISERROR(VLOOKUP(CONCATENATE($KN4,QM$2),$N$2001:$Q$3800,4,0)),0,VLOOKUP(CONCATENATE($KN4,QM$2),$N$2001:$Q$3800,4,0))+QH4</f>
        <v>19</v>
      </c>
      <c r="QP4" s="28">
        <f>IF($KN4=0,-10000000000,1000000000000+QM4*100000000+(QN4-QO4)*10000+$KL4+QN4)</f>
        <v>1003700090028.3</v>
      </c>
      <c r="QQ4" s="29"/>
      <c r="QR4" s="28"/>
      <c r="QS4" s="29">
        <f>RANK(QP4,QP$4:QP$11)</f>
        <v>1</v>
      </c>
      <c r="QT4" s="152">
        <f>IF(ISERROR(VLOOKUP(CONCATENATE($KN4,QT$2),$N$2001:$Q$3800,2,0)),0,VLOOKUP(CONCATENATE($KN4,QT$2),$N$2001:$Q$3800,2,0))+QM4</f>
        <v>37</v>
      </c>
      <c r="QU4" s="152">
        <f>IF(ISERROR(VLOOKUP(CONCATENATE($KN4,QT$2),$N$2001:$Q$3800,3,0)),0,VLOOKUP(CONCATENATE($KN4,QT$2),$N$2001:$Q$3800,3,0))+QN4</f>
        <v>28</v>
      </c>
      <c r="QV4" s="152">
        <f>IF(ISERROR(VLOOKUP(CONCATENATE($KN4,QT$2),$N$2001:$Q$3800,4,0)),0,VLOOKUP(CONCATENATE($KN4,QT$2),$N$2001:$Q$3800,4,0))+QO4</f>
        <v>19</v>
      </c>
      <c r="QW4" s="28">
        <f>IF($KN4=0,-10000000000,1000000000000+QT4*100000000+(QU4-QV4)*10000+$KL4+QU4)</f>
        <v>1003700090028.3</v>
      </c>
      <c r="QX4" s="29"/>
      <c r="QY4" s="28"/>
      <c r="QZ4" s="29">
        <f>RANK(QW4,QW$4:QW$11)</f>
        <v>1</v>
      </c>
      <c r="RA4" s="152">
        <f>IF(ISERROR(VLOOKUP(CONCATENATE($KN4,RA$2),$N$2001:$Q$3800,2,0)),0,VLOOKUP(CONCATENATE($KN4,RA$2),$N$2001:$Q$3800,2,0))+QT4</f>
        <v>37</v>
      </c>
      <c r="RB4" s="152">
        <f>IF(ISERROR(VLOOKUP(CONCATENATE($KN4,RA$2),$N$2001:$Q$3800,3,0)),0,VLOOKUP(CONCATENATE($KN4,RA$2),$N$2001:$Q$3800,3,0))+QU4</f>
        <v>28</v>
      </c>
      <c r="RC4" s="152">
        <f>IF(ISERROR(VLOOKUP(CONCATENATE($KN4,RA$2),$N$2001:$Q$3800,4,0)),0,VLOOKUP(CONCATENATE($KN4,RA$2),$N$2001:$Q$3800,4,0))+QV4</f>
        <v>19</v>
      </c>
      <c r="RD4" s="28">
        <f>IF($KN4=0,-10000000000,1000000000000+RA4*100000000+(RB4-RC4)*10000+$KL4+RB4)</f>
        <v>1003700090028.3</v>
      </c>
      <c r="RE4" s="29"/>
      <c r="RF4" s="28"/>
      <c r="RG4" s="29">
        <f>RANK(RD4,RD$4:RD$11)</f>
        <v>1</v>
      </c>
      <c r="RH4" s="152">
        <f>IF(ISERROR(VLOOKUP(CONCATENATE($KN4,RH$2),$N$2001:$Q$3800,2,0)),0,VLOOKUP(CONCATENATE($KN4,RH$2),$N$2001:$Q$3800,2,0))+RA4</f>
        <v>37</v>
      </c>
      <c r="RI4" s="152">
        <f>IF(ISERROR(VLOOKUP(CONCATENATE($KN4,RH$2),$N$2001:$Q$3800,3,0)),0,VLOOKUP(CONCATENATE($KN4,RH$2),$N$2001:$Q$3800,3,0))+RB4</f>
        <v>28</v>
      </c>
      <c r="RJ4" s="152">
        <f>IF(ISERROR(VLOOKUP(CONCATENATE($KN4,RH$2),$N$2001:$Q$3800,4,0)),0,VLOOKUP(CONCATENATE($KN4,RH$2),$N$2001:$Q$3800,4,0))+RC4</f>
        <v>19</v>
      </c>
      <c r="RK4" s="28">
        <f>IF($KN4=0,-10000000000,1000000000000+RH4*100000000+(RI4-RJ4)*10000+$KL4+RI4)</f>
        <v>1003700090028.3</v>
      </c>
      <c r="RL4" s="29"/>
      <c r="RM4" s="28"/>
      <c r="RN4" s="29">
        <f>RANK(RK4,RK$4:RK$11)</f>
        <v>1</v>
      </c>
      <c r="RO4" s="152">
        <f>IF(ISERROR(VLOOKUP(CONCATENATE($KN4,RO$2),$N$2001:$Q$3800,2,0)),0,VLOOKUP(CONCATENATE($KN4,RO$2),$N$2001:$Q$3800,2,0))+RH4</f>
        <v>37</v>
      </c>
      <c r="RP4" s="152">
        <f>IF(ISERROR(VLOOKUP(CONCATENATE($KN4,RO$2),$N$2001:$Q$3800,3,0)),0,VLOOKUP(CONCATENATE($KN4,RO$2),$N$2001:$Q$3800,3,0))+RI4</f>
        <v>28</v>
      </c>
      <c r="RQ4" s="152">
        <f>IF(ISERROR(VLOOKUP(CONCATENATE($KN4,RO$2),$N$2001:$Q$3800,4,0)),0,VLOOKUP(CONCATENATE($KN4,RO$2),$N$2001:$Q$3800,4,0))+RJ4</f>
        <v>19</v>
      </c>
      <c r="RR4" s="28">
        <f>IF($KN4=0,-10000000000,1000000000000+RO4*100000000+(RP4-RQ4)*10000+$KL4+RP4)</f>
        <v>1003700090028.3</v>
      </c>
      <c r="RS4" s="29"/>
      <c r="RT4" s="28"/>
      <c r="RU4" s="29">
        <f>RANK(RR4,RR$4:RR$11)</f>
        <v>1</v>
      </c>
      <c r="RV4" s="152">
        <f>IF(ISERROR(VLOOKUP(CONCATENATE($KN4,RV$2),$N$2001:$Q$3800,2,0)),0,VLOOKUP(CONCATENATE($KN4,RV$2),$N$2001:$Q$3800,2,0))+RO4</f>
        <v>37</v>
      </c>
      <c r="RW4" s="152">
        <f>IF(ISERROR(VLOOKUP(CONCATENATE($KN4,RV$2),$N$2001:$Q$3800,3,0)),0,VLOOKUP(CONCATENATE($KN4,RV$2),$N$2001:$Q$3800,3,0))+RP4</f>
        <v>28</v>
      </c>
      <c r="RX4" s="152">
        <f>IF(ISERROR(VLOOKUP(CONCATENATE($KN4,RV$2),$N$2001:$Q$3800,4,0)),0,VLOOKUP(CONCATENATE($KN4,RV$2),$N$2001:$Q$3800,4,0))+RQ4</f>
        <v>19</v>
      </c>
      <c r="RY4" s="28">
        <f>IF($KN4=0,-10000000000,1000000000000+RV4*100000000+(RW4-RX4)*10000+$KL4+RW4)</f>
        <v>1003700090028.3</v>
      </c>
      <c r="RZ4" s="29"/>
      <c r="SA4" s="28"/>
      <c r="SB4" s="29">
        <f>RANK(RY4,RY$4:RY$11)</f>
        <v>1</v>
      </c>
      <c r="SC4" s="152">
        <f>IF(ISERROR(VLOOKUP(CONCATENATE($KN4,SC$2),$N$2001:$Q$3800,2,0)),0,VLOOKUP(CONCATENATE($KN4,SC$2),$N$2001:$Q$3800,2,0))+RV4</f>
        <v>37</v>
      </c>
      <c r="SD4" s="152">
        <f>IF(ISERROR(VLOOKUP(CONCATENATE($KN4,SC$2),$N$2001:$Q$3800,3,0)),0,VLOOKUP(CONCATENATE($KN4,SC$2),$N$2001:$Q$3800,3,0))+RW4</f>
        <v>28</v>
      </c>
      <c r="SE4" s="152">
        <f>IF(ISERROR(VLOOKUP(CONCATENATE($KN4,SC$2),$N$2001:$Q$3800,4,0)),0,VLOOKUP(CONCATENATE($KN4,SC$2),$N$2001:$Q$3800,4,0))+RX4</f>
        <v>19</v>
      </c>
      <c r="SF4" s="28">
        <f>IF($KN4=0,-10000000000,1000000000000+SC4*100000000+(SD4-SE4)*10000+$KL4+SD4)</f>
        <v>1003700090028.3</v>
      </c>
      <c r="SG4" s="29"/>
      <c r="SH4" s="28"/>
      <c r="SI4" s="29">
        <f>RANK(SF4,SF$4:SF$11)</f>
        <v>1</v>
      </c>
      <c r="SJ4" s="152">
        <f>IF(ISERROR(VLOOKUP(CONCATENATE($KN4,SJ$2),$N$2001:$Q$3800,2,0)),0,VLOOKUP(CONCATENATE($KN4,SJ$2),$N$2001:$Q$3800,2,0))+SC4</f>
        <v>37</v>
      </c>
      <c r="SK4" s="152">
        <f>IF(ISERROR(VLOOKUP(CONCATENATE($KN4,SJ$2),$N$2001:$Q$3800,3,0)),0,VLOOKUP(CONCATENATE($KN4,SJ$2),$N$2001:$Q$3800,3,0))+SD4</f>
        <v>28</v>
      </c>
      <c r="SL4" s="152">
        <f>IF(ISERROR(VLOOKUP(CONCATENATE($KN4,SJ$2),$N$2001:$Q$3800,4,0)),0,VLOOKUP(CONCATENATE($KN4,SJ$2),$N$2001:$Q$3800,4,0))+SE4</f>
        <v>19</v>
      </c>
      <c r="SM4" s="28">
        <f>IF($KN4=0,-10000000000,1000000000000+SJ4*100000000+(SK4-SL4)*10000+$KL4+SK4)</f>
        <v>1003700090028.3</v>
      </c>
      <c r="SN4" s="29"/>
      <c r="SO4" s="28"/>
      <c r="SP4" s="29">
        <f>RANK(SM4,SM$4:SM$11)</f>
        <v>1</v>
      </c>
      <c r="SQ4" s="152">
        <f>IF(ISERROR(VLOOKUP(CONCATENATE($KN4,SQ$2),$N$2001:$Q$3800,2,0)),0,VLOOKUP(CONCATENATE($KN4,SQ$2),$N$2001:$Q$3800,2,0))+SJ4</f>
        <v>37</v>
      </c>
      <c r="SR4" s="152">
        <f>IF(ISERROR(VLOOKUP(CONCATENATE($KN4,SQ$2),$N$2001:$Q$3800,3,0)),0,VLOOKUP(CONCATENATE($KN4,SQ$2),$N$2001:$Q$3800,3,0))+SK4</f>
        <v>28</v>
      </c>
      <c r="SS4" s="152">
        <f>IF(ISERROR(VLOOKUP(CONCATENATE($KN4,SQ$2),$N$2001:$Q$3800,4,0)),0,VLOOKUP(CONCATENATE($KN4,SQ$2),$N$2001:$Q$3800,4,0))+SL4</f>
        <v>19</v>
      </c>
      <c r="ST4" s="28">
        <f>IF($KN4=0,-10000000000,1000000000000+SQ4*100000000+(SR4-SS4)*10000+$KL4+SR4)</f>
        <v>1003700090028.3</v>
      </c>
      <c r="SU4" s="29"/>
      <c r="SV4" s="28"/>
      <c r="SW4" s="29">
        <f>RANK(ST4,ST$4:ST$11)</f>
        <v>1</v>
      </c>
      <c r="SX4" s="152">
        <f>IF(ISERROR(VLOOKUP(CONCATENATE($KN4,SX$2),$N$2001:$Q$3800,2,0)),0,VLOOKUP(CONCATENATE($KN4,SX$2),$N$2001:$Q$3800,2,0))+SQ4</f>
        <v>37</v>
      </c>
      <c r="SY4" s="152">
        <f>IF(ISERROR(VLOOKUP(CONCATENATE($KN4,SX$2),$N$2001:$Q$3800,3,0)),0,VLOOKUP(CONCATENATE($KN4,SX$2),$N$2001:$Q$3800,3,0))+SR4</f>
        <v>28</v>
      </c>
      <c r="SZ4" s="152">
        <f>IF(ISERROR(VLOOKUP(CONCATENATE($KN4,SX$2),$N$2001:$Q$3800,4,0)),0,VLOOKUP(CONCATENATE($KN4,SX$2),$N$2001:$Q$3800,4,0))+SS4</f>
        <v>19</v>
      </c>
      <c r="TA4" s="28">
        <f>IF($KN4=0,-10000000000,1000000000000+SX4*100000000+(SY4-SZ4)*10000+$KL4+SY4)</f>
        <v>1003700090028.3</v>
      </c>
      <c r="TB4" s="29"/>
      <c r="TC4" s="28"/>
      <c r="TD4" s="29">
        <f>RANK(TA4,TA$4:TA$11)</f>
        <v>1</v>
      </c>
      <c r="TE4" s="152">
        <f>IF(ISERROR(VLOOKUP(CONCATENATE($KN4,TE$2),$N$2001:$Q$3800,2,0)),0,VLOOKUP(CONCATENATE($KN4,TE$2),$N$2001:$Q$3800,2,0))+SX4</f>
        <v>37</v>
      </c>
      <c r="TF4" s="152">
        <f>IF(ISERROR(VLOOKUP(CONCATENATE($KN4,TE$2),$N$2001:$Q$3800,3,0)),0,VLOOKUP(CONCATENATE($KN4,TE$2),$N$2001:$Q$3800,3,0))+SY4</f>
        <v>28</v>
      </c>
      <c r="TG4" s="152">
        <f>IF(ISERROR(VLOOKUP(CONCATENATE($KN4,TE$2),$N$2001:$Q$3800,4,0)),0,VLOOKUP(CONCATENATE($KN4,TE$2),$N$2001:$Q$3800,4,0))+SZ4</f>
        <v>19</v>
      </c>
      <c r="TH4" s="28">
        <f>IF($KN4=0,-10000000000,1000000000000+TE4*100000000+(TF4-TG4)*10000+$KL4+TF4)</f>
        <v>1003700090028.3</v>
      </c>
      <c r="TI4" s="29"/>
      <c r="TJ4" s="28"/>
      <c r="TK4" s="29">
        <f>RANK(TH4,TH$4:TH$11)</f>
        <v>1</v>
      </c>
      <c r="TL4" s="152">
        <f>IF(ISERROR(VLOOKUP(CONCATENATE($KN4,TL$2),$N$2001:$Q$3800,2,0)),0,VLOOKUP(CONCATENATE($KN4,TL$2),$N$2001:$Q$3800,2,0))+TE4</f>
        <v>37</v>
      </c>
      <c r="TM4" s="152">
        <f>IF(ISERROR(VLOOKUP(CONCATENATE($KN4,TL$2),$N$2001:$Q$3800,3,0)),0,VLOOKUP(CONCATENATE($KN4,TL$2),$N$2001:$Q$3800,3,0))+TF4</f>
        <v>28</v>
      </c>
      <c r="TN4" s="152">
        <f>IF(ISERROR(VLOOKUP(CONCATENATE($KN4,TL$2),$N$2001:$Q$3800,4,0)),0,VLOOKUP(CONCATENATE($KN4,TL$2),$N$2001:$Q$3800,4,0))+TG4</f>
        <v>19</v>
      </c>
      <c r="TO4" s="28">
        <f>IF($KN4=0,-10000000000,1000000000000+TL4*100000000+(TM4-TN4)*10000+$KL4+TM4)</f>
        <v>1003700090028.3</v>
      </c>
      <c r="TP4" s="29"/>
      <c r="TQ4" s="28"/>
      <c r="TR4" s="29">
        <f>RANK(TO4,TO$4:TO$11)</f>
        <v>1</v>
      </c>
      <c r="TS4" s="152">
        <f>IF(ISERROR(VLOOKUP(CONCATENATE($KN4,TS$2),$N$2001:$Q$3800,2,0)),0,VLOOKUP(CONCATENATE($KN4,TS$2),$N$2001:$Q$3800,2,0))+TL4</f>
        <v>37</v>
      </c>
      <c r="TT4" s="152">
        <f>IF(ISERROR(VLOOKUP(CONCATENATE($KN4,TS$2),$N$2001:$Q$3800,3,0)),0,VLOOKUP(CONCATENATE($KN4,TS$2),$N$2001:$Q$3800,3,0))+TM4</f>
        <v>28</v>
      </c>
      <c r="TU4" s="152">
        <f>IF(ISERROR(VLOOKUP(CONCATENATE($KN4,TS$2),$N$2001:$Q$3800,4,0)),0,VLOOKUP(CONCATENATE($KN4,TS$2),$N$2001:$Q$3800,4,0))+TN4</f>
        <v>19</v>
      </c>
      <c r="TV4" s="28">
        <f>IF($KN4=0,-10000000000,1000000000000+TS4*100000000+(TT4-TU4)*10000+$KL4+TT4)</f>
        <v>1003700090028.3</v>
      </c>
      <c r="TW4" s="29"/>
      <c r="TX4" s="28"/>
      <c r="TY4" s="29">
        <f>RANK(TV4,TV$4:TV$11)</f>
        <v>1</v>
      </c>
      <c r="TZ4" s="152">
        <f>IF(ISERROR(VLOOKUP(CONCATENATE($KN4,TZ$2),$N$2001:$Q$3800,2,0)),0,VLOOKUP(CONCATENATE($KN4,TZ$2),$N$2001:$Q$3800,2,0))+TS4</f>
        <v>37</v>
      </c>
      <c r="UA4" s="152">
        <f>IF(ISERROR(VLOOKUP(CONCATENATE($KN4,TZ$2),$N$2001:$Q$3800,3,0)),0,VLOOKUP(CONCATENATE($KN4,TZ$2),$N$2001:$Q$3800,3,0))+TT4</f>
        <v>28</v>
      </c>
      <c r="UB4" s="152">
        <f>IF(ISERROR(VLOOKUP(CONCATENATE($KN4,TZ$2),$N$2001:$Q$3800,4,0)),0,VLOOKUP(CONCATENATE($KN4,TZ$2),$N$2001:$Q$3800,4,0))+TU4</f>
        <v>19</v>
      </c>
      <c r="UC4" s="28">
        <f>IF($KN4=0,-10000000000,1000000000000+TZ4*100000000+(UA4-UB4)*10000+$KL4+UA4)</f>
        <v>1003700090028.3</v>
      </c>
      <c r="UD4" s="29"/>
      <c r="UE4" s="28"/>
      <c r="UF4" s="29">
        <f>RANK(UC4,UC$4:UC$11)</f>
        <v>1</v>
      </c>
      <c r="UG4" s="152">
        <f>IF(ISERROR(VLOOKUP(CONCATENATE($KN4,UG$2),$N$2001:$Q$3800,2,0)),0,VLOOKUP(CONCATENATE($KN4,UG$2),$N$2001:$Q$3800,2,0))+TZ4</f>
        <v>37</v>
      </c>
      <c r="UH4" s="152">
        <f>IF(ISERROR(VLOOKUP(CONCATENATE($KN4,UG$2),$N$2001:$Q$3800,3,0)),0,VLOOKUP(CONCATENATE($KN4,UG$2),$N$2001:$Q$3800,3,0))+UA4</f>
        <v>28</v>
      </c>
      <c r="UI4" s="152">
        <f>IF(ISERROR(VLOOKUP(CONCATENATE($KN4,UG$2),$N$2001:$Q$3800,4,0)),0,VLOOKUP(CONCATENATE($KN4,UG$2),$N$2001:$Q$3800,4,0))+UB4</f>
        <v>19</v>
      </c>
      <c r="UJ4" s="28">
        <f>IF($KN4=0,-10000000000,1000000000000+UG4*100000000+(UH4-UI4)*10000+$KL4+UH4)</f>
        <v>1003700090028.3</v>
      </c>
      <c r="UK4" s="29"/>
      <c r="UL4" s="28"/>
      <c r="UM4" s="29">
        <f>RANK(UJ4,UJ$4:UJ$11)</f>
        <v>1</v>
      </c>
      <c r="UN4" s="152">
        <f>IF(ISERROR(VLOOKUP(CONCATENATE($KN4,UN$2),$N$2001:$Q$3800,2,0)),0,VLOOKUP(CONCATENATE($KN4,UN$2),$N$2001:$Q$3800,2,0))+UG4</f>
        <v>37</v>
      </c>
      <c r="UO4" s="152">
        <f>IF(ISERROR(VLOOKUP(CONCATENATE($KN4,UN$2),$N$2001:$Q$3800,3,0)),0,VLOOKUP(CONCATENATE($KN4,UN$2),$N$2001:$Q$3800,3,0))+UH4</f>
        <v>28</v>
      </c>
      <c r="UP4" s="152">
        <f>IF(ISERROR(VLOOKUP(CONCATENATE($KN4,UN$2),$N$2001:$Q$3800,4,0)),0,VLOOKUP(CONCATENATE($KN4,UN$2),$N$2001:$Q$3800,4,0))+UI4</f>
        <v>19</v>
      </c>
      <c r="UQ4" s="28">
        <f>IF($KN4=0,-10000000000,1000000000000+UN4*100000000+(UO4-UP4)*10000+$KL4+UO4)</f>
        <v>1003700090028.3</v>
      </c>
      <c r="UR4" s="29"/>
      <c r="US4" s="28"/>
      <c r="UT4" s="29">
        <f>RANK(UQ4,UQ$4:UQ$11)</f>
        <v>1</v>
      </c>
      <c r="UU4" s="129"/>
      <c r="UV4" s="129" t="str">
        <f>KN4</f>
        <v>Columbus</v>
      </c>
      <c r="UW4" s="129">
        <f>KU4</f>
        <v>2</v>
      </c>
      <c r="UX4" s="129">
        <f ca="1">OFFSET($KU4,0,UX$3)</f>
        <v>3</v>
      </c>
      <c r="UY4" s="129">
        <f t="shared" ref="UY4:VN19" ca="1" si="64">OFFSET($KU4,0,UY$3)</f>
        <v>1</v>
      </c>
      <c r="UZ4" s="129">
        <f t="shared" ca="1" si="64"/>
        <v>2</v>
      </c>
      <c r="VA4" s="129">
        <f t="shared" ca="1" si="64"/>
        <v>2</v>
      </c>
      <c r="VB4" s="129">
        <f t="shared" ca="1" si="64"/>
        <v>2</v>
      </c>
      <c r="VC4" s="129">
        <f t="shared" ca="1" si="64"/>
        <v>1</v>
      </c>
      <c r="VD4" s="129">
        <f t="shared" ca="1" si="64"/>
        <v>1</v>
      </c>
      <c r="VE4" s="129">
        <f t="shared" ca="1" si="64"/>
        <v>1</v>
      </c>
      <c r="VF4" s="129">
        <f t="shared" ca="1" si="64"/>
        <v>1</v>
      </c>
      <c r="VG4" s="129">
        <f t="shared" ca="1" si="64"/>
        <v>1</v>
      </c>
      <c r="VH4" s="129">
        <f t="shared" ca="1" si="64"/>
        <v>1</v>
      </c>
      <c r="VI4" s="129">
        <f t="shared" ca="1" si="64"/>
        <v>1</v>
      </c>
      <c r="VJ4" s="129">
        <f t="shared" ca="1" si="64"/>
        <v>1</v>
      </c>
      <c r="VK4" s="129">
        <f t="shared" ca="1" si="64"/>
        <v>1</v>
      </c>
      <c r="VL4" s="129">
        <f t="shared" ca="1" si="64"/>
        <v>1</v>
      </c>
      <c r="VM4" s="129">
        <f t="shared" ca="1" si="64"/>
        <v>1</v>
      </c>
      <c r="VN4" s="129">
        <f t="shared" ca="1" si="64"/>
        <v>1</v>
      </c>
      <c r="VO4" s="129">
        <f t="shared" ref="VO4:WD19" ca="1" si="65">OFFSET($KU4,0,VO$3)</f>
        <v>1</v>
      </c>
      <c r="VP4" s="129">
        <f t="shared" ca="1" si="65"/>
        <v>1</v>
      </c>
      <c r="VQ4" s="129">
        <f t="shared" ca="1" si="65"/>
        <v>1</v>
      </c>
      <c r="VR4" s="129">
        <f t="shared" ca="1" si="65"/>
        <v>1</v>
      </c>
      <c r="VS4" s="129">
        <f t="shared" ca="1" si="65"/>
        <v>1</v>
      </c>
      <c r="VT4" s="129">
        <f t="shared" ca="1" si="65"/>
        <v>1</v>
      </c>
      <c r="VU4" s="129">
        <f t="shared" ca="1" si="65"/>
        <v>1</v>
      </c>
      <c r="VV4" s="129">
        <f t="shared" ca="1" si="65"/>
        <v>1</v>
      </c>
      <c r="VW4" s="129">
        <f t="shared" ca="1" si="65"/>
        <v>1</v>
      </c>
      <c r="VX4" s="129">
        <f t="shared" ca="1" si="65"/>
        <v>1</v>
      </c>
      <c r="VY4" s="129">
        <f t="shared" ca="1" si="65"/>
        <v>1</v>
      </c>
      <c r="VZ4" s="129">
        <f t="shared" ca="1" si="65"/>
        <v>1</v>
      </c>
      <c r="WA4" s="129">
        <f t="shared" ca="1" si="65"/>
        <v>1</v>
      </c>
      <c r="WB4" s="129">
        <f t="shared" ca="1" si="65"/>
        <v>1</v>
      </c>
      <c r="WC4" s="129">
        <f t="shared" ca="1" si="65"/>
        <v>1</v>
      </c>
      <c r="WD4" s="129">
        <f t="shared" ca="1" si="65"/>
        <v>1</v>
      </c>
      <c r="WE4" s="129">
        <f t="shared" ref="WE4:WH33" ca="1" si="66">OFFSET($KU4,0,WE$3)</f>
        <v>1</v>
      </c>
      <c r="WF4" s="129">
        <f t="shared" ca="1" si="66"/>
        <v>1</v>
      </c>
      <c r="WG4" s="129">
        <f t="shared" ca="1" si="66"/>
        <v>1</v>
      </c>
      <c r="WH4" s="129">
        <f t="shared" ca="1" si="66"/>
        <v>1</v>
      </c>
      <c r="WI4" s="87"/>
      <c r="WJ4" s="87"/>
      <c r="WK4" s="87" t="str">
        <f>UV4</f>
        <v>Columbus</v>
      </c>
      <c r="WL4" s="87">
        <v>1</v>
      </c>
      <c r="WM4" s="87">
        <v>1</v>
      </c>
      <c r="WN4" s="87">
        <f t="shared" ref="WN4:WN33" si="67">IF($WI$2&gt;=WN$3,UW4,NA())</f>
        <v>2</v>
      </c>
      <c r="WO4" s="87">
        <f t="shared" ref="WO4:WO33" ca="1" si="68">IF($WI$2&gt;=WO$3,UX4,NA())</f>
        <v>3</v>
      </c>
      <c r="WP4" s="87">
        <f t="shared" ref="WP4:WP33" ca="1" si="69">IF($WI$2&gt;=WP$3,UY4,NA())</f>
        <v>1</v>
      </c>
      <c r="WQ4" s="87">
        <f t="shared" ref="WQ4:WQ33" ca="1" si="70">IF($WI$2&gt;=WQ$3,UZ4,NA())</f>
        <v>2</v>
      </c>
      <c r="WR4" s="87">
        <f t="shared" ref="WR4:WR33" ca="1" si="71">IF($WI$2&gt;=WR$3,VA4,NA())</f>
        <v>2</v>
      </c>
      <c r="WS4" s="87">
        <f t="shared" ref="WS4:WS33" ca="1" si="72">IF($WI$2&gt;=WS$3,VB4,NA())</f>
        <v>2</v>
      </c>
      <c r="WT4" s="87">
        <f t="shared" ref="WT4:WT33" ca="1" si="73">IF($WI$2&gt;=WT$3,VC4,NA())</f>
        <v>1</v>
      </c>
      <c r="WU4" s="87">
        <f t="shared" ref="WU4:WU33" ca="1" si="74">IF($WI$2&gt;=WU$3,VD4,NA())</f>
        <v>1</v>
      </c>
      <c r="WV4" s="87">
        <f t="shared" ref="WV4:WV33" ca="1" si="75">IF($WI$2&gt;=WV$3,VE4,NA())</f>
        <v>1</v>
      </c>
      <c r="WW4" s="87">
        <f t="shared" ref="WW4:WW33" ca="1" si="76">IF($WI$2&gt;=WW$3,VF4,NA())</f>
        <v>1</v>
      </c>
      <c r="WX4" s="87">
        <f t="shared" ref="WX4:WX33" ca="1" si="77">IF($WI$2&gt;=WX$3,VG4,NA())</f>
        <v>1</v>
      </c>
      <c r="WY4" s="87">
        <f t="shared" ref="WY4:WY33" ca="1" si="78">IF($WI$2&gt;=WY$3,VH4,NA())</f>
        <v>1</v>
      </c>
      <c r="WZ4" s="87">
        <f t="shared" ref="WZ4:WZ33" ca="1" si="79">IF($WI$2&gt;=WZ$3,VI4,NA())</f>
        <v>1</v>
      </c>
      <c r="XA4" s="87">
        <f t="shared" ref="XA4:XA33" ca="1" si="80">IF($WI$2&gt;=XA$3,VJ4,NA())</f>
        <v>1</v>
      </c>
      <c r="XB4" s="87">
        <f t="shared" ref="XB4:XB33" ca="1" si="81">IF($WI$2&gt;=XB$3,VK4,NA())</f>
        <v>1</v>
      </c>
      <c r="XC4" s="87">
        <f t="shared" ref="XC4:XC33" ca="1" si="82">IF($WI$2&gt;=XC$3,VL4,NA())</f>
        <v>1</v>
      </c>
      <c r="XD4" s="87">
        <f t="shared" ref="XD4:XD33" ca="1" si="83">IF($WI$2&gt;=XD$3,VM4,NA())</f>
        <v>1</v>
      </c>
      <c r="XE4" s="87">
        <f t="shared" ref="XE4:XE33" ca="1" si="84">IF($WI$2&gt;=XE$3,VN4,NA())</f>
        <v>1</v>
      </c>
      <c r="XF4" s="87">
        <f t="shared" ref="XF4:XF33" ca="1" si="85">IF($WI$2&gt;=XF$3,VO4,NA())</f>
        <v>1</v>
      </c>
      <c r="XG4" s="87">
        <f t="shared" ref="XG4:XG33" ca="1" si="86">IF($WI$2&gt;=XG$3,VP4,NA())</f>
        <v>1</v>
      </c>
      <c r="XH4" s="87" t="e">
        <f t="shared" ref="XH4:XH33" si="87">IF($WI$2&gt;=XH$3,VQ4,NA())</f>
        <v>#N/A</v>
      </c>
      <c r="XI4" s="87" t="e">
        <f t="shared" ref="XI4:XI33" si="88">IF($WI$2&gt;=XI$3,VR4,NA())</f>
        <v>#N/A</v>
      </c>
      <c r="XJ4" s="87" t="e">
        <f t="shared" ref="XJ4:XJ33" si="89">IF($WI$2&gt;=XJ$3,VS4,NA())</f>
        <v>#N/A</v>
      </c>
      <c r="XK4" s="87" t="e">
        <f t="shared" ref="XK4:XK33" si="90">IF($WI$2&gt;=XK$3,VT4,NA())</f>
        <v>#N/A</v>
      </c>
      <c r="XL4" s="87" t="e">
        <f t="shared" ref="XL4:XL33" si="91">IF($WI$2&gt;=XL$3,VU4,NA())</f>
        <v>#N/A</v>
      </c>
      <c r="XM4" s="87" t="e">
        <f t="shared" ref="XM4:XM33" si="92">IF($WI$2&gt;=XM$3,VV4,NA())</f>
        <v>#N/A</v>
      </c>
      <c r="XN4" s="87" t="e">
        <f t="shared" ref="XN4:XN33" si="93">IF($WI$2&gt;=XN$3,VW4,NA())</f>
        <v>#N/A</v>
      </c>
      <c r="XO4" s="87" t="e">
        <f t="shared" ref="XO4:XO33" si="94">IF($WI$2&gt;=XO$3,VX4,NA())</f>
        <v>#N/A</v>
      </c>
      <c r="XP4" s="87" t="e">
        <f t="shared" ref="XP4:XP33" si="95">IF($WI$2&gt;=XP$3,VY4,NA())</f>
        <v>#N/A</v>
      </c>
      <c r="XQ4" s="87" t="e">
        <f t="shared" ref="XQ4:XQ33" si="96">IF($WI$2&gt;=XQ$3,VZ4,NA())</f>
        <v>#N/A</v>
      </c>
      <c r="XR4" s="87" t="e">
        <f t="shared" ref="XR4:XR33" si="97">IF($WI$2&gt;=XR$3,WA4,NA())</f>
        <v>#N/A</v>
      </c>
      <c r="XS4" s="87" t="e">
        <f t="shared" ref="XS4:XS33" si="98">IF($WI$2&gt;=XS$3,WB4,NA())</f>
        <v>#N/A</v>
      </c>
      <c r="XT4" s="87" t="e">
        <f t="shared" ref="XT4:XT33" si="99">IF($WI$2&gt;=XT$3,WC4,NA())</f>
        <v>#N/A</v>
      </c>
      <c r="XU4" s="87" t="e">
        <f t="shared" ref="XU4:XU33" si="100">IF($WI$2&gt;=XU$3,WD4,NA())</f>
        <v>#N/A</v>
      </c>
      <c r="XV4" s="87" t="e">
        <f t="shared" ref="XV4:XV33" si="101">IF($WI$2&gt;=XV$3,WE4,NA())</f>
        <v>#N/A</v>
      </c>
      <c r="XW4" s="87" t="e">
        <f t="shared" ref="XW4:XW33" si="102">IF($WI$2&gt;=XW$3,WF4,NA())</f>
        <v>#N/A</v>
      </c>
      <c r="XX4" s="87" t="e">
        <f t="shared" ref="XX4:XX33" si="103">IF($WI$2&gt;=XX$3,WG4,NA())</f>
        <v>#N/A</v>
      </c>
      <c r="XY4" s="87" t="e">
        <f t="shared" ref="XY4:XY33" si="104">IF($WI$2&gt;=XY$3,WH4,NA())</f>
        <v>#N/A</v>
      </c>
      <c r="XZ4" s="241"/>
      <c r="YA4" s="241"/>
      <c r="YB4" s="280" t="str">
        <f>Fixture!C3</f>
        <v>Los Angeles</v>
      </c>
      <c r="YC4" s="163" t="str">
        <f>IF(ISERROR(VLOOKUP(YB4,$E$4:$E$11,1,0)),"",YB4)</f>
        <v/>
      </c>
      <c r="YD4" s="280"/>
      <c r="YE4" s="163" t="e">
        <f>VLOOKUP($YC4,$WK$4:WL$33,YE$3+3,0)</f>
        <v>#N/A</v>
      </c>
      <c r="YF4" s="163" t="e">
        <f>VLOOKUP($YC4,$WK$4:WM$33,YF$3+3,0)</f>
        <v>#N/A</v>
      </c>
      <c r="YG4" s="163" t="e">
        <f>VLOOKUP($YC4,$WK$4:WN$33,YG$3+3,0)</f>
        <v>#N/A</v>
      </c>
      <c r="YH4" s="163" t="e">
        <f>VLOOKUP($YC4,$WK$4:WO$33,YH$3+3,0)</f>
        <v>#N/A</v>
      </c>
      <c r="YI4" s="163" t="e">
        <f>VLOOKUP($YC4,$WK$4:WP$33,YI$3+3,0)</f>
        <v>#N/A</v>
      </c>
      <c r="YJ4" s="163" t="e">
        <f>VLOOKUP($YC4,$WK$4:WQ$33,YJ$3+3,0)</f>
        <v>#N/A</v>
      </c>
      <c r="YK4" s="163" t="e">
        <f>VLOOKUP($YC4,$WK$4:WR$33,YK$3+3,0)</f>
        <v>#N/A</v>
      </c>
      <c r="YL4" s="163" t="e">
        <f>VLOOKUP($YC4,$WK$4:WS$33,YL$3+3,0)</f>
        <v>#N/A</v>
      </c>
      <c r="YM4" s="163" t="e">
        <f>VLOOKUP($YC4,$WK$4:WT$33,YM$3+3,0)</f>
        <v>#N/A</v>
      </c>
      <c r="YN4" s="163" t="e">
        <f>VLOOKUP($YC4,$WK$4:WU$33,YN$3+3,0)</f>
        <v>#N/A</v>
      </c>
      <c r="YO4" s="163" t="e">
        <f>VLOOKUP($YC4,$WK$4:WV$33,YO$3+3,0)</f>
        <v>#N/A</v>
      </c>
      <c r="YP4" s="163" t="e">
        <f>VLOOKUP($YC4,$WK$4:WW$33,YP$3+3,0)</f>
        <v>#N/A</v>
      </c>
      <c r="YQ4" s="163" t="e">
        <f>VLOOKUP($YC4,$WK$4:WX$33,YQ$3+3,0)</f>
        <v>#N/A</v>
      </c>
      <c r="YR4" s="163" t="e">
        <f>VLOOKUP($YC4,$WK$4:WY$33,YR$3+3,0)</f>
        <v>#N/A</v>
      </c>
      <c r="YS4" s="163" t="e">
        <f>VLOOKUP($YC4,$WK$4:WZ$33,YS$3+3,0)</f>
        <v>#N/A</v>
      </c>
      <c r="YT4" s="163" t="e">
        <f>VLOOKUP($YC4,$WK$4:XA$33,YT$3+3,0)</f>
        <v>#N/A</v>
      </c>
      <c r="YU4" s="163" t="e">
        <f>VLOOKUP($YC4,$WK$4:XB$33,YU$3+3,0)</f>
        <v>#N/A</v>
      </c>
      <c r="YV4" s="163" t="e">
        <f>VLOOKUP($YC4,$WK$4:XC$33,YV$3+3,0)</f>
        <v>#N/A</v>
      </c>
      <c r="YW4" s="163" t="e">
        <f>VLOOKUP($YC4,$WK$4:XD$33,YW$3+3,0)</f>
        <v>#N/A</v>
      </c>
      <c r="YX4" s="163" t="e">
        <f>VLOOKUP($YC4,$WK$4:XE$33,YX$3+3,0)</f>
        <v>#N/A</v>
      </c>
      <c r="YY4" s="163" t="e">
        <f>VLOOKUP($YC4,$WK$4:XF$33,YY$3+3,0)</f>
        <v>#N/A</v>
      </c>
      <c r="YZ4" s="163" t="e">
        <f>VLOOKUP($YC4,$WK$4:XG$33,YZ$3+3,0)</f>
        <v>#N/A</v>
      </c>
      <c r="ZA4" s="163" t="e">
        <f>VLOOKUP($YC4,$WK$4:XH$33,ZA$3+3,0)</f>
        <v>#N/A</v>
      </c>
      <c r="ZB4" s="163" t="e">
        <f>VLOOKUP($YC4,$WK$4:XI$33,ZB$3+3,0)</f>
        <v>#N/A</v>
      </c>
      <c r="ZC4" s="163" t="e">
        <f>VLOOKUP($YC4,$WK$4:XJ$33,ZC$3+3,0)</f>
        <v>#N/A</v>
      </c>
      <c r="ZD4" s="163" t="e">
        <f>VLOOKUP($YC4,$WK$4:XK$33,ZD$3+3,0)</f>
        <v>#N/A</v>
      </c>
      <c r="ZE4" s="163" t="e">
        <f>VLOOKUP($YC4,$WK$4:XL$33,ZE$3+3,0)</f>
        <v>#N/A</v>
      </c>
      <c r="ZF4" s="163" t="e">
        <f>VLOOKUP($YC4,$WK$4:XM$33,ZF$3+3,0)</f>
        <v>#N/A</v>
      </c>
      <c r="ZG4" s="163" t="e">
        <f>VLOOKUP($YC4,$WK$4:XN$33,ZG$3+3,0)</f>
        <v>#N/A</v>
      </c>
      <c r="ZH4" s="163" t="e">
        <f>VLOOKUP($YC4,$WK$4:XO$33,ZH$3+3,0)</f>
        <v>#N/A</v>
      </c>
      <c r="ZI4" s="163" t="e">
        <f>VLOOKUP($YC4,$WK$4:XP$33,ZI$3+3,0)</f>
        <v>#N/A</v>
      </c>
      <c r="ZJ4" s="163" t="e">
        <f>VLOOKUP($YC4,$WK$4:XQ$33,ZJ$3+3,0)</f>
        <v>#N/A</v>
      </c>
      <c r="ZK4" s="163" t="e">
        <f>VLOOKUP($YC4,$WK$4:XR$33,ZK$3+3,0)</f>
        <v>#N/A</v>
      </c>
      <c r="ZL4" s="163" t="e">
        <f>VLOOKUP($YC4,$WK$4:XS$33,ZL$3+3,0)</f>
        <v>#N/A</v>
      </c>
      <c r="ZM4" s="163" t="e">
        <f>VLOOKUP($YC4,$WK$4:XT$33,ZM$3+3,0)</f>
        <v>#N/A</v>
      </c>
      <c r="ZN4" s="163" t="e">
        <f>VLOOKUP($YC4,$WK$4:XU$33,ZN$3+3,0)</f>
        <v>#N/A</v>
      </c>
      <c r="ZO4" s="163" t="e">
        <f>VLOOKUP($YC4,$WK$4:XV$33,ZO$3+3,0)</f>
        <v>#N/A</v>
      </c>
      <c r="ZP4" s="163" t="e">
        <f>VLOOKUP($YC4,$WK$4:XW$33,ZP$3+3,0)</f>
        <v>#N/A</v>
      </c>
      <c r="ZQ4" s="163" t="e">
        <f>VLOOKUP($YC4,$WK$4:XX$33,ZQ$3+3,0)</f>
        <v>#N/A</v>
      </c>
      <c r="ZR4" s="163" t="e">
        <f>VLOOKUP($YC4,$WK$4:XY$33,ZR$3+3,0)</f>
        <v>#N/A</v>
      </c>
      <c r="ZS4" s="280"/>
      <c r="ZT4" s="280"/>
      <c r="ZU4" s="280"/>
      <c r="ZV4" s="280"/>
      <c r="ZW4" s="280"/>
      <c r="ZX4" s="280"/>
      <c r="ZY4" s="280"/>
      <c r="ZZ4" s="280"/>
      <c r="AAA4" s="280"/>
      <c r="AAB4" s="280"/>
      <c r="AAC4" s="280"/>
      <c r="AAD4" s="160"/>
      <c r="AAE4" s="160"/>
      <c r="AAF4" s="160"/>
      <c r="AAG4" s="160"/>
      <c r="AAH4" s="241"/>
      <c r="AAI4" s="241"/>
      <c r="AAJ4" s="241"/>
      <c r="AAK4" s="241"/>
      <c r="AAL4" s="241"/>
      <c r="AAM4" s="241"/>
      <c r="AAN4" s="241"/>
      <c r="AAO4" s="241"/>
      <c r="AAP4" s="241"/>
      <c r="AAQ4" s="241"/>
      <c r="AAR4" s="241"/>
      <c r="AAS4" s="241"/>
      <c r="AAT4" s="241"/>
      <c r="AAU4" s="241"/>
    </row>
    <row r="5" spans="4:723">
      <c r="D5" s="29">
        <v>2</v>
      </c>
      <c r="E5" s="31" t="s">
        <v>186</v>
      </c>
      <c r="F5" s="25">
        <f>SUMIF('ef-FT'!$C$2001:$C$3800,E5,'ef-FT'!$E$2001:$E$3800)</f>
        <v>20</v>
      </c>
      <c r="G5" s="25">
        <f>SUMIF('ef-FT'!$C$2001:$C$3800,E5,'ef-FT'!$F$2001:$F$3800)</f>
        <v>9</v>
      </c>
      <c r="H5" s="25">
        <f>SUMIF('ef-FT'!$C$2001:$C$3800,E5,'ef-FT'!$G$2001:$G$3800)</f>
        <v>4</v>
      </c>
      <c r="I5" s="25">
        <f>SUMIF('ef-FT'!$C$2001:$C$3800,E5,'ef-FT'!$H$2001:$H$3800)</f>
        <v>7</v>
      </c>
      <c r="J5" s="25">
        <f>SUMIF('ef-FT'!$C$2001:$C$3800,E5,'ef-FT'!$D$2001:$D$3800)</f>
        <v>31</v>
      </c>
      <c r="K5" s="25">
        <f>SUMIF('ef-FT'!$C$2001:$C$3800,E5,'ef-FT'!$I$2001:$I$3800)</f>
        <v>21</v>
      </c>
      <c r="L5" s="25">
        <f>SUMIF('ef-FT'!$C$2001:$C$3800,E5,'ef-FT'!$J$2001:$J$3800)</f>
        <v>22</v>
      </c>
      <c r="M5" s="25" t="str">
        <f>CONCATENATE(K5, " - ",L5)</f>
        <v>21 - 22</v>
      </c>
      <c r="N5" s="25">
        <f>K5-L5</f>
        <v>-1</v>
      </c>
      <c r="O5" s="25">
        <f>SUMIF('ef-FT'!$C$2001:$C$3800,$E5,'ef-FT'!$K$2001:$K$3800)</f>
        <v>7</v>
      </c>
      <c r="P5" s="25">
        <f>SUMIF('ef-FT'!$C$2001:$C$3800,$E5,'ef-FT'!$L$2001:$L$3800)</f>
        <v>8</v>
      </c>
      <c r="Q5" s="55"/>
      <c r="R5" s="25">
        <f>SUMIF('ef-FT'!$C$2001:$C$2999,$E5,'ef-FT'!$E$2001:$E$2999)</f>
        <v>10</v>
      </c>
      <c r="S5" s="25">
        <f>SUMIF('ef-FT'!$C$2001:$C$2999,$E5,'ef-FT'!$F$2001:$F$2999)</f>
        <v>6</v>
      </c>
      <c r="T5" s="25">
        <f>SUMIF('ef-FT'!$C$2001:$C$2999,$E5,'ef-FT'!$G$2001:$G$2999)</f>
        <v>1</v>
      </c>
      <c r="U5" s="25">
        <f>SUMIF('ef-FT'!$C$2001:$C$2999,$E5,'ef-FT'!$H$2001:$H$2999)</f>
        <v>3</v>
      </c>
      <c r="V5" s="25">
        <f>SUMIF('ef-FT'!$C$2001:$C$2999,$E5,'ef-FT'!$D$2001:$D$2999)</f>
        <v>19</v>
      </c>
      <c r="W5" s="25">
        <f>SUMIF('ef-FT'!$C$2001:$C$2999,$E5,'ef-FT'!$I$2001:$I$2999)</f>
        <v>10</v>
      </c>
      <c r="X5" s="25">
        <f>SUMIF('ef-FT'!$C$2001:$C$2999,$E5,'ef-FT'!$J$2001:$J$2999)</f>
        <v>8</v>
      </c>
      <c r="Y5" s="25" t="str">
        <f t="shared" ref="Y5:Y33" si="105">CONCATENATE(W5, " - ",X5)</f>
        <v>10 - 8</v>
      </c>
      <c r="Z5" s="25">
        <f t="shared" ref="Z5:Z33" si="106">W5-X5</f>
        <v>2</v>
      </c>
      <c r="AA5" s="25">
        <f>SUMIF('ef-FT'!$C$2001:$C$2999,$E5,'ef-FT'!$K$2001:$K$2999)</f>
        <v>3</v>
      </c>
      <c r="AB5" s="25">
        <f>SUMIF('ef-FT'!$C$2001:$C$2999,$E5,'ef-FT'!$L$2001:$L$2999)</f>
        <v>4</v>
      </c>
      <c r="AC5" s="55"/>
      <c r="AD5" s="25">
        <f>SUMIF('ef-FT'!$C$3000:$C$3800,$E5,'ef-FT'!$E$3000:$E$3800)</f>
        <v>10</v>
      </c>
      <c r="AE5" s="25">
        <f>SUMIF('ef-FT'!$C$3000:$C$3800,$E5,'ef-FT'!$F$3000:$F$3800)</f>
        <v>3</v>
      </c>
      <c r="AF5" s="25">
        <f>SUMIF('ef-FT'!$C$3000:$C$3800,$E5,'ef-FT'!$G$3000:$G$3800)</f>
        <v>3</v>
      </c>
      <c r="AG5" s="25">
        <f>SUMIF('ef-FT'!$C$3000:$C$3800,$E5,'ef-FT'!$H$3000:$H$3800)</f>
        <v>4</v>
      </c>
      <c r="AH5" s="25">
        <f>SUMIF('ef-FT'!$C$3000:$C$3800,$E5,'ef-FT'!$D$3000:$D$3800)</f>
        <v>12</v>
      </c>
      <c r="AI5" s="25">
        <f>SUMIF('ef-FT'!$C$3000:$C$3800,$E5,'ef-FT'!$I$3000:$I$3800)</f>
        <v>11</v>
      </c>
      <c r="AJ5" s="25">
        <f>SUMIF('ef-FT'!$C$3000:$C$3800,$E5,'ef-FT'!$J$3000:$J$3800)</f>
        <v>14</v>
      </c>
      <c r="AK5" s="25" t="str">
        <f t="shared" ref="AK5:AK33" si="107">CONCATENATE(AI5, " - ",AJ5)</f>
        <v>11 - 14</v>
      </c>
      <c r="AL5" s="25">
        <f t="shared" ref="AL5:AL33" si="108">AI5-AJ5</f>
        <v>-3</v>
      </c>
      <c r="AM5" s="25">
        <f>SUMIF('ef-FT'!$C$3000:$C$3800,$E5,'ef-FT'!$K$3000:$K$3800)</f>
        <v>4</v>
      </c>
      <c r="AN5" s="25">
        <f>SUMIF('ef-FT'!$C$3000:$C$3800,$E5,'ef-FT'!$L$3000:$L$3800)</f>
        <v>4</v>
      </c>
      <c r="AO5" s="26"/>
      <c r="AP5" s="27">
        <v>0.28999999999999998</v>
      </c>
      <c r="AQ5" s="28">
        <f t="shared" si="1"/>
        <v>1003099990021.29</v>
      </c>
      <c r="AR5" s="29">
        <v>2</v>
      </c>
      <c r="AS5" s="28">
        <f t="shared" ref="AS5:AS11" si="109">LARGE($AQ$4:$AQ$11,D5)</f>
        <v>1003099990021.29</v>
      </c>
      <c r="AT5" s="29">
        <f t="shared" ref="AT5:AT33" si="110">VLOOKUP(AS5,$AQ$4:$AR$33,2,0)</f>
        <v>2</v>
      </c>
      <c r="AU5" s="30" t="str">
        <f t="shared" ref="AU5:AU33" si="111">VLOOKUP(AT5,$D$4:$N$33,2,0)</f>
        <v>New York Red Bulls</v>
      </c>
      <c r="AV5" s="29">
        <f t="shared" ref="AV5:AV23" si="112">VLOOKUP(AT5,$D$4:$N$33,3,0)</f>
        <v>20</v>
      </c>
      <c r="AW5" s="29">
        <f t="shared" ref="AW5:AW23" si="113">VLOOKUP(AT5,$D$4:$N$33,4,0)</f>
        <v>9</v>
      </c>
      <c r="AX5" s="29">
        <f t="shared" ref="AX5:AX23" si="114">VLOOKUP(AT5,$D$4:$N$33,5,0)</f>
        <v>4</v>
      </c>
      <c r="AY5" s="29">
        <f t="shared" ref="AY5:AY23" si="115">VLOOKUP(AT5,$D$4:$N$33,6,0)</f>
        <v>7</v>
      </c>
      <c r="AZ5" s="29">
        <f t="shared" ref="AZ5:AZ23" si="116">VLOOKUP(AT5,$D$4:$N$33,7,0)</f>
        <v>31</v>
      </c>
      <c r="BA5" s="29" t="str">
        <f t="shared" ref="BA5:BA23" si="117">VLOOKUP(AT5,$D$4:$N$33,10,0)</f>
        <v>21 - 22</v>
      </c>
      <c r="BB5" s="29">
        <f t="shared" ref="BB5:BB23" si="118">VLOOKUP(AT5,$D$4:$N$33,11,0)</f>
        <v>-1</v>
      </c>
      <c r="BC5" s="90">
        <f>VLOOKUP($AT5,$D$4:R$33,15,0)</f>
        <v>10</v>
      </c>
      <c r="BD5" s="90">
        <f>VLOOKUP($AT5,$D$4:S$33,16,0)</f>
        <v>6</v>
      </c>
      <c r="BE5" s="90">
        <f>VLOOKUP($AT5,$D$4:T$33,17,0)</f>
        <v>1</v>
      </c>
      <c r="BF5" s="90">
        <f>VLOOKUP($AT5,$D$4:U$33,18,0)</f>
        <v>3</v>
      </c>
      <c r="BG5" s="90">
        <f>VLOOKUP($AT5,$D$4:V$33,19,0)</f>
        <v>19</v>
      </c>
      <c r="BH5" s="90" t="str">
        <f>VLOOKUP($AT5,$D$4:Y$33,22,0)</f>
        <v>10 - 8</v>
      </c>
      <c r="BI5" s="90">
        <f>VLOOKUP($AT5,$D$4:Z$33,23,0)</f>
        <v>2</v>
      </c>
      <c r="BJ5" s="90">
        <f>VLOOKUP($AT5,$D$4:AD$33,27,0)</f>
        <v>10</v>
      </c>
      <c r="BK5" s="90">
        <f>VLOOKUP($AT5,$D$4:AE$33,28,0)</f>
        <v>3</v>
      </c>
      <c r="BL5" s="90">
        <f>VLOOKUP($AT5,$D$4:AF$33,29,0)</f>
        <v>3</v>
      </c>
      <c r="BM5" s="90">
        <f>VLOOKUP($AT5,$D$4:AG$33,30,0)</f>
        <v>4</v>
      </c>
      <c r="BN5" s="90">
        <f>VLOOKUP($AT5,$D$4:AH$33,31,0)</f>
        <v>12</v>
      </c>
      <c r="BO5" s="90" t="str">
        <f>VLOOKUP($AT5,$D$4:AK$35,34,0)</f>
        <v>11 - 14</v>
      </c>
      <c r="BP5" s="90">
        <f>VLOOKUP($AT5,$D$4:AL$35,35,0)</f>
        <v>-3</v>
      </c>
      <c r="BS5" s="10" t="s">
        <v>29</v>
      </c>
      <c r="BT5" s="123">
        <v>0.41666666666666702</v>
      </c>
      <c r="BU5" s="123">
        <f t="shared" si="2"/>
        <v>0.25000000000000033</v>
      </c>
      <c r="BV5" s="10" t="s">
        <v>63</v>
      </c>
      <c r="CA5" s="130">
        <f t="shared" ref="CA5:CA33" si="119">IF($E5=0,-1+$AP5,J5+$AP5)</f>
        <v>31.29</v>
      </c>
      <c r="CB5" s="130">
        <f t="shared" ref="CB5:CB33" si="120">IF(CA5&lt;0,100000-$AP5,J5-$AP5)</f>
        <v>30.71</v>
      </c>
      <c r="CC5" s="130">
        <f t="shared" ref="CC5:CC33" si="121">IF($E5=0,-1+$AP5,G5+$AP5)</f>
        <v>9.2899999999999991</v>
      </c>
      <c r="CD5" s="130">
        <f t="shared" ref="CD5:CD33" si="122">IF(CC5&lt;0,100000-$AP5,G5-$AP5)</f>
        <v>8.7100000000000009</v>
      </c>
      <c r="CE5" s="130">
        <f t="shared" ref="CE5:CE33" si="123">IF($E5=0,-1+$AP5,I5+$AP5)</f>
        <v>7.29</v>
      </c>
      <c r="CF5" s="130">
        <f t="shared" ref="CF5:CF33" si="124">IF(CE5&lt;0,100000-$AP5,I5-$AP5)</f>
        <v>6.71</v>
      </c>
      <c r="CG5" s="130">
        <f t="shared" ref="CG5:CG33" si="125">IF($E5=0,-1+$AP5,K5+$AP5)</f>
        <v>21.29</v>
      </c>
      <c r="CH5" s="130">
        <f t="shared" ref="CH5:CH33" si="126">IF(CG5&lt;0,100000-$AP5,K5-$AP5)</f>
        <v>20.71</v>
      </c>
      <c r="CI5" s="130">
        <f t="shared" ref="CI5:CI33" si="127">IF($E5=0,-1+$AP5,L5+$AP5)</f>
        <v>22.29</v>
      </c>
      <c r="CJ5" s="130">
        <f t="shared" ref="CJ5:CJ33" si="128">IF(CI5&lt;0,100000-$AP5,L5-$AP5)</f>
        <v>21.71</v>
      </c>
      <c r="CK5" s="130">
        <f t="shared" ref="CK5:CK33" si="129">IF($E5=0,-100000+$AP5,N5+$AP5)</f>
        <v>-0.71</v>
      </c>
      <c r="CL5" s="130">
        <f t="shared" ref="CL5:CL33" si="130">IF(CK5&lt;-50000,100000+$AP5,N5-$AP5)</f>
        <v>-1.29</v>
      </c>
      <c r="CM5" s="130">
        <f t="shared" ref="CM5:CM33" si="131">IF($E5=0,-1+$AP5,O5+$AP5)</f>
        <v>7.29</v>
      </c>
      <c r="CN5" s="130">
        <f t="shared" ref="CN5:CN33" si="132">IF(CM5&lt;0,100000-$AP5,O5-$AP5)</f>
        <v>6.71</v>
      </c>
      <c r="CO5" s="130">
        <f t="shared" ref="CO5:CO33" si="133">IF($E5=0,-1+$AP5,P5+$AP5)</f>
        <v>8.2899999999999991</v>
      </c>
      <c r="CP5" s="130">
        <f t="shared" ref="CP5:CP33" si="134">IF(CO5&lt;0,100000-$AP5,P5-$AP5)</f>
        <v>7.71</v>
      </c>
      <c r="CQ5" s="131"/>
      <c r="CR5" s="130">
        <f>IF($E5=0,-1+$AP5,V5+$AP5)</f>
        <v>19.29</v>
      </c>
      <c r="CS5" s="130">
        <f t="shared" ref="CS5:CS33" si="135">IF(CR5&lt;0,100000-$AP5,V5-$AP5)</f>
        <v>18.71</v>
      </c>
      <c r="CT5" s="130">
        <f t="shared" si="3"/>
        <v>6.29</v>
      </c>
      <c r="CU5" s="130">
        <f>IF(CT5&lt;0,100000-$AP5,S5-$AP5)</f>
        <v>5.71</v>
      </c>
      <c r="CV5" s="130">
        <f t="shared" si="4"/>
        <v>3.29</v>
      </c>
      <c r="CW5" s="130">
        <f t="shared" si="5"/>
        <v>2.71</v>
      </c>
      <c r="CX5" s="130">
        <f t="shared" si="6"/>
        <v>10.29</v>
      </c>
      <c r="CY5" s="130">
        <f t="shared" si="7"/>
        <v>9.7100000000000009</v>
      </c>
      <c r="CZ5" s="130">
        <f t="shared" si="8"/>
        <v>8.2899999999999991</v>
      </c>
      <c r="DA5" s="130">
        <f t="shared" si="9"/>
        <v>7.71</v>
      </c>
      <c r="DB5" s="130">
        <f t="shared" si="10"/>
        <v>2.29</v>
      </c>
      <c r="DC5" s="130">
        <f t="shared" si="11"/>
        <v>1.71</v>
      </c>
      <c r="DD5" s="130">
        <f t="shared" si="12"/>
        <v>3.29</v>
      </c>
      <c r="DE5" s="130">
        <f t="shared" si="13"/>
        <v>2.71</v>
      </c>
      <c r="DF5" s="130">
        <f t="shared" si="14"/>
        <v>4.29</v>
      </c>
      <c r="DG5" s="130">
        <f t="shared" si="15"/>
        <v>3.71</v>
      </c>
      <c r="DH5" s="131"/>
      <c r="DI5" s="130">
        <f t="shared" si="16"/>
        <v>12.29</v>
      </c>
      <c r="DJ5" s="130">
        <f t="shared" ref="DJ5:DJ33" si="136">IF(DI5&lt;0,100000-$AP5,AH35-$AP5)</f>
        <v>-0.28999999999999998</v>
      </c>
      <c r="DK5" s="130">
        <f t="shared" si="17"/>
        <v>3.29</v>
      </c>
      <c r="DL5" s="130">
        <f t="shared" si="18"/>
        <v>2.71</v>
      </c>
      <c r="DM5" s="130">
        <f t="shared" si="19"/>
        <v>4.29</v>
      </c>
      <c r="DN5" s="130">
        <f t="shared" si="20"/>
        <v>3.71</v>
      </c>
      <c r="DO5" s="130">
        <f t="shared" si="21"/>
        <v>11.29</v>
      </c>
      <c r="DP5" s="130">
        <f t="shared" si="22"/>
        <v>10.71</v>
      </c>
      <c r="DQ5" s="130">
        <f t="shared" si="23"/>
        <v>14.29</v>
      </c>
      <c r="DR5" s="130">
        <f t="shared" si="24"/>
        <v>13.71</v>
      </c>
      <c r="DS5" s="130">
        <f t="shared" si="25"/>
        <v>-2.71</v>
      </c>
      <c r="DT5" s="130">
        <f t="shared" si="26"/>
        <v>-3.29</v>
      </c>
      <c r="DU5" s="130">
        <f t="shared" si="27"/>
        <v>4.29</v>
      </c>
      <c r="DV5" s="130">
        <f t="shared" si="28"/>
        <v>3.71</v>
      </c>
      <c r="DW5" s="130">
        <f t="shared" si="29"/>
        <v>4.29</v>
      </c>
      <c r="DX5" s="130">
        <f t="shared" si="30"/>
        <v>3.71</v>
      </c>
      <c r="DY5" s="132"/>
      <c r="DZ5" s="115">
        <v>2</v>
      </c>
      <c r="EA5" s="115">
        <v>29</v>
      </c>
      <c r="EB5" s="10">
        <f t="shared" ref="EB5:EB33" si="137">MATCH(LARGE(CA$4:CA$33,$DZ5),CA$4:CA$33,0)</f>
        <v>10</v>
      </c>
      <c r="EC5" s="10">
        <f t="shared" ref="EC5:EC33" si="138">MATCH(LARGE(CB$4:CB$33,$EA5),CB$4:CB$33,0)</f>
        <v>7</v>
      </c>
      <c r="ED5" s="10">
        <f t="shared" ref="ED5:ED33" si="139">MATCH(LARGE(CC$4:CC$33,$DZ5),CC$4:CC$33,0)</f>
        <v>1</v>
      </c>
      <c r="EE5" s="10">
        <f t="shared" ref="EE5:EE33" si="140">MATCH(LARGE(CD$4:CD$33,$EA5),CD$4:CD$33,0)</f>
        <v>7</v>
      </c>
      <c r="EF5" s="10">
        <f t="shared" ref="EF5:EF33" si="141">MATCH(LARGE(CE$4:CE$33,$DZ5),CE$4:CE$33,0)</f>
        <v>7</v>
      </c>
      <c r="EG5" s="10">
        <f t="shared" ref="EG5:EG33" si="142">MATCH(LARGE(CF$4:CF$33,$EA5),CF$4:CF$33,0)</f>
        <v>9</v>
      </c>
      <c r="EH5" s="10">
        <f t="shared" ref="EH5:EH33" si="143">MATCH(LARGE(CG$4:CG$33,$DZ5),CG$4:CG$33,0)</f>
        <v>9</v>
      </c>
      <c r="EI5" s="10">
        <f t="shared" ref="EI5:EI33" si="144">MATCH(LARGE(CH$4:CH$33,$EA5),CH$4:CH$33,0)</f>
        <v>6</v>
      </c>
      <c r="EJ5" s="10">
        <f t="shared" ref="EJ5:EJ33" si="145">MATCH(LARGE(CI$4:CI$33,$DZ5),CI$4:CI$33,0)</f>
        <v>7</v>
      </c>
      <c r="EK5" s="10">
        <f t="shared" ref="EK5:EK33" si="146">MATCH(LARGE(CJ$4:CJ$33,$EA5),CJ$4:CJ$33,0)</f>
        <v>10</v>
      </c>
      <c r="EL5" s="10">
        <f t="shared" ref="EL5:EL33" si="147">MATCH(LARGE(CK$4:CK$33,$DZ5),CK$4:CK$33,0)</f>
        <v>9</v>
      </c>
      <c r="EM5" s="10">
        <f t="shared" ref="EM5:EM33" si="148">MATCH(LARGE(CL$4:CL$33,$EA5),CL$4:CL$33,0)</f>
        <v>7</v>
      </c>
      <c r="EN5" s="10">
        <f t="shared" ref="EN5:EN33" si="149">MATCH(LARGE(CM$4:CM$33,$DZ5),CM$4:CM$33,0)</f>
        <v>6</v>
      </c>
      <c r="EO5" s="10">
        <f t="shared" ref="EO5:EO33" si="150">MATCH(LARGE(CN$4:CN$33,$EA5),CN$4:CN$33,0)</f>
        <v>5</v>
      </c>
      <c r="EP5" s="10">
        <f t="shared" ref="EP5:EP33" si="151">MATCH(LARGE(CO$4:CO$33,$DZ5),CO$4:CO$33,0)</f>
        <v>10</v>
      </c>
      <c r="EQ5" s="10">
        <f t="shared" ref="EQ5:EQ33" si="152">MATCH(LARGE(CP$4:CP$33,$EA5),CP$4:CP$33,0)</f>
        <v>8</v>
      </c>
      <c r="ES5" s="10">
        <f t="shared" ref="ES5:ES33" si="153">MATCH(LARGE(CR$4:CR$33,$DZ5),CR$4:CR$33,0)</f>
        <v>1</v>
      </c>
      <c r="ET5" s="10">
        <f t="shared" ref="ET5:EV33" si="154">MATCH(LARGE(CS$4:CS$33,$EA5),CS$4:CS$33,0)</f>
        <v>5</v>
      </c>
      <c r="EU5" s="10">
        <f t="shared" ref="EU5:EU33" si="155">MATCH(LARGE(CT$4:CT$33,$DZ5),CT$4:CT$33,0)</f>
        <v>10</v>
      </c>
      <c r="EV5" s="10">
        <f t="shared" si="154"/>
        <v>8</v>
      </c>
      <c r="EW5" s="10">
        <f t="shared" ref="EW5:EW33" si="156">MATCH(LARGE(CV$4:CV$33,$DZ5),CV$4:CV$33,0)</f>
        <v>12</v>
      </c>
      <c r="EX5" s="10">
        <f t="shared" ref="EX5:EX33" si="157">MATCH(LARGE(CW$4:CW$33,$EA5),CW$4:CW$33,0)</f>
        <v>10</v>
      </c>
      <c r="EY5" s="10">
        <f t="shared" ref="EY5:EY33" si="158">MATCH(LARGE(CX$4:CX$33,$DZ5),CX$4:CX$33,0)</f>
        <v>9</v>
      </c>
      <c r="EZ5" s="10">
        <f t="shared" ref="EZ5:EZ33" si="159">MATCH(LARGE(CY$4:CY$33,$EA5),CY$4:CY$33,0)</f>
        <v>5</v>
      </c>
      <c r="FA5" s="10">
        <f t="shared" ref="FA5:FA33" si="160">MATCH(LARGE(CZ$4:CZ$33,$DZ5),CZ$4:CZ$33,0)</f>
        <v>7</v>
      </c>
      <c r="FB5" s="10">
        <f t="shared" ref="FB5:FB33" si="161">MATCH(LARGE(DA$4:DA$33,$EA5),DA$4:DA$33,0)</f>
        <v>1</v>
      </c>
      <c r="FC5" s="10">
        <f t="shared" ref="FC5:FC33" si="162">MATCH(LARGE(DB$4:DB$33,$DZ5),DB$4:DB$33,0)</f>
        <v>1</v>
      </c>
      <c r="FD5" s="10">
        <f t="shared" ref="FD5:FD33" si="163">MATCH(LARGE(DC$4:DC$33,$EA5),DC$4:DC$33,0)</f>
        <v>16</v>
      </c>
      <c r="FE5" s="10">
        <f t="shared" ref="FE5:FE33" si="164">MATCH(LARGE(DD$4:DD$33,$DZ5),DD$4:DD$33,0)</f>
        <v>6</v>
      </c>
      <c r="FF5" s="10">
        <f t="shared" ref="FF5:FF33" si="165">MATCH(LARGE(DE$4:DE$33,$EA5),DE$4:DE$33,0)</f>
        <v>9</v>
      </c>
      <c r="FG5" s="10">
        <f t="shared" ref="FG5:FG33" si="166">MATCH(LARGE(DF$4:DF$33,$DZ5),DF$4:DF$33,0)</f>
        <v>10</v>
      </c>
      <c r="FH5" s="10">
        <f t="shared" ref="FH5:FH33" si="167">MATCH(LARGE(DG$4:DG$33,$EA5),DG$4:DG$33,0)</f>
        <v>8</v>
      </c>
      <c r="FJ5" s="10">
        <f t="shared" ref="FJ5:FJ33" si="168">MATCH(LARGE(DI$4:DI$33,$DZ5),DI$4:DI$33,0)</f>
        <v>11</v>
      </c>
      <c r="FK5" s="10">
        <f t="shared" ref="FK5:FK33" si="169">MATCH(LARGE(DJ$4:DJ$33,$EA5),DJ$4:DJ$33,0)</f>
        <v>2</v>
      </c>
      <c r="FL5" s="10">
        <f t="shared" ref="FL5:FL33" si="170">MATCH(LARGE(DK$4:DK$33,$DZ5),DK$4:DK$33,0)</f>
        <v>1</v>
      </c>
      <c r="FM5" s="10">
        <f t="shared" ref="FM5:FM33" si="171">MATCH(LARGE(DL$4:DL$33,$EA5),DL$4:DL$33,0)</f>
        <v>4</v>
      </c>
      <c r="FN5" s="10">
        <f t="shared" ref="FN5:FN33" si="172">MATCH(LARGE(DM$4:DM$33,$DZ5),DM$4:DM$33,0)</f>
        <v>3</v>
      </c>
      <c r="FO5" s="10">
        <f t="shared" ref="FO5:FO33" si="173">MATCH(LARGE(DN$4:DN$33,$EA5),DN$4:DN$33,0)</f>
        <v>9</v>
      </c>
      <c r="FP5" s="10">
        <f t="shared" ref="FP5:FP33" si="174">MATCH(LARGE(DO$4:DO$33,$DZ5),DO$4:DO$33,0)</f>
        <v>11</v>
      </c>
      <c r="FQ5" s="10">
        <f t="shared" ref="FQ5:FQ33" si="175">MATCH(LARGE(DP$4:DP$33,$EA5),DP$4:DP$33,0)</f>
        <v>4</v>
      </c>
      <c r="FR5" s="10">
        <f t="shared" ref="FR5:FR33" si="176">MATCH(LARGE(DQ$4:DQ$33,$DZ5),DQ$4:DQ$33,0)</f>
        <v>8</v>
      </c>
      <c r="FS5" s="10">
        <f t="shared" ref="FS5:FS33" si="177">MATCH(LARGE(DR$4:DR$33,$EA5),DR$4:DR$33,0)</f>
        <v>10</v>
      </c>
      <c r="FT5" s="10">
        <f t="shared" ref="FT5:FT33" si="178">MATCH(LARGE(DS$4:DS$33,$DZ5),DS$4:DS$33,0)</f>
        <v>11</v>
      </c>
      <c r="FU5" s="10">
        <f t="shared" ref="FU5:FU33" si="179">MATCH(LARGE(DT$4:DT$33,$EA5),DT$4:DT$33,0)</f>
        <v>7</v>
      </c>
      <c r="FV5" s="10">
        <f t="shared" ref="FV5:FV33" si="180">MATCH(LARGE(DU$4:DU$33,$DZ5),DU$4:DU$33,0)</f>
        <v>4</v>
      </c>
      <c r="FW5" s="10">
        <f t="shared" ref="FW5:FW33" si="181">MATCH(LARGE(DV$4:DV$33,$EA5),DV$4:DV$33,0)</f>
        <v>5</v>
      </c>
      <c r="FX5" s="10">
        <f t="shared" ref="FX5:FX33" si="182">MATCH(LARGE(DW$4:DW$33,$DZ5),DW$4:DW$33,0)</f>
        <v>2</v>
      </c>
      <c r="FY5" s="10">
        <f t="shared" ref="FY5:FY33" si="183">MATCH(LARGE(DX$4:DX$33,$EA5),DX$4:DX$33,0)</f>
        <v>3</v>
      </c>
      <c r="GA5" s="10">
        <f>IF(lg!$C$18=1,EB5,IF(lg!$C$18=2,ES5,FJ5))</f>
        <v>10</v>
      </c>
      <c r="GB5" s="10">
        <f>IF(lg!$C$18=1,EC5,IF(lg!$C$18=2,ET5,FK5))</f>
        <v>7</v>
      </c>
      <c r="GC5" s="10">
        <f>IF(lg!$C$18=1,ED5,IF(lg!$C$18=2,EU5,FL5))</f>
        <v>1</v>
      </c>
      <c r="GD5" s="10">
        <f>IF(lg!$C$18=1,EE5,IF(lg!$C$18=2,EV5,FM5))</f>
        <v>7</v>
      </c>
      <c r="GE5" s="10">
        <f>IF(lg!$C$18=1,EF5,IF(lg!$C$18=2,EW5,FN5))</f>
        <v>7</v>
      </c>
      <c r="GF5" s="10">
        <f>IF(lg!$C$18=1,EG5,IF(lg!$C$18=2,EX5,FO5))</f>
        <v>9</v>
      </c>
      <c r="GG5" s="10">
        <f>IF(lg!$C$18=1,EH5,IF(lg!$C$18=2,EY5,FP5))</f>
        <v>9</v>
      </c>
      <c r="GH5" s="10">
        <f>IF(lg!$C$18=1,EI5,IF(lg!$C$18=2,EZ5,FQ5))</f>
        <v>6</v>
      </c>
      <c r="GI5" s="10">
        <f>IF(lg!$C$18=1,EJ5,IF(lg!$C$18=2,FA5,FR5))</f>
        <v>7</v>
      </c>
      <c r="GJ5" s="10">
        <f>IF(lg!$C$18=1,EK5,IF(lg!$C$18=2,FB5,FS5))</f>
        <v>10</v>
      </c>
      <c r="GK5" s="10">
        <f>IF(lg!$C$18=1,EL5,IF(lg!$C$18=2,FC5,FT5))</f>
        <v>9</v>
      </c>
      <c r="GL5" s="10">
        <f>IF(lg!$C$18=1,EM5,IF(lg!$C$18=2,FD5,FU5))</f>
        <v>7</v>
      </c>
      <c r="GM5" s="10">
        <f>IF(lg!$C$18=1,EN5,IF(lg!$C$18=2,FE5,FV5))</f>
        <v>6</v>
      </c>
      <c r="GN5" s="10">
        <f>IF(lg!$C$18=1,EO5,IF(lg!$C$18=2,FF5,FW5))</f>
        <v>5</v>
      </c>
      <c r="GO5" s="10">
        <f>IF(lg!$C$18=1,EP5,IF(lg!$C$18=2,FG5,FX5))</f>
        <v>10</v>
      </c>
      <c r="GP5" s="10">
        <f>IF(lg!$C$18=1,EQ5,IF(lg!$C$18=2,FH5,FY5))</f>
        <v>8</v>
      </c>
      <c r="GR5" s="10" t="str">
        <f t="shared" ref="GR5:GR33" si="184">VLOOKUP(GA5,$D$4:$E$33,2,0)</f>
        <v>Real Salt Lake</v>
      </c>
      <c r="GS5" s="10" t="str">
        <f t="shared" si="31"/>
        <v>Philadelphia Union</v>
      </c>
      <c r="GT5" s="10" t="str">
        <f t="shared" si="32"/>
        <v>Columbus</v>
      </c>
      <c r="GU5" s="10" t="str">
        <f t="shared" si="33"/>
        <v>Philadelphia Union</v>
      </c>
      <c r="GV5" s="10" t="str">
        <f t="shared" si="34"/>
        <v>Philadelphia Union</v>
      </c>
      <c r="GW5" s="10" t="str">
        <f t="shared" si="35"/>
        <v>Los Angeles</v>
      </c>
      <c r="GX5" s="10" t="str">
        <f t="shared" si="36"/>
        <v>Los Angeles</v>
      </c>
      <c r="GY5" s="10" t="str">
        <f t="shared" si="37"/>
        <v>Kansas City</v>
      </c>
      <c r="GZ5" s="10" t="str">
        <f t="shared" si="38"/>
        <v>Philadelphia Union</v>
      </c>
      <c r="HA5" s="10" t="str">
        <f t="shared" si="39"/>
        <v>Real Salt Lake</v>
      </c>
      <c r="HB5" s="10" t="str">
        <f t="shared" si="40"/>
        <v>Los Angeles</v>
      </c>
      <c r="HC5" s="10" t="str">
        <f t="shared" si="41"/>
        <v>Philadelphia Union</v>
      </c>
      <c r="HD5" s="10" t="str">
        <f t="shared" si="42"/>
        <v>Kansas City</v>
      </c>
      <c r="HE5" s="10" t="str">
        <f t="shared" si="43"/>
        <v>Chicago</v>
      </c>
      <c r="HF5" s="10" t="str">
        <f t="shared" si="44"/>
        <v>Real Salt Lake</v>
      </c>
      <c r="HG5" s="10" t="str">
        <f t="shared" si="45"/>
        <v>DC United</v>
      </c>
      <c r="HI5" s="10">
        <v>2</v>
      </c>
      <c r="HJ5" s="115">
        <f>IF(lg!$C$18=1,F5,IF(lg!$C$18=2,R5,AD5))</f>
        <v>20</v>
      </c>
      <c r="HK5" s="115">
        <f>IF(lg!$C$18=1,G5,IF(lg!$C$18=2,S5,AE5))</f>
        <v>9</v>
      </c>
      <c r="HL5" s="115">
        <f>IF(lg!$C$18=1,H5,IF(lg!$C$18=2,T5,AF5))</f>
        <v>4</v>
      </c>
      <c r="HM5" s="115">
        <f>IF(lg!$C$18=1,I5,IF(lg!$C$18=2,U5,AG5))</f>
        <v>7</v>
      </c>
      <c r="HN5" s="115">
        <f>IF(lg!$C$18=1,J5,IF(lg!$C$18=2,V5,AH5))</f>
        <v>31</v>
      </c>
      <c r="HO5" s="115">
        <f>IF(lg!$C$18=1,K5,IF(lg!$C$18=2,W5,AI5))</f>
        <v>21</v>
      </c>
      <c r="HP5" s="115">
        <f>IF(lg!$C$18=1,L5,IF(lg!$C$18=2,X5,AJ5))</f>
        <v>22</v>
      </c>
      <c r="HQ5" s="115" t="str">
        <f>IF(lg!$C$18=1,M5,IF(lg!$C$18=2,Y5,AK5))</f>
        <v>21 - 22</v>
      </c>
      <c r="HR5" s="115">
        <f>IF(lg!$C$18=1,N5,IF(lg!$C$18=2,Z5,AL5))</f>
        <v>-1</v>
      </c>
      <c r="HS5" s="115">
        <f>IF(lg!$C$18=1,O5,IF(lg!$C$18=2,AA5,AM5))</f>
        <v>7</v>
      </c>
      <c r="HT5" s="115">
        <f>IF(lg!$C$18=1,P5,IF(lg!$C$18=2,AB5,AN5))</f>
        <v>8</v>
      </c>
      <c r="HV5" s="115">
        <f t="shared" ref="HV5:HV33" si="185">VLOOKUP(GA5,$HI$4:$HT$33,6,0)</f>
        <v>39</v>
      </c>
      <c r="HW5" s="115">
        <f t="shared" ref="HW5:HW33" si="186">VLOOKUP(GB5,$HI$4:$HT$33,6,0)</f>
        <v>17</v>
      </c>
      <c r="HX5" s="115">
        <f t="shared" ref="HX5:HX33" si="187">VLOOKUP(GC5,$HI$4:$HT$33,3,0)</f>
        <v>11</v>
      </c>
      <c r="HY5" s="115">
        <f t="shared" ref="HY5:HY33" si="188">VLOOKUP(GD5,$HI$4:$HT$33,3,0)</f>
        <v>4</v>
      </c>
      <c r="HZ5" s="115">
        <f t="shared" ref="HZ5:HZ33" si="189">VLOOKUP(GE5,$HI$4:$HT$33,5,0)</f>
        <v>10</v>
      </c>
      <c r="IA5" s="115">
        <f t="shared" ref="IA5:IA33" si="190">VLOOKUP(GF5,$HI$4:$HT$33,5,0)</f>
        <v>3</v>
      </c>
      <c r="IB5" s="115">
        <f t="shared" ref="IB5:IB33" si="191">VLOOKUP(GG5,$HI$4:$HT$33,7,0)</f>
        <v>32</v>
      </c>
      <c r="IC5" s="115">
        <f t="shared" ref="IC5:IC33" si="192">VLOOKUP(GH5,$HI$4:$HT$33,7,0)</f>
        <v>15</v>
      </c>
      <c r="ID5" s="115">
        <f t="shared" ref="ID5:ID33" si="193">VLOOKUP(GI5,$HI$4:$HT$33,8,0)</f>
        <v>33</v>
      </c>
      <c r="IE5" s="115">
        <f t="shared" ref="IE5:IE33" si="194">VLOOKUP(GJ5,$HI$4:$HT$33,8,0)</f>
        <v>16</v>
      </c>
      <c r="IF5" s="115">
        <f t="shared" ref="IF5:IF33" si="195">VLOOKUP(GK5,$HI$4:$HT$33,10,0)</f>
        <v>19</v>
      </c>
      <c r="IG5" s="115">
        <f t="shared" ref="IG5:IG33" si="196">VLOOKUP(GL5,$HI$4:$HT$33,10,0)</f>
        <v>-10</v>
      </c>
      <c r="IH5" s="115">
        <f t="shared" ref="IH5:IH33" si="197">VLOOKUP(GM5,$HI$4:$HT$33,11,0)</f>
        <v>9</v>
      </c>
      <c r="II5" s="115">
        <f t="shared" ref="II5:II33" si="198">VLOOKUP(GN5,$HI$4:$HT$33,11,0)</f>
        <v>3</v>
      </c>
      <c r="IJ5" s="115">
        <f t="shared" ref="IJ5:IJ33" si="199">VLOOKUP(GO5,$HI$4:$HT$33,12,0)</f>
        <v>9</v>
      </c>
      <c r="IK5" s="115">
        <f t="shared" ref="IK5:IK33" si="200">VLOOKUP(GP5,$HI$4:$HT$33,12,0)</f>
        <v>2</v>
      </c>
      <c r="IN5" s="77" t="s">
        <v>69</v>
      </c>
      <c r="IO5" s="104" t="s">
        <v>126</v>
      </c>
      <c r="IP5" s="133">
        <f>VLOOKUP('ef-TeamStats'!B2,Table!$B$4:$W$23,3,0)</f>
        <v>13</v>
      </c>
      <c r="IQ5" s="133">
        <f>VLOOKUP('ef-TeamStats'!$B$2,Table!$B$4:$W$23,2,0)</f>
        <v>20</v>
      </c>
      <c r="IR5" s="134">
        <f t="shared" si="47"/>
        <v>0.65</v>
      </c>
      <c r="IS5" s="133">
        <f>MATCH('ef-TeamStats'!$B$2,$JU$4:$JU$33,0)</f>
        <v>1</v>
      </c>
      <c r="IT5" s="104"/>
      <c r="IU5" s="104" t="s">
        <v>126</v>
      </c>
      <c r="IV5" s="67">
        <f>VLOOKUP('ef-TeamStats'!G2,Table!$B$4:$W$23,3,0)</f>
        <v>8</v>
      </c>
      <c r="IW5" s="133">
        <f>VLOOKUP('ef-TeamStats'!$G$2,Table!$B$4:$W$23,2,0)</f>
        <v>19</v>
      </c>
      <c r="IX5" s="134">
        <f t="shared" si="48"/>
        <v>0.42105263157894735</v>
      </c>
      <c r="IY5" s="133">
        <f>MATCH('ef-TeamStats'!$G$2,$JU$4:$JU$33,0)</f>
        <v>5</v>
      </c>
      <c r="JB5" s="10">
        <f>IF(lg!$F$18=1,EB5,IF(lg!$F$18=2,ES5,FJ5))</f>
        <v>10</v>
      </c>
      <c r="JC5" s="10">
        <f>IF(lg!$F$18=1,EC5,IF(lg!$F$18=2,ET5,FK5))</f>
        <v>7</v>
      </c>
      <c r="JD5" s="10">
        <f>IF(lg!$F$18=1,ED5,IF(lg!$F$18=2,EU5,FL5))</f>
        <v>1</v>
      </c>
      <c r="JE5" s="10">
        <f>IF(lg!$F$18=1,EE5,IF(lg!$F$18=2,EV5,FM5))</f>
        <v>7</v>
      </c>
      <c r="JF5" s="10">
        <f>IF(lg!$F$18=1,EF5,IF(lg!$F$18=2,EW5,FN5))</f>
        <v>7</v>
      </c>
      <c r="JG5" s="10">
        <f>IF(lg!$F$18=1,EG5,IF(lg!$F$18=2,EX5,FO5))</f>
        <v>9</v>
      </c>
      <c r="JH5" s="10">
        <f>IF(lg!$F$18=1,EH5,IF(lg!$F$18=2,EY5,FP5))</f>
        <v>9</v>
      </c>
      <c r="JI5" s="10">
        <f>IF(lg!$F$18=1,EI5,IF(lg!$F$18=2,EZ5,FQ5))</f>
        <v>6</v>
      </c>
      <c r="JJ5" s="10">
        <f>IF(lg!$F$18=1,EJ5,IF(lg!$F$18=2,FA5,FR5))</f>
        <v>7</v>
      </c>
      <c r="JK5" s="10">
        <f>IF(lg!$F$18=1,EK5,IF(lg!$F$18=2,FB5,FS5))</f>
        <v>10</v>
      </c>
      <c r="JL5" s="10">
        <f>IF(lg!$F$18=1,EL5,IF(lg!$F$18=2,FC5,FT5))</f>
        <v>9</v>
      </c>
      <c r="JM5" s="10">
        <f>IF(lg!$F$18=1,EM5,IF(lg!$F$18=2,FD5,FU5))</f>
        <v>7</v>
      </c>
      <c r="JN5" s="10">
        <f>IF(lg!$F$18=1,EN5,IF(lg!$F$18=2,FE5,FV5))</f>
        <v>6</v>
      </c>
      <c r="JO5" s="10">
        <f>IF(lg!$F$18=1,EO5,IF(lg!$F$18=2,FF5,FW5))</f>
        <v>5</v>
      </c>
      <c r="JP5" s="10">
        <f>IF(lg!$F$18=1,EP5,IF(lg!$F$18=2,FG5,FX5))</f>
        <v>10</v>
      </c>
      <c r="JQ5" s="10">
        <f>IF(lg!$F$18=1,EQ5,IF(lg!$F$18=2,FH5,FY5))</f>
        <v>8</v>
      </c>
      <c r="JS5" s="10" t="str">
        <f t="shared" ref="JS5:JS33" si="201">VLOOKUP(JB5,$D$4:$E$33,2,0)</f>
        <v>Real Salt Lake</v>
      </c>
      <c r="JT5" s="10" t="str">
        <f t="shared" si="49"/>
        <v>Philadelphia Union</v>
      </c>
      <c r="JU5" s="10" t="str">
        <f t="shared" si="50"/>
        <v>Columbus</v>
      </c>
      <c r="JV5" s="10" t="str">
        <f t="shared" si="51"/>
        <v>Philadelphia Union</v>
      </c>
      <c r="JW5" s="10" t="str">
        <f t="shared" si="52"/>
        <v>Philadelphia Union</v>
      </c>
      <c r="JX5" s="10" t="str">
        <f t="shared" si="53"/>
        <v>Los Angeles</v>
      </c>
      <c r="JY5" s="10" t="str">
        <f t="shared" si="54"/>
        <v>Los Angeles</v>
      </c>
      <c r="JZ5" s="10" t="str">
        <f t="shared" si="55"/>
        <v>Kansas City</v>
      </c>
      <c r="KA5" s="10" t="str">
        <f t="shared" si="56"/>
        <v>Philadelphia Union</v>
      </c>
      <c r="KB5" s="10" t="str">
        <f t="shared" si="57"/>
        <v>Real Salt Lake</v>
      </c>
      <c r="KC5" s="10" t="str">
        <f t="shared" si="58"/>
        <v>Los Angeles</v>
      </c>
      <c r="KD5" s="10" t="str">
        <f t="shared" si="59"/>
        <v>Philadelphia Union</v>
      </c>
      <c r="KE5" s="10" t="str">
        <f t="shared" si="60"/>
        <v>Kansas City</v>
      </c>
      <c r="KF5" s="10" t="str">
        <f t="shared" si="61"/>
        <v>Chicago</v>
      </c>
      <c r="KG5" s="10" t="str">
        <f t="shared" si="62"/>
        <v>Real Salt Lake</v>
      </c>
      <c r="KH5" s="10" t="str">
        <f t="shared" si="63"/>
        <v>DC United</v>
      </c>
      <c r="KL5" s="27">
        <v>0.28999999999999998</v>
      </c>
      <c r="KM5" s="29">
        <v>2</v>
      </c>
      <c r="KN5" s="31" t="str">
        <f t="shared" ref="KN5:KN33" si="202">E5</f>
        <v>New York Red Bulls</v>
      </c>
      <c r="KO5" s="152">
        <f t="shared" ref="KO5:KO33" si="203">IF(ISERROR(VLOOKUP(CONCATENATE($KN5,KO$2),$N$2001:$Q$3800,2,0)),0,VLOOKUP(CONCATENATE($KN5,KO$2),$N$2001:$Q$3800,2,0))</f>
        <v>3</v>
      </c>
      <c r="KP5" s="152">
        <f t="shared" ref="KP5:KP33" si="204">IF(ISERROR(VLOOKUP(CONCATENATE($KN5,KO$2),$N$2001:$Q$3800,3,0)),0,VLOOKUP(CONCATENATE($KN5,KO$2),$N$2001:$Q$3800,3,0))</f>
        <v>1</v>
      </c>
      <c r="KQ5" s="152">
        <f t="shared" ref="KQ5:KQ33" si="205">IF(ISERROR(VLOOKUP(CONCATENATE($KN5,KO$2),$N$2001:$Q$3800,4,0)),0,VLOOKUP(CONCATENATE($KN5,KO$2),$N$2001:$Q$3800,4,0))</f>
        <v>0</v>
      </c>
      <c r="KR5" s="28">
        <f t="shared" ref="KR5:KR33" si="206">IF($KN5=0,-10000000000,1000000000000+KO5*100000000+(KP5-KQ5)*10000+$KL5+KP5)</f>
        <v>1000300010001.29</v>
      </c>
      <c r="KS5" s="29"/>
      <c r="KT5" s="28"/>
      <c r="KU5" s="29">
        <f>RANK(KR5,KR$4:KR$11)</f>
        <v>3</v>
      </c>
      <c r="KV5" s="152">
        <f t="shared" ref="KV5:KV33" si="207">IF(ISERROR(VLOOKUP(CONCATENATE($KN5,KV$2),$N$2001:$Q$3800,2,0)),0,VLOOKUP(CONCATENATE($KN5,KV$2),$N$2001:$Q$3800,2,0))+KO5</f>
        <v>6</v>
      </c>
      <c r="KW5" s="152">
        <f t="shared" ref="KW5:KW33" si="208">IF(ISERROR(VLOOKUP(CONCATENATE($KN5,KV$2),$N$2001:$Q$3800,3,0)),0,VLOOKUP(CONCATENATE($KN5,KV$2),$N$2001:$Q$3800,3,0))+KP5</f>
        <v>2</v>
      </c>
      <c r="KX5" s="152">
        <f t="shared" ref="KX5:KX33" si="209">IF(ISERROR(VLOOKUP(CONCATENATE($KN5,KV$2),$N$2001:$Q$3800,4,0)),0,VLOOKUP(CONCATENATE($KN5,KV$2),$N$2001:$Q$3800,4,0))+KQ5</f>
        <v>0</v>
      </c>
      <c r="KY5" s="28">
        <f t="shared" ref="KY5:KY33" si="210">IF($KN5=0,-10000000000,1000000000000+KV5*100000000+(KW5-KX5)*10000+$KL5+KW5)</f>
        <v>1000600020002.29</v>
      </c>
      <c r="KZ5" s="29"/>
      <c r="LA5" s="28"/>
      <c r="LB5" s="29">
        <f>RANK(KY5,KY$4:KY$11)</f>
        <v>2</v>
      </c>
      <c r="LC5" s="152">
        <f t="shared" ref="LC5:LC33" si="211">IF(ISERROR(VLOOKUP(CONCATENATE($KN5,LC$2),$N$2001:$Q$3800,2,0)),0,VLOOKUP(CONCATENATE($KN5,LC$2),$N$2001:$Q$3800,2,0))+KV5</f>
        <v>6</v>
      </c>
      <c r="LD5" s="152">
        <f t="shared" ref="LD5:LD33" si="212">IF(ISERROR(VLOOKUP(CONCATENATE($KN5,LC$2),$N$2001:$Q$3800,3,0)),0,VLOOKUP(CONCATENATE($KN5,LC$2),$N$2001:$Q$3800,3,0))+KW5</f>
        <v>2</v>
      </c>
      <c r="LE5" s="152">
        <f t="shared" ref="LE5:LE33" si="213">IF(ISERROR(VLOOKUP(CONCATENATE($KN5,LC$2),$N$2001:$Q$3800,4,0)),0,VLOOKUP(CONCATENATE($KN5,LC$2),$N$2001:$Q$3800,4,0))+KX5</f>
        <v>2</v>
      </c>
      <c r="LF5" s="28">
        <f t="shared" ref="LF5:LF33" si="214">IF($KN5=0,-10000000000,1000000000000+LC5*100000000+(LD5-LE5)*10000+$KL5+LD5)</f>
        <v>1000600000002.29</v>
      </c>
      <c r="LG5" s="29"/>
      <c r="LH5" s="28"/>
      <c r="LI5" s="29">
        <f>RANK(LF5,LF$4:LF$11)</f>
        <v>4</v>
      </c>
      <c r="LJ5" s="152">
        <f t="shared" ref="LJ5:LJ33" si="215">IF(ISERROR(VLOOKUP(CONCATENATE($KN5,LJ$2),$N$2001:$Q$3800,2,0)),0,VLOOKUP(CONCATENATE($KN5,LJ$2),$N$2001:$Q$3800,2,0))+LC5</f>
        <v>9</v>
      </c>
      <c r="LK5" s="152">
        <f t="shared" ref="LK5:LK33" si="216">IF(ISERROR(VLOOKUP(CONCATENATE($KN5,LJ$2),$N$2001:$Q$3800,3,0)),0,VLOOKUP(CONCATENATE($KN5,LJ$2),$N$2001:$Q$3800,3,0))+LD5</f>
        <v>4</v>
      </c>
      <c r="LL5" s="152">
        <f t="shared" ref="LL5:LL33" si="217">IF(ISERROR(VLOOKUP(CONCATENATE($KN5,LJ$2),$N$2001:$Q$3800,4,0)),0,VLOOKUP(CONCATENATE($KN5,LJ$2),$N$2001:$Q$3800,4,0))+LE5</f>
        <v>3</v>
      </c>
      <c r="LM5" s="28">
        <f t="shared" ref="LM5:LM33" si="218">IF($KN5=0,-10000000000,1000000000000+LJ5*100000000+(LK5-LL5)*10000+$KL5+LK5)</f>
        <v>1000900010004.29</v>
      </c>
      <c r="LN5" s="29"/>
      <c r="LO5" s="28"/>
      <c r="LP5" s="29">
        <f>RANK(LM5,LM$4:LM$11)</f>
        <v>1</v>
      </c>
      <c r="LQ5" s="152">
        <f t="shared" ref="LQ5:LQ33" si="219">IF(ISERROR(VLOOKUP(CONCATENATE($KN5,LQ$2),$N$2001:$Q$3800,2,0)),0,VLOOKUP(CONCATENATE($KN5,LQ$2),$N$2001:$Q$3800,2,0))+LJ5</f>
        <v>12</v>
      </c>
      <c r="LR5" s="152">
        <f t="shared" ref="LR5:LR33" si="220">IF(ISERROR(VLOOKUP(CONCATENATE($KN5,LQ$2),$N$2001:$Q$3800,3,0)),0,VLOOKUP(CONCATENATE($KN5,LQ$2),$N$2001:$Q$3800,3,0))+LK5</f>
        <v>6</v>
      </c>
      <c r="LS5" s="152">
        <f t="shared" ref="LS5:LS33" si="221">IF(ISERROR(VLOOKUP(CONCATENATE($KN5,LQ$2),$N$2001:$Q$3800,4,0)),0,VLOOKUP(CONCATENATE($KN5,LQ$2),$N$2001:$Q$3800,4,0))+LL5</f>
        <v>4</v>
      </c>
      <c r="LT5" s="28">
        <f t="shared" ref="LT5:LT33" si="222">IF($KN5=0,-10000000000,1000000000000+LQ5*100000000+(LR5-LS5)*10000+$KL5+LR5)</f>
        <v>1001200020006.29</v>
      </c>
      <c r="LU5" s="29"/>
      <c r="LV5" s="28"/>
      <c r="LW5" s="29">
        <f>RANK(LT5,LT$4:LT$11)</f>
        <v>1</v>
      </c>
      <c r="LX5" s="152">
        <f t="shared" ref="LX5:LX33" si="223">IF(ISERROR(VLOOKUP(CONCATENATE($KN5,LX$2),$N$2001:$Q$3800,2,0)),0,VLOOKUP(CONCATENATE($KN5,LX$2),$N$2001:$Q$3800,2,0))+LQ5</f>
        <v>15</v>
      </c>
      <c r="LY5" s="152">
        <f t="shared" ref="LY5:LY33" si="224">IF(ISERROR(VLOOKUP(CONCATENATE($KN5,LX$2),$N$2001:$Q$3800,3,0)),0,VLOOKUP(CONCATENATE($KN5,LX$2),$N$2001:$Q$3800,3,0))+LR5</f>
        <v>8</v>
      </c>
      <c r="LZ5" s="152">
        <f t="shared" ref="LZ5:LZ33" si="225">IF(ISERROR(VLOOKUP(CONCATENATE($KN5,LX$2),$N$2001:$Q$3800,4,0)),0,VLOOKUP(CONCATENATE($KN5,LX$2),$N$2001:$Q$3800,4,0))+LS5</f>
        <v>4</v>
      </c>
      <c r="MA5" s="28">
        <f t="shared" ref="MA5:MA33" si="226">IF($KN5=0,-10000000000,1000000000000+LX5*100000000+(LY5-LZ5)*10000+$KL5+LY5)</f>
        <v>1001500040008.29</v>
      </c>
      <c r="MB5" s="29"/>
      <c r="MC5" s="28"/>
      <c r="MD5" s="29">
        <f>RANK(MA5,MA$4:MA$11)</f>
        <v>1</v>
      </c>
      <c r="ME5" s="152">
        <f t="shared" ref="ME5:ME33" si="227">IF(ISERROR(VLOOKUP(CONCATENATE($KN5,ME$2),$N$2001:$Q$3800,2,0)),0,VLOOKUP(CONCATENATE($KN5,ME$2),$N$2001:$Q$3800,2,0))+LX5</f>
        <v>15</v>
      </c>
      <c r="MF5" s="152">
        <f t="shared" ref="MF5:MF33" si="228">IF(ISERROR(VLOOKUP(CONCATENATE($KN5,ME$2),$N$2001:$Q$3800,3,0)),0,VLOOKUP(CONCATENATE($KN5,ME$2),$N$2001:$Q$3800,3,0))+LY5</f>
        <v>8</v>
      </c>
      <c r="MG5" s="152">
        <f t="shared" ref="MG5:MG33" si="229">IF(ISERROR(VLOOKUP(CONCATENATE($KN5,ME$2),$N$2001:$Q$3800,4,0)),0,VLOOKUP(CONCATENATE($KN5,ME$2),$N$2001:$Q$3800,4,0))+LZ5</f>
        <v>8</v>
      </c>
      <c r="MH5" s="28">
        <f t="shared" ref="MH5:MH33" si="230">IF($KN5=0,-10000000000,1000000000000+ME5*100000000+(MF5-MG5)*10000+$KL5+MF5)</f>
        <v>1001500000008.29</v>
      </c>
      <c r="MI5" s="29"/>
      <c r="MJ5" s="28"/>
      <c r="MK5" s="29">
        <f>RANK(MH5,MH$4:MH$11)</f>
        <v>2</v>
      </c>
      <c r="ML5" s="152">
        <f t="shared" ref="ML5:ML33" si="231">IF(ISERROR(VLOOKUP(CONCATENATE($KN5,ML$2),$N$2001:$Q$3800,2,0)),0,VLOOKUP(CONCATENATE($KN5,ML$2),$N$2001:$Q$3800,2,0))+ME5</f>
        <v>15</v>
      </c>
      <c r="MM5" s="152">
        <f t="shared" ref="MM5:MM33" si="232">IF(ISERROR(VLOOKUP(CONCATENATE($KN5,ML$2),$N$2001:$Q$3800,3,0)),0,VLOOKUP(CONCATENATE($KN5,ML$2),$N$2001:$Q$3800,3,0))+MF5</f>
        <v>8</v>
      </c>
      <c r="MN5" s="152">
        <f t="shared" ref="MN5:MN33" si="233">IF(ISERROR(VLOOKUP(CONCATENATE($KN5,ML$2),$N$2001:$Q$3800,4,0)),0,VLOOKUP(CONCATENATE($KN5,ML$2),$N$2001:$Q$3800,4,0))+MG5</f>
        <v>9</v>
      </c>
      <c r="MO5" s="28">
        <f t="shared" ref="MO5:MO33" si="234">IF($KN5=0,-10000000000,1000000000000+ML5*100000000+(MM5-MN5)*10000+$KL5+MM5)</f>
        <v>1001499990008.29</v>
      </c>
      <c r="MP5" s="29"/>
      <c r="MQ5" s="28"/>
      <c r="MR5" s="29">
        <f>RANK(MO5,MO$4:MO$11)</f>
        <v>2</v>
      </c>
      <c r="MS5" s="152">
        <f t="shared" ref="MS5:MS33" si="235">IF(ISERROR(VLOOKUP(CONCATENATE($KN5,MS$2),$N$2001:$Q$3800,2,0)),0,VLOOKUP(CONCATENATE($KN5,MS$2),$N$2001:$Q$3800,2,0))+ML5</f>
        <v>15</v>
      </c>
      <c r="MT5" s="152">
        <f t="shared" ref="MT5:MT33" si="236">IF(ISERROR(VLOOKUP(CONCATENATE($KN5,MS$2),$N$2001:$Q$3800,3,0)),0,VLOOKUP(CONCATENATE($KN5,MS$2),$N$2001:$Q$3800,3,0))+MM5</f>
        <v>9</v>
      </c>
      <c r="MU5" s="152">
        <f t="shared" ref="MU5:MU33" si="237">IF(ISERROR(VLOOKUP(CONCATENATE($KN5,MS$2),$N$2001:$Q$3800,4,0)),0,VLOOKUP(CONCATENATE($KN5,MS$2),$N$2001:$Q$3800,4,0))+MN5</f>
        <v>12</v>
      </c>
      <c r="MV5" s="28">
        <f t="shared" ref="MV5:MV33" si="238">IF($KN5=0,-10000000000,1000000000000+MS5*100000000+(MT5-MU5)*10000+$KL5+MT5)</f>
        <v>1001499970009.29</v>
      </c>
      <c r="MW5" s="29"/>
      <c r="MX5" s="28"/>
      <c r="MY5" s="29">
        <f>RANK(MV5,MV$4:MV$11)</f>
        <v>2</v>
      </c>
      <c r="MZ5" s="152">
        <f t="shared" ref="MZ5:MZ33" si="239">IF(ISERROR(VLOOKUP(CONCATENATE($KN5,MZ$2),$N$2001:$Q$3800,2,0)),0,VLOOKUP(CONCATENATE($KN5,MZ$2),$N$2001:$Q$3800,2,0))+MS5</f>
        <v>15</v>
      </c>
      <c r="NA5" s="152">
        <f t="shared" ref="NA5:NA33" si="240">IF(ISERROR(VLOOKUP(CONCATENATE($KN5,MZ$2),$N$2001:$Q$3800,3,0)),0,VLOOKUP(CONCATENATE($KN5,MZ$2),$N$2001:$Q$3800,3,0))+MT5</f>
        <v>11</v>
      </c>
      <c r="NB5" s="152">
        <f t="shared" ref="NB5:NB33" si="241">IF(ISERROR(VLOOKUP(CONCATENATE($KN5,MZ$2),$N$2001:$Q$3800,4,0)),0,VLOOKUP(CONCATENATE($KN5,MZ$2),$N$2001:$Q$3800,4,0))+MU5</f>
        <v>15</v>
      </c>
      <c r="NC5" s="28">
        <f t="shared" ref="NC5:NC33" si="242">IF($KN5=0,-10000000000,1000000000000+MZ5*100000000+(NA5-NB5)*10000+$KL5+NA5)</f>
        <v>1001499960011.29</v>
      </c>
      <c r="ND5" s="29"/>
      <c r="NE5" s="28"/>
      <c r="NF5" s="29">
        <f>RANK(NC5,NC$4:NC$11)</f>
        <v>3</v>
      </c>
      <c r="NG5" s="152">
        <f t="shared" ref="NG5:NG33" si="243">IF(ISERROR(VLOOKUP(CONCATENATE($KN5,NG$2),$N$2001:$Q$3800,2,0)),0,VLOOKUP(CONCATENATE($KN5,NG$2),$N$2001:$Q$3800,2,0))+MZ5</f>
        <v>18</v>
      </c>
      <c r="NH5" s="152">
        <f t="shared" ref="NH5:NH33" si="244">IF(ISERROR(VLOOKUP(CONCATENATE($KN5,NG$2),$N$2001:$Q$3800,3,0)),0,VLOOKUP(CONCATENATE($KN5,NG$2),$N$2001:$Q$3800,3,0))+NA5</f>
        <v>13</v>
      </c>
      <c r="NI5" s="152">
        <f t="shared" ref="NI5:NI33" si="245">IF(ISERROR(VLOOKUP(CONCATENATE($KN5,NG$2),$N$2001:$Q$3800,4,0)),0,VLOOKUP(CONCATENATE($KN5,NG$2),$N$2001:$Q$3800,4,0))+NB5</f>
        <v>16</v>
      </c>
      <c r="NJ5" s="28">
        <f t="shared" ref="NJ5:NJ33" si="246">IF($KN5=0,-10000000000,1000000000000+NG5*100000000+(NH5-NI5)*10000+$KL5+NH5)</f>
        <v>1001799970013.29</v>
      </c>
      <c r="NK5" s="29"/>
      <c r="NL5" s="28"/>
      <c r="NM5" s="29">
        <f>RANK(NJ5,NJ$4:NJ$11)</f>
        <v>2</v>
      </c>
      <c r="NN5" s="152">
        <f t="shared" ref="NN5:NN33" si="247">IF(ISERROR(VLOOKUP(CONCATENATE($KN5,NN$2),$N$2001:$Q$3800,2,0)),0,VLOOKUP(CONCATENATE($KN5,NN$2),$N$2001:$Q$3800,2,0))+NG5</f>
        <v>21</v>
      </c>
      <c r="NO5" s="152">
        <f t="shared" ref="NO5:NO33" si="248">IF(ISERROR(VLOOKUP(CONCATENATE($KN5,NN$2),$N$2001:$Q$3800,3,0)),0,VLOOKUP(CONCATENATE($KN5,NN$2),$N$2001:$Q$3800,3,0))+NH5</f>
        <v>14</v>
      </c>
      <c r="NP5" s="152">
        <f t="shared" ref="NP5:NP33" si="249">IF(ISERROR(VLOOKUP(CONCATENATE($KN5,NN$2),$N$2001:$Q$3800,4,0)),0,VLOOKUP(CONCATENATE($KN5,NN$2),$N$2001:$Q$3800,4,0))+NI5</f>
        <v>16</v>
      </c>
      <c r="NQ5" s="28">
        <f t="shared" ref="NQ5:NQ33" si="250">IF($KN5=0,-10000000000,1000000000000+NN5*100000000+(NO5-NP5)*10000+$KL5+NO5)</f>
        <v>1002099980014.29</v>
      </c>
      <c r="NR5" s="29"/>
      <c r="NS5" s="28"/>
      <c r="NT5" s="29">
        <f>RANK(NQ5,NQ$4:NQ$11)</f>
        <v>2</v>
      </c>
      <c r="NU5" s="152">
        <f t="shared" ref="NU5:NU33" si="251">IF(ISERROR(VLOOKUP(CONCATENATE($KN5,NU$2),$N$2001:$Q$3800,2,0)),0,VLOOKUP(CONCATENATE($KN5,NU$2),$N$2001:$Q$3800,2,0))+NN5</f>
        <v>24</v>
      </c>
      <c r="NV5" s="152">
        <f t="shared" ref="NV5:NV33" si="252">IF(ISERROR(VLOOKUP(CONCATENATE($KN5,NU$2),$N$2001:$Q$3800,3,0)),0,VLOOKUP(CONCATENATE($KN5,NU$2),$N$2001:$Q$3800,3,0))+NO5</f>
        <v>17</v>
      </c>
      <c r="NW5" s="152">
        <f t="shared" ref="NW5:NW33" si="253">IF(ISERROR(VLOOKUP(CONCATENATE($KN5,NU$2),$N$2001:$Q$3800,4,0)),0,VLOOKUP(CONCATENATE($KN5,NU$2),$N$2001:$Q$3800,4,0))+NP5</f>
        <v>16</v>
      </c>
      <c r="NX5" s="28">
        <f t="shared" ref="NX5:NX33" si="254">IF($KN5=0,-10000000000,1000000000000+NU5*100000000+(NV5-NW5)*10000+$KL5+NV5)</f>
        <v>1002400010017.29</v>
      </c>
      <c r="NY5" s="29"/>
      <c r="NZ5" s="28"/>
      <c r="OA5" s="29">
        <f>RANK(NX5,NX$4:NX$11)</f>
        <v>2</v>
      </c>
      <c r="OB5" s="152">
        <f t="shared" ref="OB5:OB33" si="255">IF(ISERROR(VLOOKUP(CONCATENATE($KN5,OB$2),$N$2001:$Q$3800,2,0)),0,VLOOKUP(CONCATENATE($KN5,OB$2),$N$2001:$Q$3800,2,0))+NU5</f>
        <v>25</v>
      </c>
      <c r="OC5" s="152">
        <f t="shared" ref="OC5:OC33" si="256">IF(ISERROR(VLOOKUP(CONCATENATE($KN5,OB$2),$N$2001:$Q$3800,3,0)),0,VLOOKUP(CONCATENATE($KN5,OB$2),$N$2001:$Q$3800,3,0))+NV5</f>
        <v>18</v>
      </c>
      <c r="OD5" s="152">
        <f t="shared" ref="OD5:OD33" si="257">IF(ISERROR(VLOOKUP(CONCATENATE($KN5,OB$2),$N$2001:$Q$3800,4,0)),0,VLOOKUP(CONCATENATE($KN5,OB$2),$N$2001:$Q$3800,4,0))+NW5</f>
        <v>17</v>
      </c>
      <c r="OE5" s="28">
        <f t="shared" ref="OE5:OE33" si="258">IF($KN5=0,-10000000000,1000000000000+OB5*100000000+(OC5-OD5)*10000+$KL5+OC5)</f>
        <v>1002500010018.29</v>
      </c>
      <c r="OF5" s="29"/>
      <c r="OG5" s="28"/>
      <c r="OH5" s="29">
        <f>RANK(OE5,OE$4:OE$11)</f>
        <v>2</v>
      </c>
      <c r="OI5" s="152">
        <f t="shared" ref="OI5:OI33" si="259">IF(ISERROR(VLOOKUP(CONCATENATE($KN5,OI$2),$N$2001:$Q$3800,2,0)),0,VLOOKUP(CONCATENATE($KN5,OI$2),$N$2001:$Q$3800,2,0))+OB5</f>
        <v>26</v>
      </c>
      <c r="OJ5" s="152">
        <f t="shared" ref="OJ5:OJ33" si="260">IF(ISERROR(VLOOKUP(CONCATENATE($KN5,OI$2),$N$2001:$Q$3800,3,0)),0,VLOOKUP(CONCATENATE($KN5,OI$2),$N$2001:$Q$3800,3,0))+OC5</f>
        <v>18</v>
      </c>
      <c r="OK5" s="152">
        <f t="shared" ref="OK5:OK33" si="261">IF(ISERROR(VLOOKUP(CONCATENATE($KN5,OI$2),$N$2001:$Q$3800,4,0)),0,VLOOKUP(CONCATENATE($KN5,OI$2),$N$2001:$Q$3800,4,0))+OD5</f>
        <v>17</v>
      </c>
      <c r="OL5" s="28">
        <f t="shared" ref="OL5:OL33" si="262">IF($KN5=0,-10000000000,1000000000000+OI5*100000000+(OJ5-OK5)*10000+$KL5+OJ5)</f>
        <v>1002600010018.29</v>
      </c>
      <c r="OM5" s="29"/>
      <c r="ON5" s="28"/>
      <c r="OO5" s="29">
        <f>RANK(OL5,OL$4:OL$11)</f>
        <v>2</v>
      </c>
      <c r="OP5" s="152">
        <f t="shared" ref="OP5:OP33" si="263">IF(ISERROR(VLOOKUP(CONCATENATE($KN5,OP$2),$N$2001:$Q$3800,2,0)),0,VLOOKUP(CONCATENATE($KN5,OP$2),$N$2001:$Q$3800,2,0))+OI5</f>
        <v>26</v>
      </c>
      <c r="OQ5" s="152">
        <f t="shared" ref="OQ5:OQ33" si="264">IF(ISERROR(VLOOKUP(CONCATENATE($KN5,OP$2),$N$2001:$Q$3800,3,0)),0,VLOOKUP(CONCATENATE($KN5,OP$2),$N$2001:$Q$3800,3,0))+OJ5</f>
        <v>18</v>
      </c>
      <c r="OR5" s="152">
        <f t="shared" ref="OR5:OR33" si="265">IF(ISERROR(VLOOKUP(CONCATENATE($KN5,OP$2),$N$2001:$Q$3800,4,0)),0,VLOOKUP(CONCATENATE($KN5,OP$2),$N$2001:$Q$3800,4,0))+OK5</f>
        <v>19</v>
      </c>
      <c r="OS5" s="28">
        <f t="shared" ref="OS5:OS33" si="266">IF($KN5=0,-10000000000,1000000000000+OP5*100000000+(OQ5-OR5)*10000+$KL5+OQ5)</f>
        <v>1002599990018.29</v>
      </c>
      <c r="OT5" s="29"/>
      <c r="OU5" s="28"/>
      <c r="OV5" s="29">
        <f>RANK(OS5,OS$4:OS$11)</f>
        <v>2</v>
      </c>
      <c r="OW5" s="152">
        <f t="shared" ref="OW5:OW33" si="267">IF(ISERROR(VLOOKUP(CONCATENATE($KN5,OW$2),$N$2001:$Q$3800,2,0)),0,VLOOKUP(CONCATENATE($KN5,OW$2),$N$2001:$Q$3800,2,0))+OP5</f>
        <v>27</v>
      </c>
      <c r="OX5" s="152">
        <f t="shared" ref="OX5:OX33" si="268">IF(ISERROR(VLOOKUP(CONCATENATE($KN5,OW$2),$N$2001:$Q$3800,3,0)),0,VLOOKUP(CONCATENATE($KN5,OW$2),$N$2001:$Q$3800,3,0))+OQ5</f>
        <v>20</v>
      </c>
      <c r="OY5" s="152">
        <f t="shared" ref="OY5:OY33" si="269">IF(ISERROR(VLOOKUP(CONCATENATE($KN5,OW$2),$N$2001:$Q$3800,4,0)),0,VLOOKUP(CONCATENATE($KN5,OW$2),$N$2001:$Q$3800,4,0))+OR5</f>
        <v>21</v>
      </c>
      <c r="OZ5" s="28">
        <f t="shared" ref="OZ5:OZ33" si="270">IF($KN5=0,-10000000000,1000000000000+OW5*100000000+(OX5-OY5)*10000+$KL5+OX5)</f>
        <v>1002699990020.29</v>
      </c>
      <c r="PA5" s="29"/>
      <c r="PB5" s="28"/>
      <c r="PC5" s="29">
        <f>RANK(OZ5,OZ$4:OZ$11)</f>
        <v>2</v>
      </c>
      <c r="PD5" s="152">
        <f t="shared" ref="PD5:PD33" si="271">IF(ISERROR(VLOOKUP(CONCATENATE($KN5,PD$2),$N$2001:$Q$3800,2,0)),0,VLOOKUP(CONCATENATE($KN5,PD$2),$N$2001:$Q$3800,2,0))+OW5</f>
        <v>28</v>
      </c>
      <c r="PE5" s="152">
        <f t="shared" ref="PE5:PE33" si="272">IF(ISERROR(VLOOKUP(CONCATENATE($KN5,PD$2),$N$2001:$Q$3800,3,0)),0,VLOOKUP(CONCATENATE($KN5,PD$2),$N$2001:$Q$3800,3,0))+OX5</f>
        <v>20</v>
      </c>
      <c r="PF5" s="152">
        <f t="shared" ref="PF5:PF33" si="273">IF(ISERROR(VLOOKUP(CONCATENATE($KN5,PD$2),$N$2001:$Q$3800,4,0)),0,VLOOKUP(CONCATENATE($KN5,PD$2),$N$2001:$Q$3800,4,0))+OY5</f>
        <v>21</v>
      </c>
      <c r="PG5" s="28">
        <f t="shared" ref="PG5:PG33" si="274">IF($KN5=0,-10000000000,1000000000000+PD5*100000000+(PE5-PF5)*10000+$KL5+PE5)</f>
        <v>1002799990020.29</v>
      </c>
      <c r="PH5" s="29"/>
      <c r="PI5" s="28"/>
      <c r="PJ5" s="29">
        <f>RANK(PG5,PG$4:PG$11)</f>
        <v>2</v>
      </c>
      <c r="PK5" s="152">
        <f t="shared" ref="PK5:PK33" si="275">IF(ISERROR(VLOOKUP(CONCATENATE($KN5,PK$2),$N$2001:$Q$3800,2,0)),0,VLOOKUP(CONCATENATE($KN5,PK$2),$N$2001:$Q$3800,2,0))+PD5</f>
        <v>31</v>
      </c>
      <c r="PL5" s="152">
        <f t="shared" ref="PL5:PL33" si="276">IF(ISERROR(VLOOKUP(CONCATENATE($KN5,PK$2),$N$2001:$Q$3800,3,0)),0,VLOOKUP(CONCATENATE($KN5,PK$2),$N$2001:$Q$3800,3,0))+PE5</f>
        <v>21</v>
      </c>
      <c r="PM5" s="152">
        <f t="shared" ref="PM5:PM33" si="277">IF(ISERROR(VLOOKUP(CONCATENATE($KN5,PK$2),$N$2001:$Q$3800,4,0)),0,VLOOKUP(CONCATENATE($KN5,PK$2),$N$2001:$Q$3800,4,0))+PF5</f>
        <v>21</v>
      </c>
      <c r="PN5" s="28">
        <f t="shared" ref="PN5:PN33" si="278">IF($KN5=0,-10000000000,1000000000000+PK5*100000000+(PL5-PM5)*10000+$KL5+PL5)</f>
        <v>1003100000021.29</v>
      </c>
      <c r="PO5" s="29"/>
      <c r="PP5" s="28"/>
      <c r="PQ5" s="29">
        <f>RANK(PN5,PN$4:PN$11)</f>
        <v>2</v>
      </c>
      <c r="PR5" s="152">
        <f t="shared" ref="PR5:PR33" si="279">IF(ISERROR(VLOOKUP(CONCATENATE($KN5,PR$2),$N$2001:$Q$3800,2,0)),0,VLOOKUP(CONCATENATE($KN5,PR$2),$N$2001:$Q$3800,2,0))+PK5</f>
        <v>31</v>
      </c>
      <c r="PS5" s="152">
        <f t="shared" ref="PS5:PS33" si="280">IF(ISERROR(VLOOKUP(CONCATENATE($KN5,PR$2),$N$2001:$Q$3800,3,0)),0,VLOOKUP(CONCATENATE($KN5,PR$2),$N$2001:$Q$3800,3,0))+PL5</f>
        <v>21</v>
      </c>
      <c r="PT5" s="152">
        <f t="shared" ref="PT5:PT33" si="281">IF(ISERROR(VLOOKUP(CONCATENATE($KN5,PR$2),$N$2001:$Q$3800,4,0)),0,VLOOKUP(CONCATENATE($KN5,PR$2),$N$2001:$Q$3800,4,0))+PM5</f>
        <v>22</v>
      </c>
      <c r="PU5" s="28">
        <f t="shared" ref="PU5:PU33" si="282">IF($KN5=0,-10000000000,1000000000000+PR5*100000000+(PS5-PT5)*10000+$KL5+PS5)</f>
        <v>1003099990021.29</v>
      </c>
      <c r="PV5" s="29"/>
      <c r="PW5" s="28"/>
      <c r="PX5" s="29">
        <f>RANK(PU5,PU$4:PU$11)</f>
        <v>2</v>
      </c>
      <c r="PY5" s="152">
        <f t="shared" ref="PY5:PY33" si="283">IF(ISERROR(VLOOKUP(CONCATENATE($KN5,PY$2),$N$2001:$Q$3800,2,0)),0,VLOOKUP(CONCATENATE($KN5,PY$2),$N$2001:$Q$3800,2,0))+PR5</f>
        <v>31</v>
      </c>
      <c r="PZ5" s="152">
        <f t="shared" ref="PZ5:PZ33" si="284">IF(ISERROR(VLOOKUP(CONCATENATE($KN5,PY$2),$N$2001:$Q$3800,3,0)),0,VLOOKUP(CONCATENATE($KN5,PY$2),$N$2001:$Q$3800,3,0))+PS5</f>
        <v>21</v>
      </c>
      <c r="QA5" s="152">
        <f t="shared" ref="QA5:QA33" si="285">IF(ISERROR(VLOOKUP(CONCATENATE($KN5,PY$2),$N$2001:$Q$3800,4,0)),0,VLOOKUP(CONCATENATE($KN5,PY$2),$N$2001:$Q$3800,4,0))+PT5</f>
        <v>22</v>
      </c>
      <c r="QB5" s="28">
        <f t="shared" ref="QB5:QB33" si="286">IF($KN5=0,-10000000000,1000000000000+PY5*100000000+(PZ5-QA5)*10000+$KL5+PZ5)</f>
        <v>1003099990021.29</v>
      </c>
      <c r="QC5" s="29"/>
      <c r="QD5" s="28"/>
      <c r="QE5" s="29">
        <f>RANK(QB5,QB$4:QB$11)</f>
        <v>2</v>
      </c>
      <c r="QF5" s="152">
        <f t="shared" ref="QF5:QF33" si="287">IF(ISERROR(VLOOKUP(CONCATENATE($KN5,QF$2),$N$2001:$Q$3800,2,0)),0,VLOOKUP(CONCATENATE($KN5,QF$2),$N$2001:$Q$3800,2,0))+PY5</f>
        <v>31</v>
      </c>
      <c r="QG5" s="152">
        <f t="shared" ref="QG5:QG33" si="288">IF(ISERROR(VLOOKUP(CONCATENATE($KN5,QF$2),$N$2001:$Q$3800,3,0)),0,VLOOKUP(CONCATENATE($KN5,QF$2),$N$2001:$Q$3800,3,0))+PZ5</f>
        <v>21</v>
      </c>
      <c r="QH5" s="152">
        <f t="shared" ref="QH5:QH33" si="289">IF(ISERROR(VLOOKUP(CONCATENATE($KN5,QF$2),$N$2001:$Q$3800,4,0)),0,VLOOKUP(CONCATENATE($KN5,QF$2),$N$2001:$Q$3800,4,0))+QA5</f>
        <v>22</v>
      </c>
      <c r="QI5" s="28">
        <f t="shared" ref="QI5:QI33" si="290">IF($KN5=0,-10000000000,1000000000000+QF5*100000000+(QG5-QH5)*10000+$KL5+QG5)</f>
        <v>1003099990021.29</v>
      </c>
      <c r="QJ5" s="29"/>
      <c r="QK5" s="28"/>
      <c r="QL5" s="29">
        <f>RANK(QI5,QI$4:QI$11)</f>
        <v>2</v>
      </c>
      <c r="QM5" s="152">
        <f t="shared" ref="QM5:QM33" si="291">IF(ISERROR(VLOOKUP(CONCATENATE($KN5,QM$2),$N$2001:$Q$3800,2,0)),0,VLOOKUP(CONCATENATE($KN5,QM$2),$N$2001:$Q$3800,2,0))+QF5</f>
        <v>31</v>
      </c>
      <c r="QN5" s="152">
        <f t="shared" ref="QN5:QN33" si="292">IF(ISERROR(VLOOKUP(CONCATENATE($KN5,QM$2),$N$2001:$Q$3800,3,0)),0,VLOOKUP(CONCATENATE($KN5,QM$2),$N$2001:$Q$3800,3,0))+QG5</f>
        <v>21</v>
      </c>
      <c r="QO5" s="152">
        <f t="shared" ref="QO5:QO33" si="293">IF(ISERROR(VLOOKUP(CONCATENATE($KN5,QM$2),$N$2001:$Q$3800,4,0)),0,VLOOKUP(CONCATENATE($KN5,QM$2),$N$2001:$Q$3800,4,0))+QH5</f>
        <v>22</v>
      </c>
      <c r="QP5" s="28">
        <f t="shared" ref="QP5:QP33" si="294">IF($KN5=0,-10000000000,1000000000000+QM5*100000000+(QN5-QO5)*10000+$KL5+QN5)</f>
        <v>1003099990021.29</v>
      </c>
      <c r="QQ5" s="29"/>
      <c r="QR5" s="28"/>
      <c r="QS5" s="29">
        <f>RANK(QP5,QP$4:QP$11)</f>
        <v>2</v>
      </c>
      <c r="QT5" s="152">
        <f t="shared" ref="QT5:QT33" si="295">IF(ISERROR(VLOOKUP(CONCATENATE($KN5,QT$2),$N$2001:$Q$3800,2,0)),0,VLOOKUP(CONCATENATE($KN5,QT$2),$N$2001:$Q$3800,2,0))+QM5</f>
        <v>31</v>
      </c>
      <c r="QU5" s="152">
        <f t="shared" ref="QU5:QU33" si="296">IF(ISERROR(VLOOKUP(CONCATENATE($KN5,QT$2),$N$2001:$Q$3800,3,0)),0,VLOOKUP(CONCATENATE($KN5,QT$2),$N$2001:$Q$3800,3,0))+QN5</f>
        <v>21</v>
      </c>
      <c r="QV5" s="152">
        <f t="shared" ref="QV5:QV33" si="297">IF(ISERROR(VLOOKUP(CONCATENATE($KN5,QT$2),$N$2001:$Q$3800,4,0)),0,VLOOKUP(CONCATENATE($KN5,QT$2),$N$2001:$Q$3800,4,0))+QO5</f>
        <v>22</v>
      </c>
      <c r="QW5" s="28">
        <f t="shared" ref="QW5:QW33" si="298">IF($KN5=0,-10000000000,1000000000000+QT5*100000000+(QU5-QV5)*10000+$KL5+QU5)</f>
        <v>1003099990021.29</v>
      </c>
      <c r="QX5" s="29"/>
      <c r="QY5" s="28"/>
      <c r="QZ5" s="29">
        <f>RANK(QW5,QW$4:QW$11)</f>
        <v>2</v>
      </c>
      <c r="RA5" s="152">
        <f t="shared" ref="RA5:RA33" si="299">IF(ISERROR(VLOOKUP(CONCATENATE($KN5,RA$2),$N$2001:$Q$3800,2,0)),0,VLOOKUP(CONCATENATE($KN5,RA$2),$N$2001:$Q$3800,2,0))+QT5</f>
        <v>31</v>
      </c>
      <c r="RB5" s="152">
        <f t="shared" ref="RB5:RB33" si="300">IF(ISERROR(VLOOKUP(CONCATENATE($KN5,RA$2),$N$2001:$Q$3800,3,0)),0,VLOOKUP(CONCATENATE($KN5,RA$2),$N$2001:$Q$3800,3,0))+QU5</f>
        <v>21</v>
      </c>
      <c r="RC5" s="152">
        <f t="shared" ref="RC5:RC33" si="301">IF(ISERROR(VLOOKUP(CONCATENATE($KN5,RA$2),$N$2001:$Q$3800,4,0)),0,VLOOKUP(CONCATENATE($KN5,RA$2),$N$2001:$Q$3800,4,0))+QV5</f>
        <v>22</v>
      </c>
      <c r="RD5" s="28">
        <f t="shared" ref="RD5:RD33" si="302">IF($KN5=0,-10000000000,1000000000000+RA5*100000000+(RB5-RC5)*10000+$KL5+RB5)</f>
        <v>1003099990021.29</v>
      </c>
      <c r="RE5" s="29"/>
      <c r="RF5" s="28"/>
      <c r="RG5" s="29">
        <f>RANK(RD5,RD$4:RD$11)</f>
        <v>2</v>
      </c>
      <c r="RH5" s="152">
        <f t="shared" ref="RH5:RH33" si="303">IF(ISERROR(VLOOKUP(CONCATENATE($KN5,RH$2),$N$2001:$Q$3800,2,0)),0,VLOOKUP(CONCATENATE($KN5,RH$2),$N$2001:$Q$3800,2,0))+RA5</f>
        <v>31</v>
      </c>
      <c r="RI5" s="152">
        <f t="shared" ref="RI5:RI33" si="304">IF(ISERROR(VLOOKUP(CONCATENATE($KN5,RH$2),$N$2001:$Q$3800,3,0)),0,VLOOKUP(CONCATENATE($KN5,RH$2),$N$2001:$Q$3800,3,0))+RB5</f>
        <v>21</v>
      </c>
      <c r="RJ5" s="152">
        <f t="shared" ref="RJ5:RJ33" si="305">IF(ISERROR(VLOOKUP(CONCATENATE($KN5,RH$2),$N$2001:$Q$3800,4,0)),0,VLOOKUP(CONCATENATE($KN5,RH$2),$N$2001:$Q$3800,4,0))+RC5</f>
        <v>22</v>
      </c>
      <c r="RK5" s="28">
        <f t="shared" ref="RK5:RK33" si="306">IF($KN5=0,-10000000000,1000000000000+RH5*100000000+(RI5-RJ5)*10000+$KL5+RI5)</f>
        <v>1003099990021.29</v>
      </c>
      <c r="RL5" s="29"/>
      <c r="RM5" s="28"/>
      <c r="RN5" s="29">
        <f>RANK(RK5,RK$4:RK$11)</f>
        <v>2</v>
      </c>
      <c r="RO5" s="152">
        <f t="shared" ref="RO5:RO33" si="307">IF(ISERROR(VLOOKUP(CONCATENATE($KN5,RO$2),$N$2001:$Q$3800,2,0)),0,VLOOKUP(CONCATENATE($KN5,RO$2),$N$2001:$Q$3800,2,0))+RH5</f>
        <v>31</v>
      </c>
      <c r="RP5" s="152">
        <f t="shared" ref="RP5:RP33" si="308">IF(ISERROR(VLOOKUP(CONCATENATE($KN5,RO$2),$N$2001:$Q$3800,3,0)),0,VLOOKUP(CONCATENATE($KN5,RO$2),$N$2001:$Q$3800,3,0))+RI5</f>
        <v>21</v>
      </c>
      <c r="RQ5" s="152">
        <f t="shared" ref="RQ5:RQ33" si="309">IF(ISERROR(VLOOKUP(CONCATENATE($KN5,RO$2),$N$2001:$Q$3800,4,0)),0,VLOOKUP(CONCATENATE($KN5,RO$2),$N$2001:$Q$3800,4,0))+RJ5</f>
        <v>22</v>
      </c>
      <c r="RR5" s="28">
        <f t="shared" ref="RR5:RR33" si="310">IF($KN5=0,-10000000000,1000000000000+RO5*100000000+(RP5-RQ5)*10000+$KL5+RP5)</f>
        <v>1003099990021.29</v>
      </c>
      <c r="RS5" s="29"/>
      <c r="RT5" s="28"/>
      <c r="RU5" s="29">
        <f>RANK(RR5,RR$4:RR$11)</f>
        <v>2</v>
      </c>
      <c r="RV5" s="152">
        <f t="shared" ref="RV5:RV33" si="311">IF(ISERROR(VLOOKUP(CONCATENATE($KN5,RV$2),$N$2001:$Q$3800,2,0)),0,VLOOKUP(CONCATENATE($KN5,RV$2),$N$2001:$Q$3800,2,0))+RO5</f>
        <v>31</v>
      </c>
      <c r="RW5" s="152">
        <f t="shared" ref="RW5:RW33" si="312">IF(ISERROR(VLOOKUP(CONCATENATE($KN5,RV$2),$N$2001:$Q$3800,3,0)),0,VLOOKUP(CONCATENATE($KN5,RV$2),$N$2001:$Q$3800,3,0))+RP5</f>
        <v>21</v>
      </c>
      <c r="RX5" s="152">
        <f t="shared" ref="RX5:RX33" si="313">IF(ISERROR(VLOOKUP(CONCATENATE($KN5,RV$2),$N$2001:$Q$3800,4,0)),0,VLOOKUP(CONCATENATE($KN5,RV$2),$N$2001:$Q$3800,4,0))+RQ5</f>
        <v>22</v>
      </c>
      <c r="RY5" s="28">
        <f t="shared" ref="RY5:RY33" si="314">IF($KN5=0,-10000000000,1000000000000+RV5*100000000+(RW5-RX5)*10000+$KL5+RW5)</f>
        <v>1003099990021.29</v>
      </c>
      <c r="RZ5" s="29"/>
      <c r="SA5" s="28"/>
      <c r="SB5" s="29">
        <f>RANK(RY5,RY$4:RY$11)</f>
        <v>2</v>
      </c>
      <c r="SC5" s="152">
        <f t="shared" ref="SC5:SC33" si="315">IF(ISERROR(VLOOKUP(CONCATENATE($KN5,SC$2),$N$2001:$Q$3800,2,0)),0,VLOOKUP(CONCATENATE($KN5,SC$2),$N$2001:$Q$3800,2,0))+RV5</f>
        <v>31</v>
      </c>
      <c r="SD5" s="152">
        <f t="shared" ref="SD5:SD33" si="316">IF(ISERROR(VLOOKUP(CONCATENATE($KN5,SC$2),$N$2001:$Q$3800,3,0)),0,VLOOKUP(CONCATENATE($KN5,SC$2),$N$2001:$Q$3800,3,0))+RW5</f>
        <v>21</v>
      </c>
      <c r="SE5" s="152">
        <f t="shared" ref="SE5:SE33" si="317">IF(ISERROR(VLOOKUP(CONCATENATE($KN5,SC$2),$N$2001:$Q$3800,4,0)),0,VLOOKUP(CONCATENATE($KN5,SC$2),$N$2001:$Q$3800,4,0))+RX5</f>
        <v>22</v>
      </c>
      <c r="SF5" s="28">
        <f t="shared" ref="SF5:SF33" si="318">IF($KN5=0,-10000000000,1000000000000+SC5*100000000+(SD5-SE5)*10000+$KL5+SD5)</f>
        <v>1003099990021.29</v>
      </c>
      <c r="SG5" s="29"/>
      <c r="SH5" s="28"/>
      <c r="SI5" s="29">
        <f>RANK(SF5,SF$4:SF$11)</f>
        <v>2</v>
      </c>
      <c r="SJ5" s="152">
        <f t="shared" ref="SJ5:SJ33" si="319">IF(ISERROR(VLOOKUP(CONCATENATE($KN5,SJ$2),$N$2001:$Q$3800,2,0)),0,VLOOKUP(CONCATENATE($KN5,SJ$2),$N$2001:$Q$3800,2,0))+SC5</f>
        <v>31</v>
      </c>
      <c r="SK5" s="152">
        <f t="shared" ref="SK5:SK33" si="320">IF(ISERROR(VLOOKUP(CONCATENATE($KN5,SJ$2),$N$2001:$Q$3800,3,0)),0,VLOOKUP(CONCATENATE($KN5,SJ$2),$N$2001:$Q$3800,3,0))+SD5</f>
        <v>21</v>
      </c>
      <c r="SL5" s="152">
        <f t="shared" ref="SL5:SL33" si="321">IF(ISERROR(VLOOKUP(CONCATENATE($KN5,SJ$2),$N$2001:$Q$3800,4,0)),0,VLOOKUP(CONCATENATE($KN5,SJ$2),$N$2001:$Q$3800,4,0))+SE5</f>
        <v>22</v>
      </c>
      <c r="SM5" s="28">
        <f t="shared" ref="SM5:SM33" si="322">IF($KN5=0,-10000000000,1000000000000+SJ5*100000000+(SK5-SL5)*10000+$KL5+SK5)</f>
        <v>1003099990021.29</v>
      </c>
      <c r="SN5" s="29"/>
      <c r="SO5" s="28"/>
      <c r="SP5" s="29">
        <f>RANK(SM5,SM$4:SM$11)</f>
        <v>2</v>
      </c>
      <c r="SQ5" s="152">
        <f t="shared" ref="SQ5:SQ33" si="323">IF(ISERROR(VLOOKUP(CONCATENATE($KN5,SQ$2),$N$2001:$Q$3800,2,0)),0,VLOOKUP(CONCATENATE($KN5,SQ$2),$N$2001:$Q$3800,2,0))+SJ5</f>
        <v>31</v>
      </c>
      <c r="SR5" s="152">
        <f t="shared" ref="SR5:SR33" si="324">IF(ISERROR(VLOOKUP(CONCATENATE($KN5,SQ$2),$N$2001:$Q$3800,3,0)),0,VLOOKUP(CONCATENATE($KN5,SQ$2),$N$2001:$Q$3800,3,0))+SK5</f>
        <v>21</v>
      </c>
      <c r="SS5" s="152">
        <f t="shared" ref="SS5:SS33" si="325">IF(ISERROR(VLOOKUP(CONCATENATE($KN5,SQ$2),$N$2001:$Q$3800,4,0)),0,VLOOKUP(CONCATENATE($KN5,SQ$2),$N$2001:$Q$3800,4,0))+SL5</f>
        <v>22</v>
      </c>
      <c r="ST5" s="28">
        <f t="shared" ref="ST5:ST33" si="326">IF($KN5=0,-10000000000,1000000000000+SQ5*100000000+(SR5-SS5)*10000+$KL5+SR5)</f>
        <v>1003099990021.29</v>
      </c>
      <c r="SU5" s="29"/>
      <c r="SV5" s="28"/>
      <c r="SW5" s="29">
        <f>RANK(ST5,ST$4:ST$11)</f>
        <v>2</v>
      </c>
      <c r="SX5" s="152">
        <f t="shared" ref="SX5:SX33" si="327">IF(ISERROR(VLOOKUP(CONCATENATE($KN5,SX$2),$N$2001:$Q$3800,2,0)),0,VLOOKUP(CONCATENATE($KN5,SX$2),$N$2001:$Q$3800,2,0))+SQ5</f>
        <v>31</v>
      </c>
      <c r="SY5" s="152">
        <f t="shared" ref="SY5:SY33" si="328">IF(ISERROR(VLOOKUP(CONCATENATE($KN5,SX$2),$N$2001:$Q$3800,3,0)),0,VLOOKUP(CONCATENATE($KN5,SX$2),$N$2001:$Q$3800,3,0))+SR5</f>
        <v>21</v>
      </c>
      <c r="SZ5" s="152">
        <f t="shared" ref="SZ5:SZ33" si="329">IF(ISERROR(VLOOKUP(CONCATENATE($KN5,SX$2),$N$2001:$Q$3800,4,0)),0,VLOOKUP(CONCATENATE($KN5,SX$2),$N$2001:$Q$3800,4,0))+SS5</f>
        <v>22</v>
      </c>
      <c r="TA5" s="28">
        <f t="shared" ref="TA5:TA33" si="330">IF($KN5=0,-10000000000,1000000000000+SX5*100000000+(SY5-SZ5)*10000+$KL5+SY5)</f>
        <v>1003099990021.29</v>
      </c>
      <c r="TB5" s="29"/>
      <c r="TC5" s="28"/>
      <c r="TD5" s="29">
        <f>RANK(TA5,TA$4:TA$11)</f>
        <v>2</v>
      </c>
      <c r="TE5" s="152">
        <f t="shared" ref="TE5:TE33" si="331">IF(ISERROR(VLOOKUP(CONCATENATE($KN5,TE$2),$N$2001:$Q$3800,2,0)),0,VLOOKUP(CONCATENATE($KN5,TE$2),$N$2001:$Q$3800,2,0))+SX5</f>
        <v>31</v>
      </c>
      <c r="TF5" s="152">
        <f t="shared" ref="TF5:TF33" si="332">IF(ISERROR(VLOOKUP(CONCATENATE($KN5,TE$2),$N$2001:$Q$3800,3,0)),0,VLOOKUP(CONCATENATE($KN5,TE$2),$N$2001:$Q$3800,3,0))+SY5</f>
        <v>21</v>
      </c>
      <c r="TG5" s="152">
        <f t="shared" ref="TG5:TG33" si="333">IF(ISERROR(VLOOKUP(CONCATENATE($KN5,TE$2),$N$2001:$Q$3800,4,0)),0,VLOOKUP(CONCATENATE($KN5,TE$2),$N$2001:$Q$3800,4,0))+SZ5</f>
        <v>22</v>
      </c>
      <c r="TH5" s="28">
        <f t="shared" ref="TH5:TH33" si="334">IF($KN5=0,-10000000000,1000000000000+TE5*100000000+(TF5-TG5)*10000+$KL5+TF5)</f>
        <v>1003099990021.29</v>
      </c>
      <c r="TI5" s="29"/>
      <c r="TJ5" s="28"/>
      <c r="TK5" s="29">
        <f>RANK(TH5,TH$4:TH$11)</f>
        <v>2</v>
      </c>
      <c r="TL5" s="152">
        <f t="shared" ref="TL5:TL33" si="335">IF(ISERROR(VLOOKUP(CONCATENATE($KN5,TL$2),$N$2001:$Q$3800,2,0)),0,VLOOKUP(CONCATENATE($KN5,TL$2),$N$2001:$Q$3800,2,0))+TE5</f>
        <v>31</v>
      </c>
      <c r="TM5" s="152">
        <f t="shared" ref="TM5:TM33" si="336">IF(ISERROR(VLOOKUP(CONCATENATE($KN5,TL$2),$N$2001:$Q$3800,3,0)),0,VLOOKUP(CONCATENATE($KN5,TL$2),$N$2001:$Q$3800,3,0))+TF5</f>
        <v>21</v>
      </c>
      <c r="TN5" s="152">
        <f t="shared" ref="TN5:TN33" si="337">IF(ISERROR(VLOOKUP(CONCATENATE($KN5,TL$2),$N$2001:$Q$3800,4,0)),0,VLOOKUP(CONCATENATE($KN5,TL$2),$N$2001:$Q$3800,4,0))+TG5</f>
        <v>22</v>
      </c>
      <c r="TO5" s="28">
        <f t="shared" ref="TO5:TO33" si="338">IF($KN5=0,-10000000000,1000000000000+TL5*100000000+(TM5-TN5)*10000+$KL5+TM5)</f>
        <v>1003099990021.29</v>
      </c>
      <c r="TP5" s="29"/>
      <c r="TQ5" s="28"/>
      <c r="TR5" s="29">
        <f>RANK(TO5,TO$4:TO$11)</f>
        <v>2</v>
      </c>
      <c r="TS5" s="152">
        <f t="shared" ref="TS5:TS33" si="339">IF(ISERROR(VLOOKUP(CONCATENATE($KN5,TS$2),$N$2001:$Q$3800,2,0)),0,VLOOKUP(CONCATENATE($KN5,TS$2),$N$2001:$Q$3800,2,0))+TL5</f>
        <v>31</v>
      </c>
      <c r="TT5" s="152">
        <f t="shared" ref="TT5:TT33" si="340">IF(ISERROR(VLOOKUP(CONCATENATE($KN5,TS$2),$N$2001:$Q$3800,3,0)),0,VLOOKUP(CONCATENATE($KN5,TS$2),$N$2001:$Q$3800,3,0))+TM5</f>
        <v>21</v>
      </c>
      <c r="TU5" s="152">
        <f t="shared" ref="TU5:TU33" si="341">IF(ISERROR(VLOOKUP(CONCATENATE($KN5,TS$2),$N$2001:$Q$3800,4,0)),0,VLOOKUP(CONCATENATE($KN5,TS$2),$N$2001:$Q$3800,4,0))+TN5</f>
        <v>22</v>
      </c>
      <c r="TV5" s="28">
        <f t="shared" ref="TV5:TV33" si="342">IF($KN5=0,-10000000000,1000000000000+TS5*100000000+(TT5-TU5)*10000+$KL5+TT5)</f>
        <v>1003099990021.29</v>
      </c>
      <c r="TW5" s="29"/>
      <c r="TX5" s="28"/>
      <c r="TY5" s="29">
        <f>RANK(TV5,TV$4:TV$11)</f>
        <v>2</v>
      </c>
      <c r="TZ5" s="152">
        <f t="shared" ref="TZ5:TZ33" si="343">IF(ISERROR(VLOOKUP(CONCATENATE($KN5,TZ$2),$N$2001:$Q$3800,2,0)),0,VLOOKUP(CONCATENATE($KN5,TZ$2),$N$2001:$Q$3800,2,0))+TS5</f>
        <v>31</v>
      </c>
      <c r="UA5" s="152">
        <f t="shared" ref="UA5:UA33" si="344">IF(ISERROR(VLOOKUP(CONCATENATE($KN5,TZ$2),$N$2001:$Q$3800,3,0)),0,VLOOKUP(CONCATENATE($KN5,TZ$2),$N$2001:$Q$3800,3,0))+TT5</f>
        <v>21</v>
      </c>
      <c r="UB5" s="152">
        <f t="shared" ref="UB5:UB33" si="345">IF(ISERROR(VLOOKUP(CONCATENATE($KN5,TZ$2),$N$2001:$Q$3800,4,0)),0,VLOOKUP(CONCATENATE($KN5,TZ$2),$N$2001:$Q$3800,4,0))+TU5</f>
        <v>22</v>
      </c>
      <c r="UC5" s="28">
        <f t="shared" ref="UC5:UC33" si="346">IF($KN5=0,-10000000000,1000000000000+TZ5*100000000+(UA5-UB5)*10000+$KL5+UA5)</f>
        <v>1003099990021.29</v>
      </c>
      <c r="UD5" s="29"/>
      <c r="UE5" s="28"/>
      <c r="UF5" s="29">
        <f>RANK(UC5,UC$4:UC$11)</f>
        <v>2</v>
      </c>
      <c r="UG5" s="152">
        <f t="shared" ref="UG5:UG33" si="347">IF(ISERROR(VLOOKUP(CONCATENATE($KN5,UG$2),$N$2001:$Q$3800,2,0)),0,VLOOKUP(CONCATENATE($KN5,UG$2),$N$2001:$Q$3800,2,0))+TZ5</f>
        <v>31</v>
      </c>
      <c r="UH5" s="152">
        <f t="shared" ref="UH5:UH33" si="348">IF(ISERROR(VLOOKUP(CONCATENATE($KN5,UG$2),$N$2001:$Q$3800,3,0)),0,VLOOKUP(CONCATENATE($KN5,UG$2),$N$2001:$Q$3800,3,0))+UA5</f>
        <v>21</v>
      </c>
      <c r="UI5" s="152">
        <f t="shared" ref="UI5:UI33" si="349">IF(ISERROR(VLOOKUP(CONCATENATE($KN5,UG$2),$N$2001:$Q$3800,4,0)),0,VLOOKUP(CONCATENATE($KN5,UG$2),$N$2001:$Q$3800,4,0))+UB5</f>
        <v>22</v>
      </c>
      <c r="UJ5" s="28">
        <f t="shared" ref="UJ5:UJ33" si="350">IF($KN5=0,-10000000000,1000000000000+UG5*100000000+(UH5-UI5)*10000+$KL5+UH5)</f>
        <v>1003099990021.29</v>
      </c>
      <c r="UK5" s="29"/>
      <c r="UL5" s="28"/>
      <c r="UM5" s="29">
        <f>RANK(UJ5,UJ$4:UJ$11)</f>
        <v>2</v>
      </c>
      <c r="UN5" s="152">
        <f t="shared" ref="UN5:UN33" si="351">IF(ISERROR(VLOOKUP(CONCATENATE($KN5,UN$2),$N$2001:$Q$3800,2,0)),0,VLOOKUP(CONCATENATE($KN5,UN$2),$N$2001:$Q$3800,2,0))+UG5</f>
        <v>31</v>
      </c>
      <c r="UO5" s="152">
        <f t="shared" ref="UO5:UO33" si="352">IF(ISERROR(VLOOKUP(CONCATENATE($KN5,UN$2),$N$2001:$Q$3800,3,0)),0,VLOOKUP(CONCATENATE($KN5,UN$2),$N$2001:$Q$3800,3,0))+UH5</f>
        <v>21</v>
      </c>
      <c r="UP5" s="152">
        <f t="shared" ref="UP5:UP33" si="353">IF(ISERROR(VLOOKUP(CONCATENATE($KN5,UN$2),$N$2001:$Q$3800,4,0)),0,VLOOKUP(CONCATENATE($KN5,UN$2),$N$2001:$Q$3800,4,0))+UI5</f>
        <v>22</v>
      </c>
      <c r="UQ5" s="28">
        <f t="shared" ref="UQ5:UQ33" si="354">IF($KN5=0,-10000000000,1000000000000+UN5*100000000+(UO5-UP5)*10000+$KL5+UO5)</f>
        <v>1003099990021.29</v>
      </c>
      <c r="UR5" s="29"/>
      <c r="US5" s="28"/>
      <c r="UT5" s="29">
        <f>RANK(UQ5,UQ$4:UQ$11)</f>
        <v>2</v>
      </c>
      <c r="UU5" s="129"/>
      <c r="UV5" s="129" t="str">
        <f t="shared" ref="UV5:UV33" si="355">KN5</f>
        <v>New York Red Bulls</v>
      </c>
      <c r="UW5" s="129">
        <f t="shared" ref="UW5:UW33" si="356">KU5</f>
        <v>3</v>
      </c>
      <c r="UX5" s="129">
        <f t="shared" ref="UX5:VM20" ca="1" si="357">OFFSET($KU5,0,UX$3)</f>
        <v>2</v>
      </c>
      <c r="UY5" s="129">
        <f t="shared" ca="1" si="64"/>
        <v>4</v>
      </c>
      <c r="UZ5" s="129">
        <f t="shared" ca="1" si="64"/>
        <v>1</v>
      </c>
      <c r="VA5" s="129">
        <f t="shared" ca="1" si="64"/>
        <v>1</v>
      </c>
      <c r="VB5" s="129">
        <f t="shared" ca="1" si="64"/>
        <v>1</v>
      </c>
      <c r="VC5" s="129">
        <f t="shared" ca="1" si="64"/>
        <v>2</v>
      </c>
      <c r="VD5" s="129">
        <f t="shared" ca="1" si="64"/>
        <v>2</v>
      </c>
      <c r="VE5" s="129">
        <f t="shared" ca="1" si="64"/>
        <v>2</v>
      </c>
      <c r="VF5" s="129">
        <f t="shared" ca="1" si="64"/>
        <v>3</v>
      </c>
      <c r="VG5" s="129">
        <f t="shared" ca="1" si="64"/>
        <v>2</v>
      </c>
      <c r="VH5" s="129">
        <f t="shared" ca="1" si="64"/>
        <v>2</v>
      </c>
      <c r="VI5" s="129">
        <f t="shared" ca="1" si="64"/>
        <v>2</v>
      </c>
      <c r="VJ5" s="129">
        <f t="shared" ca="1" si="64"/>
        <v>2</v>
      </c>
      <c r="VK5" s="129">
        <f t="shared" ca="1" si="64"/>
        <v>2</v>
      </c>
      <c r="VL5" s="129">
        <f t="shared" ca="1" si="64"/>
        <v>2</v>
      </c>
      <c r="VM5" s="129">
        <f t="shared" ca="1" si="64"/>
        <v>2</v>
      </c>
      <c r="VN5" s="129">
        <f t="shared" ca="1" si="64"/>
        <v>2</v>
      </c>
      <c r="VO5" s="129">
        <f t="shared" ca="1" si="65"/>
        <v>2</v>
      </c>
      <c r="VP5" s="129">
        <f t="shared" ca="1" si="65"/>
        <v>2</v>
      </c>
      <c r="VQ5" s="129">
        <f t="shared" ca="1" si="65"/>
        <v>2</v>
      </c>
      <c r="VR5" s="129">
        <f t="shared" ca="1" si="65"/>
        <v>2</v>
      </c>
      <c r="VS5" s="129">
        <f t="shared" ca="1" si="65"/>
        <v>2</v>
      </c>
      <c r="VT5" s="129">
        <f t="shared" ca="1" si="65"/>
        <v>2</v>
      </c>
      <c r="VU5" s="129">
        <f t="shared" ca="1" si="65"/>
        <v>2</v>
      </c>
      <c r="VV5" s="129">
        <f t="shared" ca="1" si="65"/>
        <v>2</v>
      </c>
      <c r="VW5" s="129">
        <f t="shared" ca="1" si="65"/>
        <v>2</v>
      </c>
      <c r="VX5" s="129">
        <f t="shared" ca="1" si="65"/>
        <v>2</v>
      </c>
      <c r="VY5" s="129">
        <f t="shared" ca="1" si="65"/>
        <v>2</v>
      </c>
      <c r="VZ5" s="129">
        <f t="shared" ca="1" si="65"/>
        <v>2</v>
      </c>
      <c r="WA5" s="129">
        <f t="shared" ca="1" si="65"/>
        <v>2</v>
      </c>
      <c r="WB5" s="129">
        <f t="shared" ca="1" si="65"/>
        <v>2</v>
      </c>
      <c r="WC5" s="129">
        <f t="shared" ca="1" si="65"/>
        <v>2</v>
      </c>
      <c r="WD5" s="129">
        <f t="shared" ca="1" si="65"/>
        <v>2</v>
      </c>
      <c r="WE5" s="129">
        <f t="shared" ca="1" si="66"/>
        <v>2</v>
      </c>
      <c r="WF5" s="129">
        <f t="shared" ca="1" si="66"/>
        <v>2</v>
      </c>
      <c r="WG5" s="129">
        <f t="shared" ca="1" si="66"/>
        <v>2</v>
      </c>
      <c r="WH5" s="129">
        <f t="shared" ca="1" si="66"/>
        <v>2</v>
      </c>
      <c r="WK5" s="87" t="str">
        <f t="shared" ref="WK5:WK33" si="358">UV5</f>
        <v>New York Red Bulls</v>
      </c>
      <c r="WL5" s="87">
        <v>2</v>
      </c>
      <c r="WM5" s="87">
        <v>2</v>
      </c>
      <c r="WN5" s="87">
        <f t="shared" si="67"/>
        <v>3</v>
      </c>
      <c r="WO5" s="87">
        <f t="shared" ca="1" si="68"/>
        <v>2</v>
      </c>
      <c r="WP5" s="87">
        <f t="shared" ca="1" si="69"/>
        <v>4</v>
      </c>
      <c r="WQ5" s="87">
        <f t="shared" ca="1" si="70"/>
        <v>1</v>
      </c>
      <c r="WR5" s="87">
        <f t="shared" ca="1" si="71"/>
        <v>1</v>
      </c>
      <c r="WS5" s="87">
        <f t="shared" ca="1" si="72"/>
        <v>1</v>
      </c>
      <c r="WT5" s="87">
        <f t="shared" ca="1" si="73"/>
        <v>2</v>
      </c>
      <c r="WU5" s="87">
        <f t="shared" ca="1" si="74"/>
        <v>2</v>
      </c>
      <c r="WV5" s="87">
        <f t="shared" ca="1" si="75"/>
        <v>2</v>
      </c>
      <c r="WW5" s="87">
        <f t="shared" ca="1" si="76"/>
        <v>3</v>
      </c>
      <c r="WX5" s="87">
        <f t="shared" ca="1" si="77"/>
        <v>2</v>
      </c>
      <c r="WY5" s="87">
        <f t="shared" ca="1" si="78"/>
        <v>2</v>
      </c>
      <c r="WZ5" s="87">
        <f t="shared" ca="1" si="79"/>
        <v>2</v>
      </c>
      <c r="XA5" s="87">
        <f t="shared" ca="1" si="80"/>
        <v>2</v>
      </c>
      <c r="XB5" s="87">
        <f t="shared" ca="1" si="81"/>
        <v>2</v>
      </c>
      <c r="XC5" s="87">
        <f t="shared" ca="1" si="82"/>
        <v>2</v>
      </c>
      <c r="XD5" s="87">
        <f t="shared" ca="1" si="83"/>
        <v>2</v>
      </c>
      <c r="XE5" s="87">
        <f t="shared" ca="1" si="84"/>
        <v>2</v>
      </c>
      <c r="XF5" s="87">
        <f t="shared" ca="1" si="85"/>
        <v>2</v>
      </c>
      <c r="XG5" s="87">
        <f t="shared" ca="1" si="86"/>
        <v>2</v>
      </c>
      <c r="XH5" s="87" t="e">
        <f t="shared" si="87"/>
        <v>#N/A</v>
      </c>
      <c r="XI5" s="87" t="e">
        <f t="shared" si="88"/>
        <v>#N/A</v>
      </c>
      <c r="XJ5" s="87" t="e">
        <f t="shared" si="89"/>
        <v>#N/A</v>
      </c>
      <c r="XK5" s="87" t="e">
        <f t="shared" si="90"/>
        <v>#N/A</v>
      </c>
      <c r="XL5" s="87" t="e">
        <f t="shared" si="91"/>
        <v>#N/A</v>
      </c>
      <c r="XM5" s="87" t="e">
        <f t="shared" si="92"/>
        <v>#N/A</v>
      </c>
      <c r="XN5" s="87" t="e">
        <f t="shared" si="93"/>
        <v>#N/A</v>
      </c>
      <c r="XO5" s="87" t="e">
        <f t="shared" si="94"/>
        <v>#N/A</v>
      </c>
      <c r="XP5" s="87" t="e">
        <f t="shared" si="95"/>
        <v>#N/A</v>
      </c>
      <c r="XQ5" s="87" t="e">
        <f t="shared" si="96"/>
        <v>#N/A</v>
      </c>
      <c r="XR5" s="87" t="e">
        <f t="shared" si="97"/>
        <v>#N/A</v>
      </c>
      <c r="XS5" s="87" t="e">
        <f t="shared" si="98"/>
        <v>#N/A</v>
      </c>
      <c r="XT5" s="87" t="e">
        <f t="shared" si="99"/>
        <v>#N/A</v>
      </c>
      <c r="XU5" s="87" t="e">
        <f t="shared" si="100"/>
        <v>#N/A</v>
      </c>
      <c r="XV5" s="87" t="e">
        <f t="shared" si="101"/>
        <v>#N/A</v>
      </c>
      <c r="XW5" s="87" t="e">
        <f t="shared" si="102"/>
        <v>#N/A</v>
      </c>
      <c r="XX5" s="87" t="e">
        <f t="shared" si="103"/>
        <v>#N/A</v>
      </c>
      <c r="XY5" s="87" t="e">
        <f t="shared" si="104"/>
        <v>#N/A</v>
      </c>
      <c r="XZ5" s="241"/>
      <c r="YA5" s="241"/>
      <c r="YB5" s="280" t="str">
        <f>Fixture!E3</f>
        <v>Dallas</v>
      </c>
      <c r="YC5" s="163" t="str">
        <f t="shared" ref="YC5:YC8" si="359">IF(ISERROR(VLOOKUP(YB5,$E$4:$E$11,1,0)),"",YB5)</f>
        <v/>
      </c>
      <c r="YD5" s="280"/>
      <c r="YE5" s="163" t="e">
        <f>VLOOKUP($YC5,$WK$4:WL$33,YE$3+3,0)</f>
        <v>#N/A</v>
      </c>
      <c r="YF5" s="163" t="e">
        <f>VLOOKUP($YC5,$WK$4:WM$33,YF$3+3,0)</f>
        <v>#N/A</v>
      </c>
      <c r="YG5" s="163" t="e">
        <f>VLOOKUP($YC5,$WK$4:WN$33,YG$3+3,0)</f>
        <v>#N/A</v>
      </c>
      <c r="YH5" s="163" t="e">
        <f>VLOOKUP($YC5,$WK$4:WO$33,YH$3+3,0)</f>
        <v>#N/A</v>
      </c>
      <c r="YI5" s="163" t="e">
        <f>VLOOKUP($YC5,$WK$4:WP$33,YI$3+3,0)</f>
        <v>#N/A</v>
      </c>
      <c r="YJ5" s="163" t="e">
        <f>VLOOKUP($YC5,$WK$4:WQ$33,YJ$3+3,0)</f>
        <v>#N/A</v>
      </c>
      <c r="YK5" s="163" t="e">
        <f>VLOOKUP($YC5,$WK$4:WR$33,YK$3+3,0)</f>
        <v>#N/A</v>
      </c>
      <c r="YL5" s="163" t="e">
        <f>VLOOKUP($YC5,$WK$4:WS$33,YL$3+3,0)</f>
        <v>#N/A</v>
      </c>
      <c r="YM5" s="163" t="e">
        <f>VLOOKUP($YC5,$WK$4:WT$33,YM$3+3,0)</f>
        <v>#N/A</v>
      </c>
      <c r="YN5" s="163" t="e">
        <f>VLOOKUP($YC5,$WK$4:WU$33,YN$3+3,0)</f>
        <v>#N/A</v>
      </c>
      <c r="YO5" s="163" t="e">
        <f>VLOOKUP($YC5,$WK$4:WV$33,YO$3+3,0)</f>
        <v>#N/A</v>
      </c>
      <c r="YP5" s="163" t="e">
        <f>VLOOKUP($YC5,$WK$4:WW$33,YP$3+3,0)</f>
        <v>#N/A</v>
      </c>
      <c r="YQ5" s="163" t="e">
        <f>VLOOKUP($YC5,$WK$4:WX$33,YQ$3+3,0)</f>
        <v>#N/A</v>
      </c>
      <c r="YR5" s="163" t="e">
        <f>VLOOKUP($YC5,$WK$4:WY$33,YR$3+3,0)</f>
        <v>#N/A</v>
      </c>
      <c r="YS5" s="163" t="e">
        <f>VLOOKUP($YC5,$WK$4:WZ$33,YS$3+3,0)</f>
        <v>#N/A</v>
      </c>
      <c r="YT5" s="163" t="e">
        <f>VLOOKUP($YC5,$WK$4:XA$33,YT$3+3,0)</f>
        <v>#N/A</v>
      </c>
      <c r="YU5" s="163" t="e">
        <f>VLOOKUP($YC5,$WK$4:XB$33,YU$3+3,0)</f>
        <v>#N/A</v>
      </c>
      <c r="YV5" s="163" t="e">
        <f>VLOOKUP($YC5,$WK$4:XC$33,YV$3+3,0)</f>
        <v>#N/A</v>
      </c>
      <c r="YW5" s="163" t="e">
        <f>VLOOKUP($YC5,$WK$4:XD$33,YW$3+3,0)</f>
        <v>#N/A</v>
      </c>
      <c r="YX5" s="163" t="e">
        <f>VLOOKUP($YC5,$WK$4:XE$33,YX$3+3,0)</f>
        <v>#N/A</v>
      </c>
      <c r="YY5" s="163" t="e">
        <f>VLOOKUP($YC5,$WK$4:XF$33,YY$3+3,0)</f>
        <v>#N/A</v>
      </c>
      <c r="YZ5" s="163" t="e">
        <f>VLOOKUP($YC5,$WK$4:XG$33,YZ$3+3,0)</f>
        <v>#N/A</v>
      </c>
      <c r="ZA5" s="163" t="e">
        <f>VLOOKUP($YC5,$WK$4:XH$33,ZA$3+3,0)</f>
        <v>#N/A</v>
      </c>
      <c r="ZB5" s="163" t="e">
        <f>VLOOKUP($YC5,$WK$4:XI$33,ZB$3+3,0)</f>
        <v>#N/A</v>
      </c>
      <c r="ZC5" s="163" t="e">
        <f>VLOOKUP($YC5,$WK$4:XJ$33,ZC$3+3,0)</f>
        <v>#N/A</v>
      </c>
      <c r="ZD5" s="163" t="e">
        <f>VLOOKUP($YC5,$WK$4:XK$33,ZD$3+3,0)</f>
        <v>#N/A</v>
      </c>
      <c r="ZE5" s="163" t="e">
        <f>VLOOKUP($YC5,$WK$4:XL$33,ZE$3+3,0)</f>
        <v>#N/A</v>
      </c>
      <c r="ZF5" s="163" t="e">
        <f>VLOOKUP($YC5,$WK$4:XM$33,ZF$3+3,0)</f>
        <v>#N/A</v>
      </c>
      <c r="ZG5" s="163" t="e">
        <f>VLOOKUP($YC5,$WK$4:XN$33,ZG$3+3,0)</f>
        <v>#N/A</v>
      </c>
      <c r="ZH5" s="163" t="e">
        <f>VLOOKUP($YC5,$WK$4:XO$33,ZH$3+3,0)</f>
        <v>#N/A</v>
      </c>
      <c r="ZI5" s="163" t="e">
        <f>VLOOKUP($YC5,$WK$4:XP$33,ZI$3+3,0)</f>
        <v>#N/A</v>
      </c>
      <c r="ZJ5" s="163" t="e">
        <f>VLOOKUP($YC5,$WK$4:XQ$33,ZJ$3+3,0)</f>
        <v>#N/A</v>
      </c>
      <c r="ZK5" s="163" t="e">
        <f>VLOOKUP($YC5,$WK$4:XR$33,ZK$3+3,0)</f>
        <v>#N/A</v>
      </c>
      <c r="ZL5" s="163" t="e">
        <f>VLOOKUP($YC5,$WK$4:XS$33,ZL$3+3,0)</f>
        <v>#N/A</v>
      </c>
      <c r="ZM5" s="163" t="e">
        <f>VLOOKUP($YC5,$WK$4:XT$33,ZM$3+3,0)</f>
        <v>#N/A</v>
      </c>
      <c r="ZN5" s="163" t="e">
        <f>VLOOKUP($YC5,$WK$4:XU$33,ZN$3+3,0)</f>
        <v>#N/A</v>
      </c>
      <c r="ZO5" s="163" t="e">
        <f>VLOOKUP($YC5,$WK$4:XV$33,ZO$3+3,0)</f>
        <v>#N/A</v>
      </c>
      <c r="ZP5" s="163" t="e">
        <f>VLOOKUP($YC5,$WK$4:XW$33,ZP$3+3,0)</f>
        <v>#N/A</v>
      </c>
      <c r="ZQ5" s="163" t="e">
        <f>VLOOKUP($YC5,$WK$4:XX$33,ZQ$3+3,0)</f>
        <v>#N/A</v>
      </c>
      <c r="ZR5" s="163" t="e">
        <f>VLOOKUP($YC5,$WK$4:XY$33,ZR$3+3,0)</f>
        <v>#N/A</v>
      </c>
      <c r="ZS5" s="280"/>
      <c r="ZT5" s="280"/>
      <c r="ZU5" s="280"/>
      <c r="ZV5" s="280"/>
      <c r="ZW5" s="280"/>
      <c r="ZX5" s="280"/>
      <c r="ZY5" s="280"/>
      <c r="ZZ5" s="280"/>
      <c r="AAA5" s="280"/>
      <c r="AAB5" s="280"/>
      <c r="AAC5" s="280"/>
      <c r="AAD5" s="160"/>
      <c r="AAE5" s="160"/>
      <c r="AAF5" s="160"/>
      <c r="AAG5" s="160"/>
      <c r="AAH5" s="241"/>
      <c r="AAI5" s="241"/>
      <c r="AAJ5" s="241"/>
      <c r="AAK5" s="241"/>
      <c r="AAL5" s="241"/>
      <c r="AAM5" s="241"/>
      <c r="AAN5" s="241"/>
      <c r="AAO5" s="241"/>
      <c r="AAP5" s="241"/>
      <c r="AAQ5" s="241"/>
      <c r="AAR5" s="241"/>
      <c r="AAS5" s="241"/>
      <c r="AAT5" s="241"/>
      <c r="AAU5" s="241"/>
    </row>
    <row r="6" spans="4:723">
      <c r="D6" s="29">
        <v>3</v>
      </c>
      <c r="E6" s="31" t="s">
        <v>185</v>
      </c>
      <c r="F6" s="25">
        <f>SUMIF('ef-FT'!$C$2001:$C$3800,E6,'ef-FT'!$E$2001:$E$3800)</f>
        <v>19</v>
      </c>
      <c r="G6" s="25">
        <f>SUMIF('ef-FT'!$C$2001:$C$3800,E6,'ef-FT'!$F$2001:$F$3800)</f>
        <v>7</v>
      </c>
      <c r="H6" s="25">
        <f>SUMIF('ef-FT'!$C$2001:$C$3800,E6,'ef-FT'!$G$2001:$G$3800)</f>
        <v>5</v>
      </c>
      <c r="I6" s="25">
        <f>SUMIF('ef-FT'!$C$2001:$C$3800,E6,'ef-FT'!$H$2001:$H$3800)</f>
        <v>7</v>
      </c>
      <c r="J6" s="25">
        <f>SUMIF('ef-FT'!$C$2001:$C$3800,E6,'ef-FT'!$D$2001:$D$3800)</f>
        <v>26</v>
      </c>
      <c r="K6" s="25">
        <f>SUMIF('ef-FT'!$C$2001:$C$3800,E6,'ef-FT'!$I$2001:$I$3800)</f>
        <v>21</v>
      </c>
      <c r="L6" s="25">
        <f>SUMIF('ef-FT'!$C$2001:$C$3800,E6,'ef-FT'!$J$2001:$J$3800)</f>
        <v>21</v>
      </c>
      <c r="M6" s="25" t="str">
        <f>CONCATENATE(K6, " - ",L6)</f>
        <v>21 - 21</v>
      </c>
      <c r="N6" s="25">
        <f>K6-L6</f>
        <v>0</v>
      </c>
      <c r="O6" s="25">
        <f>SUMIF('ef-FT'!$C$2001:$C$3800,$E6,'ef-FT'!$K$2001:$K$3800)</f>
        <v>6</v>
      </c>
      <c r="P6" s="25">
        <f>SUMIF('ef-FT'!$C$2001:$C$3800,$E6,'ef-FT'!$L$2001:$L$3800)</f>
        <v>6</v>
      </c>
      <c r="Q6" s="55"/>
      <c r="R6" s="25">
        <f>SUMIF('ef-FT'!$C$2001:$C$2999,$E6,'ef-FT'!$E$2001:$E$2999)</f>
        <v>10</v>
      </c>
      <c r="S6" s="25">
        <f>SUMIF('ef-FT'!$C$2001:$C$2999,$E6,'ef-FT'!$F$2001:$F$2999)</f>
        <v>6</v>
      </c>
      <c r="T6" s="25">
        <f>SUMIF('ef-FT'!$C$2001:$C$2999,$E6,'ef-FT'!$G$2001:$G$2999)</f>
        <v>4</v>
      </c>
      <c r="U6" s="25">
        <f>SUMIF('ef-FT'!$C$2001:$C$2999,$E6,'ef-FT'!$H$2001:$H$2999)</f>
        <v>0</v>
      </c>
      <c r="V6" s="25">
        <f>SUMIF('ef-FT'!$C$2001:$C$2999,$E6,'ef-FT'!$D$2001:$D$2999)</f>
        <v>22</v>
      </c>
      <c r="W6" s="25">
        <f>SUMIF('ef-FT'!$C$2001:$C$2999,$E6,'ef-FT'!$I$2001:$I$2999)</f>
        <v>14</v>
      </c>
      <c r="X6" s="25">
        <f>SUMIF('ef-FT'!$C$2001:$C$2999,$E6,'ef-FT'!$J$2001:$J$2999)</f>
        <v>5</v>
      </c>
      <c r="Y6" s="25" t="str">
        <f t="shared" si="105"/>
        <v>14 - 5</v>
      </c>
      <c r="Z6" s="25">
        <f t="shared" si="106"/>
        <v>9</v>
      </c>
      <c r="AA6" s="25">
        <f>SUMIF('ef-FT'!$C$2001:$C$2999,$E6,'ef-FT'!$K$2001:$K$2999)</f>
        <v>2</v>
      </c>
      <c r="AB6" s="25">
        <f>SUMIF('ef-FT'!$C$2001:$C$2999,$E6,'ef-FT'!$L$2001:$L$2999)</f>
        <v>5</v>
      </c>
      <c r="AC6" s="55"/>
      <c r="AD6" s="25">
        <f>SUMIF('ef-FT'!$C$3000:$C$3800,$E6,'ef-FT'!$E$3000:$E$3800)</f>
        <v>9</v>
      </c>
      <c r="AE6" s="25">
        <f>SUMIF('ef-FT'!$C$3000:$C$3800,$E6,'ef-FT'!$F$3000:$F$3800)</f>
        <v>1</v>
      </c>
      <c r="AF6" s="25">
        <f>SUMIF('ef-FT'!$C$3000:$C$3800,$E6,'ef-FT'!$G$3000:$G$3800)</f>
        <v>1</v>
      </c>
      <c r="AG6" s="25">
        <f>SUMIF('ef-FT'!$C$3000:$C$3800,$E6,'ef-FT'!$H$3000:$H$3800)</f>
        <v>7</v>
      </c>
      <c r="AH6" s="25">
        <f>SUMIF('ef-FT'!$C$3000:$C$3800,$E6,'ef-FT'!$D$3000:$D$3800)</f>
        <v>4</v>
      </c>
      <c r="AI6" s="25">
        <f>SUMIF('ef-FT'!$C$3000:$C$3800,$E6,'ef-FT'!$I$3000:$I$3800)</f>
        <v>7</v>
      </c>
      <c r="AJ6" s="25">
        <f>SUMIF('ef-FT'!$C$3000:$C$3800,$E6,'ef-FT'!$J$3000:$J$3800)</f>
        <v>16</v>
      </c>
      <c r="AK6" s="25" t="str">
        <f t="shared" si="107"/>
        <v>7 - 16</v>
      </c>
      <c r="AL6" s="25">
        <f t="shared" si="108"/>
        <v>-9</v>
      </c>
      <c r="AM6" s="25">
        <f>SUMIF('ef-FT'!$C$3000:$C$3800,$E6,'ef-FT'!$K$3000:$K$3800)</f>
        <v>4</v>
      </c>
      <c r="AN6" s="25">
        <f>SUMIF('ef-FT'!$C$3000:$C$3800,$E6,'ef-FT'!$L$3000:$L$3800)</f>
        <v>1</v>
      </c>
      <c r="AO6" s="26"/>
      <c r="AP6" s="27">
        <v>0.28000000000000003</v>
      </c>
      <c r="AQ6" s="28">
        <f t="shared" si="1"/>
        <v>1002600000021.28</v>
      </c>
      <c r="AR6" s="29">
        <v>3</v>
      </c>
      <c r="AS6" s="28">
        <f t="shared" si="109"/>
        <v>1002600000021.28</v>
      </c>
      <c r="AT6" s="29">
        <f t="shared" si="110"/>
        <v>3</v>
      </c>
      <c r="AU6" s="30" t="str">
        <f t="shared" si="111"/>
        <v>Toronto FC</v>
      </c>
      <c r="AV6" s="29">
        <f t="shared" si="112"/>
        <v>19</v>
      </c>
      <c r="AW6" s="29">
        <f t="shared" si="113"/>
        <v>7</v>
      </c>
      <c r="AX6" s="29">
        <f t="shared" si="114"/>
        <v>5</v>
      </c>
      <c r="AY6" s="29">
        <f t="shared" si="115"/>
        <v>7</v>
      </c>
      <c r="AZ6" s="29">
        <f t="shared" si="116"/>
        <v>26</v>
      </c>
      <c r="BA6" s="29" t="str">
        <f t="shared" si="117"/>
        <v>21 - 21</v>
      </c>
      <c r="BB6" s="29">
        <f t="shared" si="118"/>
        <v>0</v>
      </c>
      <c r="BC6" s="90">
        <f>VLOOKUP($AT6,$D$4:R$33,15,0)</f>
        <v>10</v>
      </c>
      <c r="BD6" s="90">
        <f>VLOOKUP($AT6,$D$4:S$33,16,0)</f>
        <v>6</v>
      </c>
      <c r="BE6" s="90">
        <f>VLOOKUP($AT6,$D$4:T$33,17,0)</f>
        <v>4</v>
      </c>
      <c r="BF6" s="90">
        <f>VLOOKUP($AT6,$D$4:U$33,18,0)</f>
        <v>0</v>
      </c>
      <c r="BG6" s="90">
        <f>VLOOKUP($AT6,$D$4:V$33,19,0)</f>
        <v>22</v>
      </c>
      <c r="BH6" s="90" t="str">
        <f>VLOOKUP($AT6,$D$4:Y$33,22,0)</f>
        <v>14 - 5</v>
      </c>
      <c r="BI6" s="90">
        <f>VLOOKUP($AT6,$D$4:Z$33,23,0)</f>
        <v>9</v>
      </c>
      <c r="BJ6" s="90">
        <f>VLOOKUP($AT6,$D$4:AD$33,27,0)</f>
        <v>9</v>
      </c>
      <c r="BK6" s="90">
        <f>VLOOKUP($AT6,$D$4:AE$33,28,0)</f>
        <v>1</v>
      </c>
      <c r="BL6" s="90">
        <f>VLOOKUP($AT6,$D$4:AF$33,29,0)</f>
        <v>1</v>
      </c>
      <c r="BM6" s="90">
        <f>VLOOKUP($AT6,$D$4:AG$33,30,0)</f>
        <v>7</v>
      </c>
      <c r="BN6" s="90">
        <f>VLOOKUP($AT6,$D$4:AH$33,31,0)</f>
        <v>4</v>
      </c>
      <c r="BO6" s="90" t="str">
        <f>VLOOKUP($AT6,$D$4:AK$35,34,0)</f>
        <v>7 - 16</v>
      </c>
      <c r="BP6" s="90">
        <f>VLOOKUP($AT6,$D$4:AL$35,35,0)</f>
        <v>-9</v>
      </c>
      <c r="BS6" s="10" t="s">
        <v>30</v>
      </c>
      <c r="BT6" s="123">
        <v>0.39583333333333331</v>
      </c>
      <c r="BU6" s="123">
        <f t="shared" si="2"/>
        <v>0.22916666666666666</v>
      </c>
      <c r="BV6" s="10" t="s">
        <v>63</v>
      </c>
      <c r="CA6" s="130">
        <f t="shared" si="119"/>
        <v>26.28</v>
      </c>
      <c r="CB6" s="130">
        <f t="shared" si="120"/>
        <v>25.72</v>
      </c>
      <c r="CC6" s="130">
        <f t="shared" si="121"/>
        <v>7.28</v>
      </c>
      <c r="CD6" s="130">
        <f t="shared" si="122"/>
        <v>6.72</v>
      </c>
      <c r="CE6" s="130">
        <f t="shared" si="123"/>
        <v>7.28</v>
      </c>
      <c r="CF6" s="130">
        <f t="shared" si="124"/>
        <v>6.72</v>
      </c>
      <c r="CG6" s="130">
        <f t="shared" si="125"/>
        <v>21.28</v>
      </c>
      <c r="CH6" s="130">
        <f t="shared" si="126"/>
        <v>20.72</v>
      </c>
      <c r="CI6" s="130">
        <f t="shared" si="127"/>
        <v>21.28</v>
      </c>
      <c r="CJ6" s="130">
        <f t="shared" si="128"/>
        <v>20.72</v>
      </c>
      <c r="CK6" s="130">
        <f t="shared" si="129"/>
        <v>0.28000000000000003</v>
      </c>
      <c r="CL6" s="130">
        <f t="shared" si="130"/>
        <v>-0.28000000000000003</v>
      </c>
      <c r="CM6" s="130">
        <f t="shared" si="131"/>
        <v>6.28</v>
      </c>
      <c r="CN6" s="130">
        <f t="shared" si="132"/>
        <v>5.72</v>
      </c>
      <c r="CO6" s="130">
        <f t="shared" si="133"/>
        <v>6.28</v>
      </c>
      <c r="CP6" s="130">
        <f t="shared" si="134"/>
        <v>5.72</v>
      </c>
      <c r="CQ6" s="131"/>
      <c r="CR6" s="130">
        <f>IF($E6=0,-1+$AP6,V6+$AP6)</f>
        <v>22.28</v>
      </c>
      <c r="CS6" s="130">
        <f t="shared" si="135"/>
        <v>21.72</v>
      </c>
      <c r="CT6" s="130">
        <f t="shared" si="3"/>
        <v>6.28</v>
      </c>
      <c r="CU6" s="130">
        <f>IF(CT6&lt;0,100000-$AP6,S6-$AP6)</f>
        <v>5.72</v>
      </c>
      <c r="CV6" s="130">
        <f t="shared" si="4"/>
        <v>0.28000000000000003</v>
      </c>
      <c r="CW6" s="130">
        <f t="shared" si="5"/>
        <v>-0.28000000000000003</v>
      </c>
      <c r="CX6" s="130">
        <f t="shared" si="6"/>
        <v>14.28</v>
      </c>
      <c r="CY6" s="130">
        <f t="shared" si="7"/>
        <v>13.72</v>
      </c>
      <c r="CZ6" s="130">
        <f t="shared" si="8"/>
        <v>5.28</v>
      </c>
      <c r="DA6" s="130">
        <f t="shared" si="9"/>
        <v>4.72</v>
      </c>
      <c r="DB6" s="130">
        <f t="shared" si="10"/>
        <v>9.2799999999999994</v>
      </c>
      <c r="DC6" s="130">
        <f t="shared" si="11"/>
        <v>8.7200000000000006</v>
      </c>
      <c r="DD6" s="130">
        <f t="shared" si="12"/>
        <v>2.2800000000000002</v>
      </c>
      <c r="DE6" s="130">
        <f t="shared" si="13"/>
        <v>1.72</v>
      </c>
      <c r="DF6" s="130">
        <f t="shared" si="14"/>
        <v>5.28</v>
      </c>
      <c r="DG6" s="130">
        <f t="shared" si="15"/>
        <v>4.72</v>
      </c>
      <c r="DH6" s="131"/>
      <c r="DI6" s="130">
        <f t="shared" si="16"/>
        <v>4.28</v>
      </c>
      <c r="DJ6" s="130">
        <f t="shared" si="136"/>
        <v>-0.28000000000000003</v>
      </c>
      <c r="DK6" s="130">
        <f t="shared" si="17"/>
        <v>1.28</v>
      </c>
      <c r="DL6" s="130">
        <f t="shared" si="18"/>
        <v>0.72</v>
      </c>
      <c r="DM6" s="130">
        <f t="shared" si="19"/>
        <v>7.28</v>
      </c>
      <c r="DN6" s="130">
        <f t="shared" si="20"/>
        <v>6.72</v>
      </c>
      <c r="DO6" s="130">
        <f t="shared" si="21"/>
        <v>7.28</v>
      </c>
      <c r="DP6" s="130">
        <f t="shared" si="22"/>
        <v>6.72</v>
      </c>
      <c r="DQ6" s="130">
        <f t="shared" si="23"/>
        <v>16.28</v>
      </c>
      <c r="DR6" s="130">
        <f t="shared" si="24"/>
        <v>15.72</v>
      </c>
      <c r="DS6" s="130">
        <f t="shared" si="25"/>
        <v>-8.7200000000000006</v>
      </c>
      <c r="DT6" s="130">
        <f t="shared" si="26"/>
        <v>-9.2799999999999994</v>
      </c>
      <c r="DU6" s="130">
        <f t="shared" si="27"/>
        <v>4.28</v>
      </c>
      <c r="DV6" s="130">
        <f t="shared" si="28"/>
        <v>3.7199999999999998</v>
      </c>
      <c r="DW6" s="130">
        <f t="shared" si="29"/>
        <v>1.28</v>
      </c>
      <c r="DX6" s="130">
        <f t="shared" si="30"/>
        <v>0.72</v>
      </c>
      <c r="DY6" s="132"/>
      <c r="DZ6" s="115">
        <v>3</v>
      </c>
      <c r="EA6" s="115">
        <v>28</v>
      </c>
      <c r="EB6" s="10">
        <f t="shared" si="137"/>
        <v>1</v>
      </c>
      <c r="EC6" s="10">
        <f t="shared" si="138"/>
        <v>16</v>
      </c>
      <c r="ED6" s="10">
        <f t="shared" si="139"/>
        <v>10</v>
      </c>
      <c r="EE6" s="10">
        <f t="shared" si="140"/>
        <v>5</v>
      </c>
      <c r="EF6" s="10">
        <f t="shared" si="141"/>
        <v>15</v>
      </c>
      <c r="EG6" s="10">
        <f t="shared" si="142"/>
        <v>10</v>
      </c>
      <c r="EH6" s="10">
        <f t="shared" si="143"/>
        <v>1</v>
      </c>
      <c r="EI6" s="10">
        <f t="shared" si="144"/>
        <v>4</v>
      </c>
      <c r="EJ6" s="10">
        <f t="shared" si="145"/>
        <v>15</v>
      </c>
      <c r="EK6" s="10">
        <f t="shared" si="146"/>
        <v>11</v>
      </c>
      <c r="EL6" s="10">
        <f t="shared" si="147"/>
        <v>11</v>
      </c>
      <c r="EM6" s="10">
        <f t="shared" si="148"/>
        <v>4</v>
      </c>
      <c r="EN6" s="10">
        <f t="shared" si="149"/>
        <v>4</v>
      </c>
      <c r="EO6" s="10">
        <f t="shared" si="150"/>
        <v>7</v>
      </c>
      <c r="EP6" s="10">
        <f t="shared" si="151"/>
        <v>1</v>
      </c>
      <c r="EQ6" s="10">
        <f t="shared" si="152"/>
        <v>5</v>
      </c>
      <c r="ES6" s="10">
        <f t="shared" si="153"/>
        <v>3</v>
      </c>
      <c r="ET6" s="10">
        <f t="shared" si="154"/>
        <v>16</v>
      </c>
      <c r="EU6" s="10">
        <f t="shared" si="155"/>
        <v>2</v>
      </c>
      <c r="EV6" s="10">
        <f t="shared" si="154"/>
        <v>7</v>
      </c>
      <c r="EW6" s="10">
        <f t="shared" si="156"/>
        <v>16</v>
      </c>
      <c r="EX6" s="10">
        <f t="shared" si="157"/>
        <v>9</v>
      </c>
      <c r="EY6" s="10">
        <f t="shared" si="158"/>
        <v>1</v>
      </c>
      <c r="EZ6" s="10">
        <f t="shared" si="159"/>
        <v>2</v>
      </c>
      <c r="FA6" s="10">
        <f t="shared" si="160"/>
        <v>12</v>
      </c>
      <c r="FB6" s="10">
        <f t="shared" si="161"/>
        <v>10</v>
      </c>
      <c r="FC6" s="10">
        <f t="shared" si="162"/>
        <v>9</v>
      </c>
      <c r="FD6" s="10">
        <f t="shared" si="163"/>
        <v>5</v>
      </c>
      <c r="FE6" s="10">
        <f t="shared" si="164"/>
        <v>2</v>
      </c>
      <c r="FF6" s="10">
        <f t="shared" si="165"/>
        <v>10</v>
      </c>
      <c r="FG6" s="10">
        <f t="shared" si="166"/>
        <v>3</v>
      </c>
      <c r="FH6" s="10">
        <f t="shared" si="167"/>
        <v>5</v>
      </c>
      <c r="FJ6" s="10">
        <f t="shared" si="168"/>
        <v>1</v>
      </c>
      <c r="FK6" s="10">
        <f t="shared" si="169"/>
        <v>3</v>
      </c>
      <c r="FL6" s="10">
        <f t="shared" si="170"/>
        <v>2</v>
      </c>
      <c r="FM6" s="10">
        <f t="shared" si="171"/>
        <v>6</v>
      </c>
      <c r="FN6" s="10">
        <f t="shared" si="172"/>
        <v>8</v>
      </c>
      <c r="FO6" s="10">
        <f t="shared" si="173"/>
        <v>1</v>
      </c>
      <c r="FP6" s="10">
        <f t="shared" si="174"/>
        <v>1</v>
      </c>
      <c r="FQ6" s="10">
        <f t="shared" si="175"/>
        <v>8</v>
      </c>
      <c r="FR6" s="10">
        <f t="shared" si="176"/>
        <v>15</v>
      </c>
      <c r="FS6" s="10">
        <f t="shared" si="177"/>
        <v>11</v>
      </c>
      <c r="FT6" s="10">
        <f t="shared" si="178"/>
        <v>10</v>
      </c>
      <c r="FU6" s="10">
        <f t="shared" si="179"/>
        <v>15</v>
      </c>
      <c r="FV6" s="10">
        <f t="shared" si="180"/>
        <v>6</v>
      </c>
      <c r="FW6" s="10">
        <f t="shared" si="181"/>
        <v>1</v>
      </c>
      <c r="FX6" s="10">
        <f t="shared" si="182"/>
        <v>12</v>
      </c>
      <c r="FY6" s="10">
        <f t="shared" si="183"/>
        <v>4</v>
      </c>
      <c r="GA6" s="10">
        <f>IF(lg!$C$18=1,EB6,IF(lg!$C$18=2,ES6,FJ6))</f>
        <v>1</v>
      </c>
      <c r="GB6" s="10">
        <f>IF(lg!$C$18=1,EC6,IF(lg!$C$18=2,ET6,FK6))</f>
        <v>16</v>
      </c>
      <c r="GC6" s="10">
        <f>IF(lg!$C$18=1,ED6,IF(lg!$C$18=2,EU6,FL6))</f>
        <v>10</v>
      </c>
      <c r="GD6" s="10">
        <f>IF(lg!$C$18=1,EE6,IF(lg!$C$18=2,EV6,FM6))</f>
        <v>5</v>
      </c>
      <c r="GE6" s="10">
        <f>IF(lg!$C$18=1,EF6,IF(lg!$C$18=2,EW6,FN6))</f>
        <v>15</v>
      </c>
      <c r="GF6" s="10">
        <f>IF(lg!$C$18=1,EG6,IF(lg!$C$18=2,EX6,FO6))</f>
        <v>10</v>
      </c>
      <c r="GG6" s="10">
        <f>IF(lg!$C$18=1,EH6,IF(lg!$C$18=2,EY6,FP6))</f>
        <v>1</v>
      </c>
      <c r="GH6" s="10">
        <f>IF(lg!$C$18=1,EI6,IF(lg!$C$18=2,EZ6,FQ6))</f>
        <v>4</v>
      </c>
      <c r="GI6" s="10">
        <f>IF(lg!$C$18=1,EJ6,IF(lg!$C$18=2,FA6,FR6))</f>
        <v>15</v>
      </c>
      <c r="GJ6" s="10">
        <f>IF(lg!$C$18=1,EK6,IF(lg!$C$18=2,FB6,FS6))</f>
        <v>11</v>
      </c>
      <c r="GK6" s="10">
        <f>IF(lg!$C$18=1,EL6,IF(lg!$C$18=2,FC6,FT6))</f>
        <v>11</v>
      </c>
      <c r="GL6" s="10">
        <f>IF(lg!$C$18=1,EM6,IF(lg!$C$18=2,FD6,FU6))</f>
        <v>4</v>
      </c>
      <c r="GM6" s="10">
        <f>IF(lg!$C$18=1,EN6,IF(lg!$C$18=2,FE6,FV6))</f>
        <v>4</v>
      </c>
      <c r="GN6" s="10">
        <f>IF(lg!$C$18=1,EO6,IF(lg!$C$18=2,FF6,FW6))</f>
        <v>7</v>
      </c>
      <c r="GO6" s="10">
        <f>IF(lg!$C$18=1,EP6,IF(lg!$C$18=2,FG6,FX6))</f>
        <v>1</v>
      </c>
      <c r="GP6" s="10">
        <f>IF(lg!$C$18=1,EQ6,IF(lg!$C$18=2,FH6,FY6))</f>
        <v>5</v>
      </c>
      <c r="GR6" s="10" t="str">
        <f t="shared" si="184"/>
        <v>Columbus</v>
      </c>
      <c r="GS6" s="10" t="str">
        <f t="shared" si="31"/>
        <v>Chivas USA</v>
      </c>
      <c r="GT6" s="10" t="str">
        <f t="shared" si="32"/>
        <v>Real Salt Lake</v>
      </c>
      <c r="GU6" s="10" t="str">
        <f t="shared" si="33"/>
        <v>Chicago</v>
      </c>
      <c r="GV6" s="10" t="str">
        <f t="shared" si="34"/>
        <v>Houston</v>
      </c>
      <c r="GW6" s="10" t="str">
        <f t="shared" si="35"/>
        <v>Real Salt Lake</v>
      </c>
      <c r="GX6" s="10" t="str">
        <f t="shared" si="36"/>
        <v>Columbus</v>
      </c>
      <c r="GY6" s="10" t="str">
        <f t="shared" si="37"/>
        <v>New England</v>
      </c>
      <c r="GZ6" s="10" t="str">
        <f t="shared" si="38"/>
        <v>Houston</v>
      </c>
      <c r="HA6" s="10" t="str">
        <f t="shared" si="39"/>
        <v>Dallas</v>
      </c>
      <c r="HB6" s="10" t="str">
        <f t="shared" si="40"/>
        <v>Dallas</v>
      </c>
      <c r="HC6" s="10" t="str">
        <f t="shared" si="41"/>
        <v>New England</v>
      </c>
      <c r="HD6" s="10" t="str">
        <f t="shared" si="42"/>
        <v>New England</v>
      </c>
      <c r="HE6" s="10" t="str">
        <f t="shared" si="43"/>
        <v>Philadelphia Union</v>
      </c>
      <c r="HF6" s="10" t="str">
        <f t="shared" si="44"/>
        <v>Columbus</v>
      </c>
      <c r="HG6" s="10" t="str">
        <f t="shared" si="45"/>
        <v>Chicago</v>
      </c>
      <c r="HI6" s="10">
        <v>3</v>
      </c>
      <c r="HJ6" s="115">
        <f>IF(lg!$C$18=1,F6,IF(lg!$C$18=2,R6,AD6))</f>
        <v>19</v>
      </c>
      <c r="HK6" s="115">
        <f>IF(lg!$C$18=1,G6,IF(lg!$C$18=2,S6,AE6))</f>
        <v>7</v>
      </c>
      <c r="HL6" s="115">
        <f>IF(lg!$C$18=1,H6,IF(lg!$C$18=2,T6,AF6))</f>
        <v>5</v>
      </c>
      <c r="HM6" s="115">
        <f>IF(lg!$C$18=1,I6,IF(lg!$C$18=2,U6,AG6))</f>
        <v>7</v>
      </c>
      <c r="HN6" s="115">
        <f>IF(lg!$C$18=1,J6,IF(lg!$C$18=2,V6,AH6))</f>
        <v>26</v>
      </c>
      <c r="HO6" s="115">
        <f>IF(lg!$C$18=1,K6,IF(lg!$C$18=2,W6,AI6))</f>
        <v>21</v>
      </c>
      <c r="HP6" s="115">
        <f>IF(lg!$C$18=1,L6,IF(lg!$C$18=2,X6,AJ6))</f>
        <v>21</v>
      </c>
      <c r="HQ6" s="115" t="str">
        <f>IF(lg!$C$18=1,M6,IF(lg!$C$18=2,Y6,AK6))</f>
        <v>21 - 21</v>
      </c>
      <c r="HR6" s="115">
        <f>IF(lg!$C$18=1,N6,IF(lg!$C$18=2,Z6,AL6))</f>
        <v>0</v>
      </c>
      <c r="HS6" s="115">
        <f>IF(lg!$C$18=1,O6,IF(lg!$C$18=2,AA6,AM6))</f>
        <v>6</v>
      </c>
      <c r="HT6" s="115">
        <f>IF(lg!$C$18=1,P6,IF(lg!$C$18=2,AB6,AN6))</f>
        <v>6</v>
      </c>
      <c r="HV6" s="115">
        <f t="shared" si="185"/>
        <v>37</v>
      </c>
      <c r="HW6" s="115">
        <f t="shared" si="186"/>
        <v>19</v>
      </c>
      <c r="HX6" s="115">
        <f t="shared" si="187"/>
        <v>11</v>
      </c>
      <c r="HY6" s="115">
        <f t="shared" si="188"/>
        <v>5</v>
      </c>
      <c r="HZ6" s="115">
        <f t="shared" si="189"/>
        <v>10</v>
      </c>
      <c r="IA6" s="115">
        <f t="shared" si="190"/>
        <v>4</v>
      </c>
      <c r="IB6" s="115">
        <f t="shared" si="191"/>
        <v>28</v>
      </c>
      <c r="IC6" s="115">
        <f t="shared" si="192"/>
        <v>18</v>
      </c>
      <c r="ID6" s="115">
        <f t="shared" si="193"/>
        <v>30</v>
      </c>
      <c r="IE6" s="115">
        <f t="shared" si="194"/>
        <v>17</v>
      </c>
      <c r="IF6" s="115">
        <f t="shared" si="195"/>
        <v>10</v>
      </c>
      <c r="IG6" s="115">
        <f t="shared" si="196"/>
        <v>-9</v>
      </c>
      <c r="IH6" s="115">
        <f t="shared" si="197"/>
        <v>8</v>
      </c>
      <c r="II6" s="115">
        <f t="shared" si="198"/>
        <v>3</v>
      </c>
      <c r="IJ6" s="115">
        <f t="shared" si="199"/>
        <v>8</v>
      </c>
      <c r="IK6" s="115">
        <f t="shared" si="200"/>
        <v>4</v>
      </c>
      <c r="IN6" s="77" t="s">
        <v>72</v>
      </c>
      <c r="IO6" s="104" t="s">
        <v>126</v>
      </c>
      <c r="IP6" s="133">
        <f>VLOOKUP('ef-TeamStats'!B2,Table!$B$4:$W$23,5,0)</f>
        <v>3</v>
      </c>
      <c r="IQ6" s="133">
        <f>VLOOKUP('ef-TeamStats'!$B$2,Table!$B$4:$W$23,2,0)</f>
        <v>20</v>
      </c>
      <c r="IR6" s="134">
        <f t="shared" si="47"/>
        <v>0.15</v>
      </c>
      <c r="IS6" s="133">
        <f>MATCH('ef-TeamStats'!$B$2,$JX$4:$JX$33,0)</f>
        <v>2</v>
      </c>
      <c r="IT6" s="104"/>
      <c r="IU6" s="104" t="s">
        <v>126</v>
      </c>
      <c r="IV6" s="67">
        <f>VLOOKUP('ef-TeamStats'!G2,Table!$B$4:$W$23,5,0)</f>
        <v>2</v>
      </c>
      <c r="IW6" s="133">
        <f>VLOOKUP('ef-TeamStats'!$G$2,Table!$B$4:$W$23,2,0)</f>
        <v>19</v>
      </c>
      <c r="IX6" s="134">
        <f t="shared" si="48"/>
        <v>0.10526315789473684</v>
      </c>
      <c r="IY6" s="133">
        <f>MATCH('ef-TeamStats'!$G$2,$JW$4:$JW$33,0)</f>
        <v>16</v>
      </c>
      <c r="JB6" s="10">
        <f>IF(lg!$F$18=1,EB6,IF(lg!$F$18=2,ES6,FJ6))</f>
        <v>1</v>
      </c>
      <c r="JC6" s="10">
        <f>IF(lg!$F$18=1,EC6,IF(lg!$F$18=2,ET6,FK6))</f>
        <v>16</v>
      </c>
      <c r="JD6" s="10">
        <f>IF(lg!$F$18=1,ED6,IF(lg!$F$18=2,EU6,FL6))</f>
        <v>10</v>
      </c>
      <c r="JE6" s="10">
        <f>IF(lg!$F$18=1,EE6,IF(lg!$F$18=2,EV6,FM6))</f>
        <v>5</v>
      </c>
      <c r="JF6" s="10">
        <f>IF(lg!$F$18=1,EF6,IF(lg!$F$18=2,EW6,FN6))</f>
        <v>15</v>
      </c>
      <c r="JG6" s="10">
        <f>IF(lg!$F$18=1,EG6,IF(lg!$F$18=2,EX6,FO6))</f>
        <v>10</v>
      </c>
      <c r="JH6" s="10">
        <f>IF(lg!$F$18=1,EH6,IF(lg!$F$18=2,EY6,FP6))</f>
        <v>1</v>
      </c>
      <c r="JI6" s="10">
        <f>IF(lg!$F$18=1,EI6,IF(lg!$F$18=2,EZ6,FQ6))</f>
        <v>4</v>
      </c>
      <c r="JJ6" s="10">
        <f>IF(lg!$F$18=1,EJ6,IF(lg!$F$18=2,FA6,FR6))</f>
        <v>15</v>
      </c>
      <c r="JK6" s="10">
        <f>IF(lg!$F$18=1,EK6,IF(lg!$F$18=2,FB6,FS6))</f>
        <v>11</v>
      </c>
      <c r="JL6" s="10">
        <f>IF(lg!$F$18=1,EL6,IF(lg!$F$18=2,FC6,FT6))</f>
        <v>11</v>
      </c>
      <c r="JM6" s="10">
        <f>IF(lg!$F$18=1,EM6,IF(lg!$F$18=2,FD6,FU6))</f>
        <v>4</v>
      </c>
      <c r="JN6" s="10">
        <f>IF(lg!$F$18=1,EN6,IF(lg!$F$18=2,FE6,FV6))</f>
        <v>4</v>
      </c>
      <c r="JO6" s="10">
        <f>IF(lg!$F$18=1,EO6,IF(lg!$F$18=2,FF6,FW6))</f>
        <v>7</v>
      </c>
      <c r="JP6" s="10">
        <f>IF(lg!$F$18=1,EP6,IF(lg!$F$18=2,FG6,FX6))</f>
        <v>1</v>
      </c>
      <c r="JQ6" s="10">
        <f>IF(lg!$F$18=1,EQ6,IF(lg!$F$18=2,FH6,FY6))</f>
        <v>5</v>
      </c>
      <c r="JS6" s="10" t="str">
        <f t="shared" si="201"/>
        <v>Columbus</v>
      </c>
      <c r="JT6" s="10" t="str">
        <f t="shared" si="49"/>
        <v>Chivas USA</v>
      </c>
      <c r="JU6" s="10" t="str">
        <f t="shared" si="50"/>
        <v>Real Salt Lake</v>
      </c>
      <c r="JV6" s="10" t="str">
        <f t="shared" si="51"/>
        <v>Chicago</v>
      </c>
      <c r="JW6" s="10" t="str">
        <f t="shared" si="52"/>
        <v>Houston</v>
      </c>
      <c r="JX6" s="10" t="str">
        <f t="shared" si="53"/>
        <v>Real Salt Lake</v>
      </c>
      <c r="JY6" s="10" t="str">
        <f t="shared" si="54"/>
        <v>Columbus</v>
      </c>
      <c r="JZ6" s="10" t="str">
        <f t="shared" si="55"/>
        <v>New England</v>
      </c>
      <c r="KA6" s="10" t="str">
        <f t="shared" si="56"/>
        <v>Houston</v>
      </c>
      <c r="KB6" s="10" t="str">
        <f t="shared" si="57"/>
        <v>Dallas</v>
      </c>
      <c r="KC6" s="10" t="str">
        <f t="shared" si="58"/>
        <v>Dallas</v>
      </c>
      <c r="KD6" s="10" t="str">
        <f t="shared" si="59"/>
        <v>New England</v>
      </c>
      <c r="KE6" s="10" t="str">
        <f t="shared" si="60"/>
        <v>New England</v>
      </c>
      <c r="KF6" s="10" t="str">
        <f t="shared" si="61"/>
        <v>Philadelphia Union</v>
      </c>
      <c r="KG6" s="10" t="str">
        <f t="shared" si="62"/>
        <v>Columbus</v>
      </c>
      <c r="KH6" s="10" t="str">
        <f t="shared" si="63"/>
        <v>Chicago</v>
      </c>
      <c r="KL6" s="27">
        <v>0.28000000000000003</v>
      </c>
      <c r="KM6" s="29">
        <v>3</v>
      </c>
      <c r="KN6" s="31" t="str">
        <f t="shared" si="202"/>
        <v>Toronto FC</v>
      </c>
      <c r="KO6" s="152">
        <f t="shared" si="203"/>
        <v>0</v>
      </c>
      <c r="KP6" s="152">
        <f t="shared" si="204"/>
        <v>0</v>
      </c>
      <c r="KQ6" s="152">
        <f t="shared" si="205"/>
        <v>2</v>
      </c>
      <c r="KR6" s="28">
        <f t="shared" si="206"/>
        <v>999999980000.28003</v>
      </c>
      <c r="KS6" s="29"/>
      <c r="KT6" s="28"/>
      <c r="KU6" s="29">
        <f>RANK(KR6,KR$4:KR$11)</f>
        <v>6</v>
      </c>
      <c r="KV6" s="152">
        <f t="shared" si="207"/>
        <v>0</v>
      </c>
      <c r="KW6" s="152">
        <f t="shared" si="208"/>
        <v>1</v>
      </c>
      <c r="KX6" s="152">
        <f t="shared" si="209"/>
        <v>6</v>
      </c>
      <c r="KY6" s="28">
        <f t="shared" si="210"/>
        <v>999999950001.28003</v>
      </c>
      <c r="KZ6" s="29"/>
      <c r="LA6" s="28"/>
      <c r="LB6" s="29">
        <f>RANK(KY6,KY$4:KY$11)</f>
        <v>7</v>
      </c>
      <c r="LC6" s="152">
        <f t="shared" si="211"/>
        <v>3</v>
      </c>
      <c r="LD6" s="152">
        <f t="shared" si="212"/>
        <v>3</v>
      </c>
      <c r="LE6" s="152">
        <f t="shared" si="213"/>
        <v>7</v>
      </c>
      <c r="LF6" s="28">
        <f t="shared" si="214"/>
        <v>1000299960003.28</v>
      </c>
      <c r="LG6" s="29"/>
      <c r="LH6" s="28"/>
      <c r="LI6" s="29">
        <f>RANK(LF6,LF$4:LF$11)</f>
        <v>6</v>
      </c>
      <c r="LJ6" s="152">
        <f t="shared" si="215"/>
        <v>3</v>
      </c>
      <c r="LK6" s="152">
        <f t="shared" si="216"/>
        <v>4</v>
      </c>
      <c r="LL6" s="152">
        <f t="shared" si="217"/>
        <v>10</v>
      </c>
      <c r="LM6" s="28">
        <f t="shared" si="218"/>
        <v>1000299940004.28</v>
      </c>
      <c r="LN6" s="29"/>
      <c r="LO6" s="28"/>
      <c r="LP6" s="29">
        <f>RANK(LM6,LM$4:LM$11)</f>
        <v>7</v>
      </c>
      <c r="LQ6" s="152">
        <f t="shared" si="219"/>
        <v>6</v>
      </c>
      <c r="LR6" s="152">
        <f t="shared" si="220"/>
        <v>6</v>
      </c>
      <c r="LS6" s="152">
        <f t="shared" si="221"/>
        <v>10</v>
      </c>
      <c r="LT6" s="28">
        <f t="shared" si="222"/>
        <v>1000599960006.28</v>
      </c>
      <c r="LU6" s="29"/>
      <c r="LV6" s="28"/>
      <c r="LW6" s="29">
        <f>RANK(LT6,LT$4:LT$11)</f>
        <v>6</v>
      </c>
      <c r="LX6" s="152">
        <f t="shared" si="223"/>
        <v>6</v>
      </c>
      <c r="LY6" s="152">
        <f t="shared" si="224"/>
        <v>7</v>
      </c>
      <c r="LZ6" s="152">
        <f t="shared" si="225"/>
        <v>12</v>
      </c>
      <c r="MA6" s="28">
        <f t="shared" si="226"/>
        <v>1000599950007.28</v>
      </c>
      <c r="MB6" s="29"/>
      <c r="MC6" s="28"/>
      <c r="MD6" s="29">
        <f>RANK(MA6,MA$4:MA$11)</f>
        <v>6</v>
      </c>
      <c r="ME6" s="152">
        <f t="shared" si="227"/>
        <v>9</v>
      </c>
      <c r="MF6" s="152">
        <f t="shared" si="228"/>
        <v>11</v>
      </c>
      <c r="MG6" s="152">
        <f t="shared" si="229"/>
        <v>13</v>
      </c>
      <c r="MH6" s="28">
        <f t="shared" si="230"/>
        <v>1000899980011.28</v>
      </c>
      <c r="MI6" s="29"/>
      <c r="MJ6" s="28"/>
      <c r="MK6" s="29">
        <f>RANK(MH6,MH$4:MH$11)</f>
        <v>3</v>
      </c>
      <c r="ML6" s="152">
        <f t="shared" si="231"/>
        <v>10</v>
      </c>
      <c r="MM6" s="152">
        <f t="shared" si="232"/>
        <v>11</v>
      </c>
      <c r="MN6" s="152">
        <f t="shared" si="233"/>
        <v>13</v>
      </c>
      <c r="MO6" s="28">
        <f t="shared" si="234"/>
        <v>1000999980011.28</v>
      </c>
      <c r="MP6" s="29"/>
      <c r="MQ6" s="28"/>
      <c r="MR6" s="29">
        <f>RANK(MO6,MO$4:MO$11)</f>
        <v>3</v>
      </c>
      <c r="MS6" s="152">
        <f t="shared" si="235"/>
        <v>13</v>
      </c>
      <c r="MT6" s="152">
        <f t="shared" si="236"/>
        <v>12</v>
      </c>
      <c r="MU6" s="152">
        <f t="shared" si="237"/>
        <v>13</v>
      </c>
      <c r="MV6" s="28">
        <f t="shared" si="238"/>
        <v>1001299990012.28</v>
      </c>
      <c r="MW6" s="29"/>
      <c r="MX6" s="28"/>
      <c r="MY6" s="29">
        <f>RANK(MV6,MV$4:MV$11)</f>
        <v>3</v>
      </c>
      <c r="MZ6" s="152">
        <f t="shared" si="239"/>
        <v>16</v>
      </c>
      <c r="NA6" s="152">
        <f t="shared" si="240"/>
        <v>15</v>
      </c>
      <c r="NB6" s="152">
        <f t="shared" si="241"/>
        <v>14</v>
      </c>
      <c r="NC6" s="28">
        <f t="shared" si="242"/>
        <v>1001600010015.28</v>
      </c>
      <c r="ND6" s="29"/>
      <c r="NE6" s="28"/>
      <c r="NF6" s="29">
        <f>RANK(NC6,NC$4:NC$11)</f>
        <v>2</v>
      </c>
      <c r="NG6" s="152">
        <f t="shared" si="243"/>
        <v>17</v>
      </c>
      <c r="NH6" s="152">
        <f t="shared" si="244"/>
        <v>15</v>
      </c>
      <c r="NI6" s="152">
        <f t="shared" si="245"/>
        <v>14</v>
      </c>
      <c r="NJ6" s="28">
        <f t="shared" si="246"/>
        <v>1001700010015.28</v>
      </c>
      <c r="NK6" s="29"/>
      <c r="NL6" s="28"/>
      <c r="NM6" s="29">
        <f>RANK(NJ6,NJ$4:NJ$11)</f>
        <v>3</v>
      </c>
      <c r="NN6" s="152">
        <f t="shared" si="247"/>
        <v>18</v>
      </c>
      <c r="NO6" s="152">
        <f t="shared" si="248"/>
        <v>15</v>
      </c>
      <c r="NP6" s="152">
        <f t="shared" si="249"/>
        <v>14</v>
      </c>
      <c r="NQ6" s="28">
        <f t="shared" si="250"/>
        <v>1001800010015.28</v>
      </c>
      <c r="NR6" s="29"/>
      <c r="NS6" s="28"/>
      <c r="NT6" s="29">
        <f>RANK(NQ6,NQ$4:NQ$11)</f>
        <v>3</v>
      </c>
      <c r="NU6" s="152">
        <f t="shared" si="251"/>
        <v>19</v>
      </c>
      <c r="NV6" s="152">
        <f t="shared" si="252"/>
        <v>16</v>
      </c>
      <c r="NW6" s="152">
        <f t="shared" si="253"/>
        <v>15</v>
      </c>
      <c r="NX6" s="28">
        <f t="shared" si="254"/>
        <v>1001900010016.28</v>
      </c>
      <c r="NY6" s="29"/>
      <c r="NZ6" s="28"/>
      <c r="OA6" s="29">
        <f>RANK(NX6,NX$4:NX$11)</f>
        <v>3</v>
      </c>
      <c r="OB6" s="152">
        <f t="shared" si="255"/>
        <v>22</v>
      </c>
      <c r="OC6" s="152">
        <f t="shared" si="256"/>
        <v>17</v>
      </c>
      <c r="OD6" s="152">
        <f t="shared" si="257"/>
        <v>15</v>
      </c>
      <c r="OE6" s="28">
        <f t="shared" si="258"/>
        <v>1002200020017.28</v>
      </c>
      <c r="OF6" s="29"/>
      <c r="OG6" s="28"/>
      <c r="OH6" s="29">
        <f>RANK(OE6,OE$4:OE$11)</f>
        <v>3</v>
      </c>
      <c r="OI6" s="152">
        <f t="shared" si="259"/>
        <v>22</v>
      </c>
      <c r="OJ6" s="152">
        <f t="shared" si="260"/>
        <v>18</v>
      </c>
      <c r="OK6" s="152">
        <f t="shared" si="261"/>
        <v>17</v>
      </c>
      <c r="OL6" s="28">
        <f t="shared" si="262"/>
        <v>1002200010018.28</v>
      </c>
      <c r="OM6" s="29"/>
      <c r="ON6" s="28"/>
      <c r="OO6" s="29">
        <f>RANK(OL6,OL$4:OL$11)</f>
        <v>3</v>
      </c>
      <c r="OP6" s="152">
        <f t="shared" si="263"/>
        <v>23</v>
      </c>
      <c r="OQ6" s="152">
        <f t="shared" si="264"/>
        <v>19</v>
      </c>
      <c r="OR6" s="152">
        <f t="shared" si="265"/>
        <v>18</v>
      </c>
      <c r="OS6" s="28">
        <f t="shared" si="266"/>
        <v>1002300010019.28</v>
      </c>
      <c r="OT6" s="29"/>
      <c r="OU6" s="28"/>
      <c r="OV6" s="29">
        <f>RANK(OS6,OS$4:OS$11)</f>
        <v>3</v>
      </c>
      <c r="OW6" s="152">
        <f t="shared" si="267"/>
        <v>23</v>
      </c>
      <c r="OX6" s="152">
        <f t="shared" si="268"/>
        <v>19</v>
      </c>
      <c r="OY6" s="152">
        <f t="shared" si="269"/>
        <v>19</v>
      </c>
      <c r="OZ6" s="28">
        <f t="shared" si="270"/>
        <v>1002300000019.28</v>
      </c>
      <c r="PA6" s="29"/>
      <c r="PB6" s="28"/>
      <c r="PC6" s="29">
        <f>RANK(OZ6,OZ$4:OZ$11)</f>
        <v>3</v>
      </c>
      <c r="PD6" s="152">
        <f t="shared" si="271"/>
        <v>26</v>
      </c>
      <c r="PE6" s="152">
        <f t="shared" si="272"/>
        <v>21</v>
      </c>
      <c r="PF6" s="152">
        <f t="shared" si="273"/>
        <v>20</v>
      </c>
      <c r="PG6" s="28">
        <f t="shared" si="274"/>
        <v>1002600010021.28</v>
      </c>
      <c r="PH6" s="29"/>
      <c r="PI6" s="28"/>
      <c r="PJ6" s="29">
        <f>RANK(PG6,PG$4:PG$11)</f>
        <v>3</v>
      </c>
      <c r="PK6" s="152">
        <f t="shared" si="275"/>
        <v>26</v>
      </c>
      <c r="PL6" s="152">
        <f t="shared" si="276"/>
        <v>21</v>
      </c>
      <c r="PM6" s="152">
        <f t="shared" si="277"/>
        <v>21</v>
      </c>
      <c r="PN6" s="28">
        <f t="shared" si="278"/>
        <v>1002600000021.28</v>
      </c>
      <c r="PO6" s="29"/>
      <c r="PP6" s="28"/>
      <c r="PQ6" s="29">
        <f>RANK(PN6,PN$4:PN$11)</f>
        <v>3</v>
      </c>
      <c r="PR6" s="152">
        <f t="shared" si="279"/>
        <v>26</v>
      </c>
      <c r="PS6" s="152">
        <f t="shared" si="280"/>
        <v>21</v>
      </c>
      <c r="PT6" s="152">
        <f t="shared" si="281"/>
        <v>21</v>
      </c>
      <c r="PU6" s="28">
        <f t="shared" si="282"/>
        <v>1002600000021.28</v>
      </c>
      <c r="PV6" s="29"/>
      <c r="PW6" s="28"/>
      <c r="PX6" s="29">
        <f>RANK(PU6,PU$4:PU$11)</f>
        <v>3</v>
      </c>
      <c r="PY6" s="152">
        <f t="shared" si="283"/>
        <v>26</v>
      </c>
      <c r="PZ6" s="152">
        <f t="shared" si="284"/>
        <v>21</v>
      </c>
      <c r="QA6" s="152">
        <f t="shared" si="285"/>
        <v>21</v>
      </c>
      <c r="QB6" s="28">
        <f t="shared" si="286"/>
        <v>1002600000021.28</v>
      </c>
      <c r="QC6" s="29"/>
      <c r="QD6" s="28"/>
      <c r="QE6" s="29">
        <f>RANK(QB6,QB$4:QB$11)</f>
        <v>3</v>
      </c>
      <c r="QF6" s="152">
        <f t="shared" si="287"/>
        <v>26</v>
      </c>
      <c r="QG6" s="152">
        <f t="shared" si="288"/>
        <v>21</v>
      </c>
      <c r="QH6" s="152">
        <f t="shared" si="289"/>
        <v>21</v>
      </c>
      <c r="QI6" s="28">
        <f t="shared" si="290"/>
        <v>1002600000021.28</v>
      </c>
      <c r="QJ6" s="29"/>
      <c r="QK6" s="28"/>
      <c r="QL6" s="29">
        <f>RANK(QI6,QI$4:QI$11)</f>
        <v>3</v>
      </c>
      <c r="QM6" s="152">
        <f t="shared" si="291"/>
        <v>26</v>
      </c>
      <c r="QN6" s="152">
        <f t="shared" si="292"/>
        <v>21</v>
      </c>
      <c r="QO6" s="152">
        <f t="shared" si="293"/>
        <v>21</v>
      </c>
      <c r="QP6" s="28">
        <f t="shared" si="294"/>
        <v>1002600000021.28</v>
      </c>
      <c r="QQ6" s="29"/>
      <c r="QR6" s="28"/>
      <c r="QS6" s="29">
        <f>RANK(QP6,QP$4:QP$11)</f>
        <v>3</v>
      </c>
      <c r="QT6" s="152">
        <f t="shared" si="295"/>
        <v>26</v>
      </c>
      <c r="QU6" s="152">
        <f t="shared" si="296"/>
        <v>21</v>
      </c>
      <c r="QV6" s="152">
        <f t="shared" si="297"/>
        <v>21</v>
      </c>
      <c r="QW6" s="28">
        <f t="shared" si="298"/>
        <v>1002600000021.28</v>
      </c>
      <c r="QX6" s="29"/>
      <c r="QY6" s="28"/>
      <c r="QZ6" s="29">
        <f>RANK(QW6,QW$4:QW$11)</f>
        <v>3</v>
      </c>
      <c r="RA6" s="152">
        <f t="shared" si="299"/>
        <v>26</v>
      </c>
      <c r="RB6" s="152">
        <f t="shared" si="300"/>
        <v>21</v>
      </c>
      <c r="RC6" s="152">
        <f t="shared" si="301"/>
        <v>21</v>
      </c>
      <c r="RD6" s="28">
        <f t="shared" si="302"/>
        <v>1002600000021.28</v>
      </c>
      <c r="RE6" s="29"/>
      <c r="RF6" s="28"/>
      <c r="RG6" s="29">
        <f>RANK(RD6,RD$4:RD$11)</f>
        <v>3</v>
      </c>
      <c r="RH6" s="152">
        <f t="shared" si="303"/>
        <v>26</v>
      </c>
      <c r="RI6" s="152">
        <f t="shared" si="304"/>
        <v>21</v>
      </c>
      <c r="RJ6" s="152">
        <f t="shared" si="305"/>
        <v>21</v>
      </c>
      <c r="RK6" s="28">
        <f t="shared" si="306"/>
        <v>1002600000021.28</v>
      </c>
      <c r="RL6" s="29"/>
      <c r="RM6" s="28"/>
      <c r="RN6" s="29">
        <f>RANK(RK6,RK$4:RK$11)</f>
        <v>3</v>
      </c>
      <c r="RO6" s="152">
        <f t="shared" si="307"/>
        <v>26</v>
      </c>
      <c r="RP6" s="152">
        <f t="shared" si="308"/>
        <v>21</v>
      </c>
      <c r="RQ6" s="152">
        <f t="shared" si="309"/>
        <v>21</v>
      </c>
      <c r="RR6" s="28">
        <f t="shared" si="310"/>
        <v>1002600000021.28</v>
      </c>
      <c r="RS6" s="29"/>
      <c r="RT6" s="28"/>
      <c r="RU6" s="29">
        <f>RANK(RR6,RR$4:RR$11)</f>
        <v>3</v>
      </c>
      <c r="RV6" s="152">
        <f t="shared" si="311"/>
        <v>26</v>
      </c>
      <c r="RW6" s="152">
        <f t="shared" si="312"/>
        <v>21</v>
      </c>
      <c r="RX6" s="152">
        <f t="shared" si="313"/>
        <v>21</v>
      </c>
      <c r="RY6" s="28">
        <f t="shared" si="314"/>
        <v>1002600000021.28</v>
      </c>
      <c r="RZ6" s="29"/>
      <c r="SA6" s="28"/>
      <c r="SB6" s="29">
        <f>RANK(RY6,RY$4:RY$11)</f>
        <v>3</v>
      </c>
      <c r="SC6" s="152">
        <f t="shared" si="315"/>
        <v>26</v>
      </c>
      <c r="SD6" s="152">
        <f t="shared" si="316"/>
        <v>21</v>
      </c>
      <c r="SE6" s="152">
        <f t="shared" si="317"/>
        <v>21</v>
      </c>
      <c r="SF6" s="28">
        <f t="shared" si="318"/>
        <v>1002600000021.28</v>
      </c>
      <c r="SG6" s="29"/>
      <c r="SH6" s="28"/>
      <c r="SI6" s="29">
        <f>RANK(SF6,SF$4:SF$11)</f>
        <v>3</v>
      </c>
      <c r="SJ6" s="152">
        <f t="shared" si="319"/>
        <v>26</v>
      </c>
      <c r="SK6" s="152">
        <f t="shared" si="320"/>
        <v>21</v>
      </c>
      <c r="SL6" s="152">
        <f t="shared" si="321"/>
        <v>21</v>
      </c>
      <c r="SM6" s="28">
        <f t="shared" si="322"/>
        <v>1002600000021.28</v>
      </c>
      <c r="SN6" s="29"/>
      <c r="SO6" s="28"/>
      <c r="SP6" s="29">
        <f>RANK(SM6,SM$4:SM$11)</f>
        <v>3</v>
      </c>
      <c r="SQ6" s="152">
        <f t="shared" si="323"/>
        <v>26</v>
      </c>
      <c r="SR6" s="152">
        <f t="shared" si="324"/>
        <v>21</v>
      </c>
      <c r="SS6" s="152">
        <f t="shared" si="325"/>
        <v>21</v>
      </c>
      <c r="ST6" s="28">
        <f t="shared" si="326"/>
        <v>1002600000021.28</v>
      </c>
      <c r="SU6" s="29"/>
      <c r="SV6" s="28"/>
      <c r="SW6" s="29">
        <f>RANK(ST6,ST$4:ST$11)</f>
        <v>3</v>
      </c>
      <c r="SX6" s="152">
        <f t="shared" si="327"/>
        <v>26</v>
      </c>
      <c r="SY6" s="152">
        <f t="shared" si="328"/>
        <v>21</v>
      </c>
      <c r="SZ6" s="152">
        <f t="shared" si="329"/>
        <v>21</v>
      </c>
      <c r="TA6" s="28">
        <f t="shared" si="330"/>
        <v>1002600000021.28</v>
      </c>
      <c r="TB6" s="29"/>
      <c r="TC6" s="28"/>
      <c r="TD6" s="29">
        <f>RANK(TA6,TA$4:TA$11)</f>
        <v>3</v>
      </c>
      <c r="TE6" s="152">
        <f t="shared" si="331"/>
        <v>26</v>
      </c>
      <c r="TF6" s="152">
        <f t="shared" si="332"/>
        <v>21</v>
      </c>
      <c r="TG6" s="152">
        <f t="shared" si="333"/>
        <v>21</v>
      </c>
      <c r="TH6" s="28">
        <f t="shared" si="334"/>
        <v>1002600000021.28</v>
      </c>
      <c r="TI6" s="29"/>
      <c r="TJ6" s="28"/>
      <c r="TK6" s="29">
        <f>RANK(TH6,TH$4:TH$11)</f>
        <v>3</v>
      </c>
      <c r="TL6" s="152">
        <f t="shared" si="335"/>
        <v>26</v>
      </c>
      <c r="TM6" s="152">
        <f t="shared" si="336"/>
        <v>21</v>
      </c>
      <c r="TN6" s="152">
        <f t="shared" si="337"/>
        <v>21</v>
      </c>
      <c r="TO6" s="28">
        <f t="shared" si="338"/>
        <v>1002600000021.28</v>
      </c>
      <c r="TP6" s="29"/>
      <c r="TQ6" s="28"/>
      <c r="TR6" s="29">
        <f>RANK(TO6,TO$4:TO$11)</f>
        <v>3</v>
      </c>
      <c r="TS6" s="152">
        <f t="shared" si="339"/>
        <v>26</v>
      </c>
      <c r="TT6" s="152">
        <f t="shared" si="340"/>
        <v>21</v>
      </c>
      <c r="TU6" s="152">
        <f t="shared" si="341"/>
        <v>21</v>
      </c>
      <c r="TV6" s="28">
        <f t="shared" si="342"/>
        <v>1002600000021.28</v>
      </c>
      <c r="TW6" s="29"/>
      <c r="TX6" s="28"/>
      <c r="TY6" s="29">
        <f>RANK(TV6,TV$4:TV$11)</f>
        <v>3</v>
      </c>
      <c r="TZ6" s="152">
        <f t="shared" si="343"/>
        <v>26</v>
      </c>
      <c r="UA6" s="152">
        <f t="shared" si="344"/>
        <v>21</v>
      </c>
      <c r="UB6" s="152">
        <f t="shared" si="345"/>
        <v>21</v>
      </c>
      <c r="UC6" s="28">
        <f t="shared" si="346"/>
        <v>1002600000021.28</v>
      </c>
      <c r="UD6" s="29"/>
      <c r="UE6" s="28"/>
      <c r="UF6" s="29">
        <f>RANK(UC6,UC$4:UC$11)</f>
        <v>3</v>
      </c>
      <c r="UG6" s="152">
        <f t="shared" si="347"/>
        <v>26</v>
      </c>
      <c r="UH6" s="152">
        <f t="shared" si="348"/>
        <v>21</v>
      </c>
      <c r="UI6" s="152">
        <f t="shared" si="349"/>
        <v>21</v>
      </c>
      <c r="UJ6" s="28">
        <f t="shared" si="350"/>
        <v>1002600000021.28</v>
      </c>
      <c r="UK6" s="29"/>
      <c r="UL6" s="28"/>
      <c r="UM6" s="29">
        <f>RANK(UJ6,UJ$4:UJ$11)</f>
        <v>3</v>
      </c>
      <c r="UN6" s="152">
        <f t="shared" si="351"/>
        <v>26</v>
      </c>
      <c r="UO6" s="152">
        <f t="shared" si="352"/>
        <v>21</v>
      </c>
      <c r="UP6" s="152">
        <f t="shared" si="353"/>
        <v>21</v>
      </c>
      <c r="UQ6" s="28">
        <f t="shared" si="354"/>
        <v>1002600000021.28</v>
      </c>
      <c r="UR6" s="29"/>
      <c r="US6" s="28"/>
      <c r="UT6" s="29">
        <f>RANK(UQ6,UQ$4:UQ$11)</f>
        <v>3</v>
      </c>
      <c r="UU6" s="129"/>
      <c r="UV6" s="129" t="str">
        <f t="shared" si="355"/>
        <v>Toronto FC</v>
      </c>
      <c r="UW6" s="129">
        <f t="shared" si="356"/>
        <v>6</v>
      </c>
      <c r="UX6" s="129">
        <f t="shared" ca="1" si="357"/>
        <v>7</v>
      </c>
      <c r="UY6" s="129">
        <f t="shared" ca="1" si="64"/>
        <v>6</v>
      </c>
      <c r="UZ6" s="129">
        <f t="shared" ca="1" si="64"/>
        <v>7</v>
      </c>
      <c r="VA6" s="129">
        <f t="shared" ca="1" si="64"/>
        <v>6</v>
      </c>
      <c r="VB6" s="129">
        <f t="shared" ca="1" si="64"/>
        <v>6</v>
      </c>
      <c r="VC6" s="129">
        <f t="shared" ca="1" si="64"/>
        <v>3</v>
      </c>
      <c r="VD6" s="129">
        <f t="shared" ca="1" si="64"/>
        <v>3</v>
      </c>
      <c r="VE6" s="129">
        <f t="shared" ca="1" si="64"/>
        <v>3</v>
      </c>
      <c r="VF6" s="129">
        <f t="shared" ca="1" si="64"/>
        <v>2</v>
      </c>
      <c r="VG6" s="129">
        <f t="shared" ca="1" si="64"/>
        <v>3</v>
      </c>
      <c r="VH6" s="129">
        <f t="shared" ca="1" si="64"/>
        <v>3</v>
      </c>
      <c r="VI6" s="129">
        <f t="shared" ca="1" si="64"/>
        <v>3</v>
      </c>
      <c r="VJ6" s="129">
        <f t="shared" ca="1" si="64"/>
        <v>3</v>
      </c>
      <c r="VK6" s="129">
        <f t="shared" ca="1" si="64"/>
        <v>3</v>
      </c>
      <c r="VL6" s="129">
        <f t="shared" ca="1" si="64"/>
        <v>3</v>
      </c>
      <c r="VM6" s="129">
        <f t="shared" ca="1" si="64"/>
        <v>3</v>
      </c>
      <c r="VN6" s="129">
        <f t="shared" ca="1" si="64"/>
        <v>3</v>
      </c>
      <c r="VO6" s="129">
        <f t="shared" ca="1" si="65"/>
        <v>3</v>
      </c>
      <c r="VP6" s="129">
        <f t="shared" ca="1" si="65"/>
        <v>3</v>
      </c>
      <c r="VQ6" s="129">
        <f t="shared" ca="1" si="65"/>
        <v>3</v>
      </c>
      <c r="VR6" s="129">
        <f t="shared" ca="1" si="65"/>
        <v>3</v>
      </c>
      <c r="VS6" s="129">
        <f t="shared" ca="1" si="65"/>
        <v>3</v>
      </c>
      <c r="VT6" s="129">
        <f t="shared" ca="1" si="65"/>
        <v>3</v>
      </c>
      <c r="VU6" s="129">
        <f t="shared" ca="1" si="65"/>
        <v>3</v>
      </c>
      <c r="VV6" s="129">
        <f t="shared" ca="1" si="65"/>
        <v>3</v>
      </c>
      <c r="VW6" s="129">
        <f t="shared" ca="1" si="65"/>
        <v>3</v>
      </c>
      <c r="VX6" s="129">
        <f t="shared" ca="1" si="65"/>
        <v>3</v>
      </c>
      <c r="VY6" s="129">
        <f t="shared" ca="1" si="65"/>
        <v>3</v>
      </c>
      <c r="VZ6" s="129">
        <f t="shared" ca="1" si="65"/>
        <v>3</v>
      </c>
      <c r="WA6" s="129">
        <f t="shared" ca="1" si="65"/>
        <v>3</v>
      </c>
      <c r="WB6" s="129">
        <f t="shared" ca="1" si="65"/>
        <v>3</v>
      </c>
      <c r="WC6" s="129">
        <f t="shared" ca="1" si="65"/>
        <v>3</v>
      </c>
      <c r="WD6" s="129">
        <f t="shared" ca="1" si="65"/>
        <v>3</v>
      </c>
      <c r="WE6" s="129">
        <f t="shared" ca="1" si="66"/>
        <v>3</v>
      </c>
      <c r="WF6" s="129">
        <f t="shared" ca="1" si="66"/>
        <v>3</v>
      </c>
      <c r="WG6" s="129">
        <f t="shared" ca="1" si="66"/>
        <v>3</v>
      </c>
      <c r="WH6" s="129">
        <f t="shared" ca="1" si="66"/>
        <v>3</v>
      </c>
      <c r="WJ6" s="87"/>
      <c r="WK6" s="87" t="str">
        <f t="shared" si="358"/>
        <v>Toronto FC</v>
      </c>
      <c r="WL6" s="87">
        <v>3</v>
      </c>
      <c r="WM6" s="87">
        <v>3</v>
      </c>
      <c r="WN6" s="87">
        <f t="shared" si="67"/>
        <v>6</v>
      </c>
      <c r="WO6" s="87">
        <f t="shared" ca="1" si="68"/>
        <v>7</v>
      </c>
      <c r="WP6" s="87">
        <f t="shared" ca="1" si="69"/>
        <v>6</v>
      </c>
      <c r="WQ6" s="87">
        <f t="shared" ca="1" si="70"/>
        <v>7</v>
      </c>
      <c r="WR6" s="87">
        <f t="shared" ca="1" si="71"/>
        <v>6</v>
      </c>
      <c r="WS6" s="87">
        <f t="shared" ca="1" si="72"/>
        <v>6</v>
      </c>
      <c r="WT6" s="87">
        <f t="shared" ca="1" si="73"/>
        <v>3</v>
      </c>
      <c r="WU6" s="87">
        <f t="shared" ca="1" si="74"/>
        <v>3</v>
      </c>
      <c r="WV6" s="87">
        <f t="shared" ca="1" si="75"/>
        <v>3</v>
      </c>
      <c r="WW6" s="87">
        <f t="shared" ca="1" si="76"/>
        <v>2</v>
      </c>
      <c r="WX6" s="87">
        <f t="shared" ca="1" si="77"/>
        <v>3</v>
      </c>
      <c r="WY6" s="87">
        <f t="shared" ca="1" si="78"/>
        <v>3</v>
      </c>
      <c r="WZ6" s="87">
        <f t="shared" ca="1" si="79"/>
        <v>3</v>
      </c>
      <c r="XA6" s="87">
        <f t="shared" ca="1" si="80"/>
        <v>3</v>
      </c>
      <c r="XB6" s="87">
        <f t="shared" ca="1" si="81"/>
        <v>3</v>
      </c>
      <c r="XC6" s="87">
        <f t="shared" ca="1" si="82"/>
        <v>3</v>
      </c>
      <c r="XD6" s="87">
        <f t="shared" ca="1" si="83"/>
        <v>3</v>
      </c>
      <c r="XE6" s="87">
        <f t="shared" ca="1" si="84"/>
        <v>3</v>
      </c>
      <c r="XF6" s="87">
        <f t="shared" ca="1" si="85"/>
        <v>3</v>
      </c>
      <c r="XG6" s="87">
        <f t="shared" ca="1" si="86"/>
        <v>3</v>
      </c>
      <c r="XH6" s="87" t="e">
        <f t="shared" si="87"/>
        <v>#N/A</v>
      </c>
      <c r="XI6" s="87" t="e">
        <f t="shared" si="88"/>
        <v>#N/A</v>
      </c>
      <c r="XJ6" s="87" t="e">
        <f t="shared" si="89"/>
        <v>#N/A</v>
      </c>
      <c r="XK6" s="87" t="e">
        <f t="shared" si="90"/>
        <v>#N/A</v>
      </c>
      <c r="XL6" s="87" t="e">
        <f t="shared" si="91"/>
        <v>#N/A</v>
      </c>
      <c r="XM6" s="87" t="e">
        <f t="shared" si="92"/>
        <v>#N/A</v>
      </c>
      <c r="XN6" s="87" t="e">
        <f t="shared" si="93"/>
        <v>#N/A</v>
      </c>
      <c r="XO6" s="87" t="e">
        <f t="shared" si="94"/>
        <v>#N/A</v>
      </c>
      <c r="XP6" s="87" t="e">
        <f t="shared" si="95"/>
        <v>#N/A</v>
      </c>
      <c r="XQ6" s="87" t="e">
        <f t="shared" si="96"/>
        <v>#N/A</v>
      </c>
      <c r="XR6" s="87" t="e">
        <f t="shared" si="97"/>
        <v>#N/A</v>
      </c>
      <c r="XS6" s="87" t="e">
        <f t="shared" si="98"/>
        <v>#N/A</v>
      </c>
      <c r="XT6" s="87" t="e">
        <f t="shared" si="99"/>
        <v>#N/A</v>
      </c>
      <c r="XU6" s="87" t="e">
        <f t="shared" si="100"/>
        <v>#N/A</v>
      </c>
      <c r="XV6" s="87" t="e">
        <f t="shared" si="101"/>
        <v>#N/A</v>
      </c>
      <c r="XW6" s="87" t="e">
        <f t="shared" si="102"/>
        <v>#N/A</v>
      </c>
      <c r="XX6" s="87" t="e">
        <f t="shared" si="103"/>
        <v>#N/A</v>
      </c>
      <c r="XY6" s="87" t="e">
        <f t="shared" si="104"/>
        <v>#N/A</v>
      </c>
      <c r="XZ6" s="241"/>
      <c r="YA6" s="241"/>
      <c r="YB6" s="280" t="str">
        <f>HistoriChart!H1</f>
        <v>Columbus</v>
      </c>
      <c r="YC6" s="163" t="str">
        <f t="shared" si="359"/>
        <v>Columbus</v>
      </c>
      <c r="YD6" s="280"/>
      <c r="YE6" s="163">
        <f>VLOOKUP($YC6,$WK$4:WL$33,YE$3+3,0)</f>
        <v>1</v>
      </c>
      <c r="YF6" s="163">
        <f>VLOOKUP($YC6,$WK$4:WM$33,YF$3+3,0)</f>
        <v>1</v>
      </c>
      <c r="YG6" s="163">
        <f>VLOOKUP($YC6,$WK$4:WN$33,YG$3+3,0)</f>
        <v>2</v>
      </c>
      <c r="YH6" s="163">
        <f ca="1">VLOOKUP($YC6,$WK$4:WO$33,YH$3+3,0)</f>
        <v>3</v>
      </c>
      <c r="YI6" s="163">
        <f ca="1">VLOOKUP($YC6,$WK$4:WP$33,YI$3+3,0)</f>
        <v>1</v>
      </c>
      <c r="YJ6" s="163">
        <f ca="1">VLOOKUP($YC6,$WK$4:WQ$33,YJ$3+3,0)</f>
        <v>2</v>
      </c>
      <c r="YK6" s="163">
        <f ca="1">VLOOKUP($YC6,$WK$4:WR$33,YK$3+3,0)</f>
        <v>2</v>
      </c>
      <c r="YL6" s="163">
        <f ca="1">VLOOKUP($YC6,$WK$4:WS$33,YL$3+3,0)</f>
        <v>2</v>
      </c>
      <c r="YM6" s="163">
        <f ca="1">VLOOKUP($YC6,$WK$4:WT$33,YM$3+3,0)</f>
        <v>1</v>
      </c>
      <c r="YN6" s="163">
        <f ca="1">VLOOKUP($YC6,$WK$4:WU$33,YN$3+3,0)</f>
        <v>1</v>
      </c>
      <c r="YO6" s="163">
        <f ca="1">VLOOKUP($YC6,$WK$4:WV$33,YO$3+3,0)</f>
        <v>1</v>
      </c>
      <c r="YP6" s="163">
        <f ca="1">VLOOKUP($YC6,$WK$4:WW$33,YP$3+3,0)</f>
        <v>1</v>
      </c>
      <c r="YQ6" s="163">
        <f ca="1">VLOOKUP($YC6,$WK$4:WX$33,YQ$3+3,0)</f>
        <v>1</v>
      </c>
      <c r="YR6" s="163">
        <f ca="1">VLOOKUP($YC6,$WK$4:WY$33,YR$3+3,0)</f>
        <v>1</v>
      </c>
      <c r="YS6" s="163">
        <f ca="1">VLOOKUP($YC6,$WK$4:WZ$33,YS$3+3,0)</f>
        <v>1</v>
      </c>
      <c r="YT6" s="163">
        <f ca="1">VLOOKUP($YC6,$WK$4:XA$33,YT$3+3,0)</f>
        <v>1</v>
      </c>
      <c r="YU6" s="163">
        <f ca="1">VLOOKUP($YC6,$WK$4:XB$33,YU$3+3,0)</f>
        <v>1</v>
      </c>
      <c r="YV6" s="163">
        <f ca="1">VLOOKUP($YC6,$WK$4:XC$33,YV$3+3,0)</f>
        <v>1</v>
      </c>
      <c r="YW6" s="163">
        <f ca="1">VLOOKUP($YC6,$WK$4:XD$33,YW$3+3,0)</f>
        <v>1</v>
      </c>
      <c r="YX6" s="163">
        <f ca="1">VLOOKUP($YC6,$WK$4:XE$33,YX$3+3,0)</f>
        <v>1</v>
      </c>
      <c r="YY6" s="163">
        <f ca="1">VLOOKUP($YC6,$WK$4:XF$33,YY$3+3,0)</f>
        <v>1</v>
      </c>
      <c r="YZ6" s="163">
        <f ca="1">VLOOKUP($YC6,$WK$4:XG$33,YZ$3+3,0)</f>
        <v>1</v>
      </c>
      <c r="ZA6" s="163" t="e">
        <f>VLOOKUP($YC6,$WK$4:XH$33,ZA$3+3,0)</f>
        <v>#N/A</v>
      </c>
      <c r="ZB6" s="163" t="e">
        <f>VLOOKUP($YC6,$WK$4:XI$33,ZB$3+3,0)</f>
        <v>#N/A</v>
      </c>
      <c r="ZC6" s="163" t="e">
        <f>VLOOKUP($YC6,$WK$4:XJ$33,ZC$3+3,0)</f>
        <v>#N/A</v>
      </c>
      <c r="ZD6" s="163" t="e">
        <f>VLOOKUP($YC6,$WK$4:XK$33,ZD$3+3,0)</f>
        <v>#N/A</v>
      </c>
      <c r="ZE6" s="163" t="e">
        <f>VLOOKUP($YC6,$WK$4:XL$33,ZE$3+3,0)</f>
        <v>#N/A</v>
      </c>
      <c r="ZF6" s="163" t="e">
        <f>VLOOKUP($YC6,$WK$4:XM$33,ZF$3+3,0)</f>
        <v>#N/A</v>
      </c>
      <c r="ZG6" s="163" t="e">
        <f>VLOOKUP($YC6,$WK$4:XN$33,ZG$3+3,0)</f>
        <v>#N/A</v>
      </c>
      <c r="ZH6" s="163" t="e">
        <f>VLOOKUP($YC6,$WK$4:XO$33,ZH$3+3,0)</f>
        <v>#N/A</v>
      </c>
      <c r="ZI6" s="163" t="e">
        <f>VLOOKUP($YC6,$WK$4:XP$33,ZI$3+3,0)</f>
        <v>#N/A</v>
      </c>
      <c r="ZJ6" s="163" t="e">
        <f>VLOOKUP($YC6,$WK$4:XQ$33,ZJ$3+3,0)</f>
        <v>#N/A</v>
      </c>
      <c r="ZK6" s="163" t="e">
        <f>VLOOKUP($YC6,$WK$4:XR$33,ZK$3+3,0)</f>
        <v>#N/A</v>
      </c>
      <c r="ZL6" s="163" t="e">
        <f>VLOOKUP($YC6,$WK$4:XS$33,ZL$3+3,0)</f>
        <v>#N/A</v>
      </c>
      <c r="ZM6" s="163" t="e">
        <f>VLOOKUP($YC6,$WK$4:XT$33,ZM$3+3,0)</f>
        <v>#N/A</v>
      </c>
      <c r="ZN6" s="163" t="e">
        <f>VLOOKUP($YC6,$WK$4:XU$33,ZN$3+3,0)</f>
        <v>#N/A</v>
      </c>
      <c r="ZO6" s="163" t="e">
        <f>VLOOKUP($YC6,$WK$4:XV$33,ZO$3+3,0)</f>
        <v>#N/A</v>
      </c>
      <c r="ZP6" s="163" t="e">
        <f>VLOOKUP($YC6,$WK$4:XW$33,ZP$3+3,0)</f>
        <v>#N/A</v>
      </c>
      <c r="ZQ6" s="163" t="e">
        <f>VLOOKUP($YC6,$WK$4:XX$33,ZQ$3+3,0)</f>
        <v>#N/A</v>
      </c>
      <c r="ZR6" s="163" t="e">
        <f>VLOOKUP($YC6,$WK$4:XY$33,ZR$3+3,0)</f>
        <v>#N/A</v>
      </c>
      <c r="ZS6" s="280"/>
      <c r="ZT6" s="280"/>
      <c r="ZU6" s="280"/>
      <c r="ZV6" s="280"/>
      <c r="ZW6" s="280"/>
      <c r="ZX6" s="280"/>
      <c r="ZY6" s="280"/>
      <c r="ZZ6" s="280"/>
      <c r="AAA6" s="280"/>
      <c r="AAB6" s="280"/>
      <c r="AAC6" s="280"/>
      <c r="AAD6" s="160"/>
      <c r="AAE6" s="160"/>
      <c r="AAF6" s="160"/>
      <c r="AAG6" s="160"/>
      <c r="AAH6" s="241"/>
      <c r="AAI6" s="241"/>
      <c r="AAJ6" s="241"/>
      <c r="AAK6" s="241"/>
      <c r="AAL6" s="241"/>
      <c r="AAM6" s="241"/>
      <c r="AAN6" s="241"/>
      <c r="AAO6" s="241"/>
      <c r="AAP6" s="241"/>
      <c r="AAQ6" s="241"/>
      <c r="AAR6" s="241"/>
      <c r="AAS6" s="241"/>
      <c r="AAT6" s="241"/>
      <c r="AAU6" s="241"/>
    </row>
    <row r="7" spans="4:723">
      <c r="D7" s="29">
        <v>4</v>
      </c>
      <c r="E7" s="31" t="s">
        <v>193</v>
      </c>
      <c r="F7" s="25">
        <f>SUMIF('ef-FT'!$C$2001:$C$3800,E7,'ef-FT'!$E$2001:$E$3800)</f>
        <v>18</v>
      </c>
      <c r="G7" s="25">
        <f>SUMIF('ef-FT'!$C$2001:$C$3800,E7,'ef-FT'!$F$2001:$F$3800)</f>
        <v>6</v>
      </c>
      <c r="H7" s="25">
        <f>SUMIF('ef-FT'!$C$2001:$C$3800,E7,'ef-FT'!$G$2001:$G$3800)</f>
        <v>3</v>
      </c>
      <c r="I7" s="25">
        <f>SUMIF('ef-FT'!$C$2001:$C$3800,E7,'ef-FT'!$H$2001:$H$3800)</f>
        <v>9</v>
      </c>
      <c r="J7" s="25">
        <f>SUMIF('ef-FT'!$C$2001:$C$3800,E7,'ef-FT'!$D$2001:$D$3800)</f>
        <v>21</v>
      </c>
      <c r="K7" s="25">
        <f>SUMIF('ef-FT'!$C$2001:$C$3800,E7,'ef-FT'!$I$2001:$I$3800)</f>
        <v>18</v>
      </c>
      <c r="L7" s="25">
        <f>SUMIF('ef-FT'!$C$2001:$C$3800,E7,'ef-FT'!$J$2001:$J$3800)</f>
        <v>27</v>
      </c>
      <c r="M7" s="25" t="str">
        <f>CONCATENATE(K7, " - ",L7)</f>
        <v>18 - 27</v>
      </c>
      <c r="N7" s="25">
        <f>K7-L7</f>
        <v>-9</v>
      </c>
      <c r="O7" s="25">
        <f>SUMIF('ef-FT'!$C$2001:$C$3800,$E7,'ef-FT'!$K$2001:$K$3800)</f>
        <v>8</v>
      </c>
      <c r="P7" s="25">
        <f>SUMIF('ef-FT'!$C$2001:$C$3800,$E7,'ef-FT'!$L$2001:$L$3800)</f>
        <v>5</v>
      </c>
      <c r="Q7" s="55"/>
      <c r="R7" s="25">
        <f>SUMIF('ef-FT'!$C$2001:$C$2999,$E7,'ef-FT'!$E$2001:$E$2999)</f>
        <v>10</v>
      </c>
      <c r="S7" s="25">
        <f>SUMIF('ef-FT'!$C$2001:$C$2999,$E7,'ef-FT'!$F$2001:$F$2999)</f>
        <v>5</v>
      </c>
      <c r="T7" s="25">
        <f>SUMIF('ef-FT'!$C$2001:$C$2999,$E7,'ef-FT'!$G$2001:$G$2999)</f>
        <v>2</v>
      </c>
      <c r="U7" s="25">
        <f>SUMIF('ef-FT'!$C$2001:$C$2999,$E7,'ef-FT'!$H$2001:$H$2999)</f>
        <v>3</v>
      </c>
      <c r="V7" s="25">
        <f>SUMIF('ef-FT'!$C$2001:$C$2999,$E7,'ef-FT'!$D$2001:$D$2999)</f>
        <v>17</v>
      </c>
      <c r="W7" s="25">
        <f>SUMIF('ef-FT'!$C$2001:$C$2999,$E7,'ef-FT'!$I$2001:$I$2999)</f>
        <v>13</v>
      </c>
      <c r="X7" s="25">
        <f>SUMIF('ef-FT'!$C$2001:$C$2999,$E7,'ef-FT'!$J$2001:$J$2999)</f>
        <v>11</v>
      </c>
      <c r="Y7" s="25" t="str">
        <f t="shared" si="105"/>
        <v>13 - 11</v>
      </c>
      <c r="Z7" s="25">
        <f t="shared" si="106"/>
        <v>2</v>
      </c>
      <c r="AA7" s="25">
        <f>SUMIF('ef-FT'!$C$2001:$C$2999,$E7,'ef-FT'!$K$2001:$K$2999)</f>
        <v>3</v>
      </c>
      <c r="AB7" s="25">
        <f>SUMIF('ef-FT'!$C$2001:$C$2999,$E7,'ef-FT'!$L$2001:$L$2999)</f>
        <v>4</v>
      </c>
      <c r="AC7" s="55"/>
      <c r="AD7" s="25">
        <f>SUMIF('ef-FT'!$C$3000:$C$3800,$E7,'ef-FT'!$E$3000:$E$3800)</f>
        <v>8</v>
      </c>
      <c r="AE7" s="25">
        <f>SUMIF('ef-FT'!$C$3000:$C$3800,$E7,'ef-FT'!$F$3000:$F$3800)</f>
        <v>1</v>
      </c>
      <c r="AF7" s="25">
        <f>SUMIF('ef-FT'!$C$3000:$C$3800,$E7,'ef-FT'!$G$3000:$G$3800)</f>
        <v>1</v>
      </c>
      <c r="AG7" s="25">
        <f>SUMIF('ef-FT'!$C$3000:$C$3800,$E7,'ef-FT'!$H$3000:$H$3800)</f>
        <v>6</v>
      </c>
      <c r="AH7" s="25">
        <f>SUMIF('ef-FT'!$C$3000:$C$3800,$E7,'ef-FT'!$D$3000:$D$3800)</f>
        <v>4</v>
      </c>
      <c r="AI7" s="25">
        <f>SUMIF('ef-FT'!$C$3000:$C$3800,$E7,'ef-FT'!$I$3000:$I$3800)</f>
        <v>5</v>
      </c>
      <c r="AJ7" s="25">
        <f>SUMIF('ef-FT'!$C$3000:$C$3800,$E7,'ef-FT'!$J$3000:$J$3800)</f>
        <v>16</v>
      </c>
      <c r="AK7" s="25" t="str">
        <f t="shared" si="107"/>
        <v>5 - 16</v>
      </c>
      <c r="AL7" s="25">
        <f t="shared" si="108"/>
        <v>-11</v>
      </c>
      <c r="AM7" s="25">
        <f>SUMIF('ef-FT'!$C$3000:$C$3800,$E7,'ef-FT'!$K$3000:$K$3800)</f>
        <v>5</v>
      </c>
      <c r="AN7" s="25">
        <f>SUMIF('ef-FT'!$C$3000:$C$3800,$E7,'ef-FT'!$L$3000:$L$3800)</f>
        <v>1</v>
      </c>
      <c r="AO7" s="26"/>
      <c r="AP7" s="27">
        <v>0.27</v>
      </c>
      <c r="AQ7" s="28">
        <f t="shared" si="1"/>
        <v>1002099910018.27</v>
      </c>
      <c r="AR7" s="29">
        <v>4</v>
      </c>
      <c r="AS7" s="28">
        <f t="shared" si="109"/>
        <v>1002100000021.26</v>
      </c>
      <c r="AT7" s="29">
        <f t="shared" si="110"/>
        <v>5</v>
      </c>
      <c r="AU7" s="30" t="str">
        <f t="shared" si="111"/>
        <v>Chicago</v>
      </c>
      <c r="AV7" s="29">
        <f t="shared" si="112"/>
        <v>16</v>
      </c>
      <c r="AW7" s="29">
        <f t="shared" si="113"/>
        <v>5</v>
      </c>
      <c r="AX7" s="29">
        <f t="shared" si="114"/>
        <v>6</v>
      </c>
      <c r="AY7" s="29">
        <f t="shared" si="115"/>
        <v>5</v>
      </c>
      <c r="AZ7" s="29">
        <f t="shared" si="116"/>
        <v>21</v>
      </c>
      <c r="BA7" s="29" t="str">
        <f t="shared" si="117"/>
        <v>21 - 21</v>
      </c>
      <c r="BB7" s="29">
        <f t="shared" si="118"/>
        <v>0</v>
      </c>
      <c r="BC7" s="90">
        <f>VLOOKUP($AT7,$D$4:R$33,15,0)</f>
        <v>8</v>
      </c>
      <c r="BD7" s="90">
        <f>VLOOKUP($AT7,$D$4:S$33,16,0)</f>
        <v>2</v>
      </c>
      <c r="BE7" s="90">
        <f>VLOOKUP($AT7,$D$4:T$33,17,0)</f>
        <v>4</v>
      </c>
      <c r="BF7" s="90">
        <f>VLOOKUP($AT7,$D$4:U$33,18,0)</f>
        <v>2</v>
      </c>
      <c r="BG7" s="90">
        <f>VLOOKUP($AT7,$D$4:V$33,19,0)</f>
        <v>10</v>
      </c>
      <c r="BH7" s="90" t="str">
        <f>VLOOKUP($AT7,$D$4:Y$33,22,0)</f>
        <v>9 - 8</v>
      </c>
      <c r="BI7" s="90">
        <f>VLOOKUP($AT7,$D$4:Z$33,23,0)</f>
        <v>1</v>
      </c>
      <c r="BJ7" s="90">
        <f>VLOOKUP($AT7,$D$4:AD$33,27,0)</f>
        <v>8</v>
      </c>
      <c r="BK7" s="90">
        <f>VLOOKUP($AT7,$D$4:AE$33,28,0)</f>
        <v>3</v>
      </c>
      <c r="BL7" s="90">
        <f>VLOOKUP($AT7,$D$4:AF$33,29,0)</f>
        <v>2</v>
      </c>
      <c r="BM7" s="90">
        <f>VLOOKUP($AT7,$D$4:AG$33,30,0)</f>
        <v>3</v>
      </c>
      <c r="BN7" s="90">
        <f>VLOOKUP($AT7,$D$4:AH$33,31,0)</f>
        <v>11</v>
      </c>
      <c r="BO7" s="90" t="str">
        <f>VLOOKUP($AT7,$D$4:AK$35,34,0)</f>
        <v>12 - 13</v>
      </c>
      <c r="BP7" s="90">
        <f>VLOOKUP($AT7,$D$4:AL$35,35,0)</f>
        <v>-1</v>
      </c>
      <c r="BS7" s="10" t="s">
        <v>31</v>
      </c>
      <c r="BT7" s="123">
        <v>0.375</v>
      </c>
      <c r="BU7" s="123">
        <f t="shared" si="2"/>
        <v>0.20833333333333334</v>
      </c>
      <c r="BV7" s="10" t="s">
        <v>63</v>
      </c>
      <c r="CA7" s="130">
        <f t="shared" si="119"/>
        <v>21.27</v>
      </c>
      <c r="CB7" s="130">
        <f t="shared" si="120"/>
        <v>20.73</v>
      </c>
      <c r="CC7" s="130">
        <f t="shared" si="121"/>
        <v>6.27</v>
      </c>
      <c r="CD7" s="130">
        <f t="shared" si="122"/>
        <v>5.73</v>
      </c>
      <c r="CE7" s="130">
        <f t="shared" si="123"/>
        <v>9.27</v>
      </c>
      <c r="CF7" s="130">
        <f t="shared" si="124"/>
        <v>8.73</v>
      </c>
      <c r="CG7" s="130">
        <f t="shared" si="125"/>
        <v>18.27</v>
      </c>
      <c r="CH7" s="130">
        <f t="shared" si="126"/>
        <v>17.73</v>
      </c>
      <c r="CI7" s="130">
        <f t="shared" si="127"/>
        <v>27.27</v>
      </c>
      <c r="CJ7" s="130">
        <f t="shared" si="128"/>
        <v>26.73</v>
      </c>
      <c r="CK7" s="130">
        <f t="shared" si="129"/>
        <v>-8.73</v>
      </c>
      <c r="CL7" s="130">
        <f t="shared" si="130"/>
        <v>-9.27</v>
      </c>
      <c r="CM7" s="130">
        <f t="shared" si="131"/>
        <v>8.27</v>
      </c>
      <c r="CN7" s="130">
        <f t="shared" si="132"/>
        <v>7.73</v>
      </c>
      <c r="CO7" s="130">
        <f t="shared" si="133"/>
        <v>5.27</v>
      </c>
      <c r="CP7" s="130">
        <f t="shared" si="134"/>
        <v>4.7300000000000004</v>
      </c>
      <c r="CQ7" s="131"/>
      <c r="CR7" s="130">
        <f>IF($E7=0,-1+$AP7,V7+$AP7)</f>
        <v>17.27</v>
      </c>
      <c r="CS7" s="130">
        <f t="shared" si="135"/>
        <v>16.73</v>
      </c>
      <c r="CT7" s="130">
        <f t="shared" si="3"/>
        <v>5.27</v>
      </c>
      <c r="CU7" s="130">
        <f>IF(CT7&lt;0,100000-$AP7,S7-$AP7)</f>
        <v>4.7300000000000004</v>
      </c>
      <c r="CV7" s="130">
        <f t="shared" si="4"/>
        <v>3.27</v>
      </c>
      <c r="CW7" s="130">
        <f t="shared" si="5"/>
        <v>2.73</v>
      </c>
      <c r="CX7" s="130">
        <f t="shared" si="6"/>
        <v>13.27</v>
      </c>
      <c r="CY7" s="130">
        <f t="shared" si="7"/>
        <v>12.73</v>
      </c>
      <c r="CZ7" s="130">
        <f t="shared" si="8"/>
        <v>11.27</v>
      </c>
      <c r="DA7" s="130">
        <f t="shared" si="9"/>
        <v>10.73</v>
      </c>
      <c r="DB7" s="130">
        <f t="shared" si="10"/>
        <v>2.27</v>
      </c>
      <c r="DC7" s="130">
        <f t="shared" si="11"/>
        <v>1.73</v>
      </c>
      <c r="DD7" s="130">
        <f t="shared" si="12"/>
        <v>3.27</v>
      </c>
      <c r="DE7" s="130">
        <f t="shared" si="13"/>
        <v>2.73</v>
      </c>
      <c r="DF7" s="130">
        <f t="shared" si="14"/>
        <v>4.2699999999999996</v>
      </c>
      <c r="DG7" s="130">
        <f t="shared" si="15"/>
        <v>3.73</v>
      </c>
      <c r="DH7" s="131"/>
      <c r="DI7" s="130">
        <f t="shared" si="16"/>
        <v>4.2699999999999996</v>
      </c>
      <c r="DJ7" s="130">
        <f t="shared" si="136"/>
        <v>-0.27</v>
      </c>
      <c r="DK7" s="130">
        <f t="shared" si="17"/>
        <v>1.27</v>
      </c>
      <c r="DL7" s="130">
        <f t="shared" si="18"/>
        <v>0.73</v>
      </c>
      <c r="DM7" s="130">
        <f t="shared" si="19"/>
        <v>6.27</v>
      </c>
      <c r="DN7" s="130">
        <f t="shared" si="20"/>
        <v>5.73</v>
      </c>
      <c r="DO7" s="130">
        <f t="shared" si="21"/>
        <v>5.27</v>
      </c>
      <c r="DP7" s="130">
        <f t="shared" si="22"/>
        <v>4.7300000000000004</v>
      </c>
      <c r="DQ7" s="130">
        <f t="shared" si="23"/>
        <v>16.27</v>
      </c>
      <c r="DR7" s="130">
        <f t="shared" si="24"/>
        <v>15.73</v>
      </c>
      <c r="DS7" s="130">
        <f t="shared" si="25"/>
        <v>-10.73</v>
      </c>
      <c r="DT7" s="130">
        <f t="shared" si="26"/>
        <v>-11.27</v>
      </c>
      <c r="DU7" s="130">
        <f t="shared" si="27"/>
        <v>5.27</v>
      </c>
      <c r="DV7" s="130">
        <f t="shared" si="28"/>
        <v>4.7300000000000004</v>
      </c>
      <c r="DW7" s="130">
        <f t="shared" si="29"/>
        <v>1.27</v>
      </c>
      <c r="DX7" s="130">
        <f t="shared" si="30"/>
        <v>0.73</v>
      </c>
      <c r="DY7" s="132"/>
      <c r="DZ7" s="115">
        <v>4</v>
      </c>
      <c r="EA7" s="115">
        <v>27</v>
      </c>
      <c r="EB7" s="10">
        <f t="shared" si="137"/>
        <v>11</v>
      </c>
      <c r="EC7" s="10">
        <f t="shared" si="138"/>
        <v>6</v>
      </c>
      <c r="ED7" s="10">
        <f t="shared" si="139"/>
        <v>2</v>
      </c>
      <c r="EE7" s="10">
        <f t="shared" si="140"/>
        <v>6</v>
      </c>
      <c r="EF7" s="10">
        <f t="shared" si="141"/>
        <v>16</v>
      </c>
      <c r="EG7" s="10">
        <f t="shared" si="142"/>
        <v>1</v>
      </c>
      <c r="EH7" s="10">
        <f t="shared" si="143"/>
        <v>11</v>
      </c>
      <c r="EI7" s="10">
        <f t="shared" si="144"/>
        <v>2</v>
      </c>
      <c r="EJ7" s="10">
        <f t="shared" si="145"/>
        <v>4</v>
      </c>
      <c r="EK7" s="10">
        <f t="shared" si="146"/>
        <v>13</v>
      </c>
      <c r="EL7" s="10">
        <f t="shared" si="147"/>
        <v>1</v>
      </c>
      <c r="EM7" s="10">
        <f t="shared" si="148"/>
        <v>15</v>
      </c>
      <c r="EN7" s="10">
        <f t="shared" si="149"/>
        <v>2</v>
      </c>
      <c r="EO7" s="10">
        <f t="shared" si="150"/>
        <v>10</v>
      </c>
      <c r="EP7" s="10">
        <f t="shared" si="151"/>
        <v>2</v>
      </c>
      <c r="EQ7" s="10">
        <f t="shared" si="152"/>
        <v>16</v>
      </c>
      <c r="ES7" s="10">
        <f t="shared" si="153"/>
        <v>9</v>
      </c>
      <c r="ET7" s="10">
        <f t="shared" si="154"/>
        <v>7</v>
      </c>
      <c r="EU7" s="10">
        <f t="shared" si="155"/>
        <v>3</v>
      </c>
      <c r="EV7" s="10">
        <f t="shared" si="154"/>
        <v>16</v>
      </c>
      <c r="EW7" s="10">
        <f t="shared" si="156"/>
        <v>2</v>
      </c>
      <c r="EX7" s="10">
        <f t="shared" si="157"/>
        <v>11</v>
      </c>
      <c r="EY7" s="10">
        <f t="shared" si="158"/>
        <v>15</v>
      </c>
      <c r="EZ7" s="10">
        <f t="shared" si="159"/>
        <v>6</v>
      </c>
      <c r="FA7" s="10">
        <f t="shared" si="160"/>
        <v>4</v>
      </c>
      <c r="FB7" s="10">
        <f t="shared" si="161"/>
        <v>11</v>
      </c>
      <c r="FC7" s="10">
        <f t="shared" si="162"/>
        <v>3</v>
      </c>
      <c r="FD7" s="10">
        <f t="shared" si="163"/>
        <v>2</v>
      </c>
      <c r="FE7" s="10">
        <f t="shared" si="164"/>
        <v>4</v>
      </c>
      <c r="FF7" s="10">
        <f t="shared" si="165"/>
        <v>11</v>
      </c>
      <c r="FG7" s="10">
        <f t="shared" si="166"/>
        <v>6</v>
      </c>
      <c r="FH7" s="10">
        <f t="shared" si="167"/>
        <v>16</v>
      </c>
      <c r="FJ7" s="10">
        <f t="shared" si="168"/>
        <v>2</v>
      </c>
      <c r="FK7" s="10">
        <f t="shared" si="169"/>
        <v>4</v>
      </c>
      <c r="FL7" s="10">
        <f t="shared" si="170"/>
        <v>5</v>
      </c>
      <c r="FM7" s="10">
        <f t="shared" si="171"/>
        <v>7</v>
      </c>
      <c r="FN7" s="10">
        <f t="shared" si="172"/>
        <v>15</v>
      </c>
      <c r="FO7" s="10">
        <f t="shared" si="173"/>
        <v>5</v>
      </c>
      <c r="FP7" s="10">
        <f t="shared" si="174"/>
        <v>5</v>
      </c>
      <c r="FQ7" s="10">
        <f t="shared" si="175"/>
        <v>3</v>
      </c>
      <c r="FR7" s="10">
        <f t="shared" si="176"/>
        <v>3</v>
      </c>
      <c r="FS7" s="10">
        <f t="shared" si="177"/>
        <v>14</v>
      </c>
      <c r="FT7" s="10">
        <f t="shared" si="178"/>
        <v>1</v>
      </c>
      <c r="FU7" s="10">
        <f t="shared" si="179"/>
        <v>4</v>
      </c>
      <c r="FV7" s="10">
        <f t="shared" si="180"/>
        <v>2</v>
      </c>
      <c r="FW7" s="10">
        <f t="shared" si="181"/>
        <v>7</v>
      </c>
      <c r="FX7" s="10">
        <f t="shared" si="182"/>
        <v>10</v>
      </c>
      <c r="FY7" s="10">
        <f t="shared" si="183"/>
        <v>8</v>
      </c>
      <c r="GA7" s="10">
        <f>IF(lg!$C$18=1,EB7,IF(lg!$C$18=2,ES7,FJ7))</f>
        <v>11</v>
      </c>
      <c r="GB7" s="10">
        <f>IF(lg!$C$18=1,EC7,IF(lg!$C$18=2,ET7,FK7))</f>
        <v>6</v>
      </c>
      <c r="GC7" s="10">
        <f>IF(lg!$C$18=1,ED7,IF(lg!$C$18=2,EU7,FL7))</f>
        <v>2</v>
      </c>
      <c r="GD7" s="10">
        <f>IF(lg!$C$18=1,EE7,IF(lg!$C$18=2,EV7,FM7))</f>
        <v>6</v>
      </c>
      <c r="GE7" s="10">
        <f>IF(lg!$C$18=1,EF7,IF(lg!$C$18=2,EW7,FN7))</f>
        <v>16</v>
      </c>
      <c r="GF7" s="10">
        <f>IF(lg!$C$18=1,EG7,IF(lg!$C$18=2,EX7,FO7))</f>
        <v>1</v>
      </c>
      <c r="GG7" s="10">
        <f>IF(lg!$C$18=1,EH7,IF(lg!$C$18=2,EY7,FP7))</f>
        <v>11</v>
      </c>
      <c r="GH7" s="10">
        <f>IF(lg!$C$18=1,EI7,IF(lg!$C$18=2,EZ7,FQ7))</f>
        <v>2</v>
      </c>
      <c r="GI7" s="10">
        <f>IF(lg!$C$18=1,EJ7,IF(lg!$C$18=2,FA7,FR7))</f>
        <v>4</v>
      </c>
      <c r="GJ7" s="10">
        <f>IF(lg!$C$18=1,EK7,IF(lg!$C$18=2,FB7,FS7))</f>
        <v>13</v>
      </c>
      <c r="GK7" s="10">
        <f>IF(lg!$C$18=1,EL7,IF(lg!$C$18=2,FC7,FT7))</f>
        <v>1</v>
      </c>
      <c r="GL7" s="10">
        <f>IF(lg!$C$18=1,EM7,IF(lg!$C$18=2,FD7,FU7))</f>
        <v>15</v>
      </c>
      <c r="GM7" s="10">
        <f>IF(lg!$C$18=1,EN7,IF(lg!$C$18=2,FE7,FV7))</f>
        <v>2</v>
      </c>
      <c r="GN7" s="10">
        <f>IF(lg!$C$18=1,EO7,IF(lg!$C$18=2,FF7,FW7))</f>
        <v>10</v>
      </c>
      <c r="GO7" s="10">
        <f>IF(lg!$C$18=1,EP7,IF(lg!$C$18=2,FG7,FX7))</f>
        <v>2</v>
      </c>
      <c r="GP7" s="10">
        <f>IF(lg!$C$18=1,EQ7,IF(lg!$C$18=2,FH7,FY7))</f>
        <v>16</v>
      </c>
      <c r="GR7" s="10" t="str">
        <f t="shared" si="184"/>
        <v>Dallas</v>
      </c>
      <c r="GS7" s="10" t="str">
        <f t="shared" si="31"/>
        <v>Kansas City</v>
      </c>
      <c r="GT7" s="10" t="str">
        <f t="shared" si="32"/>
        <v>New York Red Bulls</v>
      </c>
      <c r="GU7" s="10" t="str">
        <f t="shared" si="33"/>
        <v>Kansas City</v>
      </c>
      <c r="GV7" s="10" t="str">
        <f t="shared" si="34"/>
        <v>Chivas USA</v>
      </c>
      <c r="GW7" s="10" t="str">
        <f t="shared" si="35"/>
        <v>Columbus</v>
      </c>
      <c r="GX7" s="10" t="str">
        <f t="shared" si="36"/>
        <v>Dallas</v>
      </c>
      <c r="GY7" s="10" t="str">
        <f t="shared" si="37"/>
        <v>New York Red Bulls</v>
      </c>
      <c r="GZ7" s="10" t="str">
        <f t="shared" si="38"/>
        <v>New England</v>
      </c>
      <c r="HA7" s="10" t="str">
        <f t="shared" si="39"/>
        <v>Colorado</v>
      </c>
      <c r="HB7" s="10" t="str">
        <f t="shared" si="40"/>
        <v>Columbus</v>
      </c>
      <c r="HC7" s="10" t="str">
        <f t="shared" si="41"/>
        <v>Houston</v>
      </c>
      <c r="HD7" s="10" t="str">
        <f t="shared" si="42"/>
        <v>New York Red Bulls</v>
      </c>
      <c r="HE7" s="10" t="str">
        <f t="shared" si="43"/>
        <v>Real Salt Lake</v>
      </c>
      <c r="HF7" s="10" t="str">
        <f t="shared" si="44"/>
        <v>New York Red Bulls</v>
      </c>
      <c r="HG7" s="10" t="str">
        <f t="shared" si="45"/>
        <v>Chivas USA</v>
      </c>
      <c r="HI7" s="10">
        <v>4</v>
      </c>
      <c r="HJ7" s="115">
        <f>IF(lg!$C$18=1,F7,IF(lg!$C$18=2,R7,AD7))</f>
        <v>18</v>
      </c>
      <c r="HK7" s="115">
        <f>IF(lg!$C$18=1,G7,IF(lg!$C$18=2,S7,AE7))</f>
        <v>6</v>
      </c>
      <c r="HL7" s="115">
        <f>IF(lg!$C$18=1,H7,IF(lg!$C$18=2,T7,AF7))</f>
        <v>3</v>
      </c>
      <c r="HM7" s="115">
        <f>IF(lg!$C$18=1,I7,IF(lg!$C$18=2,U7,AG7))</f>
        <v>9</v>
      </c>
      <c r="HN7" s="115">
        <f>IF(lg!$C$18=1,J7,IF(lg!$C$18=2,V7,AH7))</f>
        <v>21</v>
      </c>
      <c r="HO7" s="115">
        <f>IF(lg!$C$18=1,K7,IF(lg!$C$18=2,W7,AI7))</f>
        <v>18</v>
      </c>
      <c r="HP7" s="115">
        <f>IF(lg!$C$18=1,L7,IF(lg!$C$18=2,X7,AJ7))</f>
        <v>27</v>
      </c>
      <c r="HQ7" s="115" t="str">
        <f>IF(lg!$C$18=1,M7,IF(lg!$C$18=2,Y7,AK7))</f>
        <v>18 - 27</v>
      </c>
      <c r="HR7" s="115">
        <f>IF(lg!$C$18=1,N7,IF(lg!$C$18=2,Z7,AL7))</f>
        <v>-9</v>
      </c>
      <c r="HS7" s="115">
        <f>IF(lg!$C$18=1,O7,IF(lg!$C$18=2,AA7,AM7))</f>
        <v>8</v>
      </c>
      <c r="HT7" s="115">
        <f>IF(lg!$C$18=1,P7,IF(lg!$C$18=2,AB7,AN7))</f>
        <v>5</v>
      </c>
      <c r="HV7" s="115">
        <f t="shared" si="185"/>
        <v>33</v>
      </c>
      <c r="HW7" s="115">
        <f t="shared" si="186"/>
        <v>20</v>
      </c>
      <c r="HX7" s="115">
        <f t="shared" si="187"/>
        <v>9</v>
      </c>
      <c r="HY7" s="115">
        <f t="shared" si="188"/>
        <v>5</v>
      </c>
      <c r="HZ7" s="115">
        <f t="shared" si="189"/>
        <v>10</v>
      </c>
      <c r="IA7" s="115">
        <f t="shared" si="190"/>
        <v>5</v>
      </c>
      <c r="IB7" s="115">
        <f t="shared" si="191"/>
        <v>27</v>
      </c>
      <c r="IC7" s="115">
        <f t="shared" si="192"/>
        <v>21</v>
      </c>
      <c r="ID7" s="115">
        <f t="shared" si="193"/>
        <v>27</v>
      </c>
      <c r="IE7" s="115">
        <f t="shared" si="194"/>
        <v>18</v>
      </c>
      <c r="IF7" s="115">
        <f t="shared" si="195"/>
        <v>9</v>
      </c>
      <c r="IG7" s="115">
        <f t="shared" si="196"/>
        <v>-8</v>
      </c>
      <c r="IH7" s="115">
        <f t="shared" si="197"/>
        <v>7</v>
      </c>
      <c r="II7" s="115">
        <f t="shared" si="198"/>
        <v>4</v>
      </c>
      <c r="IJ7" s="115">
        <f t="shared" si="199"/>
        <v>8</v>
      </c>
      <c r="IK7" s="115">
        <f t="shared" si="200"/>
        <v>4</v>
      </c>
      <c r="IN7" s="77" t="s">
        <v>136</v>
      </c>
      <c r="IO7" s="104" t="s">
        <v>126</v>
      </c>
      <c r="IP7" s="133">
        <f>VLOOKUP('ef-TeamStats'!B2,'ef-FT'!$E$4:$AN$23,7,0)</f>
        <v>32</v>
      </c>
      <c r="IQ7" s="133">
        <f>VLOOKUP('ef-TeamStats'!$B$2,Table!$B$4:$W$23,2,0)</f>
        <v>20</v>
      </c>
      <c r="IR7" s="134">
        <f t="shared" si="47"/>
        <v>1.6</v>
      </c>
      <c r="IS7" s="133">
        <f>MATCH('ef-TeamStats'!$B$2,$JY$4:$JY$33,0)</f>
        <v>2</v>
      </c>
      <c r="IT7" s="104"/>
      <c r="IU7" s="104" t="s">
        <v>126</v>
      </c>
      <c r="IV7" s="67">
        <f>VLOOKUP('ef-TeamStats'!G2,'ef-FT'!$E$4:$AN$23,7,0)</f>
        <v>27</v>
      </c>
      <c r="IW7" s="133">
        <f>VLOOKUP('ef-TeamStats'!$G$2,Table!$B$4:$W$23,2,0)</f>
        <v>19</v>
      </c>
      <c r="IX7" s="134">
        <f t="shared" si="48"/>
        <v>1.4210526315789473</v>
      </c>
      <c r="IY7" s="133">
        <f>MATCH('ef-TeamStats'!$G$2,$JY$4:$JY$33,0)</f>
        <v>4</v>
      </c>
      <c r="JB7" s="10">
        <f>IF(lg!$F$18=1,EB7,IF(lg!$F$18=2,ES7,FJ7))</f>
        <v>11</v>
      </c>
      <c r="JC7" s="10">
        <f>IF(lg!$F$18=1,EC7,IF(lg!$F$18=2,ET7,FK7))</f>
        <v>6</v>
      </c>
      <c r="JD7" s="10">
        <f>IF(lg!$F$18=1,ED7,IF(lg!$F$18=2,EU7,FL7))</f>
        <v>2</v>
      </c>
      <c r="JE7" s="10">
        <f>IF(lg!$F$18=1,EE7,IF(lg!$F$18=2,EV7,FM7))</f>
        <v>6</v>
      </c>
      <c r="JF7" s="10">
        <f>IF(lg!$F$18=1,EF7,IF(lg!$F$18=2,EW7,FN7))</f>
        <v>16</v>
      </c>
      <c r="JG7" s="10">
        <f>IF(lg!$F$18=1,EG7,IF(lg!$F$18=2,EX7,FO7))</f>
        <v>1</v>
      </c>
      <c r="JH7" s="10">
        <f>IF(lg!$F$18=1,EH7,IF(lg!$F$18=2,EY7,FP7))</f>
        <v>11</v>
      </c>
      <c r="JI7" s="10">
        <f>IF(lg!$F$18=1,EI7,IF(lg!$F$18=2,EZ7,FQ7))</f>
        <v>2</v>
      </c>
      <c r="JJ7" s="10">
        <f>IF(lg!$F$18=1,EJ7,IF(lg!$F$18=2,FA7,FR7))</f>
        <v>4</v>
      </c>
      <c r="JK7" s="10">
        <f>IF(lg!$F$18=1,EK7,IF(lg!$F$18=2,FB7,FS7))</f>
        <v>13</v>
      </c>
      <c r="JL7" s="10">
        <f>IF(lg!$F$18=1,EL7,IF(lg!$F$18=2,FC7,FT7))</f>
        <v>1</v>
      </c>
      <c r="JM7" s="10">
        <f>IF(lg!$F$18=1,EM7,IF(lg!$F$18=2,FD7,FU7))</f>
        <v>15</v>
      </c>
      <c r="JN7" s="10">
        <f>IF(lg!$F$18=1,EN7,IF(lg!$F$18=2,FE7,FV7))</f>
        <v>2</v>
      </c>
      <c r="JO7" s="10">
        <f>IF(lg!$F$18=1,EO7,IF(lg!$F$18=2,FF7,FW7))</f>
        <v>10</v>
      </c>
      <c r="JP7" s="10">
        <f>IF(lg!$F$18=1,EP7,IF(lg!$F$18=2,FG7,FX7))</f>
        <v>2</v>
      </c>
      <c r="JQ7" s="10">
        <f>IF(lg!$F$18=1,EQ7,IF(lg!$F$18=2,FH7,FY7))</f>
        <v>16</v>
      </c>
      <c r="JS7" s="10" t="str">
        <f t="shared" si="201"/>
        <v>Dallas</v>
      </c>
      <c r="JT7" s="10" t="str">
        <f t="shared" si="49"/>
        <v>Kansas City</v>
      </c>
      <c r="JU7" s="10" t="str">
        <f t="shared" si="50"/>
        <v>New York Red Bulls</v>
      </c>
      <c r="JV7" s="10" t="str">
        <f t="shared" si="51"/>
        <v>Kansas City</v>
      </c>
      <c r="JW7" s="10" t="str">
        <f t="shared" si="52"/>
        <v>Chivas USA</v>
      </c>
      <c r="JX7" s="10" t="str">
        <f t="shared" si="53"/>
        <v>Columbus</v>
      </c>
      <c r="JY7" s="10" t="str">
        <f t="shared" si="54"/>
        <v>Dallas</v>
      </c>
      <c r="JZ7" s="10" t="str">
        <f t="shared" si="55"/>
        <v>New York Red Bulls</v>
      </c>
      <c r="KA7" s="10" t="str">
        <f t="shared" si="56"/>
        <v>New England</v>
      </c>
      <c r="KB7" s="10" t="str">
        <f t="shared" si="57"/>
        <v>Colorado</v>
      </c>
      <c r="KC7" s="10" t="str">
        <f t="shared" si="58"/>
        <v>Columbus</v>
      </c>
      <c r="KD7" s="10" t="str">
        <f t="shared" si="59"/>
        <v>Houston</v>
      </c>
      <c r="KE7" s="10" t="str">
        <f t="shared" si="60"/>
        <v>New York Red Bulls</v>
      </c>
      <c r="KF7" s="10" t="str">
        <f t="shared" si="61"/>
        <v>Real Salt Lake</v>
      </c>
      <c r="KG7" s="10" t="str">
        <f t="shared" si="62"/>
        <v>New York Red Bulls</v>
      </c>
      <c r="KH7" s="10" t="str">
        <f t="shared" si="63"/>
        <v>Chivas USA</v>
      </c>
      <c r="KL7" s="27">
        <v>0.27</v>
      </c>
      <c r="KM7" s="29">
        <v>4</v>
      </c>
      <c r="KN7" s="31" t="str">
        <f t="shared" si="202"/>
        <v>New England</v>
      </c>
      <c r="KO7" s="152">
        <f t="shared" si="203"/>
        <v>0</v>
      </c>
      <c r="KP7" s="152">
        <f t="shared" si="204"/>
        <v>0</v>
      </c>
      <c r="KQ7" s="152">
        <f t="shared" si="205"/>
        <v>1</v>
      </c>
      <c r="KR7" s="28">
        <f t="shared" si="206"/>
        <v>999999990000.27002</v>
      </c>
      <c r="KS7" s="29"/>
      <c r="KT7" s="28"/>
      <c r="KU7" s="29">
        <f>RANK(KR7,KR$4:KR$11)</f>
        <v>4</v>
      </c>
      <c r="KV7" s="152">
        <f t="shared" si="207"/>
        <v>3</v>
      </c>
      <c r="KW7" s="152">
        <f t="shared" si="208"/>
        <v>2</v>
      </c>
      <c r="KX7" s="152">
        <f t="shared" si="209"/>
        <v>1</v>
      </c>
      <c r="KY7" s="28">
        <f t="shared" si="210"/>
        <v>1000300010002.27</v>
      </c>
      <c r="KZ7" s="29"/>
      <c r="LA7" s="28"/>
      <c r="LB7" s="29">
        <f>RANK(KY7,KY$4:KY$11)</f>
        <v>4</v>
      </c>
      <c r="LC7" s="152">
        <f t="shared" si="211"/>
        <v>6</v>
      </c>
      <c r="LD7" s="152">
        <f t="shared" si="212"/>
        <v>6</v>
      </c>
      <c r="LE7" s="152">
        <f t="shared" si="213"/>
        <v>2</v>
      </c>
      <c r="LF7" s="28">
        <f t="shared" si="214"/>
        <v>1000600040006.27</v>
      </c>
      <c r="LG7" s="29"/>
      <c r="LH7" s="28"/>
      <c r="LI7" s="29">
        <f>RANK(LF7,LF$4:LF$11)</f>
        <v>2</v>
      </c>
      <c r="LJ7" s="152">
        <f t="shared" si="215"/>
        <v>6</v>
      </c>
      <c r="LK7" s="152">
        <f t="shared" si="216"/>
        <v>6</v>
      </c>
      <c r="LL7" s="152">
        <f t="shared" si="217"/>
        <v>4</v>
      </c>
      <c r="LM7" s="28">
        <f t="shared" si="218"/>
        <v>1000600020006.27</v>
      </c>
      <c r="LN7" s="29"/>
      <c r="LO7" s="28"/>
      <c r="LP7" s="29">
        <f>RANK(LM7,LM$4:LM$11)</f>
        <v>4</v>
      </c>
      <c r="LQ7" s="152">
        <f t="shared" si="219"/>
        <v>6</v>
      </c>
      <c r="LR7" s="152">
        <f t="shared" si="220"/>
        <v>7</v>
      </c>
      <c r="LS7" s="152">
        <f t="shared" si="221"/>
        <v>6</v>
      </c>
      <c r="LT7" s="28">
        <f t="shared" si="222"/>
        <v>1000600010007.27</v>
      </c>
      <c r="LU7" s="29"/>
      <c r="LV7" s="28"/>
      <c r="LW7" s="29">
        <f>RANK(LT7,LT$4:LT$11)</f>
        <v>5</v>
      </c>
      <c r="LX7" s="152">
        <f t="shared" si="223"/>
        <v>7</v>
      </c>
      <c r="LY7" s="152">
        <f t="shared" si="224"/>
        <v>8</v>
      </c>
      <c r="LZ7" s="152">
        <f t="shared" si="225"/>
        <v>7</v>
      </c>
      <c r="MA7" s="28">
        <f t="shared" si="226"/>
        <v>1000700010008.27</v>
      </c>
      <c r="MB7" s="29"/>
      <c r="MC7" s="28"/>
      <c r="MD7" s="29">
        <f>RANK(MA7,MA$4:MA$11)</f>
        <v>4</v>
      </c>
      <c r="ME7" s="152">
        <f t="shared" si="227"/>
        <v>7</v>
      </c>
      <c r="MF7" s="152">
        <f t="shared" si="228"/>
        <v>8</v>
      </c>
      <c r="MG7" s="152">
        <f t="shared" si="229"/>
        <v>11</v>
      </c>
      <c r="MH7" s="28">
        <f t="shared" si="230"/>
        <v>1000699970008.27</v>
      </c>
      <c r="MI7" s="29"/>
      <c r="MJ7" s="28"/>
      <c r="MK7" s="29">
        <f>RANK(MH7,MH$4:MH$11)</f>
        <v>6</v>
      </c>
      <c r="ML7" s="152">
        <f t="shared" si="231"/>
        <v>7</v>
      </c>
      <c r="MM7" s="152">
        <f t="shared" si="232"/>
        <v>10</v>
      </c>
      <c r="MN7" s="152">
        <f t="shared" si="233"/>
        <v>14</v>
      </c>
      <c r="MO7" s="28">
        <f t="shared" si="234"/>
        <v>1000699960010.27</v>
      </c>
      <c r="MP7" s="29"/>
      <c r="MQ7" s="28"/>
      <c r="MR7" s="29">
        <f>RANK(MO7,MO$4:MO$11)</f>
        <v>6</v>
      </c>
      <c r="MS7" s="152">
        <f t="shared" si="235"/>
        <v>8</v>
      </c>
      <c r="MT7" s="152">
        <f t="shared" si="236"/>
        <v>10</v>
      </c>
      <c r="MU7" s="152">
        <f t="shared" si="237"/>
        <v>14</v>
      </c>
      <c r="MV7" s="28">
        <f t="shared" si="238"/>
        <v>1000799960010.27</v>
      </c>
      <c r="MW7" s="29"/>
      <c r="MX7" s="28"/>
      <c r="MY7" s="29">
        <f>RANK(MV7,MV$4:MV$11)</f>
        <v>5</v>
      </c>
      <c r="MZ7" s="152">
        <f t="shared" si="239"/>
        <v>8</v>
      </c>
      <c r="NA7" s="152">
        <f t="shared" si="240"/>
        <v>10</v>
      </c>
      <c r="NB7" s="152">
        <f t="shared" si="241"/>
        <v>15</v>
      </c>
      <c r="NC7" s="28">
        <f t="shared" si="242"/>
        <v>1000799950010.27</v>
      </c>
      <c r="ND7" s="29"/>
      <c r="NE7" s="28"/>
      <c r="NF7" s="29">
        <f>RANK(NC7,NC$4:NC$11)</f>
        <v>6</v>
      </c>
      <c r="NG7" s="152">
        <f t="shared" si="243"/>
        <v>11</v>
      </c>
      <c r="NH7" s="152">
        <f t="shared" si="244"/>
        <v>13</v>
      </c>
      <c r="NI7" s="152">
        <f t="shared" si="245"/>
        <v>17</v>
      </c>
      <c r="NJ7" s="28">
        <f t="shared" si="246"/>
        <v>1001099960013.27</v>
      </c>
      <c r="NK7" s="29"/>
      <c r="NL7" s="28"/>
      <c r="NM7" s="29">
        <f>RANK(NJ7,NJ$4:NJ$11)</f>
        <v>6</v>
      </c>
      <c r="NN7" s="152">
        <f t="shared" si="247"/>
        <v>11</v>
      </c>
      <c r="NO7" s="152">
        <f t="shared" si="248"/>
        <v>13</v>
      </c>
      <c r="NP7" s="152">
        <f t="shared" si="249"/>
        <v>20</v>
      </c>
      <c r="NQ7" s="28">
        <f t="shared" si="250"/>
        <v>1001099930013.27</v>
      </c>
      <c r="NR7" s="29"/>
      <c r="NS7" s="28"/>
      <c r="NT7" s="29">
        <f>RANK(NQ7,NQ$4:NQ$11)</f>
        <v>7</v>
      </c>
      <c r="NU7" s="152">
        <f t="shared" si="251"/>
        <v>11</v>
      </c>
      <c r="NV7" s="152">
        <f t="shared" si="252"/>
        <v>13</v>
      </c>
      <c r="NW7" s="152">
        <f t="shared" si="253"/>
        <v>21</v>
      </c>
      <c r="NX7" s="28">
        <f t="shared" si="254"/>
        <v>1001099920013.27</v>
      </c>
      <c r="NY7" s="29"/>
      <c r="NZ7" s="28"/>
      <c r="OA7" s="29">
        <f>RANK(NX7,NX$4:NX$11)</f>
        <v>7</v>
      </c>
      <c r="OB7" s="152">
        <f t="shared" si="255"/>
        <v>11</v>
      </c>
      <c r="OC7" s="152">
        <f t="shared" si="256"/>
        <v>13</v>
      </c>
      <c r="OD7" s="152">
        <f t="shared" si="257"/>
        <v>26</v>
      </c>
      <c r="OE7" s="28">
        <f t="shared" si="258"/>
        <v>1001099870013.27</v>
      </c>
      <c r="OF7" s="29"/>
      <c r="OG7" s="28"/>
      <c r="OH7" s="29">
        <f>RANK(OE7,OE$4:OE$11)</f>
        <v>7</v>
      </c>
      <c r="OI7" s="152">
        <f t="shared" si="259"/>
        <v>14</v>
      </c>
      <c r="OJ7" s="152">
        <f t="shared" si="260"/>
        <v>15</v>
      </c>
      <c r="OK7" s="152">
        <f t="shared" si="261"/>
        <v>26</v>
      </c>
      <c r="OL7" s="28">
        <f t="shared" si="262"/>
        <v>1001399890015.27</v>
      </c>
      <c r="OM7" s="29"/>
      <c r="ON7" s="28"/>
      <c r="OO7" s="29">
        <f>RANK(OL7,OL$4:OL$11)</f>
        <v>7</v>
      </c>
      <c r="OP7" s="152">
        <f t="shared" si="263"/>
        <v>15</v>
      </c>
      <c r="OQ7" s="152">
        <f t="shared" si="264"/>
        <v>16</v>
      </c>
      <c r="OR7" s="152">
        <f t="shared" si="265"/>
        <v>27</v>
      </c>
      <c r="OS7" s="28">
        <f t="shared" si="266"/>
        <v>1001499890016.27</v>
      </c>
      <c r="OT7" s="29"/>
      <c r="OU7" s="28"/>
      <c r="OV7" s="29">
        <f>RANK(OS7,OS$4:OS$11)</f>
        <v>7</v>
      </c>
      <c r="OW7" s="152">
        <f t="shared" si="267"/>
        <v>18</v>
      </c>
      <c r="OX7" s="152">
        <f t="shared" si="268"/>
        <v>17</v>
      </c>
      <c r="OY7" s="152">
        <f t="shared" si="269"/>
        <v>27</v>
      </c>
      <c r="OZ7" s="28">
        <f t="shared" si="270"/>
        <v>1001799900017.27</v>
      </c>
      <c r="PA7" s="29"/>
      <c r="PB7" s="28"/>
      <c r="PC7" s="29">
        <f>RANK(OZ7,OZ$4:OZ$11)</f>
        <v>6</v>
      </c>
      <c r="PD7" s="152">
        <f t="shared" si="271"/>
        <v>21</v>
      </c>
      <c r="PE7" s="152">
        <f t="shared" si="272"/>
        <v>18</v>
      </c>
      <c r="PF7" s="152">
        <f t="shared" si="273"/>
        <v>27</v>
      </c>
      <c r="PG7" s="28">
        <f t="shared" si="274"/>
        <v>1002099910018.27</v>
      </c>
      <c r="PH7" s="29"/>
      <c r="PI7" s="28"/>
      <c r="PJ7" s="29">
        <f>RANK(PG7,PG$4:PG$11)</f>
        <v>5</v>
      </c>
      <c r="PK7" s="152">
        <f t="shared" si="275"/>
        <v>21</v>
      </c>
      <c r="PL7" s="152">
        <f t="shared" si="276"/>
        <v>18</v>
      </c>
      <c r="PM7" s="152">
        <f t="shared" si="277"/>
        <v>27</v>
      </c>
      <c r="PN7" s="28">
        <f t="shared" si="278"/>
        <v>1002099910018.27</v>
      </c>
      <c r="PO7" s="29"/>
      <c r="PP7" s="28"/>
      <c r="PQ7" s="29">
        <f>RANK(PN7,PN$4:PN$11)</f>
        <v>5</v>
      </c>
      <c r="PR7" s="152">
        <f t="shared" si="279"/>
        <v>21</v>
      </c>
      <c r="PS7" s="152">
        <f t="shared" si="280"/>
        <v>18</v>
      </c>
      <c r="PT7" s="152">
        <f t="shared" si="281"/>
        <v>27</v>
      </c>
      <c r="PU7" s="28">
        <f t="shared" si="282"/>
        <v>1002099910018.27</v>
      </c>
      <c r="PV7" s="29"/>
      <c r="PW7" s="28"/>
      <c r="PX7" s="29">
        <f>RANK(PU7,PU$4:PU$11)</f>
        <v>5</v>
      </c>
      <c r="PY7" s="152">
        <f t="shared" si="283"/>
        <v>21</v>
      </c>
      <c r="PZ7" s="152">
        <f t="shared" si="284"/>
        <v>18</v>
      </c>
      <c r="QA7" s="152">
        <f t="shared" si="285"/>
        <v>27</v>
      </c>
      <c r="QB7" s="28">
        <f t="shared" si="286"/>
        <v>1002099910018.27</v>
      </c>
      <c r="QC7" s="29"/>
      <c r="QD7" s="28"/>
      <c r="QE7" s="29">
        <f>RANK(QB7,QB$4:QB$11)</f>
        <v>5</v>
      </c>
      <c r="QF7" s="152">
        <f t="shared" si="287"/>
        <v>21</v>
      </c>
      <c r="QG7" s="152">
        <f t="shared" si="288"/>
        <v>18</v>
      </c>
      <c r="QH7" s="152">
        <f t="shared" si="289"/>
        <v>27</v>
      </c>
      <c r="QI7" s="28">
        <f t="shared" si="290"/>
        <v>1002099910018.27</v>
      </c>
      <c r="QJ7" s="29"/>
      <c r="QK7" s="28"/>
      <c r="QL7" s="29">
        <f>RANK(QI7,QI$4:QI$11)</f>
        <v>5</v>
      </c>
      <c r="QM7" s="152">
        <f t="shared" si="291"/>
        <v>21</v>
      </c>
      <c r="QN7" s="152">
        <f t="shared" si="292"/>
        <v>18</v>
      </c>
      <c r="QO7" s="152">
        <f t="shared" si="293"/>
        <v>27</v>
      </c>
      <c r="QP7" s="28">
        <f t="shared" si="294"/>
        <v>1002099910018.27</v>
      </c>
      <c r="QQ7" s="29"/>
      <c r="QR7" s="28"/>
      <c r="QS7" s="29">
        <f>RANK(QP7,QP$4:QP$11)</f>
        <v>5</v>
      </c>
      <c r="QT7" s="152">
        <f t="shared" si="295"/>
        <v>21</v>
      </c>
      <c r="QU7" s="152">
        <f t="shared" si="296"/>
        <v>18</v>
      </c>
      <c r="QV7" s="152">
        <f t="shared" si="297"/>
        <v>27</v>
      </c>
      <c r="QW7" s="28">
        <f t="shared" si="298"/>
        <v>1002099910018.27</v>
      </c>
      <c r="QX7" s="29"/>
      <c r="QY7" s="28"/>
      <c r="QZ7" s="29">
        <f>RANK(QW7,QW$4:QW$11)</f>
        <v>5</v>
      </c>
      <c r="RA7" s="152">
        <f t="shared" si="299"/>
        <v>21</v>
      </c>
      <c r="RB7" s="152">
        <f t="shared" si="300"/>
        <v>18</v>
      </c>
      <c r="RC7" s="152">
        <f t="shared" si="301"/>
        <v>27</v>
      </c>
      <c r="RD7" s="28">
        <f t="shared" si="302"/>
        <v>1002099910018.27</v>
      </c>
      <c r="RE7" s="29"/>
      <c r="RF7" s="28"/>
      <c r="RG7" s="29">
        <f>RANK(RD7,RD$4:RD$11)</f>
        <v>5</v>
      </c>
      <c r="RH7" s="152">
        <f t="shared" si="303"/>
        <v>21</v>
      </c>
      <c r="RI7" s="152">
        <f t="shared" si="304"/>
        <v>18</v>
      </c>
      <c r="RJ7" s="152">
        <f t="shared" si="305"/>
        <v>27</v>
      </c>
      <c r="RK7" s="28">
        <f t="shared" si="306"/>
        <v>1002099910018.27</v>
      </c>
      <c r="RL7" s="29"/>
      <c r="RM7" s="28"/>
      <c r="RN7" s="29">
        <f>RANK(RK7,RK$4:RK$11)</f>
        <v>5</v>
      </c>
      <c r="RO7" s="152">
        <f t="shared" si="307"/>
        <v>21</v>
      </c>
      <c r="RP7" s="152">
        <f t="shared" si="308"/>
        <v>18</v>
      </c>
      <c r="RQ7" s="152">
        <f t="shared" si="309"/>
        <v>27</v>
      </c>
      <c r="RR7" s="28">
        <f t="shared" si="310"/>
        <v>1002099910018.27</v>
      </c>
      <c r="RS7" s="29"/>
      <c r="RT7" s="28"/>
      <c r="RU7" s="29">
        <f>RANK(RR7,RR$4:RR$11)</f>
        <v>5</v>
      </c>
      <c r="RV7" s="152">
        <f t="shared" si="311"/>
        <v>21</v>
      </c>
      <c r="RW7" s="152">
        <f t="shared" si="312"/>
        <v>18</v>
      </c>
      <c r="RX7" s="152">
        <f t="shared" si="313"/>
        <v>27</v>
      </c>
      <c r="RY7" s="28">
        <f t="shared" si="314"/>
        <v>1002099910018.27</v>
      </c>
      <c r="RZ7" s="29"/>
      <c r="SA7" s="28"/>
      <c r="SB7" s="29">
        <f>RANK(RY7,RY$4:RY$11)</f>
        <v>5</v>
      </c>
      <c r="SC7" s="152">
        <f t="shared" si="315"/>
        <v>21</v>
      </c>
      <c r="SD7" s="152">
        <f t="shared" si="316"/>
        <v>18</v>
      </c>
      <c r="SE7" s="152">
        <f t="shared" si="317"/>
        <v>27</v>
      </c>
      <c r="SF7" s="28">
        <f t="shared" si="318"/>
        <v>1002099910018.27</v>
      </c>
      <c r="SG7" s="29"/>
      <c r="SH7" s="28"/>
      <c r="SI7" s="29">
        <f>RANK(SF7,SF$4:SF$11)</f>
        <v>5</v>
      </c>
      <c r="SJ7" s="152">
        <f t="shared" si="319"/>
        <v>21</v>
      </c>
      <c r="SK7" s="152">
        <f t="shared" si="320"/>
        <v>18</v>
      </c>
      <c r="SL7" s="152">
        <f t="shared" si="321"/>
        <v>27</v>
      </c>
      <c r="SM7" s="28">
        <f t="shared" si="322"/>
        <v>1002099910018.27</v>
      </c>
      <c r="SN7" s="29"/>
      <c r="SO7" s="28"/>
      <c r="SP7" s="29">
        <f>RANK(SM7,SM$4:SM$11)</f>
        <v>5</v>
      </c>
      <c r="SQ7" s="152">
        <f t="shared" si="323"/>
        <v>21</v>
      </c>
      <c r="SR7" s="152">
        <f t="shared" si="324"/>
        <v>18</v>
      </c>
      <c r="SS7" s="152">
        <f t="shared" si="325"/>
        <v>27</v>
      </c>
      <c r="ST7" s="28">
        <f t="shared" si="326"/>
        <v>1002099910018.27</v>
      </c>
      <c r="SU7" s="29"/>
      <c r="SV7" s="28"/>
      <c r="SW7" s="29">
        <f>RANK(ST7,ST$4:ST$11)</f>
        <v>5</v>
      </c>
      <c r="SX7" s="152">
        <f t="shared" si="327"/>
        <v>21</v>
      </c>
      <c r="SY7" s="152">
        <f t="shared" si="328"/>
        <v>18</v>
      </c>
      <c r="SZ7" s="152">
        <f t="shared" si="329"/>
        <v>27</v>
      </c>
      <c r="TA7" s="28">
        <f t="shared" si="330"/>
        <v>1002099910018.27</v>
      </c>
      <c r="TB7" s="29"/>
      <c r="TC7" s="28"/>
      <c r="TD7" s="29">
        <f>RANK(TA7,TA$4:TA$11)</f>
        <v>5</v>
      </c>
      <c r="TE7" s="152">
        <f t="shared" si="331"/>
        <v>21</v>
      </c>
      <c r="TF7" s="152">
        <f t="shared" si="332"/>
        <v>18</v>
      </c>
      <c r="TG7" s="152">
        <f t="shared" si="333"/>
        <v>27</v>
      </c>
      <c r="TH7" s="28">
        <f t="shared" si="334"/>
        <v>1002099910018.27</v>
      </c>
      <c r="TI7" s="29"/>
      <c r="TJ7" s="28"/>
      <c r="TK7" s="29">
        <f>RANK(TH7,TH$4:TH$11)</f>
        <v>5</v>
      </c>
      <c r="TL7" s="152">
        <f t="shared" si="335"/>
        <v>21</v>
      </c>
      <c r="TM7" s="152">
        <f t="shared" si="336"/>
        <v>18</v>
      </c>
      <c r="TN7" s="152">
        <f t="shared" si="337"/>
        <v>27</v>
      </c>
      <c r="TO7" s="28">
        <f t="shared" si="338"/>
        <v>1002099910018.27</v>
      </c>
      <c r="TP7" s="29"/>
      <c r="TQ7" s="28"/>
      <c r="TR7" s="29">
        <f>RANK(TO7,TO$4:TO$11)</f>
        <v>5</v>
      </c>
      <c r="TS7" s="152">
        <f t="shared" si="339"/>
        <v>21</v>
      </c>
      <c r="TT7" s="152">
        <f t="shared" si="340"/>
        <v>18</v>
      </c>
      <c r="TU7" s="152">
        <f t="shared" si="341"/>
        <v>27</v>
      </c>
      <c r="TV7" s="28">
        <f t="shared" si="342"/>
        <v>1002099910018.27</v>
      </c>
      <c r="TW7" s="29"/>
      <c r="TX7" s="28"/>
      <c r="TY7" s="29">
        <f>RANK(TV7,TV$4:TV$11)</f>
        <v>5</v>
      </c>
      <c r="TZ7" s="152">
        <f t="shared" si="343"/>
        <v>21</v>
      </c>
      <c r="UA7" s="152">
        <f t="shared" si="344"/>
        <v>18</v>
      </c>
      <c r="UB7" s="152">
        <f t="shared" si="345"/>
        <v>27</v>
      </c>
      <c r="UC7" s="28">
        <f t="shared" si="346"/>
        <v>1002099910018.27</v>
      </c>
      <c r="UD7" s="29"/>
      <c r="UE7" s="28"/>
      <c r="UF7" s="29">
        <f>RANK(UC7,UC$4:UC$11)</f>
        <v>5</v>
      </c>
      <c r="UG7" s="152">
        <f t="shared" si="347"/>
        <v>21</v>
      </c>
      <c r="UH7" s="152">
        <f t="shared" si="348"/>
        <v>18</v>
      </c>
      <c r="UI7" s="152">
        <f t="shared" si="349"/>
        <v>27</v>
      </c>
      <c r="UJ7" s="28">
        <f t="shared" si="350"/>
        <v>1002099910018.27</v>
      </c>
      <c r="UK7" s="29"/>
      <c r="UL7" s="28"/>
      <c r="UM7" s="29">
        <f>RANK(UJ7,UJ$4:UJ$11)</f>
        <v>5</v>
      </c>
      <c r="UN7" s="152">
        <f t="shared" si="351"/>
        <v>21</v>
      </c>
      <c r="UO7" s="152">
        <f t="shared" si="352"/>
        <v>18</v>
      </c>
      <c r="UP7" s="152">
        <f t="shared" si="353"/>
        <v>27</v>
      </c>
      <c r="UQ7" s="28">
        <f t="shared" si="354"/>
        <v>1002099910018.27</v>
      </c>
      <c r="UR7" s="29"/>
      <c r="US7" s="28"/>
      <c r="UT7" s="29">
        <f>RANK(UQ7,UQ$4:UQ$11)</f>
        <v>5</v>
      </c>
      <c r="UU7" s="129"/>
      <c r="UV7" s="129" t="str">
        <f t="shared" si="355"/>
        <v>New England</v>
      </c>
      <c r="UW7" s="129">
        <f t="shared" si="356"/>
        <v>4</v>
      </c>
      <c r="UX7" s="129">
        <f t="shared" ca="1" si="357"/>
        <v>4</v>
      </c>
      <c r="UY7" s="129">
        <f t="shared" ca="1" si="64"/>
        <v>2</v>
      </c>
      <c r="UZ7" s="129">
        <f t="shared" ca="1" si="64"/>
        <v>4</v>
      </c>
      <c r="VA7" s="129">
        <f t="shared" ca="1" si="64"/>
        <v>5</v>
      </c>
      <c r="VB7" s="129">
        <f t="shared" ca="1" si="64"/>
        <v>4</v>
      </c>
      <c r="VC7" s="129">
        <f t="shared" ca="1" si="64"/>
        <v>6</v>
      </c>
      <c r="VD7" s="129">
        <f t="shared" ca="1" si="64"/>
        <v>6</v>
      </c>
      <c r="VE7" s="129">
        <f t="shared" ca="1" si="64"/>
        <v>5</v>
      </c>
      <c r="VF7" s="129">
        <f t="shared" ca="1" si="64"/>
        <v>6</v>
      </c>
      <c r="VG7" s="129">
        <f t="shared" ca="1" si="64"/>
        <v>6</v>
      </c>
      <c r="VH7" s="129">
        <f t="shared" ca="1" si="64"/>
        <v>7</v>
      </c>
      <c r="VI7" s="129">
        <f t="shared" ca="1" si="64"/>
        <v>7</v>
      </c>
      <c r="VJ7" s="129">
        <f t="shared" ca="1" si="64"/>
        <v>7</v>
      </c>
      <c r="VK7" s="129">
        <f t="shared" ca="1" si="64"/>
        <v>7</v>
      </c>
      <c r="VL7" s="129">
        <f t="shared" ca="1" si="64"/>
        <v>7</v>
      </c>
      <c r="VM7" s="129">
        <f t="shared" ca="1" si="64"/>
        <v>6</v>
      </c>
      <c r="VN7" s="129">
        <f t="shared" ca="1" si="64"/>
        <v>5</v>
      </c>
      <c r="VO7" s="129">
        <f t="shared" ca="1" si="65"/>
        <v>5</v>
      </c>
      <c r="VP7" s="129">
        <f t="shared" ca="1" si="65"/>
        <v>5</v>
      </c>
      <c r="VQ7" s="129">
        <f t="shared" ca="1" si="65"/>
        <v>5</v>
      </c>
      <c r="VR7" s="129">
        <f t="shared" ca="1" si="65"/>
        <v>5</v>
      </c>
      <c r="VS7" s="129">
        <f t="shared" ca="1" si="65"/>
        <v>5</v>
      </c>
      <c r="VT7" s="129">
        <f t="shared" ca="1" si="65"/>
        <v>5</v>
      </c>
      <c r="VU7" s="129">
        <f t="shared" ca="1" si="65"/>
        <v>5</v>
      </c>
      <c r="VV7" s="129">
        <f t="shared" ca="1" si="65"/>
        <v>5</v>
      </c>
      <c r="VW7" s="129">
        <f t="shared" ca="1" si="65"/>
        <v>5</v>
      </c>
      <c r="VX7" s="129">
        <f t="shared" ca="1" si="65"/>
        <v>5</v>
      </c>
      <c r="VY7" s="129">
        <f t="shared" ca="1" si="65"/>
        <v>5</v>
      </c>
      <c r="VZ7" s="129">
        <f t="shared" ca="1" si="65"/>
        <v>5</v>
      </c>
      <c r="WA7" s="129">
        <f t="shared" ca="1" si="65"/>
        <v>5</v>
      </c>
      <c r="WB7" s="129">
        <f t="shared" ca="1" si="65"/>
        <v>5</v>
      </c>
      <c r="WC7" s="129">
        <f t="shared" ca="1" si="65"/>
        <v>5</v>
      </c>
      <c r="WD7" s="129">
        <f t="shared" ca="1" si="65"/>
        <v>5</v>
      </c>
      <c r="WE7" s="129">
        <f t="shared" ca="1" si="66"/>
        <v>5</v>
      </c>
      <c r="WF7" s="129">
        <f t="shared" ca="1" si="66"/>
        <v>5</v>
      </c>
      <c r="WG7" s="129">
        <f t="shared" ca="1" si="66"/>
        <v>5</v>
      </c>
      <c r="WH7" s="129">
        <f t="shared" ca="1" si="66"/>
        <v>5</v>
      </c>
      <c r="WK7" s="87" t="str">
        <f t="shared" si="358"/>
        <v>New England</v>
      </c>
      <c r="WL7" s="87">
        <v>4</v>
      </c>
      <c r="WM7" s="87">
        <v>4</v>
      </c>
      <c r="WN7" s="87">
        <f t="shared" si="67"/>
        <v>4</v>
      </c>
      <c r="WO7" s="87">
        <f t="shared" ca="1" si="68"/>
        <v>4</v>
      </c>
      <c r="WP7" s="87">
        <f t="shared" ca="1" si="69"/>
        <v>2</v>
      </c>
      <c r="WQ7" s="87">
        <f t="shared" ca="1" si="70"/>
        <v>4</v>
      </c>
      <c r="WR7" s="87">
        <f t="shared" ca="1" si="71"/>
        <v>5</v>
      </c>
      <c r="WS7" s="87">
        <f t="shared" ca="1" si="72"/>
        <v>4</v>
      </c>
      <c r="WT7" s="87">
        <f t="shared" ca="1" si="73"/>
        <v>6</v>
      </c>
      <c r="WU7" s="87">
        <f t="shared" ca="1" si="74"/>
        <v>6</v>
      </c>
      <c r="WV7" s="87">
        <f t="shared" ca="1" si="75"/>
        <v>5</v>
      </c>
      <c r="WW7" s="87">
        <f t="shared" ca="1" si="76"/>
        <v>6</v>
      </c>
      <c r="WX7" s="87">
        <f t="shared" ca="1" si="77"/>
        <v>6</v>
      </c>
      <c r="WY7" s="87">
        <f t="shared" ca="1" si="78"/>
        <v>7</v>
      </c>
      <c r="WZ7" s="87">
        <f t="shared" ca="1" si="79"/>
        <v>7</v>
      </c>
      <c r="XA7" s="87">
        <f t="shared" ca="1" si="80"/>
        <v>7</v>
      </c>
      <c r="XB7" s="87">
        <f t="shared" ca="1" si="81"/>
        <v>7</v>
      </c>
      <c r="XC7" s="87">
        <f t="shared" ca="1" si="82"/>
        <v>7</v>
      </c>
      <c r="XD7" s="87">
        <f t="shared" ca="1" si="83"/>
        <v>6</v>
      </c>
      <c r="XE7" s="87">
        <f t="shared" ca="1" si="84"/>
        <v>5</v>
      </c>
      <c r="XF7" s="87">
        <f t="shared" ca="1" si="85"/>
        <v>5</v>
      </c>
      <c r="XG7" s="87">
        <f t="shared" ca="1" si="86"/>
        <v>5</v>
      </c>
      <c r="XH7" s="87" t="e">
        <f t="shared" si="87"/>
        <v>#N/A</v>
      </c>
      <c r="XI7" s="87" t="e">
        <f t="shared" si="88"/>
        <v>#N/A</v>
      </c>
      <c r="XJ7" s="87" t="e">
        <f t="shared" si="89"/>
        <v>#N/A</v>
      </c>
      <c r="XK7" s="87" t="e">
        <f t="shared" si="90"/>
        <v>#N/A</v>
      </c>
      <c r="XL7" s="87" t="e">
        <f t="shared" si="91"/>
        <v>#N/A</v>
      </c>
      <c r="XM7" s="87" t="e">
        <f t="shared" si="92"/>
        <v>#N/A</v>
      </c>
      <c r="XN7" s="87" t="e">
        <f t="shared" si="93"/>
        <v>#N/A</v>
      </c>
      <c r="XO7" s="87" t="e">
        <f t="shared" si="94"/>
        <v>#N/A</v>
      </c>
      <c r="XP7" s="87" t="e">
        <f t="shared" si="95"/>
        <v>#N/A</v>
      </c>
      <c r="XQ7" s="87" t="e">
        <f t="shared" si="96"/>
        <v>#N/A</v>
      </c>
      <c r="XR7" s="87" t="e">
        <f t="shared" si="97"/>
        <v>#N/A</v>
      </c>
      <c r="XS7" s="87" t="e">
        <f t="shared" si="98"/>
        <v>#N/A</v>
      </c>
      <c r="XT7" s="87" t="e">
        <f t="shared" si="99"/>
        <v>#N/A</v>
      </c>
      <c r="XU7" s="87" t="e">
        <f t="shared" si="100"/>
        <v>#N/A</v>
      </c>
      <c r="XV7" s="87" t="e">
        <f t="shared" si="101"/>
        <v>#N/A</v>
      </c>
      <c r="XW7" s="87" t="e">
        <f t="shared" si="102"/>
        <v>#N/A</v>
      </c>
      <c r="XX7" s="87" t="e">
        <f t="shared" si="103"/>
        <v>#N/A</v>
      </c>
      <c r="XY7" s="87" t="e">
        <f t="shared" si="104"/>
        <v>#N/A</v>
      </c>
      <c r="XZ7" s="241"/>
      <c r="YA7" s="241"/>
      <c r="YB7" s="280" t="str">
        <f>HistoriChart!T1</f>
        <v>Toronto FC</v>
      </c>
      <c r="YC7" s="163" t="str">
        <f t="shared" si="359"/>
        <v>Toronto FC</v>
      </c>
      <c r="YD7" s="280"/>
      <c r="YE7" s="163">
        <f>VLOOKUP($YC7,$WK$4:WL$33,YE$3+3,0)</f>
        <v>3</v>
      </c>
      <c r="YF7" s="163">
        <f>VLOOKUP($YC7,$WK$4:WM$33,YF$3+3,0)</f>
        <v>3</v>
      </c>
      <c r="YG7" s="163">
        <f>VLOOKUP($YC7,$WK$4:WN$33,YG$3+3,0)</f>
        <v>6</v>
      </c>
      <c r="YH7" s="163">
        <f ca="1">VLOOKUP($YC7,$WK$4:WO$33,YH$3+3,0)</f>
        <v>7</v>
      </c>
      <c r="YI7" s="163">
        <f ca="1">VLOOKUP($YC7,$WK$4:WP$33,YI$3+3,0)</f>
        <v>6</v>
      </c>
      <c r="YJ7" s="163">
        <f ca="1">VLOOKUP($YC7,$WK$4:WQ$33,YJ$3+3,0)</f>
        <v>7</v>
      </c>
      <c r="YK7" s="163">
        <f ca="1">VLOOKUP($YC7,$WK$4:WR$33,YK$3+3,0)</f>
        <v>6</v>
      </c>
      <c r="YL7" s="163">
        <f ca="1">VLOOKUP($YC7,$WK$4:WS$33,YL$3+3,0)</f>
        <v>6</v>
      </c>
      <c r="YM7" s="163">
        <f ca="1">VLOOKUP($YC7,$WK$4:WT$33,YM$3+3,0)</f>
        <v>3</v>
      </c>
      <c r="YN7" s="163">
        <f ca="1">VLOOKUP($YC7,$WK$4:WU$33,YN$3+3,0)</f>
        <v>3</v>
      </c>
      <c r="YO7" s="163">
        <f ca="1">VLOOKUP($YC7,$WK$4:WV$33,YO$3+3,0)</f>
        <v>3</v>
      </c>
      <c r="YP7" s="163">
        <f ca="1">VLOOKUP($YC7,$WK$4:WW$33,YP$3+3,0)</f>
        <v>2</v>
      </c>
      <c r="YQ7" s="163">
        <f ca="1">VLOOKUP($YC7,$WK$4:WX$33,YQ$3+3,0)</f>
        <v>3</v>
      </c>
      <c r="YR7" s="163">
        <f ca="1">VLOOKUP($YC7,$WK$4:WY$33,YR$3+3,0)</f>
        <v>3</v>
      </c>
      <c r="YS7" s="163">
        <f ca="1">VLOOKUP($YC7,$WK$4:WZ$33,YS$3+3,0)</f>
        <v>3</v>
      </c>
      <c r="YT7" s="163">
        <f ca="1">VLOOKUP($YC7,$WK$4:XA$33,YT$3+3,0)</f>
        <v>3</v>
      </c>
      <c r="YU7" s="163">
        <f ca="1">VLOOKUP($YC7,$WK$4:XB$33,YU$3+3,0)</f>
        <v>3</v>
      </c>
      <c r="YV7" s="163">
        <f ca="1">VLOOKUP($YC7,$WK$4:XC$33,YV$3+3,0)</f>
        <v>3</v>
      </c>
      <c r="YW7" s="163">
        <f ca="1">VLOOKUP($YC7,$WK$4:XD$33,YW$3+3,0)</f>
        <v>3</v>
      </c>
      <c r="YX7" s="163">
        <f ca="1">VLOOKUP($YC7,$WK$4:XE$33,YX$3+3,0)</f>
        <v>3</v>
      </c>
      <c r="YY7" s="163">
        <f ca="1">VLOOKUP($YC7,$WK$4:XF$33,YY$3+3,0)</f>
        <v>3</v>
      </c>
      <c r="YZ7" s="163">
        <f ca="1">VLOOKUP($YC7,$WK$4:XG$33,YZ$3+3,0)</f>
        <v>3</v>
      </c>
      <c r="ZA7" s="163" t="e">
        <f>VLOOKUP($YC7,$WK$4:XH$33,ZA$3+3,0)</f>
        <v>#N/A</v>
      </c>
      <c r="ZB7" s="163" t="e">
        <f>VLOOKUP($YC7,$WK$4:XI$33,ZB$3+3,0)</f>
        <v>#N/A</v>
      </c>
      <c r="ZC7" s="163" t="e">
        <f>VLOOKUP($YC7,$WK$4:XJ$33,ZC$3+3,0)</f>
        <v>#N/A</v>
      </c>
      <c r="ZD7" s="163" t="e">
        <f>VLOOKUP($YC7,$WK$4:XK$33,ZD$3+3,0)</f>
        <v>#N/A</v>
      </c>
      <c r="ZE7" s="163" t="e">
        <f>VLOOKUP($YC7,$WK$4:XL$33,ZE$3+3,0)</f>
        <v>#N/A</v>
      </c>
      <c r="ZF7" s="163" t="e">
        <f>VLOOKUP($YC7,$WK$4:XM$33,ZF$3+3,0)</f>
        <v>#N/A</v>
      </c>
      <c r="ZG7" s="163" t="e">
        <f>VLOOKUP($YC7,$WK$4:XN$33,ZG$3+3,0)</f>
        <v>#N/A</v>
      </c>
      <c r="ZH7" s="163" t="e">
        <f>VLOOKUP($YC7,$WK$4:XO$33,ZH$3+3,0)</f>
        <v>#N/A</v>
      </c>
      <c r="ZI7" s="163" t="e">
        <f>VLOOKUP($YC7,$WK$4:XP$33,ZI$3+3,0)</f>
        <v>#N/A</v>
      </c>
      <c r="ZJ7" s="163" t="e">
        <f>VLOOKUP($YC7,$WK$4:XQ$33,ZJ$3+3,0)</f>
        <v>#N/A</v>
      </c>
      <c r="ZK7" s="163" t="e">
        <f>VLOOKUP($YC7,$WK$4:XR$33,ZK$3+3,0)</f>
        <v>#N/A</v>
      </c>
      <c r="ZL7" s="163" t="e">
        <f>VLOOKUP($YC7,$WK$4:XS$33,ZL$3+3,0)</f>
        <v>#N/A</v>
      </c>
      <c r="ZM7" s="163" t="e">
        <f>VLOOKUP($YC7,$WK$4:XT$33,ZM$3+3,0)</f>
        <v>#N/A</v>
      </c>
      <c r="ZN7" s="163" t="e">
        <f>VLOOKUP($YC7,$WK$4:XU$33,ZN$3+3,0)</f>
        <v>#N/A</v>
      </c>
      <c r="ZO7" s="163" t="e">
        <f>VLOOKUP($YC7,$WK$4:XV$33,ZO$3+3,0)</f>
        <v>#N/A</v>
      </c>
      <c r="ZP7" s="163" t="e">
        <f>VLOOKUP($YC7,$WK$4:XW$33,ZP$3+3,0)</f>
        <v>#N/A</v>
      </c>
      <c r="ZQ7" s="163" t="e">
        <f>VLOOKUP($YC7,$WK$4:XX$33,ZQ$3+3,0)</f>
        <v>#N/A</v>
      </c>
      <c r="ZR7" s="163" t="e">
        <f>VLOOKUP($YC7,$WK$4:XY$33,ZR$3+3,0)</f>
        <v>#N/A</v>
      </c>
      <c r="ZS7" s="280"/>
      <c r="ZT7" s="280"/>
      <c r="ZU7" s="280"/>
      <c r="ZV7" s="280"/>
      <c r="ZW7" s="280"/>
      <c r="ZX7" s="280"/>
      <c r="ZY7" s="280"/>
      <c r="ZZ7" s="280"/>
      <c r="AAA7" s="280"/>
      <c r="AAB7" s="280"/>
      <c r="AAC7" s="280"/>
      <c r="AAD7" s="160"/>
      <c r="AAE7" s="160"/>
      <c r="AAF7" s="160"/>
      <c r="AAG7" s="160"/>
      <c r="AAH7" s="241"/>
      <c r="AAI7" s="241"/>
      <c r="AAJ7" s="241"/>
      <c r="AAK7" s="241"/>
      <c r="AAL7" s="241"/>
      <c r="AAM7" s="241"/>
      <c r="AAN7" s="241"/>
      <c r="AAO7" s="241"/>
      <c r="AAP7" s="241"/>
      <c r="AAQ7" s="241"/>
      <c r="AAR7" s="241"/>
      <c r="AAS7" s="241"/>
      <c r="AAT7" s="241"/>
      <c r="AAU7" s="241"/>
    </row>
    <row r="8" spans="4:723">
      <c r="D8" s="29">
        <v>5</v>
      </c>
      <c r="E8" s="31" t="s">
        <v>187</v>
      </c>
      <c r="F8" s="25">
        <f>SUMIF('ef-FT'!$C$2001:$C$3800,E8,'ef-FT'!$E$2001:$E$3800)</f>
        <v>16</v>
      </c>
      <c r="G8" s="25">
        <f>SUMIF('ef-FT'!$C$2001:$C$3800,E8,'ef-FT'!$F$2001:$F$3800)</f>
        <v>5</v>
      </c>
      <c r="H8" s="25">
        <f>SUMIF('ef-FT'!$C$2001:$C$3800,E8,'ef-FT'!$G$2001:$G$3800)</f>
        <v>6</v>
      </c>
      <c r="I8" s="25">
        <f>SUMIF('ef-FT'!$C$2001:$C$3800,E8,'ef-FT'!$H$2001:$H$3800)</f>
        <v>5</v>
      </c>
      <c r="J8" s="25">
        <f>SUMIF('ef-FT'!$C$2001:$C$3800,E8,'ef-FT'!$D$2001:$D$3800)</f>
        <v>21</v>
      </c>
      <c r="K8" s="25">
        <f>SUMIF('ef-FT'!$C$2001:$C$3800,E8,'ef-FT'!$I$2001:$I$3800)</f>
        <v>21</v>
      </c>
      <c r="L8" s="25">
        <f>SUMIF('ef-FT'!$C$2001:$C$3800,E8,'ef-FT'!$J$2001:$J$3800)</f>
        <v>21</v>
      </c>
      <c r="M8" s="25" t="str">
        <f>CONCATENATE(K8, " - ",L8)</f>
        <v>21 - 21</v>
      </c>
      <c r="N8" s="25">
        <f>K8-L8</f>
        <v>0</v>
      </c>
      <c r="O8" s="25">
        <f>SUMIF('ef-FT'!$C$2001:$C$3800,$E8,'ef-FT'!$K$2001:$K$3800)</f>
        <v>3</v>
      </c>
      <c r="P8" s="25">
        <f>SUMIF('ef-FT'!$C$2001:$C$3800,$E8,'ef-FT'!$L$2001:$L$3800)</f>
        <v>4</v>
      </c>
      <c r="Q8" s="55"/>
      <c r="R8" s="25">
        <f>SUMIF('ef-FT'!$C$2001:$C$2999,$E8,'ef-FT'!$E$2001:$E$2999)</f>
        <v>8</v>
      </c>
      <c r="S8" s="25">
        <f>SUMIF('ef-FT'!$C$2001:$C$2999,$E8,'ef-FT'!$F$2001:$F$2999)</f>
        <v>2</v>
      </c>
      <c r="T8" s="25">
        <f>SUMIF('ef-FT'!$C$2001:$C$2999,$E8,'ef-FT'!$G$2001:$G$2999)</f>
        <v>4</v>
      </c>
      <c r="U8" s="25">
        <f>SUMIF('ef-FT'!$C$2001:$C$2999,$E8,'ef-FT'!$H$2001:$H$2999)</f>
        <v>2</v>
      </c>
      <c r="V8" s="25">
        <f>SUMIF('ef-FT'!$C$2001:$C$2999,$E8,'ef-FT'!$D$2001:$D$2999)</f>
        <v>10</v>
      </c>
      <c r="W8" s="25">
        <f>SUMIF('ef-FT'!$C$2001:$C$2999,$E8,'ef-FT'!$I$2001:$I$2999)</f>
        <v>9</v>
      </c>
      <c r="X8" s="25">
        <f>SUMIF('ef-FT'!$C$2001:$C$2999,$E8,'ef-FT'!$J$2001:$J$2999)</f>
        <v>8</v>
      </c>
      <c r="Y8" s="25" t="str">
        <f t="shared" si="105"/>
        <v>9 - 8</v>
      </c>
      <c r="Z8" s="25">
        <f t="shared" si="106"/>
        <v>1</v>
      </c>
      <c r="AA8" s="25">
        <f>SUMIF('ef-FT'!$C$2001:$C$2999,$E8,'ef-FT'!$K$2001:$K$2999)</f>
        <v>2</v>
      </c>
      <c r="AB8" s="25">
        <f>SUMIF('ef-FT'!$C$2001:$C$2999,$E8,'ef-FT'!$L$2001:$L$2999)</f>
        <v>2</v>
      </c>
      <c r="AC8" s="55"/>
      <c r="AD8" s="25">
        <f>SUMIF('ef-FT'!$C$3000:$C$3800,$E8,'ef-FT'!$E$3000:$E$3800)</f>
        <v>8</v>
      </c>
      <c r="AE8" s="25">
        <f>SUMIF('ef-FT'!$C$3000:$C$3800,$E8,'ef-FT'!$F$3000:$F$3800)</f>
        <v>3</v>
      </c>
      <c r="AF8" s="25">
        <f>SUMIF('ef-FT'!$C$3000:$C$3800,$E8,'ef-FT'!$G$3000:$G$3800)</f>
        <v>2</v>
      </c>
      <c r="AG8" s="25">
        <f>SUMIF('ef-FT'!$C$3000:$C$3800,$E8,'ef-FT'!$H$3000:$H$3800)</f>
        <v>3</v>
      </c>
      <c r="AH8" s="25">
        <f>SUMIF('ef-FT'!$C$3000:$C$3800,$E8,'ef-FT'!$D$3000:$D$3800)</f>
        <v>11</v>
      </c>
      <c r="AI8" s="25">
        <f>SUMIF('ef-FT'!$C$3000:$C$3800,$E8,'ef-FT'!$I$3000:$I$3800)</f>
        <v>12</v>
      </c>
      <c r="AJ8" s="25">
        <f>SUMIF('ef-FT'!$C$3000:$C$3800,$E8,'ef-FT'!$J$3000:$J$3800)</f>
        <v>13</v>
      </c>
      <c r="AK8" s="25" t="str">
        <f t="shared" si="107"/>
        <v>12 - 13</v>
      </c>
      <c r="AL8" s="25">
        <f t="shared" si="108"/>
        <v>-1</v>
      </c>
      <c r="AM8" s="25">
        <f>SUMIF('ef-FT'!$C$3000:$C$3800,$E8,'ef-FT'!$K$3000:$K$3800)</f>
        <v>1</v>
      </c>
      <c r="AN8" s="25">
        <f>SUMIF('ef-FT'!$C$3000:$C$3800,$E8,'ef-FT'!$L$3000:$L$3800)</f>
        <v>2</v>
      </c>
      <c r="AO8" s="26"/>
      <c r="AP8" s="27">
        <v>0.26</v>
      </c>
      <c r="AQ8" s="28">
        <f t="shared" si="1"/>
        <v>1002100000021.26</v>
      </c>
      <c r="AR8" s="29">
        <v>5</v>
      </c>
      <c r="AS8" s="28">
        <f t="shared" si="109"/>
        <v>1002099910018.27</v>
      </c>
      <c r="AT8" s="29">
        <f t="shared" si="110"/>
        <v>4</v>
      </c>
      <c r="AU8" s="30" t="str">
        <f t="shared" si="111"/>
        <v>New England</v>
      </c>
      <c r="AV8" s="29">
        <f t="shared" si="112"/>
        <v>18</v>
      </c>
      <c r="AW8" s="29">
        <f t="shared" si="113"/>
        <v>6</v>
      </c>
      <c r="AX8" s="29">
        <f t="shared" si="114"/>
        <v>3</v>
      </c>
      <c r="AY8" s="29">
        <f t="shared" si="115"/>
        <v>9</v>
      </c>
      <c r="AZ8" s="29">
        <f t="shared" si="116"/>
        <v>21</v>
      </c>
      <c r="BA8" s="29" t="str">
        <f t="shared" si="117"/>
        <v>18 - 27</v>
      </c>
      <c r="BB8" s="29">
        <f t="shared" si="118"/>
        <v>-9</v>
      </c>
      <c r="BC8" s="90">
        <f>VLOOKUP($AT8,$D$4:R$33,15,0)</f>
        <v>10</v>
      </c>
      <c r="BD8" s="90">
        <f>VLOOKUP($AT8,$D$4:S$33,16,0)</f>
        <v>5</v>
      </c>
      <c r="BE8" s="90">
        <f>VLOOKUP($AT8,$D$4:T$33,17,0)</f>
        <v>2</v>
      </c>
      <c r="BF8" s="90">
        <f>VLOOKUP($AT8,$D$4:U$33,18,0)</f>
        <v>3</v>
      </c>
      <c r="BG8" s="90">
        <f>VLOOKUP($AT8,$D$4:V$33,19,0)</f>
        <v>17</v>
      </c>
      <c r="BH8" s="90" t="str">
        <f>VLOOKUP($AT8,$D$4:Y$33,22,0)</f>
        <v>13 - 11</v>
      </c>
      <c r="BI8" s="90">
        <f>VLOOKUP($AT8,$D$4:Z$33,23,0)</f>
        <v>2</v>
      </c>
      <c r="BJ8" s="90">
        <f>VLOOKUP($AT8,$D$4:AD$33,27,0)</f>
        <v>8</v>
      </c>
      <c r="BK8" s="90">
        <f>VLOOKUP($AT8,$D$4:AE$33,28,0)</f>
        <v>1</v>
      </c>
      <c r="BL8" s="90">
        <f>VLOOKUP($AT8,$D$4:AF$33,29,0)</f>
        <v>1</v>
      </c>
      <c r="BM8" s="90">
        <f>VLOOKUP($AT8,$D$4:AG$33,30,0)</f>
        <v>6</v>
      </c>
      <c r="BN8" s="90">
        <f>VLOOKUP($AT8,$D$4:AH$33,31,0)</f>
        <v>4</v>
      </c>
      <c r="BO8" s="90" t="str">
        <f>VLOOKUP($AT8,$D$4:AK$35,34,0)</f>
        <v>5 - 16</v>
      </c>
      <c r="BP8" s="90">
        <f>VLOOKUP($AT8,$D$4:AL$35,35,0)</f>
        <v>-11</v>
      </c>
      <c r="BS8" s="10" t="s">
        <v>32</v>
      </c>
      <c r="BT8" s="123">
        <v>0.33333333333333298</v>
      </c>
      <c r="BU8" s="123">
        <f t="shared" si="2"/>
        <v>0.16666666666666632</v>
      </c>
      <c r="BV8" s="10" t="s">
        <v>63</v>
      </c>
      <c r="CA8" s="130">
        <f t="shared" si="119"/>
        <v>21.26</v>
      </c>
      <c r="CB8" s="130">
        <f t="shared" si="120"/>
        <v>20.74</v>
      </c>
      <c r="CC8" s="130">
        <f t="shared" si="121"/>
        <v>5.26</v>
      </c>
      <c r="CD8" s="130">
        <f t="shared" si="122"/>
        <v>4.74</v>
      </c>
      <c r="CE8" s="130">
        <f t="shared" si="123"/>
        <v>5.26</v>
      </c>
      <c r="CF8" s="130">
        <f t="shared" si="124"/>
        <v>4.74</v>
      </c>
      <c r="CG8" s="130">
        <f t="shared" si="125"/>
        <v>21.26</v>
      </c>
      <c r="CH8" s="130">
        <f t="shared" si="126"/>
        <v>20.74</v>
      </c>
      <c r="CI8" s="130">
        <f t="shared" si="127"/>
        <v>21.26</v>
      </c>
      <c r="CJ8" s="130">
        <f t="shared" si="128"/>
        <v>20.74</v>
      </c>
      <c r="CK8" s="130">
        <f t="shared" si="129"/>
        <v>0.26</v>
      </c>
      <c r="CL8" s="130">
        <f t="shared" si="130"/>
        <v>-0.26</v>
      </c>
      <c r="CM8" s="130">
        <f t="shared" si="131"/>
        <v>3.26</v>
      </c>
      <c r="CN8" s="130">
        <f t="shared" si="132"/>
        <v>2.74</v>
      </c>
      <c r="CO8" s="130">
        <f t="shared" si="133"/>
        <v>4.26</v>
      </c>
      <c r="CP8" s="130">
        <f t="shared" si="134"/>
        <v>3.74</v>
      </c>
      <c r="CQ8" s="131"/>
      <c r="CR8" s="130">
        <f>IF($E8=0,-1+$AP8,V8+$AP8)</f>
        <v>10.26</v>
      </c>
      <c r="CS8" s="130">
        <f t="shared" si="135"/>
        <v>9.74</v>
      </c>
      <c r="CT8" s="130">
        <f>IF($E8=0,-1+$AP8,S8+$AP8)</f>
        <v>2.2599999999999998</v>
      </c>
      <c r="CU8" s="130">
        <f>IF(CT8&lt;0,100000-$AP8,S8-$AP8)</f>
        <v>1.74</v>
      </c>
      <c r="CV8" s="130">
        <f>IF($E8=0,-1+$AP8,U8+$AP8)</f>
        <v>2.2599999999999998</v>
      </c>
      <c r="CW8" s="130">
        <f>IF(CV8&lt;0,100000-$AP8,U8-$AP8)</f>
        <v>1.74</v>
      </c>
      <c r="CX8" s="130">
        <f>IF($E8=0,-1+$AP8,W8+$AP8)</f>
        <v>9.26</v>
      </c>
      <c r="CY8" s="130">
        <f>IF(CX8&lt;0,100000-$AP8,W8-$AP8)</f>
        <v>8.74</v>
      </c>
      <c r="CZ8" s="130">
        <f>IF($E8=0,-1+$AP8,X8+$AP8)</f>
        <v>8.26</v>
      </c>
      <c r="DA8" s="130">
        <f>IF(CZ8&lt;0,100000-$AP8,X8-$AP8)</f>
        <v>7.74</v>
      </c>
      <c r="DB8" s="130">
        <f>IF($E8=0,-100000+$AP8,Z8+$AP8)</f>
        <v>1.26</v>
      </c>
      <c r="DC8" s="130">
        <f>IF(DB8&lt;-50000,100000+$AP8,Z8-$AP8)</f>
        <v>0.74</v>
      </c>
      <c r="DD8" s="130">
        <f>IF($E8=0,-1+$AP8,AA8+$AP8)</f>
        <v>2.2599999999999998</v>
      </c>
      <c r="DE8" s="130">
        <f>IF(DD8&lt;0,100000-$AP8,AA8-$AP8)</f>
        <v>1.74</v>
      </c>
      <c r="DF8" s="130">
        <f>IF($E8=0,-1+$AP8,AB8+$AP8)</f>
        <v>2.2599999999999998</v>
      </c>
      <c r="DG8" s="130">
        <f>IF(DF8&lt;0,100000-$AP8,AB8-$AP8)</f>
        <v>1.74</v>
      </c>
      <c r="DH8" s="131"/>
      <c r="DI8" s="130">
        <f t="shared" si="16"/>
        <v>11.26</v>
      </c>
      <c r="DJ8" s="130">
        <f t="shared" si="136"/>
        <v>-0.26</v>
      </c>
      <c r="DK8" s="130">
        <f t="shared" si="17"/>
        <v>3.26</v>
      </c>
      <c r="DL8" s="130">
        <f t="shared" si="18"/>
        <v>2.74</v>
      </c>
      <c r="DM8" s="130">
        <f t="shared" si="19"/>
        <v>3.26</v>
      </c>
      <c r="DN8" s="130">
        <f t="shared" si="20"/>
        <v>2.74</v>
      </c>
      <c r="DO8" s="130">
        <f t="shared" si="21"/>
        <v>12.26</v>
      </c>
      <c r="DP8" s="130">
        <f t="shared" si="22"/>
        <v>11.74</v>
      </c>
      <c r="DQ8" s="130">
        <f t="shared" si="23"/>
        <v>13.26</v>
      </c>
      <c r="DR8" s="130">
        <f t="shared" si="24"/>
        <v>12.74</v>
      </c>
      <c r="DS8" s="130">
        <f t="shared" si="25"/>
        <v>-0.74</v>
      </c>
      <c r="DT8" s="130">
        <f t="shared" si="26"/>
        <v>-1.26</v>
      </c>
      <c r="DU8" s="130">
        <f t="shared" si="27"/>
        <v>1.26</v>
      </c>
      <c r="DV8" s="130">
        <f t="shared" si="28"/>
        <v>0.74</v>
      </c>
      <c r="DW8" s="130">
        <f t="shared" si="29"/>
        <v>2.2599999999999998</v>
      </c>
      <c r="DX8" s="130">
        <f t="shared" si="30"/>
        <v>1.74</v>
      </c>
      <c r="DY8" s="132"/>
      <c r="DZ8" s="115">
        <v>5</v>
      </c>
      <c r="EA8" s="115">
        <v>26</v>
      </c>
      <c r="EB8" s="10">
        <f t="shared" si="137"/>
        <v>2</v>
      </c>
      <c r="EC8" s="10">
        <f t="shared" si="138"/>
        <v>15</v>
      </c>
      <c r="ED8" s="10">
        <f t="shared" si="139"/>
        <v>11</v>
      </c>
      <c r="EE8" s="10">
        <f t="shared" si="140"/>
        <v>15</v>
      </c>
      <c r="EF8" s="10">
        <f t="shared" si="141"/>
        <v>4</v>
      </c>
      <c r="EG8" s="10">
        <f t="shared" si="142"/>
        <v>5</v>
      </c>
      <c r="EH8" s="10">
        <f t="shared" si="143"/>
        <v>7</v>
      </c>
      <c r="EI8" s="10">
        <f t="shared" si="144"/>
        <v>3</v>
      </c>
      <c r="EJ8" s="10">
        <f t="shared" si="145"/>
        <v>12</v>
      </c>
      <c r="EK8" s="10">
        <f t="shared" si="146"/>
        <v>1</v>
      </c>
      <c r="EL8" s="10">
        <f t="shared" si="147"/>
        <v>13</v>
      </c>
      <c r="EM8" s="10">
        <f t="shared" si="148"/>
        <v>6</v>
      </c>
      <c r="EN8" s="10">
        <f t="shared" si="149"/>
        <v>15</v>
      </c>
      <c r="EO8" s="10">
        <f t="shared" si="150"/>
        <v>13</v>
      </c>
      <c r="EP8" s="10">
        <f t="shared" si="151"/>
        <v>12</v>
      </c>
      <c r="EQ8" s="10">
        <f t="shared" si="152"/>
        <v>4</v>
      </c>
      <c r="ES8" s="10">
        <f t="shared" si="153"/>
        <v>2</v>
      </c>
      <c r="ET8" s="10">
        <f t="shared" si="154"/>
        <v>14</v>
      </c>
      <c r="EU8" s="10">
        <f t="shared" si="155"/>
        <v>9</v>
      </c>
      <c r="EV8" s="10">
        <f t="shared" si="154"/>
        <v>6</v>
      </c>
      <c r="EW8" s="10">
        <f t="shared" si="156"/>
        <v>4</v>
      </c>
      <c r="EX8" s="10">
        <f t="shared" si="157"/>
        <v>13</v>
      </c>
      <c r="EY8" s="10">
        <f t="shared" si="158"/>
        <v>3</v>
      </c>
      <c r="EZ8" s="10">
        <f t="shared" si="159"/>
        <v>13</v>
      </c>
      <c r="FA8" s="10">
        <f t="shared" si="160"/>
        <v>15</v>
      </c>
      <c r="FB8" s="10">
        <f t="shared" si="161"/>
        <v>13</v>
      </c>
      <c r="FC8" s="10">
        <f t="shared" si="162"/>
        <v>11</v>
      </c>
      <c r="FD8" s="10">
        <f t="shared" si="163"/>
        <v>4</v>
      </c>
      <c r="FE8" s="10">
        <f t="shared" si="164"/>
        <v>12</v>
      </c>
      <c r="FF8" s="10">
        <f t="shared" si="165"/>
        <v>13</v>
      </c>
      <c r="FG8" s="10">
        <f t="shared" si="166"/>
        <v>2</v>
      </c>
      <c r="FH8" s="10">
        <f t="shared" si="167"/>
        <v>9</v>
      </c>
      <c r="FJ8" s="10">
        <f t="shared" si="168"/>
        <v>10</v>
      </c>
      <c r="FK8" s="10">
        <f t="shared" si="169"/>
        <v>5</v>
      </c>
      <c r="FL8" s="10">
        <f t="shared" si="170"/>
        <v>10</v>
      </c>
      <c r="FM8" s="10">
        <f t="shared" si="171"/>
        <v>8</v>
      </c>
      <c r="FN8" s="10">
        <f t="shared" si="172"/>
        <v>4</v>
      </c>
      <c r="FO8" s="10">
        <f t="shared" si="173"/>
        <v>14</v>
      </c>
      <c r="FP8" s="10">
        <f t="shared" si="174"/>
        <v>2</v>
      </c>
      <c r="FQ8" s="10">
        <f t="shared" si="175"/>
        <v>15</v>
      </c>
      <c r="FR8" s="10">
        <f t="shared" si="176"/>
        <v>4</v>
      </c>
      <c r="FS8" s="10">
        <f t="shared" si="177"/>
        <v>13</v>
      </c>
      <c r="FT8" s="10">
        <f t="shared" si="178"/>
        <v>5</v>
      </c>
      <c r="FU8" s="10">
        <f t="shared" si="179"/>
        <v>3</v>
      </c>
      <c r="FV8" s="10">
        <f t="shared" si="180"/>
        <v>3</v>
      </c>
      <c r="FW8" s="10">
        <f t="shared" si="181"/>
        <v>10</v>
      </c>
      <c r="FX8" s="10">
        <f t="shared" si="182"/>
        <v>14</v>
      </c>
      <c r="FY8" s="10">
        <f t="shared" si="183"/>
        <v>11</v>
      </c>
      <c r="GA8" s="10">
        <f>IF(lg!$C$18=1,EB8,IF(lg!$C$18=2,ES8,FJ8))</f>
        <v>2</v>
      </c>
      <c r="GB8" s="10">
        <f>IF(lg!$C$18=1,EC8,IF(lg!$C$18=2,ET8,FK8))</f>
        <v>15</v>
      </c>
      <c r="GC8" s="10">
        <f>IF(lg!$C$18=1,ED8,IF(lg!$C$18=2,EU8,FL8))</f>
        <v>11</v>
      </c>
      <c r="GD8" s="10">
        <f>IF(lg!$C$18=1,EE8,IF(lg!$C$18=2,EV8,FM8))</f>
        <v>15</v>
      </c>
      <c r="GE8" s="10">
        <f>IF(lg!$C$18=1,EF8,IF(lg!$C$18=2,EW8,FN8))</f>
        <v>4</v>
      </c>
      <c r="GF8" s="10">
        <f>IF(lg!$C$18=1,EG8,IF(lg!$C$18=2,EX8,FO8))</f>
        <v>5</v>
      </c>
      <c r="GG8" s="10">
        <f>IF(lg!$C$18=1,EH8,IF(lg!$C$18=2,EY8,FP8))</f>
        <v>7</v>
      </c>
      <c r="GH8" s="10">
        <f>IF(lg!$C$18=1,EI8,IF(lg!$C$18=2,EZ8,FQ8))</f>
        <v>3</v>
      </c>
      <c r="GI8" s="10">
        <f>IF(lg!$C$18=1,EJ8,IF(lg!$C$18=2,FA8,FR8))</f>
        <v>12</v>
      </c>
      <c r="GJ8" s="10">
        <f>IF(lg!$C$18=1,EK8,IF(lg!$C$18=2,FB8,FS8))</f>
        <v>1</v>
      </c>
      <c r="GK8" s="10">
        <f>IF(lg!$C$18=1,EL8,IF(lg!$C$18=2,FC8,FT8))</f>
        <v>13</v>
      </c>
      <c r="GL8" s="10">
        <f>IF(lg!$C$18=1,EM8,IF(lg!$C$18=2,FD8,FU8))</f>
        <v>6</v>
      </c>
      <c r="GM8" s="10">
        <f>IF(lg!$C$18=1,EN8,IF(lg!$C$18=2,FE8,FV8))</f>
        <v>15</v>
      </c>
      <c r="GN8" s="10">
        <f>IF(lg!$C$18=1,EO8,IF(lg!$C$18=2,FF8,FW8))</f>
        <v>13</v>
      </c>
      <c r="GO8" s="10">
        <f>IF(lg!$C$18=1,EP8,IF(lg!$C$18=2,FG8,FX8))</f>
        <v>12</v>
      </c>
      <c r="GP8" s="10">
        <f>IF(lg!$C$18=1,EQ8,IF(lg!$C$18=2,FH8,FY8))</f>
        <v>4</v>
      </c>
      <c r="GR8" s="10" t="str">
        <f t="shared" si="184"/>
        <v>New York Red Bulls</v>
      </c>
      <c r="GS8" s="10" t="str">
        <f t="shared" si="31"/>
        <v>Houston</v>
      </c>
      <c r="GT8" s="10" t="str">
        <f t="shared" si="32"/>
        <v>Dallas</v>
      </c>
      <c r="GU8" s="10" t="str">
        <f t="shared" si="33"/>
        <v>Houston</v>
      </c>
      <c r="GV8" s="10" t="str">
        <f t="shared" si="34"/>
        <v>New England</v>
      </c>
      <c r="GW8" s="10" t="str">
        <f t="shared" si="35"/>
        <v>Chicago</v>
      </c>
      <c r="GX8" s="10" t="str">
        <f t="shared" si="36"/>
        <v>Philadelphia Union</v>
      </c>
      <c r="GY8" s="10" t="str">
        <f t="shared" si="37"/>
        <v>Toronto FC</v>
      </c>
      <c r="GZ8" s="10" t="str">
        <f t="shared" si="38"/>
        <v>Seattle Sounders FC</v>
      </c>
      <c r="HA8" s="10" t="str">
        <f t="shared" si="39"/>
        <v>Columbus</v>
      </c>
      <c r="HB8" s="10" t="str">
        <f t="shared" si="40"/>
        <v>Colorado</v>
      </c>
      <c r="HC8" s="10" t="str">
        <f t="shared" si="41"/>
        <v>Kansas City</v>
      </c>
      <c r="HD8" s="10" t="str">
        <f t="shared" si="42"/>
        <v>Houston</v>
      </c>
      <c r="HE8" s="10" t="str">
        <f t="shared" si="43"/>
        <v>Colorado</v>
      </c>
      <c r="HF8" s="10" t="str">
        <f t="shared" si="44"/>
        <v>Seattle Sounders FC</v>
      </c>
      <c r="HG8" s="10" t="str">
        <f t="shared" si="45"/>
        <v>New England</v>
      </c>
      <c r="HI8" s="10">
        <v>5</v>
      </c>
      <c r="HJ8" s="115">
        <f>IF(lg!$C$18=1,F8,IF(lg!$C$18=2,R8,AD8))</f>
        <v>16</v>
      </c>
      <c r="HK8" s="115">
        <f>IF(lg!$C$18=1,G8,IF(lg!$C$18=2,S8,AE8))</f>
        <v>5</v>
      </c>
      <c r="HL8" s="115">
        <f>IF(lg!$C$18=1,H8,IF(lg!$C$18=2,T8,AF8))</f>
        <v>6</v>
      </c>
      <c r="HM8" s="115">
        <f>IF(lg!$C$18=1,I8,IF(lg!$C$18=2,U8,AG8))</f>
        <v>5</v>
      </c>
      <c r="HN8" s="115">
        <f>IF(lg!$C$18=1,J8,IF(lg!$C$18=2,V8,AH8))</f>
        <v>21</v>
      </c>
      <c r="HO8" s="115">
        <f>IF(lg!$C$18=1,K8,IF(lg!$C$18=2,W8,AI8))</f>
        <v>21</v>
      </c>
      <c r="HP8" s="115">
        <f>IF(lg!$C$18=1,L8,IF(lg!$C$18=2,X8,AJ8))</f>
        <v>21</v>
      </c>
      <c r="HQ8" s="115" t="str">
        <f>IF(lg!$C$18=1,M8,IF(lg!$C$18=2,Y8,AK8))</f>
        <v>21 - 21</v>
      </c>
      <c r="HR8" s="115">
        <f>IF(lg!$C$18=1,N8,IF(lg!$C$18=2,Z8,AL8))</f>
        <v>0</v>
      </c>
      <c r="HS8" s="115">
        <f>IF(lg!$C$18=1,O8,IF(lg!$C$18=2,AA8,AM8))</f>
        <v>3</v>
      </c>
      <c r="HT8" s="115">
        <f>IF(lg!$C$18=1,P8,IF(lg!$C$18=2,AB8,AN8))</f>
        <v>4</v>
      </c>
      <c r="HV8" s="115">
        <f t="shared" si="185"/>
        <v>31</v>
      </c>
      <c r="HW8" s="115">
        <f t="shared" si="186"/>
        <v>20</v>
      </c>
      <c r="HX8" s="115">
        <f t="shared" si="187"/>
        <v>8</v>
      </c>
      <c r="HY8" s="115">
        <f t="shared" si="188"/>
        <v>5</v>
      </c>
      <c r="HZ8" s="115">
        <f t="shared" si="189"/>
        <v>9</v>
      </c>
      <c r="IA8" s="115">
        <f t="shared" si="190"/>
        <v>5</v>
      </c>
      <c r="IB8" s="115">
        <f t="shared" si="191"/>
        <v>23</v>
      </c>
      <c r="IC8" s="115">
        <f t="shared" si="192"/>
        <v>21</v>
      </c>
      <c r="ID8" s="115">
        <f t="shared" si="193"/>
        <v>25</v>
      </c>
      <c r="IE8" s="115">
        <f t="shared" si="194"/>
        <v>19</v>
      </c>
      <c r="IF8" s="115">
        <f t="shared" si="195"/>
        <v>3</v>
      </c>
      <c r="IG8" s="115">
        <f t="shared" si="196"/>
        <v>-7</v>
      </c>
      <c r="IH8" s="115">
        <f t="shared" si="197"/>
        <v>7</v>
      </c>
      <c r="II8" s="115">
        <f t="shared" si="198"/>
        <v>4</v>
      </c>
      <c r="IJ8" s="115">
        <f t="shared" si="199"/>
        <v>8</v>
      </c>
      <c r="IK8" s="115">
        <f t="shared" si="200"/>
        <v>5</v>
      </c>
      <c r="IN8" s="77" t="s">
        <v>74</v>
      </c>
      <c r="IO8" s="104" t="s">
        <v>126</v>
      </c>
      <c r="IP8" s="133">
        <f>VLOOKUP('ef-TeamStats'!B2,'ef-FT'!$E$4:$AN$23,8,0)</f>
        <v>13</v>
      </c>
      <c r="IQ8" s="133">
        <f>VLOOKUP('ef-TeamStats'!$B$2,Table!$B$4:$W$23,2,0)</f>
        <v>20</v>
      </c>
      <c r="IR8" s="134">
        <f t="shared" si="47"/>
        <v>0.65</v>
      </c>
      <c r="IS8" s="133">
        <f>MATCH('ef-TeamStats'!$B$2,$KA$4:$KA$33,0)</f>
        <v>16</v>
      </c>
      <c r="IT8" s="104"/>
      <c r="IU8" s="104" t="s">
        <v>126</v>
      </c>
      <c r="IV8" s="67">
        <f>VLOOKUP('ef-TeamStats'!G2,'ef-FT'!$E$4:$AN$23,8,0)</f>
        <v>17</v>
      </c>
      <c r="IW8" s="133">
        <f>VLOOKUP('ef-TeamStats'!$G$2,Table!$B$4:$W$23,2,0)</f>
        <v>19</v>
      </c>
      <c r="IX8" s="134">
        <f t="shared" si="48"/>
        <v>0.89473684210526316</v>
      </c>
      <c r="IY8" s="133">
        <f>MATCH('ef-TeamStats'!$G$2,$KA$4:$KA$33,0)</f>
        <v>14</v>
      </c>
      <c r="JB8" s="10">
        <f>IF(lg!$F$18=1,EB8,IF(lg!$F$18=2,ES8,FJ8))</f>
        <v>2</v>
      </c>
      <c r="JC8" s="10">
        <f>IF(lg!$F$18=1,EC8,IF(lg!$F$18=2,ET8,FK8))</f>
        <v>15</v>
      </c>
      <c r="JD8" s="10">
        <f>IF(lg!$F$18=1,ED8,IF(lg!$F$18=2,EU8,FL8))</f>
        <v>11</v>
      </c>
      <c r="JE8" s="10">
        <f>IF(lg!$F$18=1,EE8,IF(lg!$F$18=2,EV8,FM8))</f>
        <v>15</v>
      </c>
      <c r="JF8" s="10">
        <f>IF(lg!$F$18=1,EF8,IF(lg!$F$18=2,EW8,FN8))</f>
        <v>4</v>
      </c>
      <c r="JG8" s="10">
        <f>IF(lg!$F$18=1,EG8,IF(lg!$F$18=2,EX8,FO8))</f>
        <v>5</v>
      </c>
      <c r="JH8" s="10">
        <f>IF(lg!$F$18=1,EH8,IF(lg!$F$18=2,EY8,FP8))</f>
        <v>7</v>
      </c>
      <c r="JI8" s="10">
        <f>IF(lg!$F$18=1,EI8,IF(lg!$F$18=2,EZ8,FQ8))</f>
        <v>3</v>
      </c>
      <c r="JJ8" s="10">
        <f>IF(lg!$F$18=1,EJ8,IF(lg!$F$18=2,FA8,FR8))</f>
        <v>12</v>
      </c>
      <c r="JK8" s="10">
        <f>IF(lg!$F$18=1,EK8,IF(lg!$F$18=2,FB8,FS8))</f>
        <v>1</v>
      </c>
      <c r="JL8" s="10">
        <f>IF(lg!$F$18=1,EL8,IF(lg!$F$18=2,FC8,FT8))</f>
        <v>13</v>
      </c>
      <c r="JM8" s="10">
        <f>IF(lg!$F$18=1,EM8,IF(lg!$F$18=2,FD8,FU8))</f>
        <v>6</v>
      </c>
      <c r="JN8" s="10">
        <f>IF(lg!$F$18=1,EN8,IF(lg!$F$18=2,FE8,FV8))</f>
        <v>15</v>
      </c>
      <c r="JO8" s="10">
        <f>IF(lg!$F$18=1,EO8,IF(lg!$F$18=2,FF8,FW8))</f>
        <v>13</v>
      </c>
      <c r="JP8" s="10">
        <f>IF(lg!$F$18=1,EP8,IF(lg!$F$18=2,FG8,FX8))</f>
        <v>12</v>
      </c>
      <c r="JQ8" s="10">
        <f>IF(lg!$F$18=1,EQ8,IF(lg!$F$18=2,FH8,FY8))</f>
        <v>4</v>
      </c>
      <c r="JS8" s="10" t="str">
        <f t="shared" si="201"/>
        <v>New York Red Bulls</v>
      </c>
      <c r="JT8" s="10" t="str">
        <f t="shared" si="49"/>
        <v>Houston</v>
      </c>
      <c r="JU8" s="10" t="str">
        <f t="shared" si="50"/>
        <v>Dallas</v>
      </c>
      <c r="JV8" s="10" t="str">
        <f t="shared" si="51"/>
        <v>Houston</v>
      </c>
      <c r="JW8" s="10" t="str">
        <f t="shared" si="52"/>
        <v>New England</v>
      </c>
      <c r="JX8" s="10" t="str">
        <f t="shared" si="53"/>
        <v>Chicago</v>
      </c>
      <c r="JY8" s="10" t="str">
        <f t="shared" si="54"/>
        <v>Philadelphia Union</v>
      </c>
      <c r="JZ8" s="10" t="str">
        <f t="shared" si="55"/>
        <v>Toronto FC</v>
      </c>
      <c r="KA8" s="10" t="str">
        <f t="shared" si="56"/>
        <v>Seattle Sounders FC</v>
      </c>
      <c r="KB8" s="10" t="str">
        <f t="shared" si="57"/>
        <v>Columbus</v>
      </c>
      <c r="KC8" s="10" t="str">
        <f t="shared" si="58"/>
        <v>Colorado</v>
      </c>
      <c r="KD8" s="10" t="str">
        <f t="shared" si="59"/>
        <v>Kansas City</v>
      </c>
      <c r="KE8" s="10" t="str">
        <f t="shared" si="60"/>
        <v>Houston</v>
      </c>
      <c r="KF8" s="10" t="str">
        <f t="shared" si="61"/>
        <v>Colorado</v>
      </c>
      <c r="KG8" s="10" t="str">
        <f t="shared" si="62"/>
        <v>Seattle Sounders FC</v>
      </c>
      <c r="KH8" s="10" t="str">
        <f t="shared" si="63"/>
        <v>New England</v>
      </c>
      <c r="KL8" s="27">
        <v>0.26</v>
      </c>
      <c r="KM8" s="29">
        <v>5</v>
      </c>
      <c r="KN8" s="31" t="str">
        <f t="shared" si="202"/>
        <v>Chicago</v>
      </c>
      <c r="KO8" s="152">
        <f t="shared" si="203"/>
        <v>0</v>
      </c>
      <c r="KP8" s="152">
        <f t="shared" si="204"/>
        <v>0</v>
      </c>
      <c r="KQ8" s="152">
        <f t="shared" si="205"/>
        <v>1</v>
      </c>
      <c r="KR8" s="28">
        <f t="shared" si="206"/>
        <v>999999990000.26001</v>
      </c>
      <c r="KS8" s="29"/>
      <c r="KT8" s="28"/>
      <c r="KU8" s="29">
        <f>RANK(KR8,KR$4:KR$11)</f>
        <v>5</v>
      </c>
      <c r="KV8" s="152">
        <f t="shared" si="207"/>
        <v>1</v>
      </c>
      <c r="KW8" s="152">
        <f t="shared" si="208"/>
        <v>2</v>
      </c>
      <c r="KX8" s="152">
        <f t="shared" si="209"/>
        <v>3</v>
      </c>
      <c r="KY8" s="28">
        <f t="shared" si="210"/>
        <v>1000099990002.26</v>
      </c>
      <c r="KZ8" s="29"/>
      <c r="LA8" s="28"/>
      <c r="LB8" s="29">
        <f>RANK(KY8,KY$4:KY$11)</f>
        <v>6</v>
      </c>
      <c r="LC8" s="152">
        <f t="shared" si="211"/>
        <v>1</v>
      </c>
      <c r="LD8" s="152">
        <f t="shared" si="212"/>
        <v>3</v>
      </c>
      <c r="LE8" s="152">
        <f t="shared" si="213"/>
        <v>5</v>
      </c>
      <c r="LF8" s="28">
        <f t="shared" si="214"/>
        <v>1000099980003.26</v>
      </c>
      <c r="LG8" s="29"/>
      <c r="LH8" s="28"/>
      <c r="LI8" s="29">
        <f>RANK(LF8,LF$4:LF$11)</f>
        <v>7</v>
      </c>
      <c r="LJ8" s="152">
        <f t="shared" si="215"/>
        <v>4</v>
      </c>
      <c r="LK8" s="152">
        <f t="shared" si="216"/>
        <v>5</v>
      </c>
      <c r="LL8" s="152">
        <f t="shared" si="217"/>
        <v>5</v>
      </c>
      <c r="LM8" s="28">
        <f t="shared" si="218"/>
        <v>1000400000005.26</v>
      </c>
      <c r="LN8" s="29"/>
      <c r="LO8" s="28"/>
      <c r="LP8" s="29">
        <f>RANK(LM8,LM$4:LM$11)</f>
        <v>5</v>
      </c>
      <c r="LQ8" s="152">
        <f t="shared" si="219"/>
        <v>7</v>
      </c>
      <c r="LR8" s="152">
        <f t="shared" si="220"/>
        <v>7</v>
      </c>
      <c r="LS8" s="152">
        <f t="shared" si="221"/>
        <v>5</v>
      </c>
      <c r="LT8" s="28">
        <f t="shared" si="222"/>
        <v>1000700020007.26</v>
      </c>
      <c r="LU8" s="29"/>
      <c r="LV8" s="28"/>
      <c r="LW8" s="29">
        <f>RANK(LT8,LT$4:LT$11)</f>
        <v>3</v>
      </c>
      <c r="LX8" s="152">
        <f t="shared" si="223"/>
        <v>8</v>
      </c>
      <c r="LY8" s="152">
        <f t="shared" si="224"/>
        <v>8</v>
      </c>
      <c r="LZ8" s="152">
        <f t="shared" si="225"/>
        <v>6</v>
      </c>
      <c r="MA8" s="28">
        <f t="shared" si="226"/>
        <v>1000800020008.26</v>
      </c>
      <c r="MB8" s="29"/>
      <c r="MC8" s="28"/>
      <c r="MD8" s="29">
        <f>RANK(MA8,MA$4:MA$11)</f>
        <v>3</v>
      </c>
      <c r="ME8" s="152">
        <f t="shared" si="227"/>
        <v>8</v>
      </c>
      <c r="MF8" s="152">
        <f t="shared" si="228"/>
        <v>9</v>
      </c>
      <c r="MG8" s="152">
        <f t="shared" si="229"/>
        <v>10</v>
      </c>
      <c r="MH8" s="28">
        <f t="shared" si="230"/>
        <v>1000799990009.26</v>
      </c>
      <c r="MI8" s="29"/>
      <c r="MJ8" s="28"/>
      <c r="MK8" s="29">
        <f>RANK(MH8,MH$4:MH$11)</f>
        <v>5</v>
      </c>
      <c r="ML8" s="152">
        <f t="shared" si="231"/>
        <v>9</v>
      </c>
      <c r="MM8" s="152">
        <f t="shared" si="232"/>
        <v>11</v>
      </c>
      <c r="MN8" s="152">
        <f t="shared" si="233"/>
        <v>12</v>
      </c>
      <c r="MO8" s="28">
        <f t="shared" si="234"/>
        <v>1000899990011.26</v>
      </c>
      <c r="MP8" s="29"/>
      <c r="MQ8" s="28"/>
      <c r="MR8" s="29">
        <f>RANK(MO8,MO$4:MO$11)</f>
        <v>4</v>
      </c>
      <c r="MS8" s="152">
        <f t="shared" si="235"/>
        <v>10</v>
      </c>
      <c r="MT8" s="152">
        <f t="shared" si="236"/>
        <v>12</v>
      </c>
      <c r="MU8" s="152">
        <f t="shared" si="237"/>
        <v>13</v>
      </c>
      <c r="MV8" s="28">
        <f t="shared" si="238"/>
        <v>1000999990012.26</v>
      </c>
      <c r="MW8" s="29"/>
      <c r="MX8" s="28"/>
      <c r="MY8" s="29">
        <f>RANK(MV8,MV$4:MV$11)</f>
        <v>4</v>
      </c>
      <c r="MZ8" s="152">
        <f t="shared" si="239"/>
        <v>13</v>
      </c>
      <c r="NA8" s="152">
        <f t="shared" si="240"/>
        <v>14</v>
      </c>
      <c r="NB8" s="152">
        <f t="shared" si="241"/>
        <v>14</v>
      </c>
      <c r="NC8" s="28">
        <f t="shared" si="242"/>
        <v>1001300000014.26</v>
      </c>
      <c r="ND8" s="29"/>
      <c r="NE8" s="28"/>
      <c r="NF8" s="29">
        <f>RANK(NC8,NC$4:NC$11)</f>
        <v>4</v>
      </c>
      <c r="NG8" s="152">
        <f t="shared" si="243"/>
        <v>14</v>
      </c>
      <c r="NH8" s="152">
        <f t="shared" si="244"/>
        <v>16</v>
      </c>
      <c r="NI8" s="152">
        <f t="shared" si="245"/>
        <v>16</v>
      </c>
      <c r="NJ8" s="28">
        <f t="shared" si="246"/>
        <v>1001400000016.26</v>
      </c>
      <c r="NK8" s="29"/>
      <c r="NL8" s="28"/>
      <c r="NM8" s="29">
        <f>RANK(NJ8,NJ$4:NJ$11)</f>
        <v>4</v>
      </c>
      <c r="NN8" s="152">
        <f t="shared" si="247"/>
        <v>17</v>
      </c>
      <c r="NO8" s="152">
        <f t="shared" si="248"/>
        <v>17</v>
      </c>
      <c r="NP8" s="152">
        <f t="shared" si="249"/>
        <v>16</v>
      </c>
      <c r="NQ8" s="28">
        <f t="shared" si="250"/>
        <v>1001700010017.26</v>
      </c>
      <c r="NR8" s="29"/>
      <c r="NS8" s="28"/>
      <c r="NT8" s="29">
        <f>RANK(NQ8,NQ$4:NQ$11)</f>
        <v>4</v>
      </c>
      <c r="NU8" s="152">
        <f t="shared" si="251"/>
        <v>17</v>
      </c>
      <c r="NV8" s="152">
        <f t="shared" si="252"/>
        <v>18</v>
      </c>
      <c r="NW8" s="152">
        <f t="shared" si="253"/>
        <v>18</v>
      </c>
      <c r="NX8" s="28">
        <f t="shared" si="254"/>
        <v>1001700000018.26</v>
      </c>
      <c r="NY8" s="29"/>
      <c r="NZ8" s="28"/>
      <c r="OA8" s="29">
        <f>RANK(NX8,NX$4:NX$11)</f>
        <v>4</v>
      </c>
      <c r="OB8" s="152">
        <f t="shared" si="255"/>
        <v>17</v>
      </c>
      <c r="OC8" s="152">
        <f t="shared" si="256"/>
        <v>18</v>
      </c>
      <c r="OD8" s="152">
        <f t="shared" si="257"/>
        <v>19</v>
      </c>
      <c r="OE8" s="28">
        <f t="shared" si="258"/>
        <v>1001699990018.26</v>
      </c>
      <c r="OF8" s="29"/>
      <c r="OG8" s="28"/>
      <c r="OH8" s="29">
        <f>RANK(OE8,OE$4:OE$11)</f>
        <v>4</v>
      </c>
      <c r="OI8" s="152">
        <f t="shared" si="259"/>
        <v>20</v>
      </c>
      <c r="OJ8" s="152">
        <f t="shared" si="260"/>
        <v>21</v>
      </c>
      <c r="OK8" s="152">
        <f t="shared" si="261"/>
        <v>21</v>
      </c>
      <c r="OL8" s="28">
        <f t="shared" si="262"/>
        <v>1002000000021.26</v>
      </c>
      <c r="OM8" s="29"/>
      <c r="ON8" s="28"/>
      <c r="OO8" s="29">
        <f>RANK(OL8,OL$4:OL$11)</f>
        <v>4</v>
      </c>
      <c r="OP8" s="152">
        <f t="shared" si="263"/>
        <v>21</v>
      </c>
      <c r="OQ8" s="152">
        <f t="shared" si="264"/>
        <v>21</v>
      </c>
      <c r="OR8" s="152">
        <f t="shared" si="265"/>
        <v>21</v>
      </c>
      <c r="OS8" s="28">
        <f t="shared" si="266"/>
        <v>1002100000021.26</v>
      </c>
      <c r="OT8" s="29"/>
      <c r="OU8" s="28"/>
      <c r="OV8" s="29">
        <f>RANK(OS8,OS$4:OS$11)</f>
        <v>4</v>
      </c>
      <c r="OW8" s="152">
        <f t="shared" si="267"/>
        <v>21</v>
      </c>
      <c r="OX8" s="152">
        <f t="shared" si="268"/>
        <v>21</v>
      </c>
      <c r="OY8" s="152">
        <f t="shared" si="269"/>
        <v>21</v>
      </c>
      <c r="OZ8" s="28">
        <f t="shared" si="270"/>
        <v>1002100000021.26</v>
      </c>
      <c r="PA8" s="29"/>
      <c r="PB8" s="28"/>
      <c r="PC8" s="29">
        <f>RANK(OZ8,OZ$4:OZ$11)</f>
        <v>4</v>
      </c>
      <c r="PD8" s="152">
        <f t="shared" si="271"/>
        <v>21</v>
      </c>
      <c r="PE8" s="152">
        <f t="shared" si="272"/>
        <v>21</v>
      </c>
      <c r="PF8" s="152">
        <f t="shared" si="273"/>
        <v>21</v>
      </c>
      <c r="PG8" s="28">
        <f t="shared" si="274"/>
        <v>1002100000021.26</v>
      </c>
      <c r="PH8" s="29"/>
      <c r="PI8" s="28"/>
      <c r="PJ8" s="29">
        <f>RANK(PG8,PG$4:PG$11)</f>
        <v>4</v>
      </c>
      <c r="PK8" s="152">
        <f t="shared" si="275"/>
        <v>21</v>
      </c>
      <c r="PL8" s="152">
        <f t="shared" si="276"/>
        <v>21</v>
      </c>
      <c r="PM8" s="152">
        <f t="shared" si="277"/>
        <v>21</v>
      </c>
      <c r="PN8" s="28">
        <f t="shared" si="278"/>
        <v>1002100000021.26</v>
      </c>
      <c r="PO8" s="29"/>
      <c r="PP8" s="28"/>
      <c r="PQ8" s="29">
        <f>RANK(PN8,PN$4:PN$11)</f>
        <v>4</v>
      </c>
      <c r="PR8" s="152">
        <f t="shared" si="279"/>
        <v>21</v>
      </c>
      <c r="PS8" s="152">
        <f t="shared" si="280"/>
        <v>21</v>
      </c>
      <c r="PT8" s="152">
        <f t="shared" si="281"/>
        <v>21</v>
      </c>
      <c r="PU8" s="28">
        <f t="shared" si="282"/>
        <v>1002100000021.26</v>
      </c>
      <c r="PV8" s="29"/>
      <c r="PW8" s="28"/>
      <c r="PX8" s="29">
        <f>RANK(PU8,PU$4:PU$11)</f>
        <v>4</v>
      </c>
      <c r="PY8" s="152">
        <f t="shared" si="283"/>
        <v>21</v>
      </c>
      <c r="PZ8" s="152">
        <f t="shared" si="284"/>
        <v>21</v>
      </c>
      <c r="QA8" s="152">
        <f t="shared" si="285"/>
        <v>21</v>
      </c>
      <c r="QB8" s="28">
        <f t="shared" si="286"/>
        <v>1002100000021.26</v>
      </c>
      <c r="QC8" s="29"/>
      <c r="QD8" s="28"/>
      <c r="QE8" s="29">
        <f>RANK(QB8,QB$4:QB$11)</f>
        <v>4</v>
      </c>
      <c r="QF8" s="152">
        <f t="shared" si="287"/>
        <v>21</v>
      </c>
      <c r="QG8" s="152">
        <f t="shared" si="288"/>
        <v>21</v>
      </c>
      <c r="QH8" s="152">
        <f t="shared" si="289"/>
        <v>21</v>
      </c>
      <c r="QI8" s="28">
        <f t="shared" si="290"/>
        <v>1002100000021.26</v>
      </c>
      <c r="QJ8" s="29"/>
      <c r="QK8" s="28"/>
      <c r="QL8" s="29">
        <f>RANK(QI8,QI$4:QI$11)</f>
        <v>4</v>
      </c>
      <c r="QM8" s="152">
        <f t="shared" si="291"/>
        <v>21</v>
      </c>
      <c r="QN8" s="152">
        <f t="shared" si="292"/>
        <v>21</v>
      </c>
      <c r="QO8" s="152">
        <f t="shared" si="293"/>
        <v>21</v>
      </c>
      <c r="QP8" s="28">
        <f t="shared" si="294"/>
        <v>1002100000021.26</v>
      </c>
      <c r="QQ8" s="29"/>
      <c r="QR8" s="28"/>
      <c r="QS8" s="29">
        <f>RANK(QP8,QP$4:QP$11)</f>
        <v>4</v>
      </c>
      <c r="QT8" s="152">
        <f t="shared" si="295"/>
        <v>21</v>
      </c>
      <c r="QU8" s="152">
        <f t="shared" si="296"/>
        <v>21</v>
      </c>
      <c r="QV8" s="152">
        <f t="shared" si="297"/>
        <v>21</v>
      </c>
      <c r="QW8" s="28">
        <f t="shared" si="298"/>
        <v>1002100000021.26</v>
      </c>
      <c r="QX8" s="29"/>
      <c r="QY8" s="28"/>
      <c r="QZ8" s="29">
        <f>RANK(QW8,QW$4:QW$11)</f>
        <v>4</v>
      </c>
      <c r="RA8" s="152">
        <f t="shared" si="299"/>
        <v>21</v>
      </c>
      <c r="RB8" s="152">
        <f t="shared" si="300"/>
        <v>21</v>
      </c>
      <c r="RC8" s="152">
        <f t="shared" si="301"/>
        <v>21</v>
      </c>
      <c r="RD8" s="28">
        <f t="shared" si="302"/>
        <v>1002100000021.26</v>
      </c>
      <c r="RE8" s="29"/>
      <c r="RF8" s="28"/>
      <c r="RG8" s="29">
        <f>RANK(RD8,RD$4:RD$11)</f>
        <v>4</v>
      </c>
      <c r="RH8" s="152">
        <f t="shared" si="303"/>
        <v>21</v>
      </c>
      <c r="RI8" s="152">
        <f t="shared" si="304"/>
        <v>21</v>
      </c>
      <c r="RJ8" s="152">
        <f t="shared" si="305"/>
        <v>21</v>
      </c>
      <c r="RK8" s="28">
        <f t="shared" si="306"/>
        <v>1002100000021.26</v>
      </c>
      <c r="RL8" s="29"/>
      <c r="RM8" s="28"/>
      <c r="RN8" s="29">
        <f>RANK(RK8,RK$4:RK$11)</f>
        <v>4</v>
      </c>
      <c r="RO8" s="152">
        <f t="shared" si="307"/>
        <v>21</v>
      </c>
      <c r="RP8" s="152">
        <f t="shared" si="308"/>
        <v>21</v>
      </c>
      <c r="RQ8" s="152">
        <f t="shared" si="309"/>
        <v>21</v>
      </c>
      <c r="RR8" s="28">
        <f t="shared" si="310"/>
        <v>1002100000021.26</v>
      </c>
      <c r="RS8" s="29"/>
      <c r="RT8" s="28"/>
      <c r="RU8" s="29">
        <f>RANK(RR8,RR$4:RR$11)</f>
        <v>4</v>
      </c>
      <c r="RV8" s="152">
        <f t="shared" si="311"/>
        <v>21</v>
      </c>
      <c r="RW8" s="152">
        <f t="shared" si="312"/>
        <v>21</v>
      </c>
      <c r="RX8" s="152">
        <f t="shared" si="313"/>
        <v>21</v>
      </c>
      <c r="RY8" s="28">
        <f t="shared" si="314"/>
        <v>1002100000021.26</v>
      </c>
      <c r="RZ8" s="29"/>
      <c r="SA8" s="28"/>
      <c r="SB8" s="29">
        <f>RANK(RY8,RY$4:RY$11)</f>
        <v>4</v>
      </c>
      <c r="SC8" s="152">
        <f t="shared" si="315"/>
        <v>21</v>
      </c>
      <c r="SD8" s="152">
        <f t="shared" si="316"/>
        <v>21</v>
      </c>
      <c r="SE8" s="152">
        <f t="shared" si="317"/>
        <v>21</v>
      </c>
      <c r="SF8" s="28">
        <f t="shared" si="318"/>
        <v>1002100000021.26</v>
      </c>
      <c r="SG8" s="29"/>
      <c r="SH8" s="28"/>
      <c r="SI8" s="29">
        <f>RANK(SF8,SF$4:SF$11)</f>
        <v>4</v>
      </c>
      <c r="SJ8" s="152">
        <f t="shared" si="319"/>
        <v>21</v>
      </c>
      <c r="SK8" s="152">
        <f t="shared" si="320"/>
        <v>21</v>
      </c>
      <c r="SL8" s="152">
        <f t="shared" si="321"/>
        <v>21</v>
      </c>
      <c r="SM8" s="28">
        <f t="shared" si="322"/>
        <v>1002100000021.26</v>
      </c>
      <c r="SN8" s="29"/>
      <c r="SO8" s="28"/>
      <c r="SP8" s="29">
        <f>RANK(SM8,SM$4:SM$11)</f>
        <v>4</v>
      </c>
      <c r="SQ8" s="152">
        <f t="shared" si="323"/>
        <v>21</v>
      </c>
      <c r="SR8" s="152">
        <f t="shared" si="324"/>
        <v>21</v>
      </c>
      <c r="SS8" s="152">
        <f t="shared" si="325"/>
        <v>21</v>
      </c>
      <c r="ST8" s="28">
        <f t="shared" si="326"/>
        <v>1002100000021.26</v>
      </c>
      <c r="SU8" s="29"/>
      <c r="SV8" s="28"/>
      <c r="SW8" s="29">
        <f>RANK(ST8,ST$4:ST$11)</f>
        <v>4</v>
      </c>
      <c r="SX8" s="152">
        <f t="shared" si="327"/>
        <v>21</v>
      </c>
      <c r="SY8" s="152">
        <f t="shared" si="328"/>
        <v>21</v>
      </c>
      <c r="SZ8" s="152">
        <f t="shared" si="329"/>
        <v>21</v>
      </c>
      <c r="TA8" s="28">
        <f t="shared" si="330"/>
        <v>1002100000021.26</v>
      </c>
      <c r="TB8" s="29"/>
      <c r="TC8" s="28"/>
      <c r="TD8" s="29">
        <f>RANK(TA8,TA$4:TA$11)</f>
        <v>4</v>
      </c>
      <c r="TE8" s="152">
        <f t="shared" si="331"/>
        <v>21</v>
      </c>
      <c r="TF8" s="152">
        <f t="shared" si="332"/>
        <v>21</v>
      </c>
      <c r="TG8" s="152">
        <f t="shared" si="333"/>
        <v>21</v>
      </c>
      <c r="TH8" s="28">
        <f t="shared" si="334"/>
        <v>1002100000021.26</v>
      </c>
      <c r="TI8" s="29"/>
      <c r="TJ8" s="28"/>
      <c r="TK8" s="29">
        <f>RANK(TH8,TH$4:TH$11)</f>
        <v>4</v>
      </c>
      <c r="TL8" s="152">
        <f t="shared" si="335"/>
        <v>21</v>
      </c>
      <c r="TM8" s="152">
        <f t="shared" si="336"/>
        <v>21</v>
      </c>
      <c r="TN8" s="152">
        <f t="shared" si="337"/>
        <v>21</v>
      </c>
      <c r="TO8" s="28">
        <f t="shared" si="338"/>
        <v>1002100000021.26</v>
      </c>
      <c r="TP8" s="29"/>
      <c r="TQ8" s="28"/>
      <c r="TR8" s="29">
        <f>RANK(TO8,TO$4:TO$11)</f>
        <v>4</v>
      </c>
      <c r="TS8" s="152">
        <f t="shared" si="339"/>
        <v>21</v>
      </c>
      <c r="TT8" s="152">
        <f t="shared" si="340"/>
        <v>21</v>
      </c>
      <c r="TU8" s="152">
        <f t="shared" si="341"/>
        <v>21</v>
      </c>
      <c r="TV8" s="28">
        <f t="shared" si="342"/>
        <v>1002100000021.26</v>
      </c>
      <c r="TW8" s="29"/>
      <c r="TX8" s="28"/>
      <c r="TY8" s="29">
        <f>RANK(TV8,TV$4:TV$11)</f>
        <v>4</v>
      </c>
      <c r="TZ8" s="152">
        <f t="shared" si="343"/>
        <v>21</v>
      </c>
      <c r="UA8" s="152">
        <f t="shared" si="344"/>
        <v>21</v>
      </c>
      <c r="UB8" s="152">
        <f t="shared" si="345"/>
        <v>21</v>
      </c>
      <c r="UC8" s="28">
        <f t="shared" si="346"/>
        <v>1002100000021.26</v>
      </c>
      <c r="UD8" s="29"/>
      <c r="UE8" s="28"/>
      <c r="UF8" s="29">
        <f>RANK(UC8,UC$4:UC$11)</f>
        <v>4</v>
      </c>
      <c r="UG8" s="152">
        <f t="shared" si="347"/>
        <v>21</v>
      </c>
      <c r="UH8" s="152">
        <f t="shared" si="348"/>
        <v>21</v>
      </c>
      <c r="UI8" s="152">
        <f t="shared" si="349"/>
        <v>21</v>
      </c>
      <c r="UJ8" s="28">
        <f t="shared" si="350"/>
        <v>1002100000021.26</v>
      </c>
      <c r="UK8" s="29"/>
      <c r="UL8" s="28"/>
      <c r="UM8" s="29">
        <f>RANK(UJ8,UJ$4:UJ$11)</f>
        <v>4</v>
      </c>
      <c r="UN8" s="152">
        <f t="shared" si="351"/>
        <v>21</v>
      </c>
      <c r="UO8" s="152">
        <f t="shared" si="352"/>
        <v>21</v>
      </c>
      <c r="UP8" s="152">
        <f t="shared" si="353"/>
        <v>21</v>
      </c>
      <c r="UQ8" s="28">
        <f t="shared" si="354"/>
        <v>1002100000021.26</v>
      </c>
      <c r="UR8" s="29"/>
      <c r="US8" s="28"/>
      <c r="UT8" s="29">
        <f>RANK(UQ8,UQ$4:UQ$11)</f>
        <v>4</v>
      </c>
      <c r="UU8" s="129"/>
      <c r="UV8" s="129" t="str">
        <f t="shared" si="355"/>
        <v>Chicago</v>
      </c>
      <c r="UW8" s="129">
        <f t="shared" si="356"/>
        <v>5</v>
      </c>
      <c r="UX8" s="129">
        <f t="shared" ca="1" si="357"/>
        <v>6</v>
      </c>
      <c r="UY8" s="129">
        <f t="shared" ca="1" si="64"/>
        <v>7</v>
      </c>
      <c r="UZ8" s="129">
        <f t="shared" ca="1" si="64"/>
        <v>5</v>
      </c>
      <c r="VA8" s="129">
        <f t="shared" ca="1" si="64"/>
        <v>3</v>
      </c>
      <c r="VB8" s="129">
        <f t="shared" ca="1" si="64"/>
        <v>3</v>
      </c>
      <c r="VC8" s="129">
        <f t="shared" ca="1" si="64"/>
        <v>5</v>
      </c>
      <c r="VD8" s="129">
        <f t="shared" ca="1" si="64"/>
        <v>4</v>
      </c>
      <c r="VE8" s="129">
        <f t="shared" ca="1" si="64"/>
        <v>4</v>
      </c>
      <c r="VF8" s="129">
        <f t="shared" ca="1" si="64"/>
        <v>4</v>
      </c>
      <c r="VG8" s="129">
        <f t="shared" ca="1" si="64"/>
        <v>4</v>
      </c>
      <c r="VH8" s="129">
        <f t="shared" ca="1" si="64"/>
        <v>4</v>
      </c>
      <c r="VI8" s="129">
        <f t="shared" ca="1" si="64"/>
        <v>4</v>
      </c>
      <c r="VJ8" s="129">
        <f t="shared" ca="1" si="64"/>
        <v>4</v>
      </c>
      <c r="VK8" s="129">
        <f t="shared" ca="1" si="64"/>
        <v>4</v>
      </c>
      <c r="VL8" s="129">
        <f t="shared" ca="1" si="64"/>
        <v>4</v>
      </c>
      <c r="VM8" s="129">
        <f t="shared" ca="1" si="64"/>
        <v>4</v>
      </c>
      <c r="VN8" s="129">
        <f t="shared" ca="1" si="64"/>
        <v>4</v>
      </c>
      <c r="VO8" s="129">
        <f t="shared" ca="1" si="65"/>
        <v>4</v>
      </c>
      <c r="VP8" s="129">
        <f t="shared" ca="1" si="65"/>
        <v>4</v>
      </c>
      <c r="VQ8" s="129">
        <f t="shared" ca="1" si="65"/>
        <v>4</v>
      </c>
      <c r="VR8" s="129">
        <f t="shared" ca="1" si="65"/>
        <v>4</v>
      </c>
      <c r="VS8" s="129">
        <f t="shared" ca="1" si="65"/>
        <v>4</v>
      </c>
      <c r="VT8" s="129">
        <f t="shared" ca="1" si="65"/>
        <v>4</v>
      </c>
      <c r="VU8" s="129">
        <f t="shared" ca="1" si="65"/>
        <v>4</v>
      </c>
      <c r="VV8" s="129">
        <f t="shared" ca="1" si="65"/>
        <v>4</v>
      </c>
      <c r="VW8" s="129">
        <f t="shared" ca="1" si="65"/>
        <v>4</v>
      </c>
      <c r="VX8" s="129">
        <f t="shared" ca="1" si="65"/>
        <v>4</v>
      </c>
      <c r="VY8" s="129">
        <f t="shared" ca="1" si="65"/>
        <v>4</v>
      </c>
      <c r="VZ8" s="129">
        <f t="shared" ca="1" si="65"/>
        <v>4</v>
      </c>
      <c r="WA8" s="129">
        <f t="shared" ca="1" si="65"/>
        <v>4</v>
      </c>
      <c r="WB8" s="129">
        <f t="shared" ca="1" si="65"/>
        <v>4</v>
      </c>
      <c r="WC8" s="129">
        <f t="shared" ca="1" si="65"/>
        <v>4</v>
      </c>
      <c r="WD8" s="129">
        <f t="shared" ca="1" si="65"/>
        <v>4</v>
      </c>
      <c r="WE8" s="129">
        <f t="shared" ca="1" si="66"/>
        <v>4</v>
      </c>
      <c r="WF8" s="129">
        <f t="shared" ca="1" si="66"/>
        <v>4</v>
      </c>
      <c r="WG8" s="129">
        <f t="shared" ca="1" si="66"/>
        <v>4</v>
      </c>
      <c r="WH8" s="129">
        <f t="shared" ca="1" si="66"/>
        <v>4</v>
      </c>
      <c r="WJ8" s="87"/>
      <c r="WK8" s="87" t="str">
        <f t="shared" si="358"/>
        <v>Chicago</v>
      </c>
      <c r="WL8" s="87">
        <v>5</v>
      </c>
      <c r="WM8" s="87">
        <v>5</v>
      </c>
      <c r="WN8" s="87">
        <f t="shared" si="67"/>
        <v>5</v>
      </c>
      <c r="WO8" s="87">
        <f t="shared" ca="1" si="68"/>
        <v>6</v>
      </c>
      <c r="WP8" s="87">
        <f t="shared" ca="1" si="69"/>
        <v>7</v>
      </c>
      <c r="WQ8" s="87">
        <f t="shared" ca="1" si="70"/>
        <v>5</v>
      </c>
      <c r="WR8" s="87">
        <f t="shared" ca="1" si="71"/>
        <v>3</v>
      </c>
      <c r="WS8" s="87">
        <f t="shared" ca="1" si="72"/>
        <v>3</v>
      </c>
      <c r="WT8" s="87">
        <f t="shared" ca="1" si="73"/>
        <v>5</v>
      </c>
      <c r="WU8" s="87">
        <f t="shared" ca="1" si="74"/>
        <v>4</v>
      </c>
      <c r="WV8" s="87">
        <f t="shared" ca="1" si="75"/>
        <v>4</v>
      </c>
      <c r="WW8" s="87">
        <f t="shared" ca="1" si="76"/>
        <v>4</v>
      </c>
      <c r="WX8" s="87">
        <f t="shared" ca="1" si="77"/>
        <v>4</v>
      </c>
      <c r="WY8" s="87">
        <f t="shared" ca="1" si="78"/>
        <v>4</v>
      </c>
      <c r="WZ8" s="87">
        <f t="shared" ca="1" si="79"/>
        <v>4</v>
      </c>
      <c r="XA8" s="87">
        <f t="shared" ca="1" si="80"/>
        <v>4</v>
      </c>
      <c r="XB8" s="87">
        <f t="shared" ca="1" si="81"/>
        <v>4</v>
      </c>
      <c r="XC8" s="87">
        <f t="shared" ca="1" si="82"/>
        <v>4</v>
      </c>
      <c r="XD8" s="87">
        <f t="shared" ca="1" si="83"/>
        <v>4</v>
      </c>
      <c r="XE8" s="87">
        <f t="shared" ca="1" si="84"/>
        <v>4</v>
      </c>
      <c r="XF8" s="87">
        <f t="shared" ca="1" si="85"/>
        <v>4</v>
      </c>
      <c r="XG8" s="87">
        <f t="shared" ca="1" si="86"/>
        <v>4</v>
      </c>
      <c r="XH8" s="87" t="e">
        <f t="shared" si="87"/>
        <v>#N/A</v>
      </c>
      <c r="XI8" s="87" t="e">
        <f t="shared" si="88"/>
        <v>#N/A</v>
      </c>
      <c r="XJ8" s="87" t="e">
        <f t="shared" si="89"/>
        <v>#N/A</v>
      </c>
      <c r="XK8" s="87" t="e">
        <f t="shared" si="90"/>
        <v>#N/A</v>
      </c>
      <c r="XL8" s="87" t="e">
        <f t="shared" si="91"/>
        <v>#N/A</v>
      </c>
      <c r="XM8" s="87" t="e">
        <f t="shared" si="92"/>
        <v>#N/A</v>
      </c>
      <c r="XN8" s="87" t="e">
        <f t="shared" si="93"/>
        <v>#N/A</v>
      </c>
      <c r="XO8" s="87" t="e">
        <f t="shared" si="94"/>
        <v>#N/A</v>
      </c>
      <c r="XP8" s="87" t="e">
        <f t="shared" si="95"/>
        <v>#N/A</v>
      </c>
      <c r="XQ8" s="87" t="e">
        <f t="shared" si="96"/>
        <v>#N/A</v>
      </c>
      <c r="XR8" s="87" t="e">
        <f t="shared" si="97"/>
        <v>#N/A</v>
      </c>
      <c r="XS8" s="87" t="e">
        <f t="shared" si="98"/>
        <v>#N/A</v>
      </c>
      <c r="XT8" s="87" t="e">
        <f t="shared" si="99"/>
        <v>#N/A</v>
      </c>
      <c r="XU8" s="87" t="e">
        <f t="shared" si="100"/>
        <v>#N/A</v>
      </c>
      <c r="XV8" s="87" t="e">
        <f t="shared" si="101"/>
        <v>#N/A</v>
      </c>
      <c r="XW8" s="87" t="e">
        <f t="shared" si="102"/>
        <v>#N/A</v>
      </c>
      <c r="XX8" s="87" t="e">
        <f t="shared" si="103"/>
        <v>#N/A</v>
      </c>
      <c r="XY8" s="87" t="e">
        <f t="shared" si="104"/>
        <v>#N/A</v>
      </c>
      <c r="XZ8" s="241"/>
      <c r="YA8" s="241"/>
      <c r="YB8" s="280" t="str">
        <f>HistoriChart!AF1</f>
        <v>New England</v>
      </c>
      <c r="YC8" s="163" t="str">
        <f t="shared" si="359"/>
        <v>New England</v>
      </c>
      <c r="YD8" s="280"/>
      <c r="YE8" s="163">
        <f>VLOOKUP($YC8,$WK$4:WL$33,YE$3+3,0)</f>
        <v>4</v>
      </c>
      <c r="YF8" s="163">
        <f>VLOOKUP($YC8,$WK$4:WM$33,YF$3+3,0)</f>
        <v>4</v>
      </c>
      <c r="YG8" s="163">
        <f>VLOOKUP($YC8,$WK$4:WN$33,YG$3+3,0)</f>
        <v>4</v>
      </c>
      <c r="YH8" s="163">
        <f ca="1">VLOOKUP($YC8,$WK$4:WO$33,YH$3+3,0)</f>
        <v>4</v>
      </c>
      <c r="YI8" s="163">
        <f ca="1">VLOOKUP($YC8,$WK$4:WP$33,YI$3+3,0)</f>
        <v>2</v>
      </c>
      <c r="YJ8" s="163">
        <f ca="1">VLOOKUP($YC8,$WK$4:WQ$33,YJ$3+3,0)</f>
        <v>4</v>
      </c>
      <c r="YK8" s="163">
        <f ca="1">VLOOKUP($YC8,$WK$4:WR$33,YK$3+3,0)</f>
        <v>5</v>
      </c>
      <c r="YL8" s="163">
        <f ca="1">VLOOKUP($YC8,$WK$4:WS$33,YL$3+3,0)</f>
        <v>4</v>
      </c>
      <c r="YM8" s="163">
        <f ca="1">VLOOKUP($YC8,$WK$4:WT$33,YM$3+3,0)</f>
        <v>6</v>
      </c>
      <c r="YN8" s="163">
        <f ca="1">VLOOKUP($YC8,$WK$4:WU$33,YN$3+3,0)</f>
        <v>6</v>
      </c>
      <c r="YO8" s="163">
        <f ca="1">VLOOKUP($YC8,$WK$4:WV$33,YO$3+3,0)</f>
        <v>5</v>
      </c>
      <c r="YP8" s="163">
        <f ca="1">VLOOKUP($YC8,$WK$4:WW$33,YP$3+3,0)</f>
        <v>6</v>
      </c>
      <c r="YQ8" s="163">
        <f ca="1">VLOOKUP($YC8,$WK$4:WX$33,YQ$3+3,0)</f>
        <v>6</v>
      </c>
      <c r="YR8" s="163">
        <f ca="1">VLOOKUP($YC8,$WK$4:WY$33,YR$3+3,0)</f>
        <v>7</v>
      </c>
      <c r="YS8" s="163">
        <f ca="1">VLOOKUP($YC8,$WK$4:WZ$33,YS$3+3,0)</f>
        <v>7</v>
      </c>
      <c r="YT8" s="163">
        <f ca="1">VLOOKUP($YC8,$WK$4:XA$33,YT$3+3,0)</f>
        <v>7</v>
      </c>
      <c r="YU8" s="163">
        <f ca="1">VLOOKUP($YC8,$WK$4:XB$33,YU$3+3,0)</f>
        <v>7</v>
      </c>
      <c r="YV8" s="163">
        <f ca="1">VLOOKUP($YC8,$WK$4:XC$33,YV$3+3,0)</f>
        <v>7</v>
      </c>
      <c r="YW8" s="163">
        <f ca="1">VLOOKUP($YC8,$WK$4:XD$33,YW$3+3,0)</f>
        <v>6</v>
      </c>
      <c r="YX8" s="163">
        <f ca="1">VLOOKUP($YC8,$WK$4:XE$33,YX$3+3,0)</f>
        <v>5</v>
      </c>
      <c r="YY8" s="163">
        <f ca="1">VLOOKUP($YC8,$WK$4:XF$33,YY$3+3,0)</f>
        <v>5</v>
      </c>
      <c r="YZ8" s="163">
        <f ca="1">VLOOKUP($YC8,$WK$4:XG$33,YZ$3+3,0)</f>
        <v>5</v>
      </c>
      <c r="ZA8" s="163" t="e">
        <f>VLOOKUP($YC8,$WK$4:XH$33,ZA$3+3,0)</f>
        <v>#N/A</v>
      </c>
      <c r="ZB8" s="163" t="e">
        <f>VLOOKUP($YC8,$WK$4:XI$33,ZB$3+3,0)</f>
        <v>#N/A</v>
      </c>
      <c r="ZC8" s="163" t="e">
        <f>VLOOKUP($YC8,$WK$4:XJ$33,ZC$3+3,0)</f>
        <v>#N/A</v>
      </c>
      <c r="ZD8" s="163" t="e">
        <f>VLOOKUP($YC8,$WK$4:XK$33,ZD$3+3,0)</f>
        <v>#N/A</v>
      </c>
      <c r="ZE8" s="163" t="e">
        <f>VLOOKUP($YC8,$WK$4:XL$33,ZE$3+3,0)</f>
        <v>#N/A</v>
      </c>
      <c r="ZF8" s="163" t="e">
        <f>VLOOKUP($YC8,$WK$4:XM$33,ZF$3+3,0)</f>
        <v>#N/A</v>
      </c>
      <c r="ZG8" s="163" t="e">
        <f>VLOOKUP($YC8,$WK$4:XN$33,ZG$3+3,0)</f>
        <v>#N/A</v>
      </c>
      <c r="ZH8" s="163" t="e">
        <f>VLOOKUP($YC8,$WK$4:XO$33,ZH$3+3,0)</f>
        <v>#N/A</v>
      </c>
      <c r="ZI8" s="163" t="e">
        <f>VLOOKUP($YC8,$WK$4:XP$33,ZI$3+3,0)</f>
        <v>#N/A</v>
      </c>
      <c r="ZJ8" s="163" t="e">
        <f>VLOOKUP($YC8,$WK$4:XQ$33,ZJ$3+3,0)</f>
        <v>#N/A</v>
      </c>
      <c r="ZK8" s="163" t="e">
        <f>VLOOKUP($YC8,$WK$4:XR$33,ZK$3+3,0)</f>
        <v>#N/A</v>
      </c>
      <c r="ZL8" s="163" t="e">
        <f>VLOOKUP($YC8,$WK$4:XS$33,ZL$3+3,0)</f>
        <v>#N/A</v>
      </c>
      <c r="ZM8" s="163" t="e">
        <f>VLOOKUP($YC8,$WK$4:XT$33,ZM$3+3,0)</f>
        <v>#N/A</v>
      </c>
      <c r="ZN8" s="163" t="e">
        <f>VLOOKUP($YC8,$WK$4:XU$33,ZN$3+3,0)</f>
        <v>#N/A</v>
      </c>
      <c r="ZO8" s="163" t="e">
        <f>VLOOKUP($YC8,$WK$4:XV$33,ZO$3+3,0)</f>
        <v>#N/A</v>
      </c>
      <c r="ZP8" s="163" t="e">
        <f>VLOOKUP($YC8,$WK$4:XW$33,ZP$3+3,0)</f>
        <v>#N/A</v>
      </c>
      <c r="ZQ8" s="163" t="e">
        <f>VLOOKUP($YC8,$WK$4:XX$33,ZQ$3+3,0)</f>
        <v>#N/A</v>
      </c>
      <c r="ZR8" s="163" t="e">
        <f>VLOOKUP($YC8,$WK$4:XY$33,ZR$3+3,0)</f>
        <v>#N/A</v>
      </c>
      <c r="ZS8" s="280"/>
      <c r="ZT8" s="280"/>
      <c r="ZU8" s="280"/>
      <c r="ZV8" s="280"/>
      <c r="ZW8" s="280"/>
      <c r="ZX8" s="280"/>
      <c r="ZY8" s="280"/>
      <c r="ZZ8" s="280"/>
      <c r="AAA8" s="280"/>
      <c r="AAB8" s="280"/>
      <c r="AAC8" s="280"/>
      <c r="AAD8" s="160"/>
      <c r="AAE8" s="160"/>
      <c r="AAF8" s="160"/>
      <c r="AAG8" s="160"/>
      <c r="AAH8" s="241"/>
      <c r="AAI8" s="241"/>
      <c r="AAJ8" s="241"/>
      <c r="AAK8" s="241"/>
      <c r="AAL8" s="241"/>
      <c r="AAM8" s="241"/>
      <c r="AAN8" s="241"/>
      <c r="AAO8" s="241"/>
      <c r="AAP8" s="241"/>
      <c r="AAQ8" s="241"/>
      <c r="AAR8" s="241"/>
      <c r="AAS8" s="241"/>
      <c r="AAT8" s="241"/>
      <c r="AAU8" s="241"/>
    </row>
    <row r="9" spans="4:723">
      <c r="D9" s="29">
        <v>6</v>
      </c>
      <c r="E9" s="31" t="s">
        <v>188</v>
      </c>
      <c r="F9" s="25">
        <f>SUMIF('ef-FT'!$C$2001:$C$3800,E9,'ef-FT'!$E$2001:$E$3800)</f>
        <v>19</v>
      </c>
      <c r="G9" s="25">
        <f>SUMIF('ef-FT'!$C$2001:$C$3800,E9,'ef-FT'!$F$2001:$F$3800)</f>
        <v>5</v>
      </c>
      <c r="H9" s="25">
        <f>SUMIF('ef-FT'!$C$2001:$C$3800,E9,'ef-FT'!$G$2001:$G$3800)</f>
        <v>5</v>
      </c>
      <c r="I9" s="25">
        <f>SUMIF('ef-FT'!$C$2001:$C$3800,E9,'ef-FT'!$H$2001:$H$3800)</f>
        <v>9</v>
      </c>
      <c r="J9" s="25">
        <f>SUMIF('ef-FT'!$C$2001:$C$3800,E9,'ef-FT'!$D$2001:$D$3800)</f>
        <v>20</v>
      </c>
      <c r="K9" s="25">
        <f>SUMIF('ef-FT'!$C$2001:$C$3800,E9,'ef-FT'!$I$2001:$I$3800)</f>
        <v>15</v>
      </c>
      <c r="L9" s="25">
        <f>SUMIF('ef-FT'!$C$2001:$C$3800,E9,'ef-FT'!$J$2001:$J$3800)</f>
        <v>22</v>
      </c>
      <c r="M9" s="25" t="str">
        <f>CONCATENATE(K9, " - ",L9)</f>
        <v>15 - 22</v>
      </c>
      <c r="N9" s="25">
        <f>K9-L9</f>
        <v>-7</v>
      </c>
      <c r="O9" s="25">
        <f>SUMIF('ef-FT'!$C$2001:$C$3800,$E9,'ef-FT'!$K$2001:$K$3800)</f>
        <v>9</v>
      </c>
      <c r="P9" s="25">
        <f>SUMIF('ef-FT'!$C$2001:$C$3800,$E9,'ef-FT'!$L$2001:$L$3800)</f>
        <v>7</v>
      </c>
      <c r="Q9" s="55"/>
      <c r="R9" s="25">
        <f>SUMIF('ef-FT'!$C$2001:$C$2999,$E9,'ef-FT'!$E$2001:$E$2999)</f>
        <v>10</v>
      </c>
      <c r="S9" s="25">
        <f>SUMIF('ef-FT'!$C$2001:$C$2999,$E9,'ef-FT'!$F$2001:$F$2999)</f>
        <v>4</v>
      </c>
      <c r="T9" s="25">
        <f>SUMIF('ef-FT'!$C$2001:$C$2999,$E9,'ef-FT'!$G$2001:$G$2999)</f>
        <v>3</v>
      </c>
      <c r="U9" s="25">
        <f>SUMIF('ef-FT'!$C$2001:$C$2999,$E9,'ef-FT'!$H$2001:$H$2999)</f>
        <v>3</v>
      </c>
      <c r="V9" s="25">
        <f>SUMIF('ef-FT'!$C$2001:$C$2999,$E9,'ef-FT'!$D$2001:$D$2999)</f>
        <v>15</v>
      </c>
      <c r="W9" s="25">
        <f>SUMIF('ef-FT'!$C$2001:$C$2999,$E9,'ef-FT'!$I$2001:$I$2999)</f>
        <v>11</v>
      </c>
      <c r="X9" s="25">
        <f>SUMIF('ef-FT'!$C$2001:$C$2999,$E9,'ef-FT'!$J$2001:$J$2999)</f>
        <v>9</v>
      </c>
      <c r="Y9" s="25" t="str">
        <f t="shared" si="105"/>
        <v>11 - 9</v>
      </c>
      <c r="Z9" s="25">
        <f t="shared" si="106"/>
        <v>2</v>
      </c>
      <c r="AA9" s="25">
        <f>SUMIF('ef-FT'!$C$2001:$C$2999,$E9,'ef-FT'!$K$2001:$K$2999)</f>
        <v>4</v>
      </c>
      <c r="AB9" s="25">
        <f>SUMIF('ef-FT'!$C$2001:$C$2999,$E9,'ef-FT'!$L$2001:$L$2999)</f>
        <v>5</v>
      </c>
      <c r="AC9" s="55"/>
      <c r="AD9" s="25">
        <f>SUMIF('ef-FT'!$C$3000:$C$3800,$E9,'ef-FT'!$E$3000:$E$3800)</f>
        <v>9</v>
      </c>
      <c r="AE9" s="25">
        <f>SUMIF('ef-FT'!$C$3000:$C$3800,$E9,'ef-FT'!$F$3000:$F$3800)</f>
        <v>1</v>
      </c>
      <c r="AF9" s="25">
        <f>SUMIF('ef-FT'!$C$3000:$C$3800,$E9,'ef-FT'!$G$3000:$G$3800)</f>
        <v>2</v>
      </c>
      <c r="AG9" s="25">
        <f>SUMIF('ef-FT'!$C$3000:$C$3800,$E9,'ef-FT'!$H$3000:$H$3800)</f>
        <v>6</v>
      </c>
      <c r="AH9" s="25">
        <f>SUMIF('ef-FT'!$C$3000:$C$3800,$E9,'ef-FT'!$D$3000:$D$3800)</f>
        <v>5</v>
      </c>
      <c r="AI9" s="25">
        <f>SUMIF('ef-FT'!$C$3000:$C$3800,$E9,'ef-FT'!$I$3000:$I$3800)</f>
        <v>4</v>
      </c>
      <c r="AJ9" s="25">
        <f>SUMIF('ef-FT'!$C$3000:$C$3800,$E9,'ef-FT'!$J$3000:$J$3800)</f>
        <v>13</v>
      </c>
      <c r="AK9" s="25" t="str">
        <f t="shared" si="107"/>
        <v>4 - 13</v>
      </c>
      <c r="AL9" s="25">
        <f t="shared" si="108"/>
        <v>-9</v>
      </c>
      <c r="AM9" s="25">
        <f>SUMIF('ef-FT'!$C$3000:$C$3800,$E9,'ef-FT'!$K$3000:$K$3800)</f>
        <v>5</v>
      </c>
      <c r="AN9" s="25">
        <f>SUMIF('ef-FT'!$C$3000:$C$3800,$E9,'ef-FT'!$L$3000:$L$3800)</f>
        <v>2</v>
      </c>
      <c r="AO9" s="26"/>
      <c r="AP9" s="27">
        <v>0.25</v>
      </c>
      <c r="AQ9" s="28">
        <f t="shared" si="1"/>
        <v>1001999930015.25</v>
      </c>
      <c r="AR9" s="29">
        <v>6</v>
      </c>
      <c r="AS9" s="28">
        <f t="shared" si="109"/>
        <v>1001999930015.25</v>
      </c>
      <c r="AT9" s="29">
        <f t="shared" si="110"/>
        <v>6</v>
      </c>
      <c r="AU9" s="30" t="str">
        <f t="shared" si="111"/>
        <v>Kansas City</v>
      </c>
      <c r="AV9" s="29">
        <f t="shared" si="112"/>
        <v>19</v>
      </c>
      <c r="AW9" s="29">
        <f t="shared" si="113"/>
        <v>5</v>
      </c>
      <c r="AX9" s="29">
        <f t="shared" si="114"/>
        <v>5</v>
      </c>
      <c r="AY9" s="29">
        <f t="shared" si="115"/>
        <v>9</v>
      </c>
      <c r="AZ9" s="29">
        <f t="shared" si="116"/>
        <v>20</v>
      </c>
      <c r="BA9" s="29" t="str">
        <f t="shared" si="117"/>
        <v>15 - 22</v>
      </c>
      <c r="BB9" s="29">
        <f t="shared" si="118"/>
        <v>-7</v>
      </c>
      <c r="BC9" s="90">
        <f>VLOOKUP($AT9,$D$4:R$33,15,0)</f>
        <v>10</v>
      </c>
      <c r="BD9" s="90">
        <f>VLOOKUP($AT9,$D$4:S$33,16,0)</f>
        <v>4</v>
      </c>
      <c r="BE9" s="90">
        <f>VLOOKUP($AT9,$D$4:T$33,17,0)</f>
        <v>3</v>
      </c>
      <c r="BF9" s="90">
        <f>VLOOKUP($AT9,$D$4:U$33,18,0)</f>
        <v>3</v>
      </c>
      <c r="BG9" s="90">
        <f>VLOOKUP($AT9,$D$4:V$33,19,0)</f>
        <v>15</v>
      </c>
      <c r="BH9" s="90" t="str">
        <f>VLOOKUP($AT9,$D$4:Y$33,22,0)</f>
        <v>11 - 9</v>
      </c>
      <c r="BI9" s="90">
        <f>VLOOKUP($AT9,$D$4:Z$33,23,0)</f>
        <v>2</v>
      </c>
      <c r="BJ9" s="90">
        <f>VLOOKUP($AT9,$D$4:AD$33,27,0)</f>
        <v>9</v>
      </c>
      <c r="BK9" s="90">
        <f>VLOOKUP($AT9,$D$4:AE$33,28,0)</f>
        <v>1</v>
      </c>
      <c r="BL9" s="90">
        <f>VLOOKUP($AT9,$D$4:AF$33,29,0)</f>
        <v>2</v>
      </c>
      <c r="BM9" s="90">
        <f>VLOOKUP($AT9,$D$4:AG$33,30,0)</f>
        <v>6</v>
      </c>
      <c r="BN9" s="90">
        <f>VLOOKUP($AT9,$D$4:AH$33,31,0)</f>
        <v>5</v>
      </c>
      <c r="BO9" s="90" t="str">
        <f>VLOOKUP($AT9,$D$4:AK$35,34,0)</f>
        <v>4 - 13</v>
      </c>
      <c r="BP9" s="90">
        <f>VLOOKUP($AT9,$D$4:AL$35,35,0)</f>
        <v>-9</v>
      </c>
      <c r="BS9" s="10" t="s">
        <v>33</v>
      </c>
      <c r="BT9" s="123">
        <v>0.29166666666666702</v>
      </c>
      <c r="BU9" s="123">
        <f t="shared" si="2"/>
        <v>0.12500000000000036</v>
      </c>
      <c r="BV9" s="10" t="s">
        <v>63</v>
      </c>
      <c r="CA9" s="130">
        <f t="shared" si="119"/>
        <v>20.25</v>
      </c>
      <c r="CB9" s="130">
        <f t="shared" si="120"/>
        <v>19.75</v>
      </c>
      <c r="CC9" s="130">
        <f t="shared" si="121"/>
        <v>5.25</v>
      </c>
      <c r="CD9" s="130">
        <f t="shared" si="122"/>
        <v>4.75</v>
      </c>
      <c r="CE9" s="130">
        <f t="shared" si="123"/>
        <v>9.25</v>
      </c>
      <c r="CF9" s="130">
        <f t="shared" si="124"/>
        <v>8.75</v>
      </c>
      <c r="CG9" s="130">
        <f t="shared" si="125"/>
        <v>15.25</v>
      </c>
      <c r="CH9" s="130">
        <f t="shared" si="126"/>
        <v>14.75</v>
      </c>
      <c r="CI9" s="130">
        <f t="shared" si="127"/>
        <v>22.25</v>
      </c>
      <c r="CJ9" s="130">
        <f t="shared" si="128"/>
        <v>21.75</v>
      </c>
      <c r="CK9" s="130">
        <f t="shared" si="129"/>
        <v>-6.75</v>
      </c>
      <c r="CL9" s="130">
        <f t="shared" si="130"/>
        <v>-7.25</v>
      </c>
      <c r="CM9" s="130">
        <f t="shared" si="131"/>
        <v>9.25</v>
      </c>
      <c r="CN9" s="130">
        <f t="shared" si="132"/>
        <v>8.75</v>
      </c>
      <c r="CO9" s="130">
        <f t="shared" si="133"/>
        <v>7.25</v>
      </c>
      <c r="CP9" s="130">
        <f t="shared" si="134"/>
        <v>6.75</v>
      </c>
      <c r="CQ9" s="131"/>
      <c r="CR9" s="130">
        <f t="shared" ref="CR9:CR33" si="360">IF($E9=0,-1+$AP9,V9+$AP9)</f>
        <v>15.25</v>
      </c>
      <c r="CS9" s="130">
        <f t="shared" si="135"/>
        <v>14.75</v>
      </c>
      <c r="CT9" s="130">
        <f t="shared" ref="CT9:CT33" si="361">IF($E9=0,-1+$AP9,S9+$AP9)</f>
        <v>4.25</v>
      </c>
      <c r="CU9" s="130">
        <f t="shared" ref="CU9:CU33" si="362">IF(CT9&lt;0,100000-$AP9,S9-$AP9)</f>
        <v>3.75</v>
      </c>
      <c r="CV9" s="130">
        <f t="shared" ref="CV9:CV33" si="363">IF($E9=0,-1+$AP9,U9+$AP9)</f>
        <v>3.25</v>
      </c>
      <c r="CW9" s="130">
        <f t="shared" ref="CW9:CW33" si="364">IF(CV9&lt;0,100000-$AP9,U9-$AP9)</f>
        <v>2.75</v>
      </c>
      <c r="CX9" s="130">
        <f t="shared" ref="CX9:CX33" si="365">IF($E9=0,-1+$AP9,W9+$AP9)</f>
        <v>11.25</v>
      </c>
      <c r="CY9" s="130">
        <f t="shared" ref="CY9:CY33" si="366">IF(CX9&lt;0,100000-$AP9,W9-$AP9)</f>
        <v>10.75</v>
      </c>
      <c r="CZ9" s="130">
        <f t="shared" ref="CZ9:CZ33" si="367">IF($E9=0,-1+$AP9,X9+$AP9)</f>
        <v>9.25</v>
      </c>
      <c r="DA9" s="130">
        <f t="shared" ref="DA9:DA33" si="368">IF(CZ9&lt;0,100000-$AP9,X9-$AP9)</f>
        <v>8.75</v>
      </c>
      <c r="DB9" s="130">
        <f t="shared" ref="DB9:DB33" si="369">IF($E9=0,-100000+$AP9,Z9+$AP9)</f>
        <v>2.25</v>
      </c>
      <c r="DC9" s="130">
        <f t="shared" ref="DC9:DC33" si="370">IF(DB9&lt;-50000,100000+$AP9,Z9-$AP9)</f>
        <v>1.75</v>
      </c>
      <c r="DD9" s="130">
        <f t="shared" ref="DD9:DD33" si="371">IF($E9=0,-1+$AP9,AA9+$AP9)</f>
        <v>4.25</v>
      </c>
      <c r="DE9" s="130">
        <f t="shared" ref="DE9:DE33" si="372">IF(DD9&lt;0,100000-$AP9,AA9-$AP9)</f>
        <v>3.75</v>
      </c>
      <c r="DF9" s="130">
        <f t="shared" ref="DF9:DF33" si="373">IF($E9=0,-1+$AP9,AB9+$AP9)</f>
        <v>5.25</v>
      </c>
      <c r="DG9" s="130">
        <f t="shared" ref="DG9:DG33" si="374">IF(DF9&lt;0,100000-$AP9,AB9-$AP9)</f>
        <v>4.75</v>
      </c>
      <c r="DH9" s="131"/>
      <c r="DI9" s="130">
        <f t="shared" si="16"/>
        <v>5.25</v>
      </c>
      <c r="DJ9" s="130">
        <f t="shared" si="136"/>
        <v>-0.25</v>
      </c>
      <c r="DK9" s="130">
        <f t="shared" si="17"/>
        <v>1.25</v>
      </c>
      <c r="DL9" s="130">
        <f t="shared" si="18"/>
        <v>0.75</v>
      </c>
      <c r="DM9" s="130">
        <f t="shared" si="19"/>
        <v>6.25</v>
      </c>
      <c r="DN9" s="130">
        <f t="shared" si="20"/>
        <v>5.75</v>
      </c>
      <c r="DO9" s="130">
        <f t="shared" si="21"/>
        <v>4.25</v>
      </c>
      <c r="DP9" s="130">
        <f t="shared" si="22"/>
        <v>3.75</v>
      </c>
      <c r="DQ9" s="130">
        <f t="shared" si="23"/>
        <v>13.25</v>
      </c>
      <c r="DR9" s="130">
        <f t="shared" si="24"/>
        <v>12.75</v>
      </c>
      <c r="DS9" s="130">
        <f t="shared" si="25"/>
        <v>-8.75</v>
      </c>
      <c r="DT9" s="130">
        <f t="shared" si="26"/>
        <v>-9.25</v>
      </c>
      <c r="DU9" s="130">
        <f t="shared" si="27"/>
        <v>5.25</v>
      </c>
      <c r="DV9" s="130">
        <f t="shared" si="28"/>
        <v>4.75</v>
      </c>
      <c r="DW9" s="130">
        <f t="shared" si="29"/>
        <v>2.25</v>
      </c>
      <c r="DX9" s="130">
        <f t="shared" si="30"/>
        <v>1.75</v>
      </c>
      <c r="DY9" s="132"/>
      <c r="DZ9" s="115">
        <v>6</v>
      </c>
      <c r="EA9" s="115">
        <v>25</v>
      </c>
      <c r="EB9" s="10">
        <f t="shared" si="137"/>
        <v>12</v>
      </c>
      <c r="EC9" s="10">
        <f t="shared" si="138"/>
        <v>4</v>
      </c>
      <c r="ED9" s="10">
        <f t="shared" si="139"/>
        <v>12</v>
      </c>
      <c r="EE9" s="10">
        <f t="shared" si="140"/>
        <v>16</v>
      </c>
      <c r="EF9" s="10">
        <f t="shared" si="141"/>
        <v>6</v>
      </c>
      <c r="EG9" s="10">
        <f t="shared" si="142"/>
        <v>13</v>
      </c>
      <c r="EH9" s="10">
        <f t="shared" si="143"/>
        <v>12</v>
      </c>
      <c r="EI9" s="10">
        <f t="shared" si="144"/>
        <v>5</v>
      </c>
      <c r="EJ9" s="10">
        <f t="shared" si="145"/>
        <v>16</v>
      </c>
      <c r="EK9" s="10">
        <f t="shared" si="146"/>
        <v>14</v>
      </c>
      <c r="EL9" s="10">
        <f t="shared" si="147"/>
        <v>14</v>
      </c>
      <c r="EM9" s="10">
        <f t="shared" si="148"/>
        <v>16</v>
      </c>
      <c r="EN9" s="10">
        <f t="shared" si="149"/>
        <v>16</v>
      </c>
      <c r="EO9" s="10">
        <f t="shared" si="150"/>
        <v>1</v>
      </c>
      <c r="EP9" s="10">
        <f t="shared" si="151"/>
        <v>6</v>
      </c>
      <c r="EQ9" s="10">
        <f t="shared" si="152"/>
        <v>11</v>
      </c>
      <c r="ES9" s="10">
        <f t="shared" si="153"/>
        <v>11</v>
      </c>
      <c r="ET9" s="10">
        <f t="shared" si="154"/>
        <v>6</v>
      </c>
      <c r="EU9" s="10">
        <f t="shared" si="155"/>
        <v>4</v>
      </c>
      <c r="EV9" s="10">
        <f t="shared" si="154"/>
        <v>13</v>
      </c>
      <c r="EW9" s="10">
        <f t="shared" si="156"/>
        <v>6</v>
      </c>
      <c r="EX9" s="10">
        <f t="shared" si="157"/>
        <v>1</v>
      </c>
      <c r="EY9" s="10">
        <f t="shared" si="158"/>
        <v>7</v>
      </c>
      <c r="EZ9" s="10">
        <f t="shared" si="159"/>
        <v>16</v>
      </c>
      <c r="FA9" s="10">
        <f t="shared" si="160"/>
        <v>16</v>
      </c>
      <c r="FB9" s="10">
        <f t="shared" si="161"/>
        <v>2</v>
      </c>
      <c r="FC9" s="10">
        <f t="shared" si="162"/>
        <v>13</v>
      </c>
      <c r="FD9" s="10">
        <f t="shared" si="163"/>
        <v>6</v>
      </c>
      <c r="FE9" s="10">
        <f t="shared" si="164"/>
        <v>15</v>
      </c>
      <c r="FF9" s="10">
        <f t="shared" si="165"/>
        <v>1</v>
      </c>
      <c r="FG9" s="10">
        <f t="shared" si="166"/>
        <v>4</v>
      </c>
      <c r="FH9" s="10">
        <f t="shared" si="167"/>
        <v>13</v>
      </c>
      <c r="FJ9" s="10">
        <f t="shared" si="168"/>
        <v>12</v>
      </c>
      <c r="FK9" s="10">
        <f t="shared" si="169"/>
        <v>6</v>
      </c>
      <c r="FL9" s="10">
        <f t="shared" si="170"/>
        <v>11</v>
      </c>
      <c r="FM9" s="10">
        <f t="shared" si="171"/>
        <v>15</v>
      </c>
      <c r="FN9" s="10">
        <f t="shared" si="172"/>
        <v>6</v>
      </c>
      <c r="FO9" s="10">
        <f t="shared" si="173"/>
        <v>2</v>
      </c>
      <c r="FP9" s="10">
        <f t="shared" si="174"/>
        <v>16</v>
      </c>
      <c r="FQ9" s="10">
        <f t="shared" si="175"/>
        <v>7</v>
      </c>
      <c r="FR9" s="10">
        <f t="shared" si="176"/>
        <v>2</v>
      </c>
      <c r="FS9" s="10">
        <f t="shared" si="177"/>
        <v>1</v>
      </c>
      <c r="FT9" s="10">
        <f t="shared" si="178"/>
        <v>13</v>
      </c>
      <c r="FU9" s="10">
        <f t="shared" si="179"/>
        <v>6</v>
      </c>
      <c r="FV9" s="10">
        <f t="shared" si="180"/>
        <v>9</v>
      </c>
      <c r="FW9" s="10">
        <f t="shared" si="181"/>
        <v>12</v>
      </c>
      <c r="FX9" s="10">
        <f t="shared" si="182"/>
        <v>1</v>
      </c>
      <c r="FY9" s="10">
        <f t="shared" si="183"/>
        <v>15</v>
      </c>
      <c r="GA9" s="10">
        <f>IF(lg!$C$18=1,EB9,IF(lg!$C$18=2,ES9,FJ9))</f>
        <v>12</v>
      </c>
      <c r="GB9" s="10">
        <f>IF(lg!$C$18=1,EC9,IF(lg!$C$18=2,ET9,FK9))</f>
        <v>4</v>
      </c>
      <c r="GC9" s="10">
        <f>IF(lg!$C$18=1,ED9,IF(lg!$C$18=2,EU9,FL9))</f>
        <v>12</v>
      </c>
      <c r="GD9" s="10">
        <f>IF(lg!$C$18=1,EE9,IF(lg!$C$18=2,EV9,FM9))</f>
        <v>16</v>
      </c>
      <c r="GE9" s="10">
        <f>IF(lg!$C$18=1,EF9,IF(lg!$C$18=2,EW9,FN9))</f>
        <v>6</v>
      </c>
      <c r="GF9" s="10">
        <f>IF(lg!$C$18=1,EG9,IF(lg!$C$18=2,EX9,FO9))</f>
        <v>13</v>
      </c>
      <c r="GG9" s="10">
        <f>IF(lg!$C$18=1,EH9,IF(lg!$C$18=2,EY9,FP9))</f>
        <v>12</v>
      </c>
      <c r="GH9" s="10">
        <f>IF(lg!$C$18=1,EI9,IF(lg!$C$18=2,EZ9,FQ9))</f>
        <v>5</v>
      </c>
      <c r="GI9" s="10">
        <f>IF(lg!$C$18=1,EJ9,IF(lg!$C$18=2,FA9,FR9))</f>
        <v>16</v>
      </c>
      <c r="GJ9" s="10">
        <f>IF(lg!$C$18=1,EK9,IF(lg!$C$18=2,FB9,FS9))</f>
        <v>14</v>
      </c>
      <c r="GK9" s="10">
        <f>IF(lg!$C$18=1,EL9,IF(lg!$C$18=2,FC9,FT9))</f>
        <v>14</v>
      </c>
      <c r="GL9" s="10">
        <f>IF(lg!$C$18=1,EM9,IF(lg!$C$18=2,FD9,FU9))</f>
        <v>16</v>
      </c>
      <c r="GM9" s="10">
        <f>IF(lg!$C$18=1,EN9,IF(lg!$C$18=2,FE9,FV9))</f>
        <v>16</v>
      </c>
      <c r="GN9" s="10">
        <f>IF(lg!$C$18=1,EO9,IF(lg!$C$18=2,FF9,FW9))</f>
        <v>1</v>
      </c>
      <c r="GO9" s="10">
        <f>IF(lg!$C$18=1,EP9,IF(lg!$C$18=2,FG9,FX9))</f>
        <v>6</v>
      </c>
      <c r="GP9" s="10">
        <f>IF(lg!$C$18=1,EQ9,IF(lg!$C$18=2,FH9,FY9))</f>
        <v>11</v>
      </c>
      <c r="GR9" s="10" t="str">
        <f t="shared" si="184"/>
        <v>Seattle Sounders FC</v>
      </c>
      <c r="GS9" s="10" t="str">
        <f t="shared" si="31"/>
        <v>New England</v>
      </c>
      <c r="GT9" s="10" t="str">
        <f t="shared" si="32"/>
        <v>Seattle Sounders FC</v>
      </c>
      <c r="GU9" s="10" t="str">
        <f t="shared" si="33"/>
        <v>Chivas USA</v>
      </c>
      <c r="GV9" s="10" t="str">
        <f t="shared" si="34"/>
        <v>Kansas City</v>
      </c>
      <c r="GW9" s="10" t="str">
        <f t="shared" si="35"/>
        <v>Colorado</v>
      </c>
      <c r="GX9" s="10" t="str">
        <f t="shared" si="36"/>
        <v>Seattle Sounders FC</v>
      </c>
      <c r="GY9" s="10" t="str">
        <f t="shared" si="37"/>
        <v>Chicago</v>
      </c>
      <c r="GZ9" s="10" t="str">
        <f t="shared" si="38"/>
        <v>Chivas USA</v>
      </c>
      <c r="HA9" s="10" t="str">
        <f t="shared" si="39"/>
        <v>San Jose</v>
      </c>
      <c r="HB9" s="10" t="str">
        <f t="shared" si="40"/>
        <v>San Jose</v>
      </c>
      <c r="HC9" s="10" t="str">
        <f t="shared" si="41"/>
        <v>Chivas USA</v>
      </c>
      <c r="HD9" s="10" t="str">
        <f t="shared" si="42"/>
        <v>Chivas USA</v>
      </c>
      <c r="HE9" s="10" t="str">
        <f t="shared" si="43"/>
        <v>Columbus</v>
      </c>
      <c r="HF9" s="10" t="str">
        <f t="shared" si="44"/>
        <v>Kansas City</v>
      </c>
      <c r="HG9" s="10" t="str">
        <f t="shared" si="45"/>
        <v>Dallas</v>
      </c>
      <c r="HI9" s="10">
        <v>6</v>
      </c>
      <c r="HJ9" s="115">
        <f>IF(lg!$C$18=1,F9,IF(lg!$C$18=2,R9,AD9))</f>
        <v>19</v>
      </c>
      <c r="HK9" s="115">
        <f>IF(lg!$C$18=1,G9,IF(lg!$C$18=2,S9,AE9))</f>
        <v>5</v>
      </c>
      <c r="HL9" s="115">
        <f>IF(lg!$C$18=1,H9,IF(lg!$C$18=2,T9,AF9))</f>
        <v>5</v>
      </c>
      <c r="HM9" s="115">
        <f>IF(lg!$C$18=1,I9,IF(lg!$C$18=2,U9,AG9))</f>
        <v>9</v>
      </c>
      <c r="HN9" s="115">
        <f>IF(lg!$C$18=1,J9,IF(lg!$C$18=2,V9,AH9))</f>
        <v>20</v>
      </c>
      <c r="HO9" s="115">
        <f>IF(lg!$C$18=1,K9,IF(lg!$C$18=2,W9,AI9))</f>
        <v>15</v>
      </c>
      <c r="HP9" s="115">
        <f>IF(lg!$C$18=1,L9,IF(lg!$C$18=2,X9,AJ9))</f>
        <v>22</v>
      </c>
      <c r="HQ9" s="115" t="str">
        <f>IF(lg!$C$18=1,M9,IF(lg!$C$18=2,Y9,AK9))</f>
        <v>15 - 22</v>
      </c>
      <c r="HR9" s="115">
        <f>IF(lg!$C$18=1,N9,IF(lg!$C$18=2,Z9,AL9))</f>
        <v>-7</v>
      </c>
      <c r="HS9" s="115">
        <f>IF(lg!$C$18=1,O9,IF(lg!$C$18=2,AA9,AM9))</f>
        <v>9</v>
      </c>
      <c r="HT9" s="115">
        <f>IF(lg!$C$18=1,P9,IF(lg!$C$18=2,AB9,AN9))</f>
        <v>7</v>
      </c>
      <c r="HV9" s="115">
        <f t="shared" si="185"/>
        <v>29</v>
      </c>
      <c r="HW9" s="115">
        <f t="shared" si="186"/>
        <v>21</v>
      </c>
      <c r="HX9" s="115">
        <f t="shared" si="187"/>
        <v>8</v>
      </c>
      <c r="HY9" s="115">
        <f t="shared" si="188"/>
        <v>5</v>
      </c>
      <c r="HZ9" s="115">
        <f t="shared" si="189"/>
        <v>9</v>
      </c>
      <c r="IA9" s="115">
        <f t="shared" si="190"/>
        <v>5</v>
      </c>
      <c r="IB9" s="115">
        <f t="shared" si="191"/>
        <v>23</v>
      </c>
      <c r="IC9" s="115">
        <f t="shared" si="192"/>
        <v>21</v>
      </c>
      <c r="ID9" s="115">
        <f t="shared" si="193"/>
        <v>25</v>
      </c>
      <c r="IE9" s="115">
        <f t="shared" si="194"/>
        <v>20</v>
      </c>
      <c r="IF9" s="115">
        <f t="shared" si="195"/>
        <v>1</v>
      </c>
      <c r="IG9" s="115">
        <f t="shared" si="196"/>
        <v>-3</v>
      </c>
      <c r="IH9" s="115">
        <f t="shared" si="197"/>
        <v>7</v>
      </c>
      <c r="II9" s="115">
        <f t="shared" si="198"/>
        <v>5</v>
      </c>
      <c r="IJ9" s="115">
        <f t="shared" si="199"/>
        <v>7</v>
      </c>
      <c r="IK9" s="115">
        <f t="shared" si="200"/>
        <v>5</v>
      </c>
      <c r="IN9" s="77" t="s">
        <v>137</v>
      </c>
      <c r="IO9" s="104" t="s">
        <v>126</v>
      </c>
      <c r="IP9" s="133">
        <f>VLOOKUP('ef-TeamStats'!B2,Table!$B$4:$W$23,8,0)</f>
        <v>19</v>
      </c>
      <c r="IQ9" s="133">
        <f>VLOOKUP('ef-TeamStats'!$B$2,Table!$B$4:$W$23,2,0)</f>
        <v>20</v>
      </c>
      <c r="IR9" s="134">
        <f t="shared" si="47"/>
        <v>0.95</v>
      </c>
      <c r="IS9" s="133">
        <f>MATCH('ef-TeamStats'!$B$2,$KC$4:$KC$33,0)</f>
        <v>2</v>
      </c>
      <c r="IT9" s="104"/>
      <c r="IU9" s="104" t="s">
        <v>126</v>
      </c>
      <c r="IV9" s="67">
        <f>VLOOKUP('ef-TeamStats'!G2,Table!$B$4:$W$23,8,0)</f>
        <v>10</v>
      </c>
      <c r="IW9" s="133">
        <f>VLOOKUP('ef-TeamStats'!$G$2,Table!$B$4:$W$23,2,0)</f>
        <v>19</v>
      </c>
      <c r="IX9" s="134">
        <f t="shared" si="48"/>
        <v>0.52631578947368418</v>
      </c>
      <c r="IY9" s="133">
        <f>MATCH('ef-TeamStats'!$G$2,$KC$4:$KC$33,0)</f>
        <v>3</v>
      </c>
      <c r="JB9" s="10">
        <f>IF(lg!$F$18=1,EB9,IF(lg!$F$18=2,ES9,FJ9))</f>
        <v>12</v>
      </c>
      <c r="JC9" s="10">
        <f>IF(lg!$F$18=1,EC9,IF(lg!$F$18=2,ET9,FK9))</f>
        <v>4</v>
      </c>
      <c r="JD9" s="10">
        <f>IF(lg!$F$18=1,ED9,IF(lg!$F$18=2,EU9,FL9))</f>
        <v>12</v>
      </c>
      <c r="JE9" s="10">
        <f>IF(lg!$F$18=1,EE9,IF(lg!$F$18=2,EV9,FM9))</f>
        <v>16</v>
      </c>
      <c r="JF9" s="10">
        <f>IF(lg!$F$18=1,EF9,IF(lg!$F$18=2,EW9,FN9))</f>
        <v>6</v>
      </c>
      <c r="JG9" s="10">
        <f>IF(lg!$F$18=1,EG9,IF(lg!$F$18=2,EX9,FO9))</f>
        <v>13</v>
      </c>
      <c r="JH9" s="10">
        <f>IF(lg!$F$18=1,EH9,IF(lg!$F$18=2,EY9,FP9))</f>
        <v>12</v>
      </c>
      <c r="JI9" s="10">
        <f>IF(lg!$F$18=1,EI9,IF(lg!$F$18=2,EZ9,FQ9))</f>
        <v>5</v>
      </c>
      <c r="JJ9" s="10">
        <f>IF(lg!$F$18=1,EJ9,IF(lg!$F$18=2,FA9,FR9))</f>
        <v>16</v>
      </c>
      <c r="JK9" s="10">
        <f>IF(lg!$F$18=1,EK9,IF(lg!$F$18=2,FB9,FS9))</f>
        <v>14</v>
      </c>
      <c r="JL9" s="10">
        <f>IF(lg!$F$18=1,EL9,IF(lg!$F$18=2,FC9,FT9))</f>
        <v>14</v>
      </c>
      <c r="JM9" s="10">
        <f>IF(lg!$F$18=1,EM9,IF(lg!$F$18=2,FD9,FU9))</f>
        <v>16</v>
      </c>
      <c r="JN9" s="10">
        <f>IF(lg!$F$18=1,EN9,IF(lg!$F$18=2,FE9,FV9))</f>
        <v>16</v>
      </c>
      <c r="JO9" s="10">
        <f>IF(lg!$F$18=1,EO9,IF(lg!$F$18=2,FF9,FW9))</f>
        <v>1</v>
      </c>
      <c r="JP9" s="10">
        <f>IF(lg!$F$18=1,EP9,IF(lg!$F$18=2,FG9,FX9))</f>
        <v>6</v>
      </c>
      <c r="JQ9" s="10">
        <f>IF(lg!$F$18=1,EQ9,IF(lg!$F$18=2,FH9,FY9))</f>
        <v>11</v>
      </c>
      <c r="JS9" s="10" t="str">
        <f t="shared" si="201"/>
        <v>Seattle Sounders FC</v>
      </c>
      <c r="JT9" s="10" t="str">
        <f t="shared" si="49"/>
        <v>New England</v>
      </c>
      <c r="JU9" s="10" t="str">
        <f t="shared" si="50"/>
        <v>Seattle Sounders FC</v>
      </c>
      <c r="JV9" s="10" t="str">
        <f t="shared" si="51"/>
        <v>Chivas USA</v>
      </c>
      <c r="JW9" s="10" t="str">
        <f t="shared" si="52"/>
        <v>Kansas City</v>
      </c>
      <c r="JX9" s="10" t="str">
        <f t="shared" si="53"/>
        <v>Colorado</v>
      </c>
      <c r="JY9" s="10" t="str">
        <f t="shared" si="54"/>
        <v>Seattle Sounders FC</v>
      </c>
      <c r="JZ9" s="10" t="str">
        <f t="shared" si="55"/>
        <v>Chicago</v>
      </c>
      <c r="KA9" s="10" t="str">
        <f t="shared" si="56"/>
        <v>Chivas USA</v>
      </c>
      <c r="KB9" s="10" t="str">
        <f t="shared" si="57"/>
        <v>San Jose</v>
      </c>
      <c r="KC9" s="10" t="str">
        <f t="shared" si="58"/>
        <v>San Jose</v>
      </c>
      <c r="KD9" s="10" t="str">
        <f t="shared" si="59"/>
        <v>Chivas USA</v>
      </c>
      <c r="KE9" s="10" t="str">
        <f t="shared" si="60"/>
        <v>Chivas USA</v>
      </c>
      <c r="KF9" s="10" t="str">
        <f t="shared" si="61"/>
        <v>Columbus</v>
      </c>
      <c r="KG9" s="10" t="str">
        <f t="shared" si="62"/>
        <v>Kansas City</v>
      </c>
      <c r="KH9" s="10" t="str">
        <f t="shared" si="63"/>
        <v>Dallas</v>
      </c>
      <c r="KL9" s="27">
        <v>0.25</v>
      </c>
      <c r="KM9" s="29">
        <v>6</v>
      </c>
      <c r="KN9" s="31" t="str">
        <f t="shared" si="202"/>
        <v>Kansas City</v>
      </c>
      <c r="KO9" s="152">
        <f t="shared" si="203"/>
        <v>3</v>
      </c>
      <c r="KP9" s="152">
        <f t="shared" si="204"/>
        <v>4</v>
      </c>
      <c r="KQ9" s="152">
        <f t="shared" si="205"/>
        <v>0</v>
      </c>
      <c r="KR9" s="28">
        <f t="shared" si="206"/>
        <v>1000300040004.25</v>
      </c>
      <c r="KS9" s="29"/>
      <c r="KT9" s="28"/>
      <c r="KU9" s="29">
        <f>RANK(KR9,KR$4:KR$11)</f>
        <v>1</v>
      </c>
      <c r="KV9" s="152">
        <f t="shared" si="207"/>
        <v>6</v>
      </c>
      <c r="KW9" s="152">
        <f t="shared" si="208"/>
        <v>5</v>
      </c>
      <c r="KX9" s="152">
        <f t="shared" si="209"/>
        <v>0</v>
      </c>
      <c r="KY9" s="28">
        <f t="shared" si="210"/>
        <v>1000600050005.25</v>
      </c>
      <c r="KZ9" s="29"/>
      <c r="LA9" s="28"/>
      <c r="LB9" s="29">
        <f>RANK(KY9,KY$4:KY$11)</f>
        <v>1</v>
      </c>
      <c r="LC9" s="152">
        <f t="shared" si="211"/>
        <v>6</v>
      </c>
      <c r="LD9" s="152">
        <f t="shared" si="212"/>
        <v>5</v>
      </c>
      <c r="LE9" s="152">
        <f t="shared" si="213"/>
        <v>1</v>
      </c>
      <c r="LF9" s="28">
        <f t="shared" si="214"/>
        <v>1000600040005.25</v>
      </c>
      <c r="LG9" s="29"/>
      <c r="LH9" s="28"/>
      <c r="LI9" s="29">
        <f>RANK(LF9,LF$4:LF$11)</f>
        <v>3</v>
      </c>
      <c r="LJ9" s="152">
        <f t="shared" si="215"/>
        <v>7</v>
      </c>
      <c r="LK9" s="152">
        <f t="shared" si="216"/>
        <v>5</v>
      </c>
      <c r="LL9" s="152">
        <f t="shared" si="217"/>
        <v>1</v>
      </c>
      <c r="LM9" s="28">
        <f t="shared" si="218"/>
        <v>1000700040005.25</v>
      </c>
      <c r="LN9" s="29"/>
      <c r="LO9" s="28"/>
      <c r="LP9" s="29">
        <f>RANK(LM9,LM$4:LM$11)</f>
        <v>3</v>
      </c>
      <c r="LQ9" s="152">
        <f t="shared" si="219"/>
        <v>7</v>
      </c>
      <c r="LR9" s="152">
        <f t="shared" si="220"/>
        <v>5</v>
      </c>
      <c r="LS9" s="152">
        <f t="shared" si="221"/>
        <v>4</v>
      </c>
      <c r="LT9" s="28">
        <f t="shared" si="222"/>
        <v>1000700010005.25</v>
      </c>
      <c r="LU9" s="29"/>
      <c r="LV9" s="28"/>
      <c r="LW9" s="29">
        <f>RANK(LT9,LT$4:LT$11)</f>
        <v>4</v>
      </c>
      <c r="LX9" s="152">
        <f t="shared" si="223"/>
        <v>7</v>
      </c>
      <c r="LY9" s="152">
        <f t="shared" si="224"/>
        <v>6</v>
      </c>
      <c r="LZ9" s="152">
        <f t="shared" si="225"/>
        <v>6</v>
      </c>
      <c r="MA9" s="28">
        <f t="shared" si="226"/>
        <v>1000700000006.25</v>
      </c>
      <c r="MB9" s="29"/>
      <c r="MC9" s="28"/>
      <c r="MD9" s="29">
        <f>RANK(MA9,MA$4:MA$11)</f>
        <v>5</v>
      </c>
      <c r="ME9" s="152">
        <f t="shared" si="227"/>
        <v>8</v>
      </c>
      <c r="MF9" s="152">
        <f t="shared" si="228"/>
        <v>8</v>
      </c>
      <c r="MG9" s="152">
        <f t="shared" si="229"/>
        <v>8</v>
      </c>
      <c r="MH9" s="28">
        <f t="shared" si="230"/>
        <v>1000800000008.25</v>
      </c>
      <c r="MI9" s="29"/>
      <c r="MJ9" s="28"/>
      <c r="MK9" s="29">
        <f>RANK(MH9,MH$4:MH$11)</f>
        <v>4</v>
      </c>
      <c r="ML9" s="152">
        <f t="shared" si="231"/>
        <v>8</v>
      </c>
      <c r="MM9" s="152">
        <f t="shared" si="232"/>
        <v>8</v>
      </c>
      <c r="MN9" s="152">
        <f t="shared" si="233"/>
        <v>9</v>
      </c>
      <c r="MO9" s="28">
        <f t="shared" si="234"/>
        <v>1000799990008.25</v>
      </c>
      <c r="MP9" s="29"/>
      <c r="MQ9" s="28"/>
      <c r="MR9" s="29">
        <f>RANK(MO9,MO$4:MO$11)</f>
        <v>5</v>
      </c>
      <c r="MS9" s="152">
        <f t="shared" si="235"/>
        <v>8</v>
      </c>
      <c r="MT9" s="152">
        <f t="shared" si="236"/>
        <v>9</v>
      </c>
      <c r="MU9" s="152">
        <f t="shared" si="237"/>
        <v>13</v>
      </c>
      <c r="MV9" s="28">
        <f t="shared" si="238"/>
        <v>1000799960009.25</v>
      </c>
      <c r="MW9" s="29"/>
      <c r="MX9" s="28"/>
      <c r="MY9" s="29">
        <f>RANK(MV9,MV$4:MV$11)</f>
        <v>6</v>
      </c>
      <c r="MZ9" s="152">
        <f t="shared" si="239"/>
        <v>9</v>
      </c>
      <c r="NA9" s="152">
        <f t="shared" si="240"/>
        <v>9</v>
      </c>
      <c r="NB9" s="152">
        <f t="shared" si="241"/>
        <v>13</v>
      </c>
      <c r="NC9" s="28">
        <f t="shared" si="242"/>
        <v>1000899960009.25</v>
      </c>
      <c r="ND9" s="29"/>
      <c r="NE9" s="28"/>
      <c r="NF9" s="29">
        <f>RANK(NC9,NC$4:NC$11)</f>
        <v>5</v>
      </c>
      <c r="NG9" s="152">
        <f t="shared" si="243"/>
        <v>12</v>
      </c>
      <c r="NH9" s="152">
        <f t="shared" si="244"/>
        <v>11</v>
      </c>
      <c r="NI9" s="152">
        <f t="shared" si="245"/>
        <v>13</v>
      </c>
      <c r="NJ9" s="28">
        <f t="shared" si="246"/>
        <v>1001199980011.25</v>
      </c>
      <c r="NK9" s="29"/>
      <c r="NL9" s="28"/>
      <c r="NM9" s="29">
        <f>RANK(NJ9,NJ$4:NJ$11)</f>
        <v>5</v>
      </c>
      <c r="NN9" s="152">
        <f t="shared" si="247"/>
        <v>12</v>
      </c>
      <c r="NO9" s="152">
        <f t="shared" si="248"/>
        <v>11</v>
      </c>
      <c r="NP9" s="152">
        <f t="shared" si="249"/>
        <v>16</v>
      </c>
      <c r="NQ9" s="28">
        <f t="shared" si="250"/>
        <v>1001199950011.25</v>
      </c>
      <c r="NR9" s="29"/>
      <c r="NS9" s="28"/>
      <c r="NT9" s="29">
        <f>RANK(NQ9,NQ$4:NQ$11)</f>
        <v>5</v>
      </c>
      <c r="NU9" s="152">
        <f t="shared" si="251"/>
        <v>12</v>
      </c>
      <c r="NV9" s="152">
        <f t="shared" si="252"/>
        <v>11</v>
      </c>
      <c r="NW9" s="152">
        <f t="shared" si="253"/>
        <v>17</v>
      </c>
      <c r="NX9" s="28">
        <f t="shared" si="254"/>
        <v>1001199940011.25</v>
      </c>
      <c r="NY9" s="29"/>
      <c r="NZ9" s="28"/>
      <c r="OA9" s="29">
        <f>RANK(NX9,NX$4:NX$11)</f>
        <v>5</v>
      </c>
      <c r="OB9" s="152">
        <f t="shared" si="255"/>
        <v>12</v>
      </c>
      <c r="OC9" s="152">
        <f t="shared" si="256"/>
        <v>11</v>
      </c>
      <c r="OD9" s="152">
        <f t="shared" si="257"/>
        <v>19</v>
      </c>
      <c r="OE9" s="28">
        <f t="shared" si="258"/>
        <v>1001199920011.25</v>
      </c>
      <c r="OF9" s="29"/>
      <c r="OG9" s="28"/>
      <c r="OH9" s="29">
        <f>RANK(OE9,OE$4:OE$11)</f>
        <v>6</v>
      </c>
      <c r="OI9" s="152">
        <f t="shared" si="259"/>
        <v>15</v>
      </c>
      <c r="OJ9" s="152">
        <f t="shared" si="260"/>
        <v>12</v>
      </c>
      <c r="OK9" s="152">
        <f t="shared" si="261"/>
        <v>19</v>
      </c>
      <c r="OL9" s="28">
        <f t="shared" si="262"/>
        <v>1001499930012.25</v>
      </c>
      <c r="OM9" s="29"/>
      <c r="ON9" s="28"/>
      <c r="OO9" s="29">
        <f>RANK(OL9,OL$4:OL$11)</f>
        <v>6</v>
      </c>
      <c r="OP9" s="152">
        <f t="shared" si="263"/>
        <v>16</v>
      </c>
      <c r="OQ9" s="152">
        <f t="shared" si="264"/>
        <v>13</v>
      </c>
      <c r="OR9" s="152">
        <f t="shared" si="265"/>
        <v>20</v>
      </c>
      <c r="OS9" s="28">
        <f t="shared" si="266"/>
        <v>1001599930013.25</v>
      </c>
      <c r="OT9" s="29"/>
      <c r="OU9" s="28"/>
      <c r="OV9" s="29">
        <f>RANK(OS9,OS$4:OS$11)</f>
        <v>5</v>
      </c>
      <c r="OW9" s="152">
        <f t="shared" si="267"/>
        <v>19</v>
      </c>
      <c r="OX9" s="152">
        <f t="shared" si="268"/>
        <v>14</v>
      </c>
      <c r="OY9" s="152">
        <f t="shared" si="269"/>
        <v>20</v>
      </c>
      <c r="OZ9" s="28">
        <f t="shared" si="270"/>
        <v>1001899940014.25</v>
      </c>
      <c r="PA9" s="29"/>
      <c r="PB9" s="28"/>
      <c r="PC9" s="29">
        <f>RANK(OZ9,OZ$4:OZ$11)</f>
        <v>5</v>
      </c>
      <c r="PD9" s="152">
        <f t="shared" si="271"/>
        <v>20</v>
      </c>
      <c r="PE9" s="152">
        <f t="shared" si="272"/>
        <v>15</v>
      </c>
      <c r="PF9" s="152">
        <f t="shared" si="273"/>
        <v>21</v>
      </c>
      <c r="PG9" s="28">
        <f t="shared" si="274"/>
        <v>1001999940015.25</v>
      </c>
      <c r="PH9" s="29"/>
      <c r="PI9" s="28"/>
      <c r="PJ9" s="29">
        <f>RANK(PG9,PG$4:PG$11)</f>
        <v>6</v>
      </c>
      <c r="PK9" s="152">
        <f t="shared" si="275"/>
        <v>20</v>
      </c>
      <c r="PL9" s="152">
        <f t="shared" si="276"/>
        <v>15</v>
      </c>
      <c r="PM9" s="152">
        <f t="shared" si="277"/>
        <v>22</v>
      </c>
      <c r="PN9" s="28">
        <f t="shared" si="278"/>
        <v>1001999930015.25</v>
      </c>
      <c r="PO9" s="29"/>
      <c r="PP9" s="28"/>
      <c r="PQ9" s="29">
        <f>RANK(PN9,PN$4:PN$11)</f>
        <v>6</v>
      </c>
      <c r="PR9" s="152">
        <f t="shared" si="279"/>
        <v>20</v>
      </c>
      <c r="PS9" s="152">
        <f t="shared" si="280"/>
        <v>15</v>
      </c>
      <c r="PT9" s="152">
        <f t="shared" si="281"/>
        <v>22</v>
      </c>
      <c r="PU9" s="28">
        <f t="shared" si="282"/>
        <v>1001999930015.25</v>
      </c>
      <c r="PV9" s="29"/>
      <c r="PW9" s="28"/>
      <c r="PX9" s="29">
        <f>RANK(PU9,PU$4:PU$11)</f>
        <v>6</v>
      </c>
      <c r="PY9" s="152">
        <f t="shared" si="283"/>
        <v>20</v>
      </c>
      <c r="PZ9" s="152">
        <f t="shared" si="284"/>
        <v>15</v>
      </c>
      <c r="QA9" s="152">
        <f t="shared" si="285"/>
        <v>22</v>
      </c>
      <c r="QB9" s="28">
        <f t="shared" si="286"/>
        <v>1001999930015.25</v>
      </c>
      <c r="QC9" s="29"/>
      <c r="QD9" s="28"/>
      <c r="QE9" s="29">
        <f>RANK(QB9,QB$4:QB$11)</f>
        <v>6</v>
      </c>
      <c r="QF9" s="152">
        <f t="shared" si="287"/>
        <v>20</v>
      </c>
      <c r="QG9" s="152">
        <f t="shared" si="288"/>
        <v>15</v>
      </c>
      <c r="QH9" s="152">
        <f t="shared" si="289"/>
        <v>22</v>
      </c>
      <c r="QI9" s="28">
        <f t="shared" si="290"/>
        <v>1001999930015.25</v>
      </c>
      <c r="QJ9" s="29"/>
      <c r="QK9" s="28"/>
      <c r="QL9" s="29">
        <f>RANK(QI9,QI$4:QI$11)</f>
        <v>6</v>
      </c>
      <c r="QM9" s="152">
        <f t="shared" si="291"/>
        <v>20</v>
      </c>
      <c r="QN9" s="152">
        <f t="shared" si="292"/>
        <v>15</v>
      </c>
      <c r="QO9" s="152">
        <f t="shared" si="293"/>
        <v>22</v>
      </c>
      <c r="QP9" s="28">
        <f t="shared" si="294"/>
        <v>1001999930015.25</v>
      </c>
      <c r="QQ9" s="29"/>
      <c r="QR9" s="28"/>
      <c r="QS9" s="29">
        <f>RANK(QP9,QP$4:QP$11)</f>
        <v>6</v>
      </c>
      <c r="QT9" s="152">
        <f t="shared" si="295"/>
        <v>20</v>
      </c>
      <c r="QU9" s="152">
        <f t="shared" si="296"/>
        <v>15</v>
      </c>
      <c r="QV9" s="152">
        <f t="shared" si="297"/>
        <v>22</v>
      </c>
      <c r="QW9" s="28">
        <f t="shared" si="298"/>
        <v>1001999930015.25</v>
      </c>
      <c r="QX9" s="29"/>
      <c r="QY9" s="28"/>
      <c r="QZ9" s="29">
        <f>RANK(QW9,QW$4:QW$11)</f>
        <v>6</v>
      </c>
      <c r="RA9" s="152">
        <f t="shared" si="299"/>
        <v>20</v>
      </c>
      <c r="RB9" s="152">
        <f t="shared" si="300"/>
        <v>15</v>
      </c>
      <c r="RC9" s="152">
        <f t="shared" si="301"/>
        <v>22</v>
      </c>
      <c r="RD9" s="28">
        <f t="shared" si="302"/>
        <v>1001999930015.25</v>
      </c>
      <c r="RE9" s="29"/>
      <c r="RF9" s="28"/>
      <c r="RG9" s="29">
        <f>RANK(RD9,RD$4:RD$11)</f>
        <v>6</v>
      </c>
      <c r="RH9" s="152">
        <f t="shared" si="303"/>
        <v>20</v>
      </c>
      <c r="RI9" s="152">
        <f t="shared" si="304"/>
        <v>15</v>
      </c>
      <c r="RJ9" s="152">
        <f t="shared" si="305"/>
        <v>22</v>
      </c>
      <c r="RK9" s="28">
        <f t="shared" si="306"/>
        <v>1001999930015.25</v>
      </c>
      <c r="RL9" s="29"/>
      <c r="RM9" s="28"/>
      <c r="RN9" s="29">
        <f>RANK(RK9,RK$4:RK$11)</f>
        <v>6</v>
      </c>
      <c r="RO9" s="152">
        <f t="shared" si="307"/>
        <v>20</v>
      </c>
      <c r="RP9" s="152">
        <f t="shared" si="308"/>
        <v>15</v>
      </c>
      <c r="RQ9" s="152">
        <f t="shared" si="309"/>
        <v>22</v>
      </c>
      <c r="RR9" s="28">
        <f t="shared" si="310"/>
        <v>1001999930015.25</v>
      </c>
      <c r="RS9" s="29"/>
      <c r="RT9" s="28"/>
      <c r="RU9" s="29">
        <f>RANK(RR9,RR$4:RR$11)</f>
        <v>6</v>
      </c>
      <c r="RV9" s="152">
        <f t="shared" si="311"/>
        <v>20</v>
      </c>
      <c r="RW9" s="152">
        <f t="shared" si="312"/>
        <v>15</v>
      </c>
      <c r="RX9" s="152">
        <f t="shared" si="313"/>
        <v>22</v>
      </c>
      <c r="RY9" s="28">
        <f t="shared" si="314"/>
        <v>1001999930015.25</v>
      </c>
      <c r="RZ9" s="29"/>
      <c r="SA9" s="28"/>
      <c r="SB9" s="29">
        <f>RANK(RY9,RY$4:RY$11)</f>
        <v>6</v>
      </c>
      <c r="SC9" s="152">
        <f t="shared" si="315"/>
        <v>20</v>
      </c>
      <c r="SD9" s="152">
        <f t="shared" si="316"/>
        <v>15</v>
      </c>
      <c r="SE9" s="152">
        <f t="shared" si="317"/>
        <v>22</v>
      </c>
      <c r="SF9" s="28">
        <f t="shared" si="318"/>
        <v>1001999930015.25</v>
      </c>
      <c r="SG9" s="29"/>
      <c r="SH9" s="28"/>
      <c r="SI9" s="29">
        <f>RANK(SF9,SF$4:SF$11)</f>
        <v>6</v>
      </c>
      <c r="SJ9" s="152">
        <f t="shared" si="319"/>
        <v>20</v>
      </c>
      <c r="SK9" s="152">
        <f t="shared" si="320"/>
        <v>15</v>
      </c>
      <c r="SL9" s="152">
        <f t="shared" si="321"/>
        <v>22</v>
      </c>
      <c r="SM9" s="28">
        <f t="shared" si="322"/>
        <v>1001999930015.25</v>
      </c>
      <c r="SN9" s="29"/>
      <c r="SO9" s="28"/>
      <c r="SP9" s="29">
        <f>RANK(SM9,SM$4:SM$11)</f>
        <v>6</v>
      </c>
      <c r="SQ9" s="152">
        <f t="shared" si="323"/>
        <v>20</v>
      </c>
      <c r="SR9" s="152">
        <f t="shared" si="324"/>
        <v>15</v>
      </c>
      <c r="SS9" s="152">
        <f t="shared" si="325"/>
        <v>22</v>
      </c>
      <c r="ST9" s="28">
        <f t="shared" si="326"/>
        <v>1001999930015.25</v>
      </c>
      <c r="SU9" s="29"/>
      <c r="SV9" s="28"/>
      <c r="SW9" s="29">
        <f>RANK(ST9,ST$4:ST$11)</f>
        <v>6</v>
      </c>
      <c r="SX9" s="152">
        <f t="shared" si="327"/>
        <v>20</v>
      </c>
      <c r="SY9" s="152">
        <f t="shared" si="328"/>
        <v>15</v>
      </c>
      <c r="SZ9" s="152">
        <f t="shared" si="329"/>
        <v>22</v>
      </c>
      <c r="TA9" s="28">
        <f t="shared" si="330"/>
        <v>1001999930015.25</v>
      </c>
      <c r="TB9" s="29"/>
      <c r="TC9" s="28"/>
      <c r="TD9" s="29">
        <f>RANK(TA9,TA$4:TA$11)</f>
        <v>6</v>
      </c>
      <c r="TE9" s="152">
        <f t="shared" si="331"/>
        <v>20</v>
      </c>
      <c r="TF9" s="152">
        <f t="shared" si="332"/>
        <v>15</v>
      </c>
      <c r="TG9" s="152">
        <f t="shared" si="333"/>
        <v>22</v>
      </c>
      <c r="TH9" s="28">
        <f t="shared" si="334"/>
        <v>1001999930015.25</v>
      </c>
      <c r="TI9" s="29"/>
      <c r="TJ9" s="28"/>
      <c r="TK9" s="29">
        <f>RANK(TH9,TH$4:TH$11)</f>
        <v>6</v>
      </c>
      <c r="TL9" s="152">
        <f t="shared" si="335"/>
        <v>20</v>
      </c>
      <c r="TM9" s="152">
        <f t="shared" si="336"/>
        <v>15</v>
      </c>
      <c r="TN9" s="152">
        <f t="shared" si="337"/>
        <v>22</v>
      </c>
      <c r="TO9" s="28">
        <f t="shared" si="338"/>
        <v>1001999930015.25</v>
      </c>
      <c r="TP9" s="29"/>
      <c r="TQ9" s="28"/>
      <c r="TR9" s="29">
        <f>RANK(TO9,TO$4:TO$11)</f>
        <v>6</v>
      </c>
      <c r="TS9" s="152">
        <f t="shared" si="339"/>
        <v>20</v>
      </c>
      <c r="TT9" s="152">
        <f t="shared" si="340"/>
        <v>15</v>
      </c>
      <c r="TU9" s="152">
        <f t="shared" si="341"/>
        <v>22</v>
      </c>
      <c r="TV9" s="28">
        <f t="shared" si="342"/>
        <v>1001999930015.25</v>
      </c>
      <c r="TW9" s="29"/>
      <c r="TX9" s="28"/>
      <c r="TY9" s="29">
        <f>RANK(TV9,TV$4:TV$11)</f>
        <v>6</v>
      </c>
      <c r="TZ9" s="152">
        <f t="shared" si="343"/>
        <v>20</v>
      </c>
      <c r="UA9" s="152">
        <f t="shared" si="344"/>
        <v>15</v>
      </c>
      <c r="UB9" s="152">
        <f t="shared" si="345"/>
        <v>22</v>
      </c>
      <c r="UC9" s="28">
        <f t="shared" si="346"/>
        <v>1001999930015.25</v>
      </c>
      <c r="UD9" s="29"/>
      <c r="UE9" s="28"/>
      <c r="UF9" s="29">
        <f>RANK(UC9,UC$4:UC$11)</f>
        <v>6</v>
      </c>
      <c r="UG9" s="152">
        <f t="shared" si="347"/>
        <v>20</v>
      </c>
      <c r="UH9" s="152">
        <f t="shared" si="348"/>
        <v>15</v>
      </c>
      <c r="UI9" s="152">
        <f t="shared" si="349"/>
        <v>22</v>
      </c>
      <c r="UJ9" s="28">
        <f t="shared" si="350"/>
        <v>1001999930015.25</v>
      </c>
      <c r="UK9" s="29"/>
      <c r="UL9" s="28"/>
      <c r="UM9" s="29">
        <f>RANK(UJ9,UJ$4:UJ$11)</f>
        <v>6</v>
      </c>
      <c r="UN9" s="152">
        <f t="shared" si="351"/>
        <v>20</v>
      </c>
      <c r="UO9" s="152">
        <f t="shared" si="352"/>
        <v>15</v>
      </c>
      <c r="UP9" s="152">
        <f t="shared" si="353"/>
        <v>22</v>
      </c>
      <c r="UQ9" s="28">
        <f t="shared" si="354"/>
        <v>1001999930015.25</v>
      </c>
      <c r="UR9" s="29"/>
      <c r="US9" s="28"/>
      <c r="UT9" s="29">
        <f>RANK(UQ9,UQ$4:UQ$11)</f>
        <v>6</v>
      </c>
      <c r="UU9" s="129"/>
      <c r="UV9" s="129" t="str">
        <f t="shared" si="355"/>
        <v>Kansas City</v>
      </c>
      <c r="UW9" s="129">
        <f t="shared" si="356"/>
        <v>1</v>
      </c>
      <c r="UX9" s="129">
        <f t="shared" ca="1" si="357"/>
        <v>1</v>
      </c>
      <c r="UY9" s="129">
        <f t="shared" ca="1" si="64"/>
        <v>3</v>
      </c>
      <c r="UZ9" s="129">
        <f t="shared" ca="1" si="64"/>
        <v>3</v>
      </c>
      <c r="VA9" s="129">
        <f t="shared" ca="1" si="64"/>
        <v>4</v>
      </c>
      <c r="VB9" s="129">
        <f t="shared" ca="1" si="64"/>
        <v>5</v>
      </c>
      <c r="VC9" s="129">
        <f t="shared" ca="1" si="64"/>
        <v>4</v>
      </c>
      <c r="VD9" s="129">
        <f t="shared" ca="1" si="64"/>
        <v>5</v>
      </c>
      <c r="VE9" s="129">
        <f t="shared" ca="1" si="64"/>
        <v>6</v>
      </c>
      <c r="VF9" s="129">
        <f t="shared" ca="1" si="64"/>
        <v>5</v>
      </c>
      <c r="VG9" s="129">
        <f t="shared" ca="1" si="64"/>
        <v>5</v>
      </c>
      <c r="VH9" s="129">
        <f t="shared" ca="1" si="64"/>
        <v>5</v>
      </c>
      <c r="VI9" s="129">
        <f t="shared" ca="1" si="64"/>
        <v>5</v>
      </c>
      <c r="VJ9" s="129">
        <f t="shared" ca="1" si="64"/>
        <v>6</v>
      </c>
      <c r="VK9" s="129">
        <f t="shared" ca="1" si="64"/>
        <v>6</v>
      </c>
      <c r="VL9" s="129">
        <f t="shared" ca="1" si="64"/>
        <v>5</v>
      </c>
      <c r="VM9" s="129">
        <f t="shared" ca="1" si="64"/>
        <v>5</v>
      </c>
      <c r="VN9" s="129">
        <f t="shared" ca="1" si="64"/>
        <v>6</v>
      </c>
      <c r="VO9" s="129">
        <f t="shared" ca="1" si="65"/>
        <v>6</v>
      </c>
      <c r="VP9" s="129">
        <f t="shared" ca="1" si="65"/>
        <v>6</v>
      </c>
      <c r="VQ9" s="129">
        <f t="shared" ca="1" si="65"/>
        <v>6</v>
      </c>
      <c r="VR9" s="129">
        <f t="shared" ca="1" si="65"/>
        <v>6</v>
      </c>
      <c r="VS9" s="129">
        <f t="shared" ca="1" si="65"/>
        <v>6</v>
      </c>
      <c r="VT9" s="129">
        <f t="shared" ca="1" si="65"/>
        <v>6</v>
      </c>
      <c r="VU9" s="129">
        <f t="shared" ca="1" si="65"/>
        <v>6</v>
      </c>
      <c r="VV9" s="129">
        <f t="shared" ca="1" si="65"/>
        <v>6</v>
      </c>
      <c r="VW9" s="129">
        <f t="shared" ca="1" si="65"/>
        <v>6</v>
      </c>
      <c r="VX9" s="129">
        <f t="shared" ca="1" si="65"/>
        <v>6</v>
      </c>
      <c r="VY9" s="129">
        <f t="shared" ca="1" si="65"/>
        <v>6</v>
      </c>
      <c r="VZ9" s="129">
        <f t="shared" ca="1" si="65"/>
        <v>6</v>
      </c>
      <c r="WA9" s="129">
        <f t="shared" ca="1" si="65"/>
        <v>6</v>
      </c>
      <c r="WB9" s="129">
        <f t="shared" ca="1" si="65"/>
        <v>6</v>
      </c>
      <c r="WC9" s="129">
        <f t="shared" ca="1" si="65"/>
        <v>6</v>
      </c>
      <c r="WD9" s="129">
        <f t="shared" ca="1" si="65"/>
        <v>6</v>
      </c>
      <c r="WE9" s="129">
        <f t="shared" ca="1" si="66"/>
        <v>6</v>
      </c>
      <c r="WF9" s="129">
        <f t="shared" ca="1" si="66"/>
        <v>6</v>
      </c>
      <c r="WG9" s="129">
        <f t="shared" ca="1" si="66"/>
        <v>6</v>
      </c>
      <c r="WH9" s="129">
        <f t="shared" ca="1" si="66"/>
        <v>6</v>
      </c>
      <c r="WK9" s="87" t="str">
        <f t="shared" si="358"/>
        <v>Kansas City</v>
      </c>
      <c r="WL9" s="87">
        <v>6</v>
      </c>
      <c r="WM9" s="87">
        <v>6</v>
      </c>
      <c r="WN9" s="87">
        <f t="shared" si="67"/>
        <v>1</v>
      </c>
      <c r="WO9" s="87">
        <f t="shared" ca="1" si="68"/>
        <v>1</v>
      </c>
      <c r="WP9" s="87">
        <f t="shared" ca="1" si="69"/>
        <v>3</v>
      </c>
      <c r="WQ9" s="87">
        <f t="shared" ca="1" si="70"/>
        <v>3</v>
      </c>
      <c r="WR9" s="87">
        <f t="shared" ca="1" si="71"/>
        <v>4</v>
      </c>
      <c r="WS9" s="87">
        <f t="shared" ca="1" si="72"/>
        <v>5</v>
      </c>
      <c r="WT9" s="87">
        <f t="shared" ca="1" si="73"/>
        <v>4</v>
      </c>
      <c r="WU9" s="87">
        <f t="shared" ca="1" si="74"/>
        <v>5</v>
      </c>
      <c r="WV9" s="87">
        <f t="shared" ca="1" si="75"/>
        <v>6</v>
      </c>
      <c r="WW9" s="87">
        <f t="shared" ca="1" si="76"/>
        <v>5</v>
      </c>
      <c r="WX9" s="87">
        <f t="shared" ca="1" si="77"/>
        <v>5</v>
      </c>
      <c r="WY9" s="87">
        <f t="shared" ca="1" si="78"/>
        <v>5</v>
      </c>
      <c r="WZ9" s="87">
        <f t="shared" ca="1" si="79"/>
        <v>5</v>
      </c>
      <c r="XA9" s="87">
        <f t="shared" ca="1" si="80"/>
        <v>6</v>
      </c>
      <c r="XB9" s="87">
        <f t="shared" ca="1" si="81"/>
        <v>6</v>
      </c>
      <c r="XC9" s="87">
        <f t="shared" ca="1" si="82"/>
        <v>5</v>
      </c>
      <c r="XD9" s="87">
        <f t="shared" ca="1" si="83"/>
        <v>5</v>
      </c>
      <c r="XE9" s="87">
        <f t="shared" ca="1" si="84"/>
        <v>6</v>
      </c>
      <c r="XF9" s="87">
        <f t="shared" ca="1" si="85"/>
        <v>6</v>
      </c>
      <c r="XG9" s="87">
        <f t="shared" ca="1" si="86"/>
        <v>6</v>
      </c>
      <c r="XH9" s="87" t="e">
        <f t="shared" si="87"/>
        <v>#N/A</v>
      </c>
      <c r="XI9" s="87" t="e">
        <f t="shared" si="88"/>
        <v>#N/A</v>
      </c>
      <c r="XJ9" s="87" t="e">
        <f t="shared" si="89"/>
        <v>#N/A</v>
      </c>
      <c r="XK9" s="87" t="e">
        <f t="shared" si="90"/>
        <v>#N/A</v>
      </c>
      <c r="XL9" s="87" t="e">
        <f t="shared" si="91"/>
        <v>#N/A</v>
      </c>
      <c r="XM9" s="87" t="e">
        <f t="shared" si="92"/>
        <v>#N/A</v>
      </c>
      <c r="XN9" s="87" t="e">
        <f t="shared" si="93"/>
        <v>#N/A</v>
      </c>
      <c r="XO9" s="87" t="e">
        <f t="shared" si="94"/>
        <v>#N/A</v>
      </c>
      <c r="XP9" s="87" t="e">
        <f t="shared" si="95"/>
        <v>#N/A</v>
      </c>
      <c r="XQ9" s="87" t="e">
        <f t="shared" si="96"/>
        <v>#N/A</v>
      </c>
      <c r="XR9" s="87" t="e">
        <f t="shared" si="97"/>
        <v>#N/A</v>
      </c>
      <c r="XS9" s="87" t="e">
        <f t="shared" si="98"/>
        <v>#N/A</v>
      </c>
      <c r="XT9" s="87" t="e">
        <f t="shared" si="99"/>
        <v>#N/A</v>
      </c>
      <c r="XU9" s="87" t="e">
        <f t="shared" si="100"/>
        <v>#N/A</v>
      </c>
      <c r="XV9" s="87" t="e">
        <f t="shared" si="101"/>
        <v>#N/A</v>
      </c>
      <c r="XW9" s="87" t="e">
        <f t="shared" si="102"/>
        <v>#N/A</v>
      </c>
      <c r="XX9" s="87" t="e">
        <f t="shared" si="103"/>
        <v>#N/A</v>
      </c>
      <c r="XY9" s="87" t="e">
        <f t="shared" si="104"/>
        <v>#N/A</v>
      </c>
      <c r="XZ9" s="241"/>
      <c r="YA9" s="241"/>
      <c r="YB9" s="280"/>
      <c r="YC9" s="280"/>
      <c r="YD9" s="280"/>
      <c r="YE9" s="163"/>
      <c r="YF9" s="163"/>
      <c r="YG9" s="280"/>
      <c r="YH9" s="280"/>
      <c r="YI9" s="280"/>
      <c r="YJ9" s="280"/>
      <c r="YK9" s="280"/>
      <c r="YL9" s="280"/>
      <c r="YM9" s="280"/>
      <c r="YN9" s="280"/>
      <c r="YO9" s="280"/>
      <c r="YP9" s="280"/>
      <c r="YQ9" s="280"/>
      <c r="YR9" s="280"/>
      <c r="YS9" s="280"/>
      <c r="YT9" s="280"/>
      <c r="YU9" s="280"/>
      <c r="YV9" s="280"/>
      <c r="YW9" s="280"/>
      <c r="YX9" s="280"/>
      <c r="YY9" s="280"/>
      <c r="YZ9" s="280"/>
      <c r="ZA9" s="280"/>
      <c r="ZB9" s="280"/>
      <c r="ZC9" s="280"/>
      <c r="ZD9" s="280"/>
      <c r="ZE9" s="280"/>
      <c r="ZF9" s="280"/>
      <c r="ZG9" s="280"/>
      <c r="ZH9" s="280"/>
      <c r="ZI9" s="280"/>
      <c r="ZJ9" s="280"/>
      <c r="ZK9" s="280"/>
      <c r="ZL9" s="280"/>
      <c r="ZM9" s="280"/>
      <c r="ZN9" s="280"/>
      <c r="ZO9" s="280"/>
      <c r="ZP9" s="280"/>
      <c r="ZQ9" s="280"/>
      <c r="ZR9" s="280"/>
      <c r="ZS9" s="280"/>
      <c r="ZT9" s="280"/>
      <c r="ZU9" s="280"/>
      <c r="ZV9" s="280"/>
      <c r="ZW9" s="280"/>
      <c r="ZX9" s="280"/>
      <c r="ZY9" s="280"/>
      <c r="ZZ9" s="280"/>
      <c r="AAA9" s="280"/>
      <c r="AAB9" s="280"/>
      <c r="AAC9" s="280"/>
      <c r="AAD9" s="160"/>
      <c r="AAE9" s="160"/>
      <c r="AAF9" s="160"/>
      <c r="AAG9" s="160"/>
      <c r="AAH9" s="241"/>
      <c r="AAI9" s="241"/>
      <c r="AAJ9" s="241"/>
      <c r="AAK9" s="241"/>
      <c r="AAL9" s="241"/>
      <c r="AAM9" s="241"/>
      <c r="AAN9" s="241"/>
      <c r="AAO9" s="241"/>
      <c r="AAP9" s="241"/>
      <c r="AAQ9" s="241"/>
      <c r="AAR9" s="241"/>
      <c r="AAS9" s="241"/>
      <c r="AAT9" s="241"/>
      <c r="AAU9" s="241"/>
    </row>
    <row r="10" spans="4:723">
      <c r="D10" s="29">
        <v>7</v>
      </c>
      <c r="E10" s="31" t="s">
        <v>179</v>
      </c>
      <c r="F10" s="25">
        <f>SUMIF('ef-FT'!$C$2001:$C$3800,E10,'ef-FT'!$E$2001:$E$3800)</f>
        <v>19</v>
      </c>
      <c r="G10" s="25">
        <f>SUMIF('ef-FT'!$C$2001:$C$3800,E10,'ef-FT'!$F$2001:$F$3800)</f>
        <v>4</v>
      </c>
      <c r="H10" s="25">
        <f>SUMIF('ef-FT'!$C$2001:$C$3800,E10,'ef-FT'!$G$2001:$G$3800)</f>
        <v>5</v>
      </c>
      <c r="I10" s="25">
        <f>SUMIF('ef-FT'!$C$2001:$C$3800,E10,'ef-FT'!$H$2001:$H$3800)</f>
        <v>10</v>
      </c>
      <c r="J10" s="25">
        <f>SUMIF('ef-FT'!$C$2001:$C$3800,E10,'ef-FT'!$D$2001:$D$3800)</f>
        <v>17</v>
      </c>
      <c r="K10" s="25">
        <f>SUMIF('ef-FT'!$C$2001:$C$3800,E10,'ef-FT'!$I$2001:$I$3800)</f>
        <v>23</v>
      </c>
      <c r="L10" s="25">
        <f>SUMIF('ef-FT'!$C$2001:$C$3800,E10,'ef-FT'!$J$2001:$J$3800)</f>
        <v>33</v>
      </c>
      <c r="M10" s="25" t="str">
        <f>CONCATENATE(K10, " - ",L10)</f>
        <v>23 - 33</v>
      </c>
      <c r="N10" s="25">
        <f>K10-L10</f>
        <v>-10</v>
      </c>
      <c r="O10" s="25">
        <f>SUMIF('ef-FT'!$C$2001:$C$3800,$E10,'ef-FT'!$K$2001:$K$3800)</f>
        <v>3</v>
      </c>
      <c r="P10" s="25">
        <f>SUMIF('ef-FT'!$C$2001:$C$3800,$E10,'ef-FT'!$L$2001:$L$3800)</f>
        <v>0</v>
      </c>
      <c r="Q10" s="55"/>
      <c r="R10" s="25">
        <f>SUMIF('ef-FT'!$C$2001:$C$2999,$E10,'ef-FT'!$E$2001:$E$2999)</f>
        <v>9</v>
      </c>
      <c r="S10" s="25">
        <f>SUMIF('ef-FT'!$C$2001:$C$2999,$E10,'ef-FT'!$F$2001:$F$2999)</f>
        <v>3</v>
      </c>
      <c r="T10" s="25">
        <f>SUMIF('ef-FT'!$C$2001:$C$2999,$E10,'ef-FT'!$G$2001:$G$2999)</f>
        <v>4</v>
      </c>
      <c r="U10" s="25">
        <f>SUMIF('ef-FT'!$C$2001:$C$2999,$E10,'ef-FT'!$H$2001:$H$2999)</f>
        <v>2</v>
      </c>
      <c r="V10" s="25">
        <f>SUMIF('ef-FT'!$C$2001:$C$2999,$E10,'ef-FT'!$D$2001:$D$2999)</f>
        <v>13</v>
      </c>
      <c r="W10" s="25">
        <f>SUMIF('ef-FT'!$C$2001:$C$2999,$E10,'ef-FT'!$I$2001:$I$2999)</f>
        <v>14</v>
      </c>
      <c r="X10" s="25">
        <f>SUMIF('ef-FT'!$C$2001:$C$2999,$E10,'ef-FT'!$J$2001:$J$2999)</f>
        <v>12</v>
      </c>
      <c r="Y10" s="25" t="str">
        <f t="shared" si="105"/>
        <v>14 - 12</v>
      </c>
      <c r="Z10" s="25">
        <f t="shared" si="106"/>
        <v>2</v>
      </c>
      <c r="AA10" s="25">
        <f>SUMIF('ef-FT'!$C$2001:$C$2999,$E10,'ef-FT'!$K$2001:$K$2999)</f>
        <v>0</v>
      </c>
      <c r="AB10" s="25">
        <f>SUMIF('ef-FT'!$C$2001:$C$2999,$E10,'ef-FT'!$L$2001:$L$2999)</f>
        <v>0</v>
      </c>
      <c r="AC10" s="55"/>
      <c r="AD10" s="25">
        <f>SUMIF('ef-FT'!$C$3000:$C$3800,$E10,'ef-FT'!$E$3000:$E$3800)</f>
        <v>10</v>
      </c>
      <c r="AE10" s="25">
        <f>SUMIF('ef-FT'!$C$3000:$C$3800,$E10,'ef-FT'!$F$3000:$F$3800)</f>
        <v>1</v>
      </c>
      <c r="AF10" s="25">
        <f>SUMIF('ef-FT'!$C$3000:$C$3800,$E10,'ef-FT'!$G$3000:$G$3800)</f>
        <v>1</v>
      </c>
      <c r="AG10" s="25">
        <f>SUMIF('ef-FT'!$C$3000:$C$3800,$E10,'ef-FT'!$H$3000:$H$3800)</f>
        <v>8</v>
      </c>
      <c r="AH10" s="25">
        <f>SUMIF('ef-FT'!$C$3000:$C$3800,$E10,'ef-FT'!$D$3000:$D$3800)</f>
        <v>4</v>
      </c>
      <c r="AI10" s="25">
        <f>SUMIF('ef-FT'!$C$3000:$C$3800,$E10,'ef-FT'!$I$3000:$I$3800)</f>
        <v>9</v>
      </c>
      <c r="AJ10" s="25">
        <f>SUMIF('ef-FT'!$C$3000:$C$3800,$E10,'ef-FT'!$J$3000:$J$3800)</f>
        <v>21</v>
      </c>
      <c r="AK10" s="25" t="str">
        <f t="shared" si="107"/>
        <v>9 - 21</v>
      </c>
      <c r="AL10" s="25">
        <f t="shared" si="108"/>
        <v>-12</v>
      </c>
      <c r="AM10" s="25">
        <f>SUMIF('ef-FT'!$C$3000:$C$3800,$E10,'ef-FT'!$K$3000:$K$3800)</f>
        <v>3</v>
      </c>
      <c r="AN10" s="25">
        <f>SUMIF('ef-FT'!$C$3000:$C$3800,$E10,'ef-FT'!$L$3000:$L$3800)</f>
        <v>0</v>
      </c>
      <c r="AO10" s="26"/>
      <c r="AP10" s="27">
        <v>0.24</v>
      </c>
      <c r="AQ10" s="28">
        <f t="shared" si="1"/>
        <v>1001699900023.24</v>
      </c>
      <c r="AR10" s="29">
        <v>7</v>
      </c>
      <c r="AS10" s="28">
        <f t="shared" si="109"/>
        <v>1001699900023.24</v>
      </c>
      <c r="AT10" s="29">
        <f t="shared" si="110"/>
        <v>7</v>
      </c>
      <c r="AU10" s="30" t="str">
        <f t="shared" si="111"/>
        <v>Philadelphia Union</v>
      </c>
      <c r="AV10" s="29">
        <f t="shared" si="112"/>
        <v>19</v>
      </c>
      <c r="AW10" s="29">
        <f t="shared" si="113"/>
        <v>4</v>
      </c>
      <c r="AX10" s="29">
        <f t="shared" si="114"/>
        <v>5</v>
      </c>
      <c r="AY10" s="29">
        <f t="shared" si="115"/>
        <v>10</v>
      </c>
      <c r="AZ10" s="29">
        <f t="shared" si="116"/>
        <v>17</v>
      </c>
      <c r="BA10" s="29" t="str">
        <f t="shared" si="117"/>
        <v>23 - 33</v>
      </c>
      <c r="BB10" s="29">
        <f t="shared" si="118"/>
        <v>-10</v>
      </c>
      <c r="BC10" s="90">
        <f>VLOOKUP($AT10,$D$4:R$33,15,0)</f>
        <v>9</v>
      </c>
      <c r="BD10" s="90">
        <f>VLOOKUP($AT10,$D$4:S$33,16,0)</f>
        <v>3</v>
      </c>
      <c r="BE10" s="90">
        <f>VLOOKUP($AT10,$D$4:T$33,17,0)</f>
        <v>4</v>
      </c>
      <c r="BF10" s="90">
        <f>VLOOKUP($AT10,$D$4:U$33,18,0)</f>
        <v>2</v>
      </c>
      <c r="BG10" s="90">
        <f>VLOOKUP($AT10,$D$4:V$33,19,0)</f>
        <v>13</v>
      </c>
      <c r="BH10" s="90" t="str">
        <f>VLOOKUP($AT10,$D$4:Y$33,22,0)</f>
        <v>14 - 12</v>
      </c>
      <c r="BI10" s="90">
        <f>VLOOKUP($AT10,$D$4:Z$33,23,0)</f>
        <v>2</v>
      </c>
      <c r="BJ10" s="90">
        <f>VLOOKUP($AT10,$D$4:AD$33,27,0)</f>
        <v>10</v>
      </c>
      <c r="BK10" s="90">
        <f>VLOOKUP($AT10,$D$4:AE$33,28,0)</f>
        <v>1</v>
      </c>
      <c r="BL10" s="90">
        <f>VLOOKUP($AT10,$D$4:AF$33,29,0)</f>
        <v>1</v>
      </c>
      <c r="BM10" s="90">
        <f>VLOOKUP($AT10,$D$4:AG$33,30,0)</f>
        <v>8</v>
      </c>
      <c r="BN10" s="90">
        <f>VLOOKUP($AT10,$D$4:AH$33,31,0)</f>
        <v>4</v>
      </c>
      <c r="BO10" s="90" t="str">
        <f>VLOOKUP($AT10,$D$4:AK$35,34,0)</f>
        <v>9 - 21</v>
      </c>
      <c r="BP10" s="90">
        <f>VLOOKUP($AT10,$D$4:AL$35,35,0)</f>
        <v>-12</v>
      </c>
      <c r="BS10" s="10" t="s">
        <v>34</v>
      </c>
      <c r="BT10" s="123">
        <v>0.25</v>
      </c>
      <c r="BU10" s="123">
        <f t="shared" si="2"/>
        <v>8.3333333333333343E-2</v>
      </c>
      <c r="BV10" s="10" t="s">
        <v>63</v>
      </c>
      <c r="CA10" s="130">
        <f t="shared" si="119"/>
        <v>17.239999999999998</v>
      </c>
      <c r="CB10" s="130">
        <f t="shared" si="120"/>
        <v>16.760000000000002</v>
      </c>
      <c r="CC10" s="130">
        <f t="shared" si="121"/>
        <v>4.24</v>
      </c>
      <c r="CD10" s="130">
        <f t="shared" si="122"/>
        <v>3.76</v>
      </c>
      <c r="CE10" s="130">
        <f t="shared" si="123"/>
        <v>10.24</v>
      </c>
      <c r="CF10" s="130">
        <f t="shared" si="124"/>
        <v>9.76</v>
      </c>
      <c r="CG10" s="130">
        <f t="shared" si="125"/>
        <v>23.24</v>
      </c>
      <c r="CH10" s="130">
        <f t="shared" si="126"/>
        <v>22.76</v>
      </c>
      <c r="CI10" s="130">
        <f t="shared" si="127"/>
        <v>33.24</v>
      </c>
      <c r="CJ10" s="130">
        <f t="shared" si="128"/>
        <v>32.76</v>
      </c>
      <c r="CK10" s="130">
        <f t="shared" si="129"/>
        <v>-9.76</v>
      </c>
      <c r="CL10" s="130">
        <f t="shared" si="130"/>
        <v>-10.24</v>
      </c>
      <c r="CM10" s="130">
        <f t="shared" si="131"/>
        <v>3.24</v>
      </c>
      <c r="CN10" s="130">
        <f t="shared" si="132"/>
        <v>2.76</v>
      </c>
      <c r="CO10" s="130">
        <f t="shared" si="133"/>
        <v>0.24</v>
      </c>
      <c r="CP10" s="130">
        <f t="shared" si="134"/>
        <v>-0.24</v>
      </c>
      <c r="CQ10" s="131"/>
      <c r="CR10" s="130">
        <f t="shared" si="360"/>
        <v>13.24</v>
      </c>
      <c r="CS10" s="130">
        <f t="shared" si="135"/>
        <v>12.76</v>
      </c>
      <c r="CT10" s="130">
        <f t="shared" si="361"/>
        <v>3.24</v>
      </c>
      <c r="CU10" s="130">
        <f t="shared" si="362"/>
        <v>2.76</v>
      </c>
      <c r="CV10" s="130">
        <f t="shared" si="363"/>
        <v>2.2400000000000002</v>
      </c>
      <c r="CW10" s="130">
        <f t="shared" si="364"/>
        <v>1.76</v>
      </c>
      <c r="CX10" s="130">
        <f t="shared" si="365"/>
        <v>14.24</v>
      </c>
      <c r="CY10" s="130">
        <f t="shared" si="366"/>
        <v>13.76</v>
      </c>
      <c r="CZ10" s="130">
        <f t="shared" si="367"/>
        <v>12.24</v>
      </c>
      <c r="DA10" s="130">
        <f t="shared" si="368"/>
        <v>11.76</v>
      </c>
      <c r="DB10" s="130">
        <f t="shared" si="369"/>
        <v>2.2400000000000002</v>
      </c>
      <c r="DC10" s="130">
        <f t="shared" si="370"/>
        <v>1.76</v>
      </c>
      <c r="DD10" s="130">
        <f t="shared" si="371"/>
        <v>0.24</v>
      </c>
      <c r="DE10" s="130">
        <f t="shared" si="372"/>
        <v>-0.24</v>
      </c>
      <c r="DF10" s="130">
        <f t="shared" si="373"/>
        <v>0.24</v>
      </c>
      <c r="DG10" s="130">
        <f t="shared" si="374"/>
        <v>-0.24</v>
      </c>
      <c r="DH10" s="131"/>
      <c r="DI10" s="130">
        <f t="shared" si="16"/>
        <v>4.24</v>
      </c>
      <c r="DJ10" s="130">
        <f t="shared" si="136"/>
        <v>-0.24</v>
      </c>
      <c r="DK10" s="130">
        <f t="shared" si="17"/>
        <v>1.24</v>
      </c>
      <c r="DL10" s="130">
        <f t="shared" si="18"/>
        <v>0.76</v>
      </c>
      <c r="DM10" s="130">
        <f t="shared" si="19"/>
        <v>8.24</v>
      </c>
      <c r="DN10" s="130">
        <f t="shared" si="20"/>
        <v>7.76</v>
      </c>
      <c r="DO10" s="130">
        <f t="shared" si="21"/>
        <v>9.24</v>
      </c>
      <c r="DP10" s="130">
        <f t="shared" si="22"/>
        <v>8.76</v>
      </c>
      <c r="DQ10" s="130">
        <f t="shared" si="23"/>
        <v>21.24</v>
      </c>
      <c r="DR10" s="130">
        <f t="shared" si="24"/>
        <v>20.76</v>
      </c>
      <c r="DS10" s="130">
        <f t="shared" si="25"/>
        <v>-11.76</v>
      </c>
      <c r="DT10" s="130">
        <f t="shared" si="26"/>
        <v>-12.24</v>
      </c>
      <c r="DU10" s="130">
        <f t="shared" si="27"/>
        <v>3.24</v>
      </c>
      <c r="DV10" s="130">
        <f t="shared" si="28"/>
        <v>2.76</v>
      </c>
      <c r="DW10" s="130">
        <f t="shared" si="29"/>
        <v>0.24</v>
      </c>
      <c r="DX10" s="130">
        <f t="shared" si="30"/>
        <v>-0.24</v>
      </c>
      <c r="DY10" s="132"/>
      <c r="DZ10" s="115">
        <v>7</v>
      </c>
      <c r="EA10" s="115">
        <v>24</v>
      </c>
      <c r="EB10" s="10">
        <f t="shared" si="137"/>
        <v>13</v>
      </c>
      <c r="EC10" s="10">
        <f t="shared" si="138"/>
        <v>5</v>
      </c>
      <c r="ED10" s="10">
        <f t="shared" si="139"/>
        <v>3</v>
      </c>
      <c r="EE10" s="10">
        <f t="shared" si="140"/>
        <v>4</v>
      </c>
      <c r="EF10" s="10">
        <f t="shared" si="141"/>
        <v>12</v>
      </c>
      <c r="EG10" s="10">
        <f t="shared" si="142"/>
        <v>14</v>
      </c>
      <c r="EH10" s="10">
        <f t="shared" si="143"/>
        <v>15</v>
      </c>
      <c r="EI10" s="10">
        <f t="shared" si="144"/>
        <v>13</v>
      </c>
      <c r="EJ10" s="10">
        <f t="shared" si="145"/>
        <v>2</v>
      </c>
      <c r="EK10" s="10">
        <f t="shared" si="146"/>
        <v>3</v>
      </c>
      <c r="EL10" s="10">
        <f t="shared" si="147"/>
        <v>3</v>
      </c>
      <c r="EM10" s="10">
        <f t="shared" si="148"/>
        <v>12</v>
      </c>
      <c r="EN10" s="10">
        <f t="shared" si="149"/>
        <v>3</v>
      </c>
      <c r="EO10" s="10">
        <f t="shared" si="150"/>
        <v>9</v>
      </c>
      <c r="EP10" s="10">
        <f t="shared" si="151"/>
        <v>14</v>
      </c>
      <c r="EQ10" s="10">
        <f t="shared" si="152"/>
        <v>13</v>
      </c>
      <c r="ES10" s="10">
        <f t="shared" si="153"/>
        <v>4</v>
      </c>
      <c r="ET10" s="10">
        <f t="shared" si="154"/>
        <v>15</v>
      </c>
      <c r="EU10" s="10">
        <f t="shared" si="155"/>
        <v>11</v>
      </c>
      <c r="EV10" s="10">
        <f t="shared" si="154"/>
        <v>14</v>
      </c>
      <c r="EW10" s="10">
        <f t="shared" si="156"/>
        <v>14</v>
      </c>
      <c r="EX10" s="10">
        <f t="shared" si="157"/>
        <v>5</v>
      </c>
      <c r="EY10" s="10">
        <f t="shared" si="158"/>
        <v>11</v>
      </c>
      <c r="EZ10" s="10">
        <f t="shared" si="159"/>
        <v>14</v>
      </c>
      <c r="FA10" s="10">
        <f t="shared" si="160"/>
        <v>14</v>
      </c>
      <c r="FB10" s="10">
        <f t="shared" si="161"/>
        <v>5</v>
      </c>
      <c r="FC10" s="10">
        <f t="shared" si="162"/>
        <v>15</v>
      </c>
      <c r="FD10" s="10">
        <f t="shared" si="163"/>
        <v>7</v>
      </c>
      <c r="FE10" s="10">
        <f t="shared" si="164"/>
        <v>16</v>
      </c>
      <c r="FF10" s="10">
        <f t="shared" si="165"/>
        <v>3</v>
      </c>
      <c r="FG10" s="10">
        <f t="shared" si="166"/>
        <v>11</v>
      </c>
      <c r="FH10" s="10">
        <f t="shared" si="167"/>
        <v>2</v>
      </c>
      <c r="FJ10" s="10">
        <f t="shared" si="168"/>
        <v>13</v>
      </c>
      <c r="FK10" s="10">
        <f t="shared" si="169"/>
        <v>7</v>
      </c>
      <c r="FL10" s="10">
        <f t="shared" si="170"/>
        <v>12</v>
      </c>
      <c r="FM10" s="10">
        <f t="shared" si="171"/>
        <v>16</v>
      </c>
      <c r="FN10" s="10">
        <f t="shared" si="172"/>
        <v>16</v>
      </c>
      <c r="FO10" s="10">
        <f t="shared" si="173"/>
        <v>10</v>
      </c>
      <c r="FP10" s="10">
        <f t="shared" si="174"/>
        <v>10</v>
      </c>
      <c r="FQ10" s="10">
        <f t="shared" si="175"/>
        <v>12</v>
      </c>
      <c r="FR10" s="10">
        <f t="shared" si="176"/>
        <v>16</v>
      </c>
      <c r="FS10" s="10">
        <f t="shared" si="177"/>
        <v>5</v>
      </c>
      <c r="FT10" s="10">
        <f t="shared" si="178"/>
        <v>14</v>
      </c>
      <c r="FU10" s="10">
        <f t="shared" si="179"/>
        <v>12</v>
      </c>
      <c r="FV10" s="10">
        <f t="shared" si="180"/>
        <v>14</v>
      </c>
      <c r="FW10" s="10">
        <f t="shared" si="181"/>
        <v>13</v>
      </c>
      <c r="FX10" s="10">
        <f t="shared" si="182"/>
        <v>5</v>
      </c>
      <c r="FY10" s="10">
        <f t="shared" si="183"/>
        <v>1</v>
      </c>
      <c r="GA10" s="10">
        <f>IF(lg!$C$18=1,EB10,IF(lg!$C$18=2,ES10,FJ10))</f>
        <v>13</v>
      </c>
      <c r="GB10" s="10">
        <f>IF(lg!$C$18=1,EC10,IF(lg!$C$18=2,ET10,FK10))</f>
        <v>5</v>
      </c>
      <c r="GC10" s="10">
        <f>IF(lg!$C$18=1,ED10,IF(lg!$C$18=2,EU10,FL10))</f>
        <v>3</v>
      </c>
      <c r="GD10" s="10">
        <f>IF(lg!$C$18=1,EE10,IF(lg!$C$18=2,EV10,FM10))</f>
        <v>4</v>
      </c>
      <c r="GE10" s="10">
        <f>IF(lg!$C$18=1,EF10,IF(lg!$C$18=2,EW10,FN10))</f>
        <v>12</v>
      </c>
      <c r="GF10" s="10">
        <f>IF(lg!$C$18=1,EG10,IF(lg!$C$18=2,EX10,FO10))</f>
        <v>14</v>
      </c>
      <c r="GG10" s="10">
        <f>IF(lg!$C$18=1,EH10,IF(lg!$C$18=2,EY10,FP10))</f>
        <v>15</v>
      </c>
      <c r="GH10" s="10">
        <f>IF(lg!$C$18=1,EI10,IF(lg!$C$18=2,EZ10,FQ10))</f>
        <v>13</v>
      </c>
      <c r="GI10" s="10">
        <f>IF(lg!$C$18=1,EJ10,IF(lg!$C$18=2,FA10,FR10))</f>
        <v>2</v>
      </c>
      <c r="GJ10" s="10">
        <f>IF(lg!$C$18=1,EK10,IF(lg!$C$18=2,FB10,FS10))</f>
        <v>3</v>
      </c>
      <c r="GK10" s="10">
        <f>IF(lg!$C$18=1,EL10,IF(lg!$C$18=2,FC10,FT10))</f>
        <v>3</v>
      </c>
      <c r="GL10" s="10">
        <f>IF(lg!$C$18=1,EM10,IF(lg!$C$18=2,FD10,FU10))</f>
        <v>12</v>
      </c>
      <c r="GM10" s="10">
        <f>IF(lg!$C$18=1,EN10,IF(lg!$C$18=2,FE10,FV10))</f>
        <v>3</v>
      </c>
      <c r="GN10" s="10">
        <f>IF(lg!$C$18=1,EO10,IF(lg!$C$18=2,FF10,FW10))</f>
        <v>9</v>
      </c>
      <c r="GO10" s="10">
        <f>IF(lg!$C$18=1,EP10,IF(lg!$C$18=2,FG10,FX10))</f>
        <v>14</v>
      </c>
      <c r="GP10" s="10">
        <f>IF(lg!$C$18=1,EQ10,IF(lg!$C$18=2,FH10,FY10))</f>
        <v>13</v>
      </c>
      <c r="GR10" s="10" t="str">
        <f t="shared" si="184"/>
        <v>Colorado</v>
      </c>
      <c r="GS10" s="10" t="str">
        <f t="shared" si="31"/>
        <v>Chicago</v>
      </c>
      <c r="GT10" s="10" t="str">
        <f t="shared" si="32"/>
        <v>Toronto FC</v>
      </c>
      <c r="GU10" s="10" t="str">
        <f t="shared" si="33"/>
        <v>New England</v>
      </c>
      <c r="GV10" s="10" t="str">
        <f t="shared" si="34"/>
        <v>Seattle Sounders FC</v>
      </c>
      <c r="GW10" s="10" t="str">
        <f t="shared" si="35"/>
        <v>San Jose</v>
      </c>
      <c r="GX10" s="10" t="str">
        <f t="shared" si="36"/>
        <v>Houston</v>
      </c>
      <c r="GY10" s="10" t="str">
        <f t="shared" si="37"/>
        <v>Colorado</v>
      </c>
      <c r="GZ10" s="10" t="str">
        <f t="shared" si="38"/>
        <v>New York Red Bulls</v>
      </c>
      <c r="HA10" s="10" t="str">
        <f t="shared" si="39"/>
        <v>Toronto FC</v>
      </c>
      <c r="HB10" s="10" t="str">
        <f t="shared" si="40"/>
        <v>Toronto FC</v>
      </c>
      <c r="HC10" s="10" t="str">
        <f t="shared" si="41"/>
        <v>Seattle Sounders FC</v>
      </c>
      <c r="HD10" s="10" t="str">
        <f t="shared" si="42"/>
        <v>Toronto FC</v>
      </c>
      <c r="HE10" s="10" t="str">
        <f t="shared" si="43"/>
        <v>Los Angeles</v>
      </c>
      <c r="HF10" s="10" t="str">
        <f t="shared" si="44"/>
        <v>San Jose</v>
      </c>
      <c r="HG10" s="10" t="str">
        <f t="shared" si="45"/>
        <v>Colorado</v>
      </c>
      <c r="HI10" s="10">
        <v>7</v>
      </c>
      <c r="HJ10" s="115">
        <f>IF(lg!$C$18=1,F10,IF(lg!$C$18=2,R10,AD10))</f>
        <v>19</v>
      </c>
      <c r="HK10" s="115">
        <f>IF(lg!$C$18=1,G10,IF(lg!$C$18=2,S10,AE10))</f>
        <v>4</v>
      </c>
      <c r="HL10" s="115">
        <f>IF(lg!$C$18=1,H10,IF(lg!$C$18=2,T10,AF10))</f>
        <v>5</v>
      </c>
      <c r="HM10" s="115">
        <f>IF(lg!$C$18=1,I10,IF(lg!$C$18=2,U10,AG10))</f>
        <v>10</v>
      </c>
      <c r="HN10" s="115">
        <f>IF(lg!$C$18=1,J10,IF(lg!$C$18=2,V10,AH10))</f>
        <v>17</v>
      </c>
      <c r="HO10" s="115">
        <f>IF(lg!$C$18=1,K10,IF(lg!$C$18=2,W10,AI10))</f>
        <v>23</v>
      </c>
      <c r="HP10" s="115">
        <f>IF(lg!$C$18=1,L10,IF(lg!$C$18=2,X10,AJ10))</f>
        <v>33</v>
      </c>
      <c r="HQ10" s="115" t="str">
        <f>IF(lg!$C$18=1,M10,IF(lg!$C$18=2,Y10,AK10))</f>
        <v>23 - 33</v>
      </c>
      <c r="HR10" s="115">
        <f>IF(lg!$C$18=1,N10,IF(lg!$C$18=2,Z10,AL10))</f>
        <v>-10</v>
      </c>
      <c r="HS10" s="115">
        <f>IF(lg!$C$18=1,O10,IF(lg!$C$18=2,AA10,AM10))</f>
        <v>3</v>
      </c>
      <c r="HT10" s="115">
        <f>IF(lg!$C$18=1,P10,IF(lg!$C$18=2,AB10,AN10))</f>
        <v>0</v>
      </c>
      <c r="HV10" s="115">
        <f t="shared" si="185"/>
        <v>28</v>
      </c>
      <c r="HW10" s="115">
        <f t="shared" si="186"/>
        <v>21</v>
      </c>
      <c r="HX10" s="115">
        <f t="shared" si="187"/>
        <v>7</v>
      </c>
      <c r="HY10" s="115">
        <f t="shared" si="188"/>
        <v>6</v>
      </c>
      <c r="HZ10" s="115">
        <f t="shared" si="189"/>
        <v>8</v>
      </c>
      <c r="IA10" s="115">
        <f t="shared" si="190"/>
        <v>6</v>
      </c>
      <c r="IB10" s="115">
        <f t="shared" si="191"/>
        <v>22</v>
      </c>
      <c r="IC10" s="115">
        <f t="shared" si="192"/>
        <v>21</v>
      </c>
      <c r="ID10" s="115">
        <f t="shared" si="193"/>
        <v>22</v>
      </c>
      <c r="IE10" s="115">
        <f t="shared" si="194"/>
        <v>21</v>
      </c>
      <c r="IF10" s="115">
        <f t="shared" si="195"/>
        <v>0</v>
      </c>
      <c r="IG10" s="115">
        <f t="shared" si="196"/>
        <v>-2</v>
      </c>
      <c r="IH10" s="115">
        <f t="shared" si="197"/>
        <v>6</v>
      </c>
      <c r="II10" s="115">
        <f t="shared" si="198"/>
        <v>5</v>
      </c>
      <c r="IJ10" s="115">
        <f t="shared" si="199"/>
        <v>7</v>
      </c>
      <c r="IK10" s="115">
        <f t="shared" si="200"/>
        <v>5</v>
      </c>
      <c r="IN10" s="77" t="s">
        <v>138</v>
      </c>
      <c r="IO10" s="104" t="s">
        <v>126</v>
      </c>
      <c r="IP10" s="133">
        <f>VLOOKUP('ef-TeamStats'!B2,'ef-FT'!$E$4:$AN$23,11,0)</f>
        <v>5</v>
      </c>
      <c r="IQ10" s="133">
        <f>VLOOKUP('ef-TeamStats'!$B$2,Table!$B$4:$W$23,2,0)</f>
        <v>20</v>
      </c>
      <c r="IR10" s="134">
        <f t="shared" si="47"/>
        <v>0.25</v>
      </c>
      <c r="IS10" s="133">
        <f>MATCH('ef-TeamStats'!$B$2,$KF$4:$KF$33,0)</f>
        <v>7</v>
      </c>
      <c r="IT10" s="104"/>
      <c r="IU10" s="104" t="s">
        <v>126</v>
      </c>
      <c r="IV10" s="67">
        <f>VLOOKUP('ef-TeamStats'!G2,'ef-FT'!$E$4:$AN$23,11,0)</f>
        <v>1</v>
      </c>
      <c r="IW10" s="133">
        <f>VLOOKUP('ef-TeamStats'!$G$2,Table!$B$4:$W$23,2,0)</f>
        <v>19</v>
      </c>
      <c r="IX10" s="134">
        <f t="shared" si="48"/>
        <v>5.2631578947368418E-2</v>
      </c>
      <c r="IY10" s="133">
        <f>MATCH('ef-TeamStats'!$G$2,$KE$4:$KE$33,0)</f>
        <v>16</v>
      </c>
      <c r="JB10" s="10">
        <f>IF(lg!$F$18=1,EB10,IF(lg!$F$18=2,ES10,FJ10))</f>
        <v>13</v>
      </c>
      <c r="JC10" s="10">
        <f>IF(lg!$F$18=1,EC10,IF(lg!$F$18=2,ET10,FK10))</f>
        <v>5</v>
      </c>
      <c r="JD10" s="10">
        <f>IF(lg!$F$18=1,ED10,IF(lg!$F$18=2,EU10,FL10))</f>
        <v>3</v>
      </c>
      <c r="JE10" s="10">
        <f>IF(lg!$F$18=1,EE10,IF(lg!$F$18=2,EV10,FM10))</f>
        <v>4</v>
      </c>
      <c r="JF10" s="10">
        <f>IF(lg!$F$18=1,EF10,IF(lg!$F$18=2,EW10,FN10))</f>
        <v>12</v>
      </c>
      <c r="JG10" s="10">
        <f>IF(lg!$F$18=1,EG10,IF(lg!$F$18=2,EX10,FO10))</f>
        <v>14</v>
      </c>
      <c r="JH10" s="10">
        <f>IF(lg!$F$18=1,EH10,IF(lg!$F$18=2,EY10,FP10))</f>
        <v>15</v>
      </c>
      <c r="JI10" s="10">
        <f>IF(lg!$F$18=1,EI10,IF(lg!$F$18=2,EZ10,FQ10))</f>
        <v>13</v>
      </c>
      <c r="JJ10" s="10">
        <f>IF(lg!$F$18=1,EJ10,IF(lg!$F$18=2,FA10,FR10))</f>
        <v>2</v>
      </c>
      <c r="JK10" s="10">
        <f>IF(lg!$F$18=1,EK10,IF(lg!$F$18=2,FB10,FS10))</f>
        <v>3</v>
      </c>
      <c r="JL10" s="10">
        <f>IF(lg!$F$18=1,EL10,IF(lg!$F$18=2,FC10,FT10))</f>
        <v>3</v>
      </c>
      <c r="JM10" s="10">
        <f>IF(lg!$F$18=1,EM10,IF(lg!$F$18=2,FD10,FU10))</f>
        <v>12</v>
      </c>
      <c r="JN10" s="10">
        <f>IF(lg!$F$18=1,EN10,IF(lg!$F$18=2,FE10,FV10))</f>
        <v>3</v>
      </c>
      <c r="JO10" s="10">
        <f>IF(lg!$F$18=1,EO10,IF(lg!$F$18=2,FF10,FW10))</f>
        <v>9</v>
      </c>
      <c r="JP10" s="10">
        <f>IF(lg!$F$18=1,EP10,IF(lg!$F$18=2,FG10,FX10))</f>
        <v>14</v>
      </c>
      <c r="JQ10" s="10">
        <f>IF(lg!$F$18=1,EQ10,IF(lg!$F$18=2,FH10,FY10))</f>
        <v>13</v>
      </c>
      <c r="JS10" s="10" t="str">
        <f t="shared" si="201"/>
        <v>Colorado</v>
      </c>
      <c r="JT10" s="10" t="str">
        <f t="shared" si="49"/>
        <v>Chicago</v>
      </c>
      <c r="JU10" s="10" t="str">
        <f t="shared" si="50"/>
        <v>Toronto FC</v>
      </c>
      <c r="JV10" s="10" t="str">
        <f t="shared" si="51"/>
        <v>New England</v>
      </c>
      <c r="JW10" s="10" t="str">
        <f t="shared" si="52"/>
        <v>Seattle Sounders FC</v>
      </c>
      <c r="JX10" s="10" t="str">
        <f t="shared" si="53"/>
        <v>San Jose</v>
      </c>
      <c r="JY10" s="10" t="str">
        <f t="shared" si="54"/>
        <v>Houston</v>
      </c>
      <c r="JZ10" s="10" t="str">
        <f t="shared" si="55"/>
        <v>Colorado</v>
      </c>
      <c r="KA10" s="10" t="str">
        <f t="shared" si="56"/>
        <v>New York Red Bulls</v>
      </c>
      <c r="KB10" s="10" t="str">
        <f t="shared" si="57"/>
        <v>Toronto FC</v>
      </c>
      <c r="KC10" s="10" t="str">
        <f t="shared" si="58"/>
        <v>Toronto FC</v>
      </c>
      <c r="KD10" s="10" t="str">
        <f t="shared" si="59"/>
        <v>Seattle Sounders FC</v>
      </c>
      <c r="KE10" s="10" t="str">
        <f t="shared" si="60"/>
        <v>Toronto FC</v>
      </c>
      <c r="KF10" s="10" t="str">
        <f t="shared" si="61"/>
        <v>Los Angeles</v>
      </c>
      <c r="KG10" s="10" t="str">
        <f t="shared" si="62"/>
        <v>San Jose</v>
      </c>
      <c r="KH10" s="10" t="str">
        <f t="shared" si="63"/>
        <v>Colorado</v>
      </c>
      <c r="KL10" s="27">
        <v>0.24</v>
      </c>
      <c r="KM10" s="29">
        <v>7</v>
      </c>
      <c r="KN10" s="31" t="str">
        <f t="shared" si="202"/>
        <v>Philadelphia Union</v>
      </c>
      <c r="KO10" s="152">
        <f t="shared" si="203"/>
        <v>0</v>
      </c>
      <c r="KP10" s="152">
        <f t="shared" si="204"/>
        <v>0</v>
      </c>
      <c r="KQ10" s="152">
        <f t="shared" si="205"/>
        <v>2</v>
      </c>
      <c r="KR10" s="28">
        <f t="shared" si="206"/>
        <v>999999980000.23999</v>
      </c>
      <c r="KS10" s="29"/>
      <c r="KT10" s="28"/>
      <c r="KU10" s="29">
        <f>RANK(KR10,KR$4:KR$11)</f>
        <v>7</v>
      </c>
      <c r="KV10" s="152">
        <f t="shared" si="207"/>
        <v>3</v>
      </c>
      <c r="KW10" s="152">
        <f t="shared" si="208"/>
        <v>3</v>
      </c>
      <c r="KX10" s="152">
        <f t="shared" si="209"/>
        <v>4</v>
      </c>
      <c r="KY10" s="28">
        <f t="shared" si="210"/>
        <v>1000299990003.24</v>
      </c>
      <c r="KZ10" s="29"/>
      <c r="LA10" s="28"/>
      <c r="LB10" s="29">
        <f>RANK(KY10,KY$4:KY$11)</f>
        <v>5</v>
      </c>
      <c r="LC10" s="152">
        <f t="shared" si="211"/>
        <v>3</v>
      </c>
      <c r="LD10" s="152">
        <f t="shared" si="212"/>
        <v>4</v>
      </c>
      <c r="LE10" s="152">
        <f t="shared" si="213"/>
        <v>6</v>
      </c>
      <c r="LF10" s="28">
        <f t="shared" si="214"/>
        <v>1000299980004.24</v>
      </c>
      <c r="LG10" s="29"/>
      <c r="LH10" s="28"/>
      <c r="LI10" s="29">
        <f>RANK(LF10,LF$4:LF$11)</f>
        <v>5</v>
      </c>
      <c r="LJ10" s="152">
        <f t="shared" si="215"/>
        <v>3</v>
      </c>
      <c r="LK10" s="152">
        <f t="shared" si="216"/>
        <v>5</v>
      </c>
      <c r="LL10" s="152">
        <f t="shared" si="217"/>
        <v>8</v>
      </c>
      <c r="LM10" s="28">
        <f t="shared" si="218"/>
        <v>1000299970005.24</v>
      </c>
      <c r="LN10" s="29"/>
      <c r="LO10" s="28"/>
      <c r="LP10" s="29">
        <f>RANK(LM10,LM$4:LM$11)</f>
        <v>6</v>
      </c>
      <c r="LQ10" s="152">
        <f t="shared" si="219"/>
        <v>3</v>
      </c>
      <c r="LR10" s="152">
        <f t="shared" si="220"/>
        <v>6</v>
      </c>
      <c r="LS10" s="152">
        <f t="shared" si="221"/>
        <v>11</v>
      </c>
      <c r="LT10" s="28">
        <f t="shared" si="222"/>
        <v>1000299950006.24</v>
      </c>
      <c r="LU10" s="29"/>
      <c r="LV10" s="28"/>
      <c r="LW10" s="29">
        <f>RANK(LT10,LT$4:LT$11)</f>
        <v>7</v>
      </c>
      <c r="LX10" s="152">
        <f t="shared" si="223"/>
        <v>3</v>
      </c>
      <c r="LY10" s="152">
        <f t="shared" si="224"/>
        <v>6</v>
      </c>
      <c r="LZ10" s="152">
        <f t="shared" si="225"/>
        <v>14</v>
      </c>
      <c r="MA10" s="28">
        <f t="shared" si="226"/>
        <v>1000299920006.24</v>
      </c>
      <c r="MB10" s="29"/>
      <c r="MC10" s="28"/>
      <c r="MD10" s="29">
        <f>RANK(MA10,MA$4:MA$11)</f>
        <v>7</v>
      </c>
      <c r="ME10" s="152">
        <f t="shared" si="227"/>
        <v>4</v>
      </c>
      <c r="MF10" s="152">
        <f t="shared" si="228"/>
        <v>7</v>
      </c>
      <c r="MG10" s="152">
        <f t="shared" si="229"/>
        <v>15</v>
      </c>
      <c r="MH10" s="28">
        <f t="shared" si="230"/>
        <v>1000399920007.24</v>
      </c>
      <c r="MI10" s="29"/>
      <c r="MJ10" s="28"/>
      <c r="MK10" s="29">
        <f>RANK(MH10,MH$4:MH$11)</f>
        <v>7</v>
      </c>
      <c r="ML10" s="152">
        <f t="shared" si="231"/>
        <v>7</v>
      </c>
      <c r="MM10" s="152">
        <f t="shared" si="232"/>
        <v>10</v>
      </c>
      <c r="MN10" s="152">
        <f t="shared" si="233"/>
        <v>16</v>
      </c>
      <c r="MO10" s="28">
        <f t="shared" si="234"/>
        <v>1000699940010.24</v>
      </c>
      <c r="MP10" s="29"/>
      <c r="MQ10" s="28"/>
      <c r="MR10" s="29">
        <f>RANK(MO10,MO$4:MO$11)</f>
        <v>7</v>
      </c>
      <c r="MS10" s="152">
        <f t="shared" si="235"/>
        <v>7</v>
      </c>
      <c r="MT10" s="152">
        <f t="shared" si="236"/>
        <v>11</v>
      </c>
      <c r="MU10" s="152">
        <f t="shared" si="237"/>
        <v>18</v>
      </c>
      <c r="MV10" s="28">
        <f t="shared" si="238"/>
        <v>1000699930011.24</v>
      </c>
      <c r="MW10" s="29"/>
      <c r="MX10" s="28"/>
      <c r="MY10" s="29">
        <f>RANK(MV10,MV$4:MV$11)</f>
        <v>7</v>
      </c>
      <c r="MZ10" s="152">
        <f t="shared" si="239"/>
        <v>7</v>
      </c>
      <c r="NA10" s="152">
        <f t="shared" si="240"/>
        <v>11</v>
      </c>
      <c r="NB10" s="152">
        <f t="shared" si="241"/>
        <v>20</v>
      </c>
      <c r="NC10" s="28">
        <f t="shared" si="242"/>
        <v>1000699910011.24</v>
      </c>
      <c r="ND10" s="29"/>
      <c r="NE10" s="28"/>
      <c r="NF10" s="29">
        <f>RANK(NC10,NC$4:NC$11)</f>
        <v>7</v>
      </c>
      <c r="NG10" s="152">
        <f t="shared" si="243"/>
        <v>10</v>
      </c>
      <c r="NH10" s="152">
        <f t="shared" si="244"/>
        <v>14</v>
      </c>
      <c r="NI10" s="152">
        <f t="shared" si="245"/>
        <v>21</v>
      </c>
      <c r="NJ10" s="28">
        <f t="shared" si="246"/>
        <v>1000999930014.24</v>
      </c>
      <c r="NK10" s="29"/>
      <c r="NL10" s="28"/>
      <c r="NM10" s="29">
        <f>RANK(NJ10,NJ$4:NJ$11)</f>
        <v>7</v>
      </c>
      <c r="NN10" s="152">
        <f t="shared" si="247"/>
        <v>11</v>
      </c>
      <c r="NO10" s="152">
        <f t="shared" si="248"/>
        <v>15</v>
      </c>
      <c r="NP10" s="152">
        <f t="shared" si="249"/>
        <v>22</v>
      </c>
      <c r="NQ10" s="28">
        <f t="shared" si="250"/>
        <v>1001099930015.24</v>
      </c>
      <c r="NR10" s="29"/>
      <c r="NS10" s="28"/>
      <c r="NT10" s="29">
        <f>RANK(NQ10,NQ$4:NQ$11)</f>
        <v>6</v>
      </c>
      <c r="NU10" s="152">
        <f t="shared" si="251"/>
        <v>11</v>
      </c>
      <c r="NV10" s="152">
        <f t="shared" si="252"/>
        <v>16</v>
      </c>
      <c r="NW10" s="152">
        <f t="shared" si="253"/>
        <v>24</v>
      </c>
      <c r="NX10" s="28">
        <f t="shared" si="254"/>
        <v>1001099920016.24</v>
      </c>
      <c r="NY10" s="29"/>
      <c r="NZ10" s="28"/>
      <c r="OA10" s="29">
        <f>RANK(NX10,NX$4:NX$11)</f>
        <v>6</v>
      </c>
      <c r="OB10" s="152">
        <f t="shared" si="255"/>
        <v>14</v>
      </c>
      <c r="OC10" s="152">
        <f t="shared" si="256"/>
        <v>18</v>
      </c>
      <c r="OD10" s="152">
        <f t="shared" si="257"/>
        <v>25</v>
      </c>
      <c r="OE10" s="28">
        <f t="shared" si="258"/>
        <v>1001399930018.24</v>
      </c>
      <c r="OF10" s="29"/>
      <c r="OG10" s="28"/>
      <c r="OH10" s="29">
        <f>RANK(OE10,OE$4:OE$11)</f>
        <v>5</v>
      </c>
      <c r="OI10" s="152">
        <f t="shared" si="259"/>
        <v>15</v>
      </c>
      <c r="OJ10" s="152">
        <f t="shared" si="260"/>
        <v>19</v>
      </c>
      <c r="OK10" s="152">
        <f t="shared" si="261"/>
        <v>26</v>
      </c>
      <c r="OL10" s="28">
        <f t="shared" si="262"/>
        <v>1001499930019.24</v>
      </c>
      <c r="OM10" s="29"/>
      <c r="ON10" s="28"/>
      <c r="OO10" s="29">
        <f>RANK(OL10,OL$4:OL$11)</f>
        <v>5</v>
      </c>
      <c r="OP10" s="152">
        <f t="shared" si="263"/>
        <v>15</v>
      </c>
      <c r="OQ10" s="152">
        <f t="shared" si="264"/>
        <v>20</v>
      </c>
      <c r="OR10" s="152">
        <f t="shared" si="265"/>
        <v>28</v>
      </c>
      <c r="OS10" s="28">
        <f t="shared" si="266"/>
        <v>1001499920020.24</v>
      </c>
      <c r="OT10" s="29"/>
      <c r="OU10" s="28"/>
      <c r="OV10" s="29">
        <f>RANK(OS10,OS$4:OS$11)</f>
        <v>6</v>
      </c>
      <c r="OW10" s="152">
        <f t="shared" si="267"/>
        <v>15</v>
      </c>
      <c r="OX10" s="152">
        <f t="shared" si="268"/>
        <v>21</v>
      </c>
      <c r="OY10" s="152">
        <f t="shared" si="269"/>
        <v>31</v>
      </c>
      <c r="OZ10" s="28">
        <f t="shared" si="270"/>
        <v>1001499900021.24</v>
      </c>
      <c r="PA10" s="29"/>
      <c r="PB10" s="28"/>
      <c r="PC10" s="29">
        <f>RANK(OZ10,OZ$4:OZ$11)</f>
        <v>7</v>
      </c>
      <c r="PD10" s="152">
        <f t="shared" si="271"/>
        <v>16</v>
      </c>
      <c r="PE10" s="152">
        <f t="shared" si="272"/>
        <v>22</v>
      </c>
      <c r="PF10" s="152">
        <f t="shared" si="273"/>
        <v>32</v>
      </c>
      <c r="PG10" s="28">
        <f t="shared" si="274"/>
        <v>1001599900022.24</v>
      </c>
      <c r="PH10" s="29"/>
      <c r="PI10" s="28"/>
      <c r="PJ10" s="29">
        <f>RANK(PG10,PG$4:PG$11)</f>
        <v>7</v>
      </c>
      <c r="PK10" s="152">
        <f t="shared" si="275"/>
        <v>17</v>
      </c>
      <c r="PL10" s="152">
        <f t="shared" si="276"/>
        <v>23</v>
      </c>
      <c r="PM10" s="152">
        <f t="shared" si="277"/>
        <v>33</v>
      </c>
      <c r="PN10" s="28">
        <f t="shared" si="278"/>
        <v>1001699900023.24</v>
      </c>
      <c r="PO10" s="29"/>
      <c r="PP10" s="28"/>
      <c r="PQ10" s="29">
        <f>RANK(PN10,PN$4:PN$11)</f>
        <v>7</v>
      </c>
      <c r="PR10" s="152">
        <f t="shared" si="279"/>
        <v>17</v>
      </c>
      <c r="PS10" s="152">
        <f t="shared" si="280"/>
        <v>23</v>
      </c>
      <c r="PT10" s="152">
        <f t="shared" si="281"/>
        <v>33</v>
      </c>
      <c r="PU10" s="28">
        <f t="shared" si="282"/>
        <v>1001699900023.24</v>
      </c>
      <c r="PV10" s="29"/>
      <c r="PW10" s="28"/>
      <c r="PX10" s="29">
        <f>RANK(PU10,PU$4:PU$11)</f>
        <v>7</v>
      </c>
      <c r="PY10" s="152">
        <f t="shared" si="283"/>
        <v>17</v>
      </c>
      <c r="PZ10" s="152">
        <f t="shared" si="284"/>
        <v>23</v>
      </c>
      <c r="QA10" s="152">
        <f t="shared" si="285"/>
        <v>33</v>
      </c>
      <c r="QB10" s="28">
        <f t="shared" si="286"/>
        <v>1001699900023.24</v>
      </c>
      <c r="QC10" s="29"/>
      <c r="QD10" s="28"/>
      <c r="QE10" s="29">
        <f>RANK(QB10,QB$4:QB$11)</f>
        <v>7</v>
      </c>
      <c r="QF10" s="152">
        <f t="shared" si="287"/>
        <v>17</v>
      </c>
      <c r="QG10" s="152">
        <f t="shared" si="288"/>
        <v>23</v>
      </c>
      <c r="QH10" s="152">
        <f t="shared" si="289"/>
        <v>33</v>
      </c>
      <c r="QI10" s="28">
        <f t="shared" si="290"/>
        <v>1001699900023.24</v>
      </c>
      <c r="QJ10" s="29"/>
      <c r="QK10" s="28"/>
      <c r="QL10" s="29">
        <f>RANK(QI10,QI$4:QI$11)</f>
        <v>7</v>
      </c>
      <c r="QM10" s="152">
        <f t="shared" si="291"/>
        <v>17</v>
      </c>
      <c r="QN10" s="152">
        <f t="shared" si="292"/>
        <v>23</v>
      </c>
      <c r="QO10" s="152">
        <f t="shared" si="293"/>
        <v>33</v>
      </c>
      <c r="QP10" s="28">
        <f t="shared" si="294"/>
        <v>1001699900023.24</v>
      </c>
      <c r="QQ10" s="29"/>
      <c r="QR10" s="28"/>
      <c r="QS10" s="29">
        <f>RANK(QP10,QP$4:QP$11)</f>
        <v>7</v>
      </c>
      <c r="QT10" s="152">
        <f t="shared" si="295"/>
        <v>17</v>
      </c>
      <c r="QU10" s="152">
        <f t="shared" si="296"/>
        <v>23</v>
      </c>
      <c r="QV10" s="152">
        <f t="shared" si="297"/>
        <v>33</v>
      </c>
      <c r="QW10" s="28">
        <f t="shared" si="298"/>
        <v>1001699900023.24</v>
      </c>
      <c r="QX10" s="29"/>
      <c r="QY10" s="28"/>
      <c r="QZ10" s="29">
        <f>RANK(QW10,QW$4:QW$11)</f>
        <v>7</v>
      </c>
      <c r="RA10" s="152">
        <f t="shared" si="299"/>
        <v>17</v>
      </c>
      <c r="RB10" s="152">
        <f t="shared" si="300"/>
        <v>23</v>
      </c>
      <c r="RC10" s="152">
        <f t="shared" si="301"/>
        <v>33</v>
      </c>
      <c r="RD10" s="28">
        <f t="shared" si="302"/>
        <v>1001699900023.24</v>
      </c>
      <c r="RE10" s="29"/>
      <c r="RF10" s="28"/>
      <c r="RG10" s="29">
        <f>RANK(RD10,RD$4:RD$11)</f>
        <v>7</v>
      </c>
      <c r="RH10" s="152">
        <f t="shared" si="303"/>
        <v>17</v>
      </c>
      <c r="RI10" s="152">
        <f t="shared" si="304"/>
        <v>23</v>
      </c>
      <c r="RJ10" s="152">
        <f t="shared" si="305"/>
        <v>33</v>
      </c>
      <c r="RK10" s="28">
        <f t="shared" si="306"/>
        <v>1001699900023.24</v>
      </c>
      <c r="RL10" s="29"/>
      <c r="RM10" s="28"/>
      <c r="RN10" s="29">
        <f>RANK(RK10,RK$4:RK$11)</f>
        <v>7</v>
      </c>
      <c r="RO10" s="152">
        <f t="shared" si="307"/>
        <v>17</v>
      </c>
      <c r="RP10" s="152">
        <f t="shared" si="308"/>
        <v>23</v>
      </c>
      <c r="RQ10" s="152">
        <f t="shared" si="309"/>
        <v>33</v>
      </c>
      <c r="RR10" s="28">
        <f t="shared" si="310"/>
        <v>1001699900023.24</v>
      </c>
      <c r="RS10" s="29"/>
      <c r="RT10" s="28"/>
      <c r="RU10" s="29">
        <f>RANK(RR10,RR$4:RR$11)</f>
        <v>7</v>
      </c>
      <c r="RV10" s="152">
        <f t="shared" si="311"/>
        <v>17</v>
      </c>
      <c r="RW10" s="152">
        <f t="shared" si="312"/>
        <v>23</v>
      </c>
      <c r="RX10" s="152">
        <f t="shared" si="313"/>
        <v>33</v>
      </c>
      <c r="RY10" s="28">
        <f t="shared" si="314"/>
        <v>1001699900023.24</v>
      </c>
      <c r="RZ10" s="29"/>
      <c r="SA10" s="28"/>
      <c r="SB10" s="29">
        <f>RANK(RY10,RY$4:RY$11)</f>
        <v>7</v>
      </c>
      <c r="SC10" s="152">
        <f t="shared" si="315"/>
        <v>17</v>
      </c>
      <c r="SD10" s="152">
        <f t="shared" si="316"/>
        <v>23</v>
      </c>
      <c r="SE10" s="152">
        <f t="shared" si="317"/>
        <v>33</v>
      </c>
      <c r="SF10" s="28">
        <f t="shared" si="318"/>
        <v>1001699900023.24</v>
      </c>
      <c r="SG10" s="29"/>
      <c r="SH10" s="28"/>
      <c r="SI10" s="29">
        <f>RANK(SF10,SF$4:SF$11)</f>
        <v>7</v>
      </c>
      <c r="SJ10" s="152">
        <f t="shared" si="319"/>
        <v>17</v>
      </c>
      <c r="SK10" s="152">
        <f t="shared" si="320"/>
        <v>23</v>
      </c>
      <c r="SL10" s="152">
        <f t="shared" si="321"/>
        <v>33</v>
      </c>
      <c r="SM10" s="28">
        <f t="shared" si="322"/>
        <v>1001699900023.24</v>
      </c>
      <c r="SN10" s="29"/>
      <c r="SO10" s="28"/>
      <c r="SP10" s="29">
        <f>RANK(SM10,SM$4:SM$11)</f>
        <v>7</v>
      </c>
      <c r="SQ10" s="152">
        <f t="shared" si="323"/>
        <v>17</v>
      </c>
      <c r="SR10" s="152">
        <f t="shared" si="324"/>
        <v>23</v>
      </c>
      <c r="SS10" s="152">
        <f t="shared" si="325"/>
        <v>33</v>
      </c>
      <c r="ST10" s="28">
        <f t="shared" si="326"/>
        <v>1001699900023.24</v>
      </c>
      <c r="SU10" s="29"/>
      <c r="SV10" s="28"/>
      <c r="SW10" s="29">
        <f>RANK(ST10,ST$4:ST$11)</f>
        <v>7</v>
      </c>
      <c r="SX10" s="152">
        <f t="shared" si="327"/>
        <v>17</v>
      </c>
      <c r="SY10" s="152">
        <f t="shared" si="328"/>
        <v>23</v>
      </c>
      <c r="SZ10" s="152">
        <f t="shared" si="329"/>
        <v>33</v>
      </c>
      <c r="TA10" s="28">
        <f t="shared" si="330"/>
        <v>1001699900023.24</v>
      </c>
      <c r="TB10" s="29"/>
      <c r="TC10" s="28"/>
      <c r="TD10" s="29">
        <f>RANK(TA10,TA$4:TA$11)</f>
        <v>7</v>
      </c>
      <c r="TE10" s="152">
        <f t="shared" si="331"/>
        <v>17</v>
      </c>
      <c r="TF10" s="152">
        <f t="shared" si="332"/>
        <v>23</v>
      </c>
      <c r="TG10" s="152">
        <f t="shared" si="333"/>
        <v>33</v>
      </c>
      <c r="TH10" s="28">
        <f t="shared" si="334"/>
        <v>1001699900023.24</v>
      </c>
      <c r="TI10" s="29"/>
      <c r="TJ10" s="28"/>
      <c r="TK10" s="29">
        <f>RANK(TH10,TH$4:TH$11)</f>
        <v>7</v>
      </c>
      <c r="TL10" s="152">
        <f t="shared" si="335"/>
        <v>17</v>
      </c>
      <c r="TM10" s="152">
        <f t="shared" si="336"/>
        <v>23</v>
      </c>
      <c r="TN10" s="152">
        <f t="shared" si="337"/>
        <v>33</v>
      </c>
      <c r="TO10" s="28">
        <f t="shared" si="338"/>
        <v>1001699900023.24</v>
      </c>
      <c r="TP10" s="29"/>
      <c r="TQ10" s="28"/>
      <c r="TR10" s="29">
        <f>RANK(TO10,TO$4:TO$11)</f>
        <v>7</v>
      </c>
      <c r="TS10" s="152">
        <f t="shared" si="339"/>
        <v>17</v>
      </c>
      <c r="TT10" s="152">
        <f t="shared" si="340"/>
        <v>23</v>
      </c>
      <c r="TU10" s="152">
        <f t="shared" si="341"/>
        <v>33</v>
      </c>
      <c r="TV10" s="28">
        <f t="shared" si="342"/>
        <v>1001699900023.24</v>
      </c>
      <c r="TW10" s="29"/>
      <c r="TX10" s="28"/>
      <c r="TY10" s="29">
        <f>RANK(TV10,TV$4:TV$11)</f>
        <v>7</v>
      </c>
      <c r="TZ10" s="152">
        <f t="shared" si="343"/>
        <v>17</v>
      </c>
      <c r="UA10" s="152">
        <f t="shared" si="344"/>
        <v>23</v>
      </c>
      <c r="UB10" s="152">
        <f t="shared" si="345"/>
        <v>33</v>
      </c>
      <c r="UC10" s="28">
        <f t="shared" si="346"/>
        <v>1001699900023.24</v>
      </c>
      <c r="UD10" s="29"/>
      <c r="UE10" s="28"/>
      <c r="UF10" s="29">
        <f>RANK(UC10,UC$4:UC$11)</f>
        <v>7</v>
      </c>
      <c r="UG10" s="152">
        <f t="shared" si="347"/>
        <v>17</v>
      </c>
      <c r="UH10" s="152">
        <f t="shared" si="348"/>
        <v>23</v>
      </c>
      <c r="UI10" s="152">
        <f t="shared" si="349"/>
        <v>33</v>
      </c>
      <c r="UJ10" s="28">
        <f t="shared" si="350"/>
        <v>1001699900023.24</v>
      </c>
      <c r="UK10" s="29"/>
      <c r="UL10" s="28"/>
      <c r="UM10" s="29">
        <f>RANK(UJ10,UJ$4:UJ$11)</f>
        <v>7</v>
      </c>
      <c r="UN10" s="152">
        <f t="shared" si="351"/>
        <v>17</v>
      </c>
      <c r="UO10" s="152">
        <f t="shared" si="352"/>
        <v>23</v>
      </c>
      <c r="UP10" s="152">
        <f t="shared" si="353"/>
        <v>33</v>
      </c>
      <c r="UQ10" s="28">
        <f t="shared" si="354"/>
        <v>1001699900023.24</v>
      </c>
      <c r="UR10" s="29"/>
      <c r="US10" s="28"/>
      <c r="UT10" s="29">
        <f>RANK(UQ10,UQ$4:UQ$11)</f>
        <v>7</v>
      </c>
      <c r="UU10" s="129"/>
      <c r="UV10" s="129" t="str">
        <f t="shared" si="355"/>
        <v>Philadelphia Union</v>
      </c>
      <c r="UW10" s="129">
        <f t="shared" si="356"/>
        <v>7</v>
      </c>
      <c r="UX10" s="129">
        <f t="shared" ca="1" si="357"/>
        <v>5</v>
      </c>
      <c r="UY10" s="129">
        <f t="shared" ca="1" si="64"/>
        <v>5</v>
      </c>
      <c r="UZ10" s="129">
        <f t="shared" ca="1" si="64"/>
        <v>6</v>
      </c>
      <c r="VA10" s="129">
        <f t="shared" ca="1" si="64"/>
        <v>7</v>
      </c>
      <c r="VB10" s="129">
        <f t="shared" ca="1" si="64"/>
        <v>7</v>
      </c>
      <c r="VC10" s="129">
        <f t="shared" ca="1" si="64"/>
        <v>7</v>
      </c>
      <c r="VD10" s="129">
        <f t="shared" ca="1" si="64"/>
        <v>7</v>
      </c>
      <c r="VE10" s="129">
        <f t="shared" ca="1" si="64"/>
        <v>7</v>
      </c>
      <c r="VF10" s="129">
        <f t="shared" ca="1" si="64"/>
        <v>7</v>
      </c>
      <c r="VG10" s="129">
        <f t="shared" ca="1" si="64"/>
        <v>7</v>
      </c>
      <c r="VH10" s="129">
        <f t="shared" ca="1" si="64"/>
        <v>6</v>
      </c>
      <c r="VI10" s="129">
        <f t="shared" ca="1" si="64"/>
        <v>6</v>
      </c>
      <c r="VJ10" s="129">
        <f t="shared" ca="1" si="64"/>
        <v>5</v>
      </c>
      <c r="VK10" s="129">
        <f t="shared" ca="1" si="64"/>
        <v>5</v>
      </c>
      <c r="VL10" s="129">
        <f t="shared" ca="1" si="64"/>
        <v>6</v>
      </c>
      <c r="VM10" s="129">
        <f t="shared" ca="1" si="64"/>
        <v>7</v>
      </c>
      <c r="VN10" s="129">
        <f t="shared" ca="1" si="64"/>
        <v>7</v>
      </c>
      <c r="VO10" s="129">
        <f t="shared" ca="1" si="65"/>
        <v>7</v>
      </c>
      <c r="VP10" s="129">
        <f t="shared" ca="1" si="65"/>
        <v>7</v>
      </c>
      <c r="VQ10" s="129">
        <f t="shared" ca="1" si="65"/>
        <v>7</v>
      </c>
      <c r="VR10" s="129">
        <f t="shared" ca="1" si="65"/>
        <v>7</v>
      </c>
      <c r="VS10" s="129">
        <f t="shared" ca="1" si="65"/>
        <v>7</v>
      </c>
      <c r="VT10" s="129">
        <f t="shared" ca="1" si="65"/>
        <v>7</v>
      </c>
      <c r="VU10" s="129">
        <f t="shared" ca="1" si="65"/>
        <v>7</v>
      </c>
      <c r="VV10" s="129">
        <f t="shared" ca="1" si="65"/>
        <v>7</v>
      </c>
      <c r="VW10" s="129">
        <f t="shared" ca="1" si="65"/>
        <v>7</v>
      </c>
      <c r="VX10" s="129">
        <f t="shared" ca="1" si="65"/>
        <v>7</v>
      </c>
      <c r="VY10" s="129">
        <f t="shared" ca="1" si="65"/>
        <v>7</v>
      </c>
      <c r="VZ10" s="129">
        <f t="shared" ca="1" si="65"/>
        <v>7</v>
      </c>
      <c r="WA10" s="129">
        <f t="shared" ca="1" si="65"/>
        <v>7</v>
      </c>
      <c r="WB10" s="129">
        <f t="shared" ca="1" si="65"/>
        <v>7</v>
      </c>
      <c r="WC10" s="129">
        <f t="shared" ca="1" si="65"/>
        <v>7</v>
      </c>
      <c r="WD10" s="129">
        <f t="shared" ca="1" si="65"/>
        <v>7</v>
      </c>
      <c r="WE10" s="129">
        <f t="shared" ca="1" si="66"/>
        <v>7</v>
      </c>
      <c r="WF10" s="129">
        <f t="shared" ca="1" si="66"/>
        <v>7</v>
      </c>
      <c r="WG10" s="129">
        <f t="shared" ca="1" si="66"/>
        <v>7</v>
      </c>
      <c r="WH10" s="129">
        <f t="shared" ca="1" si="66"/>
        <v>7</v>
      </c>
      <c r="WJ10" s="87"/>
      <c r="WK10" s="87" t="str">
        <f t="shared" si="358"/>
        <v>Philadelphia Union</v>
      </c>
      <c r="WL10" s="87">
        <v>7</v>
      </c>
      <c r="WM10" s="87">
        <v>7</v>
      </c>
      <c r="WN10" s="87">
        <f t="shared" si="67"/>
        <v>7</v>
      </c>
      <c r="WO10" s="87">
        <f t="shared" ca="1" si="68"/>
        <v>5</v>
      </c>
      <c r="WP10" s="87">
        <f t="shared" ca="1" si="69"/>
        <v>5</v>
      </c>
      <c r="WQ10" s="87">
        <f t="shared" ca="1" si="70"/>
        <v>6</v>
      </c>
      <c r="WR10" s="87">
        <f t="shared" ca="1" si="71"/>
        <v>7</v>
      </c>
      <c r="WS10" s="87">
        <f t="shared" ca="1" si="72"/>
        <v>7</v>
      </c>
      <c r="WT10" s="87">
        <f t="shared" ca="1" si="73"/>
        <v>7</v>
      </c>
      <c r="WU10" s="87">
        <f t="shared" ca="1" si="74"/>
        <v>7</v>
      </c>
      <c r="WV10" s="87">
        <f t="shared" ca="1" si="75"/>
        <v>7</v>
      </c>
      <c r="WW10" s="87">
        <f t="shared" ca="1" si="76"/>
        <v>7</v>
      </c>
      <c r="WX10" s="87">
        <f t="shared" ca="1" si="77"/>
        <v>7</v>
      </c>
      <c r="WY10" s="87">
        <f t="shared" ca="1" si="78"/>
        <v>6</v>
      </c>
      <c r="WZ10" s="87">
        <f t="shared" ca="1" si="79"/>
        <v>6</v>
      </c>
      <c r="XA10" s="87">
        <f t="shared" ca="1" si="80"/>
        <v>5</v>
      </c>
      <c r="XB10" s="87">
        <f t="shared" ca="1" si="81"/>
        <v>5</v>
      </c>
      <c r="XC10" s="87">
        <f t="shared" ca="1" si="82"/>
        <v>6</v>
      </c>
      <c r="XD10" s="87">
        <f t="shared" ca="1" si="83"/>
        <v>7</v>
      </c>
      <c r="XE10" s="87">
        <f t="shared" ca="1" si="84"/>
        <v>7</v>
      </c>
      <c r="XF10" s="87">
        <f t="shared" ca="1" si="85"/>
        <v>7</v>
      </c>
      <c r="XG10" s="87">
        <f t="shared" ca="1" si="86"/>
        <v>7</v>
      </c>
      <c r="XH10" s="87" t="e">
        <f t="shared" si="87"/>
        <v>#N/A</v>
      </c>
      <c r="XI10" s="87" t="e">
        <f t="shared" si="88"/>
        <v>#N/A</v>
      </c>
      <c r="XJ10" s="87" t="e">
        <f t="shared" si="89"/>
        <v>#N/A</v>
      </c>
      <c r="XK10" s="87" t="e">
        <f t="shared" si="90"/>
        <v>#N/A</v>
      </c>
      <c r="XL10" s="87" t="e">
        <f t="shared" si="91"/>
        <v>#N/A</v>
      </c>
      <c r="XM10" s="87" t="e">
        <f t="shared" si="92"/>
        <v>#N/A</v>
      </c>
      <c r="XN10" s="87" t="e">
        <f t="shared" si="93"/>
        <v>#N/A</v>
      </c>
      <c r="XO10" s="87" t="e">
        <f t="shared" si="94"/>
        <v>#N/A</v>
      </c>
      <c r="XP10" s="87" t="e">
        <f t="shared" si="95"/>
        <v>#N/A</v>
      </c>
      <c r="XQ10" s="87" t="e">
        <f t="shared" si="96"/>
        <v>#N/A</v>
      </c>
      <c r="XR10" s="87" t="e">
        <f t="shared" si="97"/>
        <v>#N/A</v>
      </c>
      <c r="XS10" s="87" t="e">
        <f t="shared" si="98"/>
        <v>#N/A</v>
      </c>
      <c r="XT10" s="87" t="e">
        <f t="shared" si="99"/>
        <v>#N/A</v>
      </c>
      <c r="XU10" s="87" t="e">
        <f t="shared" si="100"/>
        <v>#N/A</v>
      </c>
      <c r="XV10" s="87" t="e">
        <f t="shared" si="101"/>
        <v>#N/A</v>
      </c>
      <c r="XW10" s="87" t="e">
        <f t="shared" si="102"/>
        <v>#N/A</v>
      </c>
      <c r="XX10" s="87" t="e">
        <f t="shared" si="103"/>
        <v>#N/A</v>
      </c>
      <c r="XY10" s="87" t="e">
        <f t="shared" si="104"/>
        <v>#N/A</v>
      </c>
      <c r="XZ10" s="241"/>
      <c r="YA10" s="241"/>
      <c r="YB10" s="280"/>
      <c r="YC10" s="280" t="str">
        <f>IF(ISERROR(VLOOKUP(YB4,$E$11:$E$19,1,0)),"",YB4)</f>
        <v>Los Angeles</v>
      </c>
      <c r="YD10" s="280"/>
      <c r="YE10" s="163">
        <f>VLOOKUP($YC10,$WK$4:WL$33,YE$3+3,0)</f>
        <v>1</v>
      </c>
      <c r="YF10" s="163">
        <f>VLOOKUP($YC10,$WK$4:WM$33,YF$3+3,0)</f>
        <v>1</v>
      </c>
      <c r="YG10" s="163">
        <f>VLOOKUP($YC10,$WK$4:WN$33,YG$3+3,0)</f>
        <v>3</v>
      </c>
      <c r="YH10" s="163">
        <f ca="1">VLOOKUP($YC10,$WK$4:WO$33,YH$3+3,0)</f>
        <v>1</v>
      </c>
      <c r="YI10" s="163">
        <f ca="1">VLOOKUP($YC10,$WK$4:WP$33,YI$3+3,0)</f>
        <v>1</v>
      </c>
      <c r="YJ10" s="163">
        <f ca="1">VLOOKUP($YC10,$WK$4:WQ$33,YJ$3+3,0)</f>
        <v>1</v>
      </c>
      <c r="YK10" s="163">
        <f ca="1">VLOOKUP($YC10,$WK$4:WR$33,YK$3+3,0)</f>
        <v>1</v>
      </c>
      <c r="YL10" s="163">
        <f ca="1">VLOOKUP($YC10,$WK$4:WS$33,YL$3+3,0)</f>
        <v>1</v>
      </c>
      <c r="YM10" s="163">
        <f ca="1">VLOOKUP($YC10,$WK$4:WT$33,YM$3+3,0)</f>
        <v>1</v>
      </c>
      <c r="YN10" s="163">
        <f ca="1">VLOOKUP($YC10,$WK$4:WU$33,YN$3+3,0)</f>
        <v>1</v>
      </c>
      <c r="YO10" s="163">
        <f ca="1">VLOOKUP($YC10,$WK$4:WV$33,YO$3+3,0)</f>
        <v>1</v>
      </c>
      <c r="YP10" s="163">
        <f ca="1">VLOOKUP($YC10,$WK$4:WW$33,YP$3+3,0)</f>
        <v>1</v>
      </c>
      <c r="YQ10" s="163">
        <f ca="1">VLOOKUP($YC10,$WK$4:WX$33,YQ$3+3,0)</f>
        <v>1</v>
      </c>
      <c r="YR10" s="163">
        <f ca="1">VLOOKUP($YC10,$WK$4:WY$33,YR$3+3,0)</f>
        <v>1</v>
      </c>
      <c r="YS10" s="163">
        <f ca="1">VLOOKUP($YC10,$WK$4:WZ$33,YS$3+3,0)</f>
        <v>1</v>
      </c>
      <c r="YT10" s="163">
        <f ca="1">VLOOKUP($YC10,$WK$4:XA$33,YT$3+3,0)</f>
        <v>1</v>
      </c>
      <c r="YU10" s="163">
        <f ca="1">VLOOKUP($YC10,$WK$4:XB$33,YU$3+3,0)</f>
        <v>1</v>
      </c>
      <c r="YV10" s="163">
        <f ca="1">VLOOKUP($YC10,$WK$4:XC$33,YV$3+3,0)</f>
        <v>1</v>
      </c>
      <c r="YW10" s="163">
        <f ca="1">VLOOKUP($YC10,$WK$4:XD$33,YW$3+3,0)</f>
        <v>1</v>
      </c>
      <c r="YX10" s="163">
        <f ca="1">VLOOKUP($YC10,$WK$4:XE$33,YX$3+3,0)</f>
        <v>1</v>
      </c>
      <c r="YY10" s="163">
        <f ca="1">VLOOKUP($YC10,$WK$4:XF$33,YY$3+3,0)</f>
        <v>1</v>
      </c>
      <c r="YZ10" s="163">
        <f ca="1">VLOOKUP($YC10,$WK$4:XG$33,YZ$3+3,0)</f>
        <v>1</v>
      </c>
      <c r="ZA10" s="163">
        <f ca="1">VLOOKUP($YC10,$WK$4:XH$33,ZA$3+3,0)</f>
        <v>1</v>
      </c>
      <c r="ZB10" s="163" t="e">
        <f>VLOOKUP($YC10,$WK$4:XI$33,ZB$3+3,0)</f>
        <v>#N/A</v>
      </c>
      <c r="ZC10" s="163" t="e">
        <f>VLOOKUP($YC10,$WK$4:XJ$33,ZC$3+3,0)</f>
        <v>#N/A</v>
      </c>
      <c r="ZD10" s="163" t="e">
        <f>VLOOKUP($YC10,$WK$4:XK$33,ZD$3+3,0)</f>
        <v>#N/A</v>
      </c>
      <c r="ZE10" s="163" t="e">
        <f>VLOOKUP($YC10,$WK$4:XL$33,ZE$3+3,0)</f>
        <v>#N/A</v>
      </c>
      <c r="ZF10" s="163" t="e">
        <f>VLOOKUP($YC10,$WK$4:XM$33,ZF$3+3,0)</f>
        <v>#N/A</v>
      </c>
      <c r="ZG10" s="163" t="e">
        <f>VLOOKUP($YC10,$WK$4:XN$33,ZG$3+3,0)</f>
        <v>#N/A</v>
      </c>
      <c r="ZH10" s="163" t="e">
        <f>VLOOKUP($YC10,$WK$4:XO$33,ZH$3+3,0)</f>
        <v>#N/A</v>
      </c>
      <c r="ZI10" s="163" t="e">
        <f>VLOOKUP($YC10,$WK$4:XP$33,ZI$3+3,0)</f>
        <v>#N/A</v>
      </c>
      <c r="ZJ10" s="163" t="e">
        <f>VLOOKUP($YC10,$WK$4:XQ$33,ZJ$3+3,0)</f>
        <v>#N/A</v>
      </c>
      <c r="ZK10" s="163" t="e">
        <f>VLOOKUP($YC10,$WK$4:XR$33,ZK$3+3,0)</f>
        <v>#N/A</v>
      </c>
      <c r="ZL10" s="163" t="e">
        <f>VLOOKUP($YC10,$WK$4:XS$33,ZL$3+3,0)</f>
        <v>#N/A</v>
      </c>
      <c r="ZM10" s="163" t="e">
        <f>VLOOKUP($YC10,$WK$4:XT$33,ZM$3+3,0)</f>
        <v>#N/A</v>
      </c>
      <c r="ZN10" s="163" t="e">
        <f>VLOOKUP($YC10,$WK$4:XU$33,ZN$3+3,0)</f>
        <v>#N/A</v>
      </c>
      <c r="ZO10" s="163" t="e">
        <f>VLOOKUP($YC10,$WK$4:XV$33,ZO$3+3,0)</f>
        <v>#N/A</v>
      </c>
      <c r="ZP10" s="163" t="e">
        <f>VLOOKUP($YC10,$WK$4:XW$33,ZP$3+3,0)</f>
        <v>#N/A</v>
      </c>
      <c r="ZQ10" s="163" t="e">
        <f>VLOOKUP($YC10,$WK$4:XX$33,ZQ$3+3,0)</f>
        <v>#N/A</v>
      </c>
      <c r="ZR10" s="163" t="e">
        <f>VLOOKUP($YC10,$WK$4:XY$33,ZR$3+3,0)</f>
        <v>#N/A</v>
      </c>
      <c r="ZS10" s="280"/>
      <c r="ZT10" s="280"/>
      <c r="ZU10" s="280"/>
      <c r="ZV10" s="280"/>
      <c r="ZW10" s="280"/>
      <c r="ZX10" s="280"/>
      <c r="ZY10" s="280"/>
      <c r="ZZ10" s="280"/>
      <c r="AAA10" s="280"/>
      <c r="AAB10" s="280"/>
      <c r="AAC10" s="280"/>
      <c r="AAD10" s="160"/>
      <c r="AAE10" s="160"/>
      <c r="AAF10" s="160"/>
      <c r="AAG10" s="160"/>
      <c r="AAH10" s="241"/>
      <c r="AAI10" s="241"/>
      <c r="AAJ10" s="241"/>
      <c r="AAK10" s="241"/>
      <c r="AAL10" s="241"/>
      <c r="AAM10" s="241"/>
      <c r="AAN10" s="241"/>
      <c r="AAO10" s="241"/>
      <c r="AAP10" s="241"/>
      <c r="AAQ10" s="241"/>
      <c r="AAR10" s="241"/>
      <c r="AAS10" s="241"/>
      <c r="AAT10" s="241"/>
      <c r="AAU10" s="241"/>
    </row>
    <row r="11" spans="4:723">
      <c r="D11" s="29">
        <v>8</v>
      </c>
      <c r="E11" s="31" t="s">
        <v>189</v>
      </c>
      <c r="F11" s="25">
        <f>SUMIF('ef-FT'!$C$2001:$C$3800,E11,'ef-FT'!$E$2001:$E$3800)</f>
        <v>20</v>
      </c>
      <c r="G11" s="25">
        <f>SUMIF('ef-FT'!$C$2001:$C$3800,E11,'ef-FT'!$F$2001:$F$3800)</f>
        <v>3</v>
      </c>
      <c r="H11" s="25">
        <f>SUMIF('ef-FT'!$C$2001:$C$3800,E11,'ef-FT'!$G$2001:$G$3800)</f>
        <v>3</v>
      </c>
      <c r="I11" s="25">
        <f>SUMIF('ef-FT'!$C$2001:$C$3800,E11,'ef-FT'!$H$2001:$H$3800)</f>
        <v>14</v>
      </c>
      <c r="J11" s="25">
        <f>SUMIF('ef-FT'!$C$2001:$C$3800,E11,'ef-FT'!$D$2001:$D$3800)</f>
        <v>12</v>
      </c>
      <c r="K11" s="25">
        <f>SUMIF('ef-FT'!$C$2001:$C$3800,E11,'ef-FT'!$I$2001:$I$3800)</f>
        <v>13</v>
      </c>
      <c r="L11" s="25">
        <f>SUMIF('ef-FT'!$C$2001:$C$3800,E11,'ef-FT'!$J$2001:$J$3800)</f>
        <v>35</v>
      </c>
      <c r="M11" s="25" t="str">
        <f>CONCATENATE(K11, " - ",L11)</f>
        <v>13 - 35</v>
      </c>
      <c r="N11" s="25">
        <f>K11-L11</f>
        <v>-22</v>
      </c>
      <c r="O11" s="25">
        <f>SUMIF('ef-FT'!$C$2001:$C$3800,$E11,'ef-FT'!$K$2001:$K$3800)</f>
        <v>13</v>
      </c>
      <c r="P11" s="25">
        <f>SUMIF('ef-FT'!$C$2001:$C$3800,$E11,'ef-FT'!$L$2001:$L$3800)</f>
        <v>2</v>
      </c>
      <c r="Q11" s="55"/>
      <c r="R11" s="25">
        <f>SUMIF('ef-FT'!$C$2001:$C$2999,$E11,'ef-FT'!$E$2001:$E$2999)</f>
        <v>10</v>
      </c>
      <c r="S11" s="25">
        <f>SUMIF('ef-FT'!$C$2001:$C$2999,$E11,'ef-FT'!$F$2001:$F$2999)</f>
        <v>2</v>
      </c>
      <c r="T11" s="25">
        <f>SUMIF('ef-FT'!$C$2001:$C$2999,$E11,'ef-FT'!$G$2001:$G$2999)</f>
        <v>1</v>
      </c>
      <c r="U11" s="25">
        <f>SUMIF('ef-FT'!$C$2001:$C$2999,$E11,'ef-FT'!$H$2001:$H$2999)</f>
        <v>7</v>
      </c>
      <c r="V11" s="25">
        <f>SUMIF('ef-FT'!$C$2001:$C$2999,$E11,'ef-FT'!$D$2001:$D$2999)</f>
        <v>7</v>
      </c>
      <c r="W11" s="25">
        <f>SUMIF('ef-FT'!$C$2001:$C$2999,$E11,'ef-FT'!$I$2001:$I$2999)</f>
        <v>7</v>
      </c>
      <c r="X11" s="25">
        <f>SUMIF('ef-FT'!$C$2001:$C$2999,$E11,'ef-FT'!$J$2001:$J$2999)</f>
        <v>16</v>
      </c>
      <c r="Y11" s="25" t="str">
        <f t="shared" si="105"/>
        <v>7 - 16</v>
      </c>
      <c r="Z11" s="25">
        <f t="shared" si="106"/>
        <v>-9</v>
      </c>
      <c r="AA11" s="25">
        <f>SUMIF('ef-FT'!$C$2001:$C$2999,$E11,'ef-FT'!$K$2001:$K$2999)</f>
        <v>6</v>
      </c>
      <c r="AB11" s="25">
        <f>SUMIF('ef-FT'!$C$2001:$C$2999,$E11,'ef-FT'!$L$2001:$L$2999)</f>
        <v>1</v>
      </c>
      <c r="AC11" s="55"/>
      <c r="AD11" s="25">
        <f>SUMIF('ef-FT'!$C$3000:$C$3800,$E11,'ef-FT'!$E$3000:$E$3800)</f>
        <v>10</v>
      </c>
      <c r="AE11" s="25">
        <f>SUMIF('ef-FT'!$C$3000:$C$3800,$E11,'ef-FT'!$F$3000:$F$3800)</f>
        <v>1</v>
      </c>
      <c r="AF11" s="25">
        <f>SUMIF('ef-FT'!$C$3000:$C$3800,$E11,'ef-FT'!$G$3000:$G$3800)</f>
        <v>2</v>
      </c>
      <c r="AG11" s="25">
        <f>SUMIF('ef-FT'!$C$3000:$C$3800,$E11,'ef-FT'!$H$3000:$H$3800)</f>
        <v>7</v>
      </c>
      <c r="AH11" s="25">
        <f>SUMIF('ef-FT'!$C$3000:$C$3800,$E11,'ef-FT'!$D$3000:$D$3800)</f>
        <v>5</v>
      </c>
      <c r="AI11" s="25">
        <f>SUMIF('ef-FT'!$C$3000:$C$3800,$E11,'ef-FT'!$I$3000:$I$3800)</f>
        <v>6</v>
      </c>
      <c r="AJ11" s="25">
        <f>SUMIF('ef-FT'!$C$3000:$C$3800,$E11,'ef-FT'!$J$3000:$J$3800)</f>
        <v>19</v>
      </c>
      <c r="AK11" s="25" t="str">
        <f t="shared" si="107"/>
        <v>6 - 19</v>
      </c>
      <c r="AL11" s="25">
        <f t="shared" si="108"/>
        <v>-13</v>
      </c>
      <c r="AM11" s="25">
        <f>SUMIF('ef-FT'!$C$3000:$C$3800,$E11,'ef-FT'!$K$3000:$K$3800)</f>
        <v>7</v>
      </c>
      <c r="AN11" s="25">
        <f>SUMIF('ef-FT'!$C$3000:$C$3800,$E11,'ef-FT'!$L$3000:$L$3800)</f>
        <v>1</v>
      </c>
      <c r="AO11" s="26"/>
      <c r="AP11" s="27">
        <v>0.23</v>
      </c>
      <c r="AQ11" s="28">
        <f t="shared" si="1"/>
        <v>1001199780013.23</v>
      </c>
      <c r="AR11" s="29">
        <v>8</v>
      </c>
      <c r="AS11" s="28">
        <f t="shared" si="109"/>
        <v>1001199780013.23</v>
      </c>
      <c r="AT11" s="29">
        <f t="shared" si="110"/>
        <v>8</v>
      </c>
      <c r="AU11" s="30" t="str">
        <f t="shared" si="111"/>
        <v>DC United</v>
      </c>
      <c r="AV11" s="29">
        <f t="shared" si="112"/>
        <v>20</v>
      </c>
      <c r="AW11" s="29">
        <f t="shared" si="113"/>
        <v>3</v>
      </c>
      <c r="AX11" s="29">
        <f t="shared" si="114"/>
        <v>3</v>
      </c>
      <c r="AY11" s="29">
        <f t="shared" si="115"/>
        <v>14</v>
      </c>
      <c r="AZ11" s="29">
        <f t="shared" si="116"/>
        <v>12</v>
      </c>
      <c r="BA11" s="29" t="str">
        <f t="shared" si="117"/>
        <v>13 - 35</v>
      </c>
      <c r="BB11" s="29">
        <f t="shared" si="118"/>
        <v>-22</v>
      </c>
      <c r="BC11" s="90">
        <f>VLOOKUP($AT11,$D$4:R$33,15,0)</f>
        <v>10</v>
      </c>
      <c r="BD11" s="90">
        <f>VLOOKUP($AT11,$D$4:S$33,16,0)</f>
        <v>2</v>
      </c>
      <c r="BE11" s="90">
        <f>VLOOKUP($AT11,$D$4:T$33,17,0)</f>
        <v>1</v>
      </c>
      <c r="BF11" s="90">
        <f>VLOOKUP($AT11,$D$4:U$33,18,0)</f>
        <v>7</v>
      </c>
      <c r="BG11" s="90">
        <f>VLOOKUP($AT11,$D$4:V$33,19,0)</f>
        <v>7</v>
      </c>
      <c r="BH11" s="90" t="str">
        <f>VLOOKUP($AT11,$D$4:Y$33,22,0)</f>
        <v>7 - 16</v>
      </c>
      <c r="BI11" s="90">
        <f>VLOOKUP($AT11,$D$4:Z$33,23,0)</f>
        <v>-9</v>
      </c>
      <c r="BJ11" s="90">
        <f>VLOOKUP($AT11,$D$4:AD$33,27,0)</f>
        <v>10</v>
      </c>
      <c r="BK11" s="90">
        <f>VLOOKUP($AT11,$D$4:AE$33,28,0)</f>
        <v>1</v>
      </c>
      <c r="BL11" s="90">
        <f>VLOOKUP($AT11,$D$4:AF$33,29,0)</f>
        <v>2</v>
      </c>
      <c r="BM11" s="90">
        <f>VLOOKUP($AT11,$D$4:AG$33,30,0)</f>
        <v>7</v>
      </c>
      <c r="BN11" s="90">
        <f>VLOOKUP($AT11,$D$4:AH$33,31,0)</f>
        <v>5</v>
      </c>
      <c r="BO11" s="90" t="str">
        <f>VLOOKUP($AT11,$D$4:AK$35,34,0)</f>
        <v>6 - 19</v>
      </c>
      <c r="BP11" s="90">
        <f>VLOOKUP($AT11,$D$4:AL$35,35,0)</f>
        <v>-13</v>
      </c>
      <c r="BS11" s="10" t="s">
        <v>35</v>
      </c>
      <c r="BT11" s="123">
        <v>0.20833333333333301</v>
      </c>
      <c r="BU11" s="123">
        <f t="shared" si="2"/>
        <v>4.1666666666666352E-2</v>
      </c>
      <c r="BV11" s="10" t="s">
        <v>63</v>
      </c>
      <c r="CA11" s="130">
        <f t="shared" si="119"/>
        <v>12.23</v>
      </c>
      <c r="CB11" s="130">
        <f t="shared" si="120"/>
        <v>11.77</v>
      </c>
      <c r="CC11" s="130">
        <f t="shared" si="121"/>
        <v>3.23</v>
      </c>
      <c r="CD11" s="130">
        <f t="shared" si="122"/>
        <v>2.77</v>
      </c>
      <c r="CE11" s="130">
        <f t="shared" si="123"/>
        <v>14.23</v>
      </c>
      <c r="CF11" s="130">
        <f t="shared" si="124"/>
        <v>13.77</v>
      </c>
      <c r="CG11" s="130">
        <f t="shared" si="125"/>
        <v>13.23</v>
      </c>
      <c r="CH11" s="130">
        <f t="shared" si="126"/>
        <v>12.77</v>
      </c>
      <c r="CI11" s="130">
        <f t="shared" si="127"/>
        <v>35.229999999999997</v>
      </c>
      <c r="CJ11" s="130">
        <f t="shared" si="128"/>
        <v>34.770000000000003</v>
      </c>
      <c r="CK11" s="130">
        <f t="shared" si="129"/>
        <v>-21.77</v>
      </c>
      <c r="CL11" s="130">
        <f t="shared" si="130"/>
        <v>-22.23</v>
      </c>
      <c r="CM11" s="130">
        <f t="shared" si="131"/>
        <v>13.23</v>
      </c>
      <c r="CN11" s="130">
        <f t="shared" si="132"/>
        <v>12.77</v>
      </c>
      <c r="CO11" s="130">
        <f t="shared" si="133"/>
        <v>2.23</v>
      </c>
      <c r="CP11" s="130">
        <f t="shared" si="134"/>
        <v>1.77</v>
      </c>
      <c r="CQ11" s="131"/>
      <c r="CR11" s="130">
        <f t="shared" si="360"/>
        <v>7.23</v>
      </c>
      <c r="CS11" s="130">
        <f t="shared" si="135"/>
        <v>6.77</v>
      </c>
      <c r="CT11" s="130">
        <f t="shared" si="361"/>
        <v>2.23</v>
      </c>
      <c r="CU11" s="130">
        <f t="shared" si="362"/>
        <v>1.77</v>
      </c>
      <c r="CV11" s="130">
        <f t="shared" si="363"/>
        <v>7.23</v>
      </c>
      <c r="CW11" s="130">
        <f t="shared" si="364"/>
        <v>6.77</v>
      </c>
      <c r="CX11" s="130">
        <f t="shared" si="365"/>
        <v>7.23</v>
      </c>
      <c r="CY11" s="130">
        <f t="shared" si="366"/>
        <v>6.77</v>
      </c>
      <c r="CZ11" s="130">
        <f t="shared" si="367"/>
        <v>16.23</v>
      </c>
      <c r="DA11" s="130">
        <f t="shared" si="368"/>
        <v>15.77</v>
      </c>
      <c r="DB11" s="130">
        <f t="shared" si="369"/>
        <v>-8.77</v>
      </c>
      <c r="DC11" s="130">
        <f t="shared" si="370"/>
        <v>-9.23</v>
      </c>
      <c r="DD11" s="130">
        <f t="shared" si="371"/>
        <v>6.23</v>
      </c>
      <c r="DE11" s="130">
        <f t="shared" si="372"/>
        <v>5.77</v>
      </c>
      <c r="DF11" s="130">
        <f t="shared" si="373"/>
        <v>1.23</v>
      </c>
      <c r="DG11" s="130">
        <f t="shared" si="374"/>
        <v>0.77</v>
      </c>
      <c r="DH11" s="131"/>
      <c r="DI11" s="130">
        <f t="shared" si="16"/>
        <v>5.23</v>
      </c>
      <c r="DJ11" s="130">
        <f t="shared" si="136"/>
        <v>-0.23</v>
      </c>
      <c r="DK11" s="130">
        <f t="shared" si="17"/>
        <v>1.23</v>
      </c>
      <c r="DL11" s="130">
        <f t="shared" si="18"/>
        <v>0.77</v>
      </c>
      <c r="DM11" s="130">
        <f t="shared" si="19"/>
        <v>7.23</v>
      </c>
      <c r="DN11" s="130">
        <f t="shared" si="20"/>
        <v>6.77</v>
      </c>
      <c r="DO11" s="130">
        <f t="shared" si="21"/>
        <v>6.23</v>
      </c>
      <c r="DP11" s="130">
        <f t="shared" si="22"/>
        <v>5.77</v>
      </c>
      <c r="DQ11" s="130">
        <f t="shared" si="23"/>
        <v>19.23</v>
      </c>
      <c r="DR11" s="130">
        <f t="shared" si="24"/>
        <v>18.77</v>
      </c>
      <c r="DS11" s="130">
        <f t="shared" si="25"/>
        <v>-12.77</v>
      </c>
      <c r="DT11" s="130">
        <f t="shared" si="26"/>
        <v>-13.23</v>
      </c>
      <c r="DU11" s="130">
        <f t="shared" si="27"/>
        <v>7.23</v>
      </c>
      <c r="DV11" s="130">
        <f t="shared" si="28"/>
        <v>6.77</v>
      </c>
      <c r="DW11" s="130">
        <f t="shared" si="29"/>
        <v>1.23</v>
      </c>
      <c r="DX11" s="130">
        <f t="shared" si="30"/>
        <v>0.77</v>
      </c>
      <c r="DY11" s="132"/>
      <c r="DZ11" s="115">
        <v>8</v>
      </c>
      <c r="EA11" s="115">
        <v>23</v>
      </c>
      <c r="EB11" s="10">
        <f t="shared" si="137"/>
        <v>3</v>
      </c>
      <c r="EC11" s="10">
        <f t="shared" si="138"/>
        <v>3</v>
      </c>
      <c r="ED11" s="10">
        <f t="shared" si="139"/>
        <v>13</v>
      </c>
      <c r="EE11" s="10">
        <f t="shared" si="140"/>
        <v>3</v>
      </c>
      <c r="EF11" s="10">
        <f t="shared" si="141"/>
        <v>2</v>
      </c>
      <c r="EG11" s="10">
        <f t="shared" si="142"/>
        <v>2</v>
      </c>
      <c r="EH11" s="10">
        <f t="shared" si="143"/>
        <v>16</v>
      </c>
      <c r="EI11" s="10">
        <f t="shared" si="144"/>
        <v>14</v>
      </c>
      <c r="EJ11" s="10">
        <f t="shared" si="145"/>
        <v>6</v>
      </c>
      <c r="EK11" s="10">
        <f t="shared" si="146"/>
        <v>5</v>
      </c>
      <c r="EL11" s="10">
        <f t="shared" si="147"/>
        <v>5</v>
      </c>
      <c r="EM11" s="10">
        <f t="shared" si="148"/>
        <v>2</v>
      </c>
      <c r="EN11" s="10">
        <f t="shared" si="149"/>
        <v>12</v>
      </c>
      <c r="EO11" s="10">
        <f t="shared" si="150"/>
        <v>3</v>
      </c>
      <c r="EP11" s="10">
        <f t="shared" si="151"/>
        <v>3</v>
      </c>
      <c r="EQ11" s="10">
        <f t="shared" si="152"/>
        <v>15</v>
      </c>
      <c r="ES11" s="10">
        <f t="shared" si="153"/>
        <v>12</v>
      </c>
      <c r="ET11" s="10">
        <f t="shared" si="154"/>
        <v>13</v>
      </c>
      <c r="EU11" s="10">
        <f t="shared" si="155"/>
        <v>12</v>
      </c>
      <c r="EV11" s="10">
        <f t="shared" si="154"/>
        <v>15</v>
      </c>
      <c r="EW11" s="10">
        <f t="shared" si="156"/>
        <v>15</v>
      </c>
      <c r="EX11" s="10">
        <f t="shared" si="157"/>
        <v>7</v>
      </c>
      <c r="EY11" s="10">
        <f t="shared" si="158"/>
        <v>12</v>
      </c>
      <c r="EZ11" s="10">
        <f t="shared" si="159"/>
        <v>4</v>
      </c>
      <c r="FA11" s="10">
        <f t="shared" si="160"/>
        <v>6</v>
      </c>
      <c r="FB11" s="10">
        <f t="shared" si="161"/>
        <v>6</v>
      </c>
      <c r="FC11" s="10">
        <f t="shared" si="162"/>
        <v>2</v>
      </c>
      <c r="FD11" s="10">
        <f t="shared" si="163"/>
        <v>12</v>
      </c>
      <c r="FE11" s="10">
        <f t="shared" si="164"/>
        <v>1</v>
      </c>
      <c r="FF11" s="10">
        <f t="shared" si="165"/>
        <v>5</v>
      </c>
      <c r="FG11" s="10">
        <f t="shared" si="166"/>
        <v>12</v>
      </c>
      <c r="FH11" s="10">
        <f t="shared" si="167"/>
        <v>4</v>
      </c>
      <c r="FJ11" s="10">
        <f t="shared" si="168"/>
        <v>14</v>
      </c>
      <c r="FK11" s="10">
        <f t="shared" si="169"/>
        <v>8</v>
      </c>
      <c r="FL11" s="10">
        <f t="shared" si="170"/>
        <v>13</v>
      </c>
      <c r="FM11" s="10">
        <f t="shared" si="171"/>
        <v>1</v>
      </c>
      <c r="FN11" s="10">
        <f t="shared" si="172"/>
        <v>2</v>
      </c>
      <c r="FO11" s="10">
        <f t="shared" si="173"/>
        <v>12</v>
      </c>
      <c r="FP11" s="10">
        <f t="shared" si="174"/>
        <v>13</v>
      </c>
      <c r="FQ11" s="10">
        <f t="shared" si="175"/>
        <v>14</v>
      </c>
      <c r="FR11" s="10">
        <f t="shared" si="176"/>
        <v>1</v>
      </c>
      <c r="FS11" s="10">
        <f t="shared" si="177"/>
        <v>6</v>
      </c>
      <c r="FT11" s="10">
        <f t="shared" si="178"/>
        <v>2</v>
      </c>
      <c r="FU11" s="10">
        <f t="shared" si="179"/>
        <v>2</v>
      </c>
      <c r="FV11" s="10">
        <f t="shared" si="180"/>
        <v>15</v>
      </c>
      <c r="FW11" s="10">
        <f t="shared" si="181"/>
        <v>2</v>
      </c>
      <c r="FX11" s="10">
        <f t="shared" si="182"/>
        <v>6</v>
      </c>
      <c r="FY11" s="10">
        <f t="shared" si="183"/>
        <v>5</v>
      </c>
      <c r="GA11" s="10">
        <f>IF(lg!$C$18=1,EB11,IF(lg!$C$18=2,ES11,FJ11))</f>
        <v>3</v>
      </c>
      <c r="GB11" s="10">
        <f>IF(lg!$C$18=1,EC11,IF(lg!$C$18=2,ET11,FK11))</f>
        <v>3</v>
      </c>
      <c r="GC11" s="10">
        <f>IF(lg!$C$18=1,ED11,IF(lg!$C$18=2,EU11,FL11))</f>
        <v>13</v>
      </c>
      <c r="GD11" s="10">
        <f>IF(lg!$C$18=1,EE11,IF(lg!$C$18=2,EV11,FM11))</f>
        <v>3</v>
      </c>
      <c r="GE11" s="10">
        <f>IF(lg!$C$18=1,EF11,IF(lg!$C$18=2,EW11,FN11))</f>
        <v>2</v>
      </c>
      <c r="GF11" s="10">
        <f>IF(lg!$C$18=1,EG11,IF(lg!$C$18=2,EX11,FO11))</f>
        <v>2</v>
      </c>
      <c r="GG11" s="10">
        <f>IF(lg!$C$18=1,EH11,IF(lg!$C$18=2,EY11,FP11))</f>
        <v>16</v>
      </c>
      <c r="GH11" s="10">
        <f>IF(lg!$C$18=1,EI11,IF(lg!$C$18=2,EZ11,FQ11))</f>
        <v>14</v>
      </c>
      <c r="GI11" s="10">
        <f>IF(lg!$C$18=1,EJ11,IF(lg!$C$18=2,FA11,FR11))</f>
        <v>6</v>
      </c>
      <c r="GJ11" s="10">
        <f>IF(lg!$C$18=1,EK11,IF(lg!$C$18=2,FB11,FS11))</f>
        <v>5</v>
      </c>
      <c r="GK11" s="10">
        <f>IF(lg!$C$18=1,EL11,IF(lg!$C$18=2,FC11,FT11))</f>
        <v>5</v>
      </c>
      <c r="GL11" s="10">
        <f>IF(lg!$C$18=1,EM11,IF(lg!$C$18=2,FD11,FU11))</f>
        <v>2</v>
      </c>
      <c r="GM11" s="10">
        <f>IF(lg!$C$18=1,EN11,IF(lg!$C$18=2,FE11,FV11))</f>
        <v>12</v>
      </c>
      <c r="GN11" s="10">
        <f>IF(lg!$C$18=1,EO11,IF(lg!$C$18=2,FF11,FW11))</f>
        <v>3</v>
      </c>
      <c r="GO11" s="10">
        <f>IF(lg!$C$18=1,EP11,IF(lg!$C$18=2,FG11,FX11))</f>
        <v>3</v>
      </c>
      <c r="GP11" s="10">
        <f>IF(lg!$C$18=1,EQ11,IF(lg!$C$18=2,FH11,FY11))</f>
        <v>15</v>
      </c>
      <c r="GR11" s="10" t="str">
        <f t="shared" si="184"/>
        <v>Toronto FC</v>
      </c>
      <c r="GS11" s="10" t="str">
        <f t="shared" si="31"/>
        <v>Toronto FC</v>
      </c>
      <c r="GT11" s="10" t="str">
        <f t="shared" si="32"/>
        <v>Colorado</v>
      </c>
      <c r="GU11" s="10" t="str">
        <f t="shared" si="33"/>
        <v>Toronto FC</v>
      </c>
      <c r="GV11" s="10" t="str">
        <f t="shared" si="34"/>
        <v>New York Red Bulls</v>
      </c>
      <c r="GW11" s="10" t="str">
        <f t="shared" si="35"/>
        <v>New York Red Bulls</v>
      </c>
      <c r="GX11" s="10" t="str">
        <f t="shared" si="36"/>
        <v>Chivas USA</v>
      </c>
      <c r="GY11" s="10" t="str">
        <f t="shared" si="37"/>
        <v>San Jose</v>
      </c>
      <c r="GZ11" s="10" t="str">
        <f t="shared" si="38"/>
        <v>Kansas City</v>
      </c>
      <c r="HA11" s="10" t="str">
        <f t="shared" si="39"/>
        <v>Chicago</v>
      </c>
      <c r="HB11" s="10" t="str">
        <f t="shared" si="40"/>
        <v>Chicago</v>
      </c>
      <c r="HC11" s="10" t="str">
        <f t="shared" si="41"/>
        <v>New York Red Bulls</v>
      </c>
      <c r="HD11" s="10" t="str">
        <f t="shared" si="42"/>
        <v>Seattle Sounders FC</v>
      </c>
      <c r="HE11" s="10" t="str">
        <f t="shared" si="43"/>
        <v>Toronto FC</v>
      </c>
      <c r="HF11" s="10" t="str">
        <f t="shared" si="44"/>
        <v>Toronto FC</v>
      </c>
      <c r="HG11" s="10" t="str">
        <f t="shared" si="45"/>
        <v>Houston</v>
      </c>
      <c r="HI11" s="10">
        <v>8</v>
      </c>
      <c r="HJ11" s="115">
        <f>IF(lg!$C$18=1,F11,IF(lg!$C$18=2,R11,AD11))</f>
        <v>20</v>
      </c>
      <c r="HK11" s="115">
        <f>IF(lg!$C$18=1,G11,IF(lg!$C$18=2,S11,AE11))</f>
        <v>3</v>
      </c>
      <c r="HL11" s="115">
        <f>IF(lg!$C$18=1,H11,IF(lg!$C$18=2,T11,AF11))</f>
        <v>3</v>
      </c>
      <c r="HM11" s="115">
        <f>IF(lg!$C$18=1,I11,IF(lg!$C$18=2,U11,AG11))</f>
        <v>14</v>
      </c>
      <c r="HN11" s="115">
        <f>IF(lg!$C$18=1,J11,IF(lg!$C$18=2,V11,AH11))</f>
        <v>12</v>
      </c>
      <c r="HO11" s="115">
        <f>IF(lg!$C$18=1,K11,IF(lg!$C$18=2,W11,AI11))</f>
        <v>13</v>
      </c>
      <c r="HP11" s="115">
        <f>IF(lg!$C$18=1,L11,IF(lg!$C$18=2,X11,AJ11))</f>
        <v>35</v>
      </c>
      <c r="HQ11" s="115" t="str">
        <f>IF(lg!$C$18=1,M11,IF(lg!$C$18=2,Y11,AK11))</f>
        <v>13 - 35</v>
      </c>
      <c r="HR11" s="115">
        <f>IF(lg!$C$18=1,N11,IF(lg!$C$18=2,Z11,AL11))</f>
        <v>-22</v>
      </c>
      <c r="HS11" s="115">
        <f>IF(lg!$C$18=1,O11,IF(lg!$C$18=2,AA11,AM11))</f>
        <v>13</v>
      </c>
      <c r="HT11" s="115">
        <f>IF(lg!$C$18=1,P11,IF(lg!$C$18=2,AB11,AN11))</f>
        <v>2</v>
      </c>
      <c r="HV11" s="115">
        <f t="shared" si="185"/>
        <v>26</v>
      </c>
      <c r="HW11" s="115">
        <f t="shared" si="186"/>
        <v>26</v>
      </c>
      <c r="HX11" s="115">
        <f t="shared" si="187"/>
        <v>7</v>
      </c>
      <c r="HY11" s="115">
        <f t="shared" si="188"/>
        <v>7</v>
      </c>
      <c r="HZ11" s="115">
        <f t="shared" si="189"/>
        <v>7</v>
      </c>
      <c r="IA11" s="115">
        <f t="shared" si="190"/>
        <v>7</v>
      </c>
      <c r="IB11" s="115">
        <f t="shared" si="191"/>
        <v>22</v>
      </c>
      <c r="IC11" s="115">
        <f t="shared" si="192"/>
        <v>21</v>
      </c>
      <c r="ID11" s="115">
        <f t="shared" si="193"/>
        <v>22</v>
      </c>
      <c r="IE11" s="115">
        <f t="shared" si="194"/>
        <v>21</v>
      </c>
      <c r="IF11" s="115">
        <f t="shared" si="195"/>
        <v>0</v>
      </c>
      <c r="IG11" s="115">
        <f t="shared" si="196"/>
        <v>-1</v>
      </c>
      <c r="IH11" s="115">
        <f t="shared" si="197"/>
        <v>6</v>
      </c>
      <c r="II11" s="115">
        <f t="shared" si="198"/>
        <v>6</v>
      </c>
      <c r="IJ11" s="115">
        <f t="shared" si="199"/>
        <v>6</v>
      </c>
      <c r="IK11" s="115">
        <f t="shared" si="200"/>
        <v>5</v>
      </c>
      <c r="IN11" s="77" t="s">
        <v>77</v>
      </c>
      <c r="IO11" s="104" t="s">
        <v>126</v>
      </c>
      <c r="IP11" s="133">
        <f>VLOOKUP('ef-TeamStats'!B2,'ef-FT'!$E$4:$AN$23,12,0)</f>
        <v>11</v>
      </c>
      <c r="IQ11" s="133">
        <f>VLOOKUP('ef-TeamStats'!$B$2,Table!$B$4:$W$23,2,0)</f>
        <v>20</v>
      </c>
      <c r="IR11" s="134">
        <f t="shared" si="47"/>
        <v>0.55000000000000004</v>
      </c>
      <c r="IS11" s="133">
        <f>MATCH('ef-TeamStats'!$B$2,$KG$4:$KG$33,0)</f>
        <v>1</v>
      </c>
      <c r="IT11" s="104"/>
      <c r="IU11" s="104" t="s">
        <v>126</v>
      </c>
      <c r="IV11" s="67">
        <f>VLOOKUP('ef-TeamStats'!G2,'ef-FT'!$E$4:$AN$23,12,0)</f>
        <v>5</v>
      </c>
      <c r="IW11" s="133">
        <f>VLOOKUP('ef-TeamStats'!$G$2,Table!$B$4:$W$23,2,0)</f>
        <v>19</v>
      </c>
      <c r="IX11" s="134">
        <f t="shared" si="48"/>
        <v>0.26315789473684209</v>
      </c>
      <c r="IY11" s="133">
        <f>MATCH('ef-TeamStats'!$G$2,$KG$4:$KG$33,0)</f>
        <v>10</v>
      </c>
      <c r="JB11" s="10">
        <f>IF(lg!$F$18=1,EB11,IF(lg!$F$18=2,ES11,FJ11))</f>
        <v>3</v>
      </c>
      <c r="JC11" s="10">
        <f>IF(lg!$F$18=1,EC11,IF(lg!$F$18=2,ET11,FK11))</f>
        <v>3</v>
      </c>
      <c r="JD11" s="10">
        <f>IF(lg!$F$18=1,ED11,IF(lg!$F$18=2,EU11,FL11))</f>
        <v>13</v>
      </c>
      <c r="JE11" s="10">
        <f>IF(lg!$F$18=1,EE11,IF(lg!$F$18=2,EV11,FM11))</f>
        <v>3</v>
      </c>
      <c r="JF11" s="10">
        <f>IF(lg!$F$18=1,EF11,IF(lg!$F$18=2,EW11,FN11))</f>
        <v>2</v>
      </c>
      <c r="JG11" s="10">
        <f>IF(lg!$F$18=1,EG11,IF(lg!$F$18=2,EX11,FO11))</f>
        <v>2</v>
      </c>
      <c r="JH11" s="10">
        <f>IF(lg!$F$18=1,EH11,IF(lg!$F$18=2,EY11,FP11))</f>
        <v>16</v>
      </c>
      <c r="JI11" s="10">
        <f>IF(lg!$F$18=1,EI11,IF(lg!$F$18=2,EZ11,FQ11))</f>
        <v>14</v>
      </c>
      <c r="JJ11" s="10">
        <f>IF(lg!$F$18=1,EJ11,IF(lg!$F$18=2,FA11,FR11))</f>
        <v>6</v>
      </c>
      <c r="JK11" s="10">
        <f>IF(lg!$F$18=1,EK11,IF(lg!$F$18=2,FB11,FS11))</f>
        <v>5</v>
      </c>
      <c r="JL11" s="10">
        <f>IF(lg!$F$18=1,EL11,IF(lg!$F$18=2,FC11,FT11))</f>
        <v>5</v>
      </c>
      <c r="JM11" s="10">
        <f>IF(lg!$F$18=1,EM11,IF(lg!$F$18=2,FD11,FU11))</f>
        <v>2</v>
      </c>
      <c r="JN11" s="10">
        <f>IF(lg!$F$18=1,EN11,IF(lg!$F$18=2,FE11,FV11))</f>
        <v>12</v>
      </c>
      <c r="JO11" s="10">
        <f>IF(lg!$F$18=1,EO11,IF(lg!$F$18=2,FF11,FW11))</f>
        <v>3</v>
      </c>
      <c r="JP11" s="10">
        <f>IF(lg!$F$18=1,EP11,IF(lg!$F$18=2,FG11,FX11))</f>
        <v>3</v>
      </c>
      <c r="JQ11" s="10">
        <f>IF(lg!$F$18=1,EQ11,IF(lg!$F$18=2,FH11,FY11))</f>
        <v>15</v>
      </c>
      <c r="JS11" s="10" t="str">
        <f t="shared" si="201"/>
        <v>Toronto FC</v>
      </c>
      <c r="JT11" s="10" t="str">
        <f t="shared" si="49"/>
        <v>Toronto FC</v>
      </c>
      <c r="JU11" s="10" t="str">
        <f t="shared" si="50"/>
        <v>Colorado</v>
      </c>
      <c r="JV11" s="10" t="str">
        <f t="shared" si="51"/>
        <v>Toronto FC</v>
      </c>
      <c r="JW11" s="10" t="str">
        <f t="shared" si="52"/>
        <v>New York Red Bulls</v>
      </c>
      <c r="JX11" s="10" t="str">
        <f t="shared" si="53"/>
        <v>New York Red Bulls</v>
      </c>
      <c r="JY11" s="10" t="str">
        <f t="shared" si="54"/>
        <v>Chivas USA</v>
      </c>
      <c r="JZ11" s="10" t="str">
        <f t="shared" si="55"/>
        <v>San Jose</v>
      </c>
      <c r="KA11" s="10" t="str">
        <f t="shared" si="56"/>
        <v>Kansas City</v>
      </c>
      <c r="KB11" s="10" t="str">
        <f t="shared" si="57"/>
        <v>Chicago</v>
      </c>
      <c r="KC11" s="10" t="str">
        <f t="shared" si="58"/>
        <v>Chicago</v>
      </c>
      <c r="KD11" s="10" t="str">
        <f t="shared" si="59"/>
        <v>New York Red Bulls</v>
      </c>
      <c r="KE11" s="10" t="str">
        <f t="shared" si="60"/>
        <v>Seattle Sounders FC</v>
      </c>
      <c r="KF11" s="10" t="str">
        <f t="shared" si="61"/>
        <v>Toronto FC</v>
      </c>
      <c r="KG11" s="10" t="str">
        <f t="shared" si="62"/>
        <v>Toronto FC</v>
      </c>
      <c r="KH11" s="10" t="str">
        <f t="shared" si="63"/>
        <v>Houston</v>
      </c>
      <c r="KL11" s="27">
        <v>0.23</v>
      </c>
      <c r="KM11" s="29">
        <v>8</v>
      </c>
      <c r="KN11" s="31" t="str">
        <f t="shared" si="202"/>
        <v>DC United</v>
      </c>
      <c r="KO11" s="152">
        <f t="shared" si="203"/>
        <v>0</v>
      </c>
      <c r="KP11" s="152">
        <f t="shared" si="204"/>
        <v>0</v>
      </c>
      <c r="KQ11" s="152">
        <f t="shared" si="205"/>
        <v>4</v>
      </c>
      <c r="KR11" s="28">
        <f t="shared" si="206"/>
        <v>999999960000.22998</v>
      </c>
      <c r="KS11" s="29"/>
      <c r="KT11" s="28"/>
      <c r="KU11" s="29">
        <f>RANK(KR11,KR$4:KR$11)</f>
        <v>8</v>
      </c>
      <c r="KV11" s="152">
        <f t="shared" si="207"/>
        <v>0</v>
      </c>
      <c r="KW11" s="152">
        <f t="shared" si="208"/>
        <v>0</v>
      </c>
      <c r="KX11" s="152">
        <f t="shared" si="209"/>
        <v>6</v>
      </c>
      <c r="KY11" s="28">
        <f t="shared" si="210"/>
        <v>999999940000.22998</v>
      </c>
      <c r="KZ11" s="29"/>
      <c r="LA11" s="28"/>
      <c r="LB11" s="29">
        <f>RANK(KY11,KY$4:KY$11)</f>
        <v>8</v>
      </c>
      <c r="LC11" s="152">
        <f t="shared" si="211"/>
        <v>0</v>
      </c>
      <c r="LD11" s="152">
        <f t="shared" si="212"/>
        <v>2</v>
      </c>
      <c r="LE11" s="152">
        <f t="shared" si="213"/>
        <v>9</v>
      </c>
      <c r="LF11" s="28">
        <f t="shared" si="214"/>
        <v>999999930002.22998</v>
      </c>
      <c r="LG11" s="29"/>
      <c r="LH11" s="28"/>
      <c r="LI11" s="29">
        <f>RANK(LF11,LF$4:LF$11)</f>
        <v>8</v>
      </c>
      <c r="LJ11" s="152">
        <f t="shared" si="215"/>
        <v>0</v>
      </c>
      <c r="LK11" s="152">
        <f t="shared" si="216"/>
        <v>2</v>
      </c>
      <c r="LL11" s="152">
        <f t="shared" si="217"/>
        <v>11</v>
      </c>
      <c r="LM11" s="28">
        <f t="shared" si="218"/>
        <v>999999910002.22998</v>
      </c>
      <c r="LN11" s="29"/>
      <c r="LO11" s="28"/>
      <c r="LP11" s="29">
        <f>RANK(LM11,LM$4:LM$11)</f>
        <v>8</v>
      </c>
      <c r="LQ11" s="152">
        <f t="shared" si="219"/>
        <v>0</v>
      </c>
      <c r="LR11" s="152">
        <f t="shared" si="220"/>
        <v>2</v>
      </c>
      <c r="LS11" s="152">
        <f t="shared" si="221"/>
        <v>13</v>
      </c>
      <c r="LT11" s="28">
        <f t="shared" si="222"/>
        <v>999999890002.22998</v>
      </c>
      <c r="LU11" s="29"/>
      <c r="LV11" s="28"/>
      <c r="LW11" s="29">
        <f>RANK(LT11,LT$4:LT$11)</f>
        <v>8</v>
      </c>
      <c r="LX11" s="152">
        <f t="shared" si="223"/>
        <v>3</v>
      </c>
      <c r="LY11" s="152">
        <f t="shared" si="224"/>
        <v>4</v>
      </c>
      <c r="LZ11" s="152">
        <f t="shared" si="225"/>
        <v>14</v>
      </c>
      <c r="MA11" s="28">
        <f t="shared" si="226"/>
        <v>1000299900004.23</v>
      </c>
      <c r="MB11" s="29"/>
      <c r="MC11" s="28"/>
      <c r="MD11" s="29">
        <f>RANK(MA11,MA$4:MA$11)</f>
        <v>8</v>
      </c>
      <c r="ME11" s="152">
        <f t="shared" si="227"/>
        <v>3</v>
      </c>
      <c r="MF11" s="152">
        <f t="shared" si="228"/>
        <v>4</v>
      </c>
      <c r="MG11" s="152">
        <f t="shared" si="229"/>
        <v>15</v>
      </c>
      <c r="MH11" s="28">
        <f t="shared" si="230"/>
        <v>1000299890004.23</v>
      </c>
      <c r="MI11" s="29"/>
      <c r="MJ11" s="28"/>
      <c r="MK11" s="29">
        <f>RANK(MH11,MH$4:MH$11)</f>
        <v>8</v>
      </c>
      <c r="ML11" s="152">
        <f t="shared" si="231"/>
        <v>3</v>
      </c>
      <c r="MM11" s="152">
        <f t="shared" si="232"/>
        <v>4</v>
      </c>
      <c r="MN11" s="152">
        <f t="shared" si="233"/>
        <v>16</v>
      </c>
      <c r="MO11" s="28">
        <f t="shared" si="234"/>
        <v>1000299880004.23</v>
      </c>
      <c r="MP11" s="29"/>
      <c r="MQ11" s="28"/>
      <c r="MR11" s="29">
        <f>RANK(MO11,MO$4:MO$11)</f>
        <v>8</v>
      </c>
      <c r="MS11" s="152">
        <f t="shared" si="235"/>
        <v>3</v>
      </c>
      <c r="MT11" s="152">
        <f t="shared" si="236"/>
        <v>4</v>
      </c>
      <c r="MU11" s="152">
        <f t="shared" si="237"/>
        <v>18</v>
      </c>
      <c r="MV11" s="28">
        <f t="shared" si="238"/>
        <v>1000299860004.23</v>
      </c>
      <c r="MW11" s="29"/>
      <c r="MX11" s="28"/>
      <c r="MY11" s="29">
        <f>RANK(MV11,MV$4:MV$11)</f>
        <v>8</v>
      </c>
      <c r="MZ11" s="152">
        <f t="shared" si="239"/>
        <v>6</v>
      </c>
      <c r="NA11" s="152">
        <f t="shared" si="240"/>
        <v>7</v>
      </c>
      <c r="NB11" s="152">
        <f t="shared" si="241"/>
        <v>20</v>
      </c>
      <c r="NC11" s="28">
        <f t="shared" si="242"/>
        <v>1000599870007.23</v>
      </c>
      <c r="ND11" s="29"/>
      <c r="NE11" s="28"/>
      <c r="NF11" s="29">
        <f>RANK(NC11,NC$4:NC$11)</f>
        <v>8</v>
      </c>
      <c r="NG11" s="152">
        <f t="shared" si="243"/>
        <v>7</v>
      </c>
      <c r="NH11" s="152">
        <f t="shared" si="244"/>
        <v>7</v>
      </c>
      <c r="NI11" s="152">
        <f t="shared" si="245"/>
        <v>20</v>
      </c>
      <c r="NJ11" s="28">
        <f t="shared" si="246"/>
        <v>1000699870007.23</v>
      </c>
      <c r="NK11" s="29"/>
      <c r="NL11" s="28"/>
      <c r="NM11" s="29">
        <f>RANK(NJ11,NJ$4:NJ$11)</f>
        <v>8</v>
      </c>
      <c r="NN11" s="152">
        <f t="shared" si="247"/>
        <v>10</v>
      </c>
      <c r="NO11" s="152">
        <f t="shared" si="248"/>
        <v>10</v>
      </c>
      <c r="NP11" s="152">
        <f t="shared" si="249"/>
        <v>22</v>
      </c>
      <c r="NQ11" s="28">
        <f t="shared" si="250"/>
        <v>1000999880010.23</v>
      </c>
      <c r="NR11" s="29"/>
      <c r="NS11" s="28"/>
      <c r="NT11" s="29">
        <f>RANK(NQ11,NQ$4:NQ$11)</f>
        <v>8</v>
      </c>
      <c r="NU11" s="152">
        <f t="shared" si="251"/>
        <v>10</v>
      </c>
      <c r="NV11" s="152">
        <f t="shared" si="252"/>
        <v>10</v>
      </c>
      <c r="NW11" s="152">
        <f t="shared" si="253"/>
        <v>24</v>
      </c>
      <c r="NX11" s="28">
        <f t="shared" si="254"/>
        <v>1000999860010.23</v>
      </c>
      <c r="NY11" s="29"/>
      <c r="NZ11" s="28"/>
      <c r="OA11" s="29">
        <f>RANK(NX11,NX$4:NX$11)</f>
        <v>8</v>
      </c>
      <c r="OB11" s="152">
        <f t="shared" si="255"/>
        <v>11</v>
      </c>
      <c r="OC11" s="152">
        <f t="shared" si="256"/>
        <v>11</v>
      </c>
      <c r="OD11" s="152">
        <f t="shared" si="257"/>
        <v>25</v>
      </c>
      <c r="OE11" s="28">
        <f t="shared" si="258"/>
        <v>1001099860011.23</v>
      </c>
      <c r="OF11" s="29"/>
      <c r="OG11" s="28"/>
      <c r="OH11" s="29">
        <f>RANK(OE11,OE$4:OE$11)</f>
        <v>8</v>
      </c>
      <c r="OI11" s="152">
        <f t="shared" si="259"/>
        <v>12</v>
      </c>
      <c r="OJ11" s="152">
        <f t="shared" si="260"/>
        <v>11</v>
      </c>
      <c r="OK11" s="152">
        <f t="shared" si="261"/>
        <v>25</v>
      </c>
      <c r="OL11" s="28">
        <f t="shared" si="262"/>
        <v>1001199860011.23</v>
      </c>
      <c r="OM11" s="29"/>
      <c r="ON11" s="28"/>
      <c r="OO11" s="29">
        <f>RANK(OL11,OL$4:OL$11)</f>
        <v>8</v>
      </c>
      <c r="OP11" s="152">
        <f t="shared" si="263"/>
        <v>12</v>
      </c>
      <c r="OQ11" s="152">
        <f t="shared" si="264"/>
        <v>11</v>
      </c>
      <c r="OR11" s="152">
        <f t="shared" si="265"/>
        <v>26</v>
      </c>
      <c r="OS11" s="28">
        <f t="shared" si="266"/>
        <v>1001199850011.23</v>
      </c>
      <c r="OT11" s="29"/>
      <c r="OU11" s="28"/>
      <c r="OV11" s="29">
        <f>RANK(OS11,OS$4:OS$11)</f>
        <v>8</v>
      </c>
      <c r="OW11" s="152">
        <f t="shared" si="267"/>
        <v>12</v>
      </c>
      <c r="OX11" s="152">
        <f t="shared" si="268"/>
        <v>12</v>
      </c>
      <c r="OY11" s="152">
        <f t="shared" si="269"/>
        <v>28</v>
      </c>
      <c r="OZ11" s="28">
        <f t="shared" si="270"/>
        <v>1001199840012.23</v>
      </c>
      <c r="PA11" s="29"/>
      <c r="PB11" s="28"/>
      <c r="PC11" s="29">
        <f>RANK(OZ11,OZ$4:OZ$11)</f>
        <v>8</v>
      </c>
      <c r="PD11" s="152">
        <f t="shared" si="271"/>
        <v>12</v>
      </c>
      <c r="PE11" s="152">
        <f t="shared" si="272"/>
        <v>12</v>
      </c>
      <c r="PF11" s="152">
        <f t="shared" si="273"/>
        <v>31</v>
      </c>
      <c r="PG11" s="28">
        <f t="shared" si="274"/>
        <v>1001199810012.23</v>
      </c>
      <c r="PH11" s="29"/>
      <c r="PI11" s="28"/>
      <c r="PJ11" s="29">
        <f>RANK(PG11,PG$4:PG$11)</f>
        <v>8</v>
      </c>
      <c r="PK11" s="152">
        <f t="shared" si="275"/>
        <v>12</v>
      </c>
      <c r="PL11" s="152">
        <f t="shared" si="276"/>
        <v>12</v>
      </c>
      <c r="PM11" s="152">
        <f t="shared" si="277"/>
        <v>32</v>
      </c>
      <c r="PN11" s="28">
        <f t="shared" si="278"/>
        <v>1001199800012.23</v>
      </c>
      <c r="PO11" s="29"/>
      <c r="PP11" s="28"/>
      <c r="PQ11" s="29">
        <f>RANK(PN11,PN$4:PN$11)</f>
        <v>8</v>
      </c>
      <c r="PR11" s="152">
        <f t="shared" si="279"/>
        <v>12</v>
      </c>
      <c r="PS11" s="152">
        <f t="shared" si="280"/>
        <v>13</v>
      </c>
      <c r="PT11" s="152">
        <f t="shared" si="281"/>
        <v>35</v>
      </c>
      <c r="PU11" s="28">
        <f t="shared" si="282"/>
        <v>1001199780013.23</v>
      </c>
      <c r="PV11" s="29"/>
      <c r="PW11" s="28"/>
      <c r="PX11" s="29">
        <f>RANK(PU11,PU$4:PU$11)</f>
        <v>8</v>
      </c>
      <c r="PY11" s="152">
        <f t="shared" si="283"/>
        <v>12</v>
      </c>
      <c r="PZ11" s="152">
        <f t="shared" si="284"/>
        <v>13</v>
      </c>
      <c r="QA11" s="152">
        <f t="shared" si="285"/>
        <v>35</v>
      </c>
      <c r="QB11" s="28">
        <f t="shared" si="286"/>
        <v>1001199780013.23</v>
      </c>
      <c r="QC11" s="29"/>
      <c r="QD11" s="28"/>
      <c r="QE11" s="29">
        <f>RANK(QB11,QB$4:QB$11)</f>
        <v>8</v>
      </c>
      <c r="QF11" s="152">
        <f t="shared" si="287"/>
        <v>12</v>
      </c>
      <c r="QG11" s="152">
        <f t="shared" si="288"/>
        <v>13</v>
      </c>
      <c r="QH11" s="152">
        <f t="shared" si="289"/>
        <v>35</v>
      </c>
      <c r="QI11" s="28">
        <f t="shared" si="290"/>
        <v>1001199780013.23</v>
      </c>
      <c r="QJ11" s="29"/>
      <c r="QK11" s="28"/>
      <c r="QL11" s="29">
        <f>RANK(QI11,QI$4:QI$11)</f>
        <v>8</v>
      </c>
      <c r="QM11" s="152">
        <f t="shared" si="291"/>
        <v>12</v>
      </c>
      <c r="QN11" s="152">
        <f t="shared" si="292"/>
        <v>13</v>
      </c>
      <c r="QO11" s="152">
        <f t="shared" si="293"/>
        <v>35</v>
      </c>
      <c r="QP11" s="28">
        <f t="shared" si="294"/>
        <v>1001199780013.23</v>
      </c>
      <c r="QQ11" s="29"/>
      <c r="QR11" s="28"/>
      <c r="QS11" s="29">
        <f>RANK(QP11,QP$4:QP$11)</f>
        <v>8</v>
      </c>
      <c r="QT11" s="152">
        <f t="shared" si="295"/>
        <v>12</v>
      </c>
      <c r="QU11" s="152">
        <f t="shared" si="296"/>
        <v>13</v>
      </c>
      <c r="QV11" s="152">
        <f t="shared" si="297"/>
        <v>35</v>
      </c>
      <c r="QW11" s="28">
        <f t="shared" si="298"/>
        <v>1001199780013.23</v>
      </c>
      <c r="QX11" s="29"/>
      <c r="QY11" s="28"/>
      <c r="QZ11" s="29">
        <f>RANK(QW11,QW$4:QW$11)</f>
        <v>8</v>
      </c>
      <c r="RA11" s="152">
        <f t="shared" si="299"/>
        <v>12</v>
      </c>
      <c r="RB11" s="152">
        <f t="shared" si="300"/>
        <v>13</v>
      </c>
      <c r="RC11" s="152">
        <f t="shared" si="301"/>
        <v>35</v>
      </c>
      <c r="RD11" s="28">
        <f t="shared" si="302"/>
        <v>1001199780013.23</v>
      </c>
      <c r="RE11" s="29"/>
      <c r="RF11" s="28"/>
      <c r="RG11" s="29">
        <f>RANK(RD11,RD$4:RD$11)</f>
        <v>8</v>
      </c>
      <c r="RH11" s="152">
        <f t="shared" si="303"/>
        <v>12</v>
      </c>
      <c r="RI11" s="152">
        <f t="shared" si="304"/>
        <v>13</v>
      </c>
      <c r="RJ11" s="152">
        <f t="shared" si="305"/>
        <v>35</v>
      </c>
      <c r="RK11" s="28">
        <f t="shared" si="306"/>
        <v>1001199780013.23</v>
      </c>
      <c r="RL11" s="29"/>
      <c r="RM11" s="28"/>
      <c r="RN11" s="29">
        <f>RANK(RK11,RK$4:RK$11)</f>
        <v>8</v>
      </c>
      <c r="RO11" s="152">
        <f t="shared" si="307"/>
        <v>12</v>
      </c>
      <c r="RP11" s="152">
        <f t="shared" si="308"/>
        <v>13</v>
      </c>
      <c r="RQ11" s="152">
        <f t="shared" si="309"/>
        <v>35</v>
      </c>
      <c r="RR11" s="28">
        <f t="shared" si="310"/>
        <v>1001199780013.23</v>
      </c>
      <c r="RS11" s="29"/>
      <c r="RT11" s="28"/>
      <c r="RU11" s="29">
        <f>RANK(RR11,RR$4:RR$11)</f>
        <v>8</v>
      </c>
      <c r="RV11" s="152">
        <f t="shared" si="311"/>
        <v>12</v>
      </c>
      <c r="RW11" s="152">
        <f t="shared" si="312"/>
        <v>13</v>
      </c>
      <c r="RX11" s="152">
        <f t="shared" si="313"/>
        <v>35</v>
      </c>
      <c r="RY11" s="28">
        <f t="shared" si="314"/>
        <v>1001199780013.23</v>
      </c>
      <c r="RZ11" s="29"/>
      <c r="SA11" s="28"/>
      <c r="SB11" s="29">
        <f>RANK(RY11,RY$4:RY$11)</f>
        <v>8</v>
      </c>
      <c r="SC11" s="152">
        <f t="shared" si="315"/>
        <v>12</v>
      </c>
      <c r="SD11" s="152">
        <f t="shared" si="316"/>
        <v>13</v>
      </c>
      <c r="SE11" s="152">
        <f t="shared" si="317"/>
        <v>35</v>
      </c>
      <c r="SF11" s="28">
        <f t="shared" si="318"/>
        <v>1001199780013.23</v>
      </c>
      <c r="SG11" s="29"/>
      <c r="SH11" s="28"/>
      <c r="SI11" s="29">
        <f>RANK(SF11,SF$4:SF$11)</f>
        <v>8</v>
      </c>
      <c r="SJ11" s="152">
        <f t="shared" si="319"/>
        <v>12</v>
      </c>
      <c r="SK11" s="152">
        <f t="shared" si="320"/>
        <v>13</v>
      </c>
      <c r="SL11" s="152">
        <f t="shared" si="321"/>
        <v>35</v>
      </c>
      <c r="SM11" s="28">
        <f t="shared" si="322"/>
        <v>1001199780013.23</v>
      </c>
      <c r="SN11" s="29"/>
      <c r="SO11" s="28"/>
      <c r="SP11" s="29">
        <f>RANK(SM11,SM$4:SM$11)</f>
        <v>8</v>
      </c>
      <c r="SQ11" s="152">
        <f t="shared" si="323"/>
        <v>12</v>
      </c>
      <c r="SR11" s="152">
        <f t="shared" si="324"/>
        <v>13</v>
      </c>
      <c r="SS11" s="152">
        <f t="shared" si="325"/>
        <v>35</v>
      </c>
      <c r="ST11" s="28">
        <f t="shared" si="326"/>
        <v>1001199780013.23</v>
      </c>
      <c r="SU11" s="29"/>
      <c r="SV11" s="28"/>
      <c r="SW11" s="29">
        <f>RANK(ST11,ST$4:ST$11)</f>
        <v>8</v>
      </c>
      <c r="SX11" s="152">
        <f t="shared" si="327"/>
        <v>12</v>
      </c>
      <c r="SY11" s="152">
        <f t="shared" si="328"/>
        <v>13</v>
      </c>
      <c r="SZ11" s="152">
        <f t="shared" si="329"/>
        <v>35</v>
      </c>
      <c r="TA11" s="28">
        <f t="shared" si="330"/>
        <v>1001199780013.23</v>
      </c>
      <c r="TB11" s="29"/>
      <c r="TC11" s="28"/>
      <c r="TD11" s="29">
        <f>RANK(TA11,TA$4:TA$11)</f>
        <v>8</v>
      </c>
      <c r="TE11" s="152">
        <f t="shared" si="331"/>
        <v>12</v>
      </c>
      <c r="TF11" s="152">
        <f t="shared" si="332"/>
        <v>13</v>
      </c>
      <c r="TG11" s="152">
        <f t="shared" si="333"/>
        <v>35</v>
      </c>
      <c r="TH11" s="28">
        <f t="shared" si="334"/>
        <v>1001199780013.23</v>
      </c>
      <c r="TI11" s="29"/>
      <c r="TJ11" s="28"/>
      <c r="TK11" s="29">
        <f>RANK(TH11,TH$4:TH$11)</f>
        <v>8</v>
      </c>
      <c r="TL11" s="152">
        <f t="shared" si="335"/>
        <v>12</v>
      </c>
      <c r="TM11" s="152">
        <f t="shared" si="336"/>
        <v>13</v>
      </c>
      <c r="TN11" s="152">
        <f t="shared" si="337"/>
        <v>35</v>
      </c>
      <c r="TO11" s="28">
        <f t="shared" si="338"/>
        <v>1001199780013.23</v>
      </c>
      <c r="TP11" s="29"/>
      <c r="TQ11" s="28"/>
      <c r="TR11" s="29">
        <f>RANK(TO11,TO$4:TO$11)</f>
        <v>8</v>
      </c>
      <c r="TS11" s="152">
        <f t="shared" si="339"/>
        <v>12</v>
      </c>
      <c r="TT11" s="152">
        <f t="shared" si="340"/>
        <v>13</v>
      </c>
      <c r="TU11" s="152">
        <f t="shared" si="341"/>
        <v>35</v>
      </c>
      <c r="TV11" s="28">
        <f t="shared" si="342"/>
        <v>1001199780013.23</v>
      </c>
      <c r="TW11" s="29"/>
      <c r="TX11" s="28"/>
      <c r="TY11" s="29">
        <f>RANK(TV11,TV$4:TV$11)</f>
        <v>8</v>
      </c>
      <c r="TZ11" s="152">
        <f t="shared" si="343"/>
        <v>12</v>
      </c>
      <c r="UA11" s="152">
        <f t="shared" si="344"/>
        <v>13</v>
      </c>
      <c r="UB11" s="152">
        <f t="shared" si="345"/>
        <v>35</v>
      </c>
      <c r="UC11" s="28">
        <f t="shared" si="346"/>
        <v>1001199780013.23</v>
      </c>
      <c r="UD11" s="29"/>
      <c r="UE11" s="28"/>
      <c r="UF11" s="29">
        <f>RANK(UC11,UC$4:UC$11)</f>
        <v>8</v>
      </c>
      <c r="UG11" s="152">
        <f t="shared" si="347"/>
        <v>12</v>
      </c>
      <c r="UH11" s="152">
        <f t="shared" si="348"/>
        <v>13</v>
      </c>
      <c r="UI11" s="152">
        <f t="shared" si="349"/>
        <v>35</v>
      </c>
      <c r="UJ11" s="28">
        <f t="shared" si="350"/>
        <v>1001199780013.23</v>
      </c>
      <c r="UK11" s="29"/>
      <c r="UL11" s="28"/>
      <c r="UM11" s="29">
        <f>RANK(UJ11,UJ$4:UJ$11)</f>
        <v>8</v>
      </c>
      <c r="UN11" s="152">
        <f t="shared" si="351"/>
        <v>12</v>
      </c>
      <c r="UO11" s="152">
        <f t="shared" si="352"/>
        <v>13</v>
      </c>
      <c r="UP11" s="152">
        <f t="shared" si="353"/>
        <v>35</v>
      </c>
      <c r="UQ11" s="28">
        <f t="shared" si="354"/>
        <v>1001199780013.23</v>
      </c>
      <c r="UR11" s="29"/>
      <c r="US11" s="28"/>
      <c r="UT11" s="29">
        <f>RANK(UQ11,UQ$4:UQ$11)</f>
        <v>8</v>
      </c>
      <c r="UU11" s="129"/>
      <c r="UV11" s="129" t="str">
        <f t="shared" si="355"/>
        <v>DC United</v>
      </c>
      <c r="UW11" s="129">
        <f t="shared" si="356"/>
        <v>8</v>
      </c>
      <c r="UX11" s="129">
        <f t="shared" ca="1" si="357"/>
        <v>8</v>
      </c>
      <c r="UY11" s="129">
        <f t="shared" ca="1" si="64"/>
        <v>8</v>
      </c>
      <c r="UZ11" s="129">
        <f t="shared" ca="1" si="64"/>
        <v>8</v>
      </c>
      <c r="VA11" s="129">
        <f t="shared" ca="1" si="64"/>
        <v>8</v>
      </c>
      <c r="VB11" s="129">
        <f t="shared" ca="1" si="64"/>
        <v>8</v>
      </c>
      <c r="VC11" s="129">
        <f t="shared" ca="1" si="64"/>
        <v>8</v>
      </c>
      <c r="VD11" s="129">
        <f t="shared" ca="1" si="64"/>
        <v>8</v>
      </c>
      <c r="VE11" s="129">
        <f t="shared" ca="1" si="64"/>
        <v>8</v>
      </c>
      <c r="VF11" s="129">
        <f t="shared" ca="1" si="64"/>
        <v>8</v>
      </c>
      <c r="VG11" s="129">
        <f t="shared" ca="1" si="64"/>
        <v>8</v>
      </c>
      <c r="VH11" s="129">
        <f t="shared" ca="1" si="64"/>
        <v>8</v>
      </c>
      <c r="VI11" s="129">
        <f t="shared" ca="1" si="64"/>
        <v>8</v>
      </c>
      <c r="VJ11" s="129">
        <f t="shared" ca="1" si="64"/>
        <v>8</v>
      </c>
      <c r="VK11" s="129">
        <f t="shared" ca="1" si="64"/>
        <v>8</v>
      </c>
      <c r="VL11" s="129">
        <f t="shared" ca="1" si="64"/>
        <v>8</v>
      </c>
      <c r="VM11" s="129">
        <f t="shared" ca="1" si="64"/>
        <v>8</v>
      </c>
      <c r="VN11" s="129">
        <f t="shared" ca="1" si="64"/>
        <v>8</v>
      </c>
      <c r="VO11" s="129">
        <f t="shared" ca="1" si="65"/>
        <v>8</v>
      </c>
      <c r="VP11" s="129">
        <f t="shared" ca="1" si="65"/>
        <v>8</v>
      </c>
      <c r="VQ11" s="129">
        <f t="shared" ca="1" si="65"/>
        <v>8</v>
      </c>
      <c r="VR11" s="129">
        <f t="shared" ca="1" si="65"/>
        <v>8</v>
      </c>
      <c r="VS11" s="129">
        <f t="shared" ca="1" si="65"/>
        <v>8</v>
      </c>
      <c r="VT11" s="129">
        <f t="shared" ca="1" si="65"/>
        <v>8</v>
      </c>
      <c r="VU11" s="129">
        <f t="shared" ca="1" si="65"/>
        <v>8</v>
      </c>
      <c r="VV11" s="129">
        <f t="shared" ca="1" si="65"/>
        <v>8</v>
      </c>
      <c r="VW11" s="129">
        <f t="shared" ca="1" si="65"/>
        <v>8</v>
      </c>
      <c r="VX11" s="129">
        <f t="shared" ca="1" si="65"/>
        <v>8</v>
      </c>
      <c r="VY11" s="129">
        <f t="shared" ca="1" si="65"/>
        <v>8</v>
      </c>
      <c r="VZ11" s="129">
        <f t="shared" ca="1" si="65"/>
        <v>8</v>
      </c>
      <c r="WA11" s="129">
        <f t="shared" ca="1" si="65"/>
        <v>8</v>
      </c>
      <c r="WB11" s="129">
        <f t="shared" ca="1" si="65"/>
        <v>8</v>
      </c>
      <c r="WC11" s="129">
        <f t="shared" ca="1" si="65"/>
        <v>8</v>
      </c>
      <c r="WD11" s="129">
        <f t="shared" ca="1" si="65"/>
        <v>8</v>
      </c>
      <c r="WE11" s="129">
        <f t="shared" ca="1" si="66"/>
        <v>8</v>
      </c>
      <c r="WF11" s="129">
        <f t="shared" ca="1" si="66"/>
        <v>8</v>
      </c>
      <c r="WG11" s="129">
        <f t="shared" ca="1" si="66"/>
        <v>8</v>
      </c>
      <c r="WH11" s="129">
        <f t="shared" ca="1" si="66"/>
        <v>8</v>
      </c>
      <c r="WK11" s="87" t="str">
        <f t="shared" si="358"/>
        <v>DC United</v>
      </c>
      <c r="WL11" s="87">
        <v>8</v>
      </c>
      <c r="WM11" s="87">
        <v>8</v>
      </c>
      <c r="WN11" s="87">
        <f t="shared" si="67"/>
        <v>8</v>
      </c>
      <c r="WO11" s="87">
        <f t="shared" ca="1" si="68"/>
        <v>8</v>
      </c>
      <c r="WP11" s="87">
        <f t="shared" ca="1" si="69"/>
        <v>8</v>
      </c>
      <c r="WQ11" s="87">
        <f t="shared" ca="1" si="70"/>
        <v>8</v>
      </c>
      <c r="WR11" s="87">
        <f t="shared" ca="1" si="71"/>
        <v>8</v>
      </c>
      <c r="WS11" s="87">
        <f t="shared" ca="1" si="72"/>
        <v>8</v>
      </c>
      <c r="WT11" s="87">
        <f t="shared" ca="1" si="73"/>
        <v>8</v>
      </c>
      <c r="WU11" s="87">
        <f t="shared" ca="1" si="74"/>
        <v>8</v>
      </c>
      <c r="WV11" s="87">
        <f t="shared" ca="1" si="75"/>
        <v>8</v>
      </c>
      <c r="WW11" s="87">
        <f t="shared" ca="1" si="76"/>
        <v>8</v>
      </c>
      <c r="WX11" s="87">
        <f t="shared" ca="1" si="77"/>
        <v>8</v>
      </c>
      <c r="WY11" s="87">
        <f t="shared" ca="1" si="78"/>
        <v>8</v>
      </c>
      <c r="WZ11" s="87">
        <f t="shared" ca="1" si="79"/>
        <v>8</v>
      </c>
      <c r="XA11" s="87">
        <f t="shared" ca="1" si="80"/>
        <v>8</v>
      </c>
      <c r="XB11" s="87">
        <f t="shared" ca="1" si="81"/>
        <v>8</v>
      </c>
      <c r="XC11" s="87">
        <f t="shared" ca="1" si="82"/>
        <v>8</v>
      </c>
      <c r="XD11" s="87">
        <f t="shared" ca="1" si="83"/>
        <v>8</v>
      </c>
      <c r="XE11" s="87">
        <f t="shared" ca="1" si="84"/>
        <v>8</v>
      </c>
      <c r="XF11" s="87">
        <f t="shared" ca="1" si="85"/>
        <v>8</v>
      </c>
      <c r="XG11" s="87">
        <f t="shared" ca="1" si="86"/>
        <v>8</v>
      </c>
      <c r="XH11" s="87" t="e">
        <f t="shared" si="87"/>
        <v>#N/A</v>
      </c>
      <c r="XI11" s="87" t="e">
        <f t="shared" si="88"/>
        <v>#N/A</v>
      </c>
      <c r="XJ11" s="87" t="e">
        <f t="shared" si="89"/>
        <v>#N/A</v>
      </c>
      <c r="XK11" s="87" t="e">
        <f t="shared" si="90"/>
        <v>#N/A</v>
      </c>
      <c r="XL11" s="87" t="e">
        <f t="shared" si="91"/>
        <v>#N/A</v>
      </c>
      <c r="XM11" s="87" t="e">
        <f t="shared" si="92"/>
        <v>#N/A</v>
      </c>
      <c r="XN11" s="87" t="e">
        <f t="shared" si="93"/>
        <v>#N/A</v>
      </c>
      <c r="XO11" s="87" t="e">
        <f t="shared" si="94"/>
        <v>#N/A</v>
      </c>
      <c r="XP11" s="87" t="e">
        <f t="shared" si="95"/>
        <v>#N/A</v>
      </c>
      <c r="XQ11" s="87" t="e">
        <f t="shared" si="96"/>
        <v>#N/A</v>
      </c>
      <c r="XR11" s="87" t="e">
        <f t="shared" si="97"/>
        <v>#N/A</v>
      </c>
      <c r="XS11" s="87" t="e">
        <f t="shared" si="98"/>
        <v>#N/A</v>
      </c>
      <c r="XT11" s="87" t="e">
        <f t="shared" si="99"/>
        <v>#N/A</v>
      </c>
      <c r="XU11" s="87" t="e">
        <f t="shared" si="100"/>
        <v>#N/A</v>
      </c>
      <c r="XV11" s="87" t="e">
        <f t="shared" si="101"/>
        <v>#N/A</v>
      </c>
      <c r="XW11" s="87" t="e">
        <f t="shared" si="102"/>
        <v>#N/A</v>
      </c>
      <c r="XX11" s="87" t="e">
        <f t="shared" si="103"/>
        <v>#N/A</v>
      </c>
      <c r="XY11" s="87" t="e">
        <f t="shared" si="104"/>
        <v>#N/A</v>
      </c>
      <c r="XZ11" s="241"/>
      <c r="YA11" s="241"/>
      <c r="YB11" s="280"/>
      <c r="YC11" s="280" t="str">
        <f>IF(ISERROR(VLOOKUP(YB5,$E$11:$E$19,1,0)),"",YB5)</f>
        <v>Dallas</v>
      </c>
      <c r="YD11" s="280"/>
      <c r="YE11" s="163">
        <f>VLOOKUP($YC11,$WK$4:WL$33,YE$3+3,0)</f>
        <v>3</v>
      </c>
      <c r="YF11" s="163">
        <f>VLOOKUP($YC11,$WK$4:WM$33,YF$3+3,0)</f>
        <v>3</v>
      </c>
      <c r="YG11" s="163">
        <f>VLOOKUP($YC11,$WK$4:WN$33,YG$3+3,0)</f>
        <v>5</v>
      </c>
      <c r="YH11" s="163">
        <f ca="1">VLOOKUP($YC11,$WK$4:WO$33,YH$3+3,0)</f>
        <v>7</v>
      </c>
      <c r="YI11" s="163">
        <f ca="1">VLOOKUP($YC11,$WK$4:WP$33,YI$3+3,0)</f>
        <v>8</v>
      </c>
      <c r="YJ11" s="163">
        <f ca="1">VLOOKUP($YC11,$WK$4:WQ$33,YJ$3+3,0)</f>
        <v>7</v>
      </c>
      <c r="YK11" s="163">
        <f ca="1">VLOOKUP($YC11,$WK$4:WR$33,YK$3+3,0)</f>
        <v>8</v>
      </c>
      <c r="YL11" s="163">
        <f ca="1">VLOOKUP($YC11,$WK$4:WS$33,YL$3+3,0)</f>
        <v>7</v>
      </c>
      <c r="YM11" s="163">
        <f ca="1">VLOOKUP($YC11,$WK$4:WT$33,YM$3+3,0)</f>
        <v>6</v>
      </c>
      <c r="YN11" s="163">
        <f ca="1">VLOOKUP($YC11,$WK$4:WU$33,YN$3+3,0)</f>
        <v>6</v>
      </c>
      <c r="YO11" s="163">
        <f ca="1">VLOOKUP($YC11,$WK$4:WV$33,YO$3+3,0)</f>
        <v>7</v>
      </c>
      <c r="YP11" s="163">
        <f ca="1">VLOOKUP($YC11,$WK$4:WW$33,YP$3+3,0)</f>
        <v>6</v>
      </c>
      <c r="YQ11" s="163">
        <f ca="1">VLOOKUP($YC11,$WK$4:WX$33,YQ$3+3,0)</f>
        <v>6</v>
      </c>
      <c r="YR11" s="163">
        <f ca="1">VLOOKUP($YC11,$WK$4:WY$33,YR$3+3,0)</f>
        <v>4</v>
      </c>
      <c r="YS11" s="163">
        <f ca="1">VLOOKUP($YC11,$WK$4:WZ$33,YS$3+3,0)</f>
        <v>4</v>
      </c>
      <c r="YT11" s="163">
        <f ca="1">VLOOKUP($YC11,$WK$4:XA$33,YT$3+3,0)</f>
        <v>3</v>
      </c>
      <c r="YU11" s="163">
        <f ca="1">VLOOKUP($YC11,$WK$4:XB$33,YU$3+3,0)</f>
        <v>3</v>
      </c>
      <c r="YV11" s="163">
        <f ca="1">VLOOKUP($YC11,$WK$4:XC$33,YV$3+3,0)</f>
        <v>3</v>
      </c>
      <c r="YW11" s="163">
        <f ca="1">VLOOKUP($YC11,$WK$4:XD$33,YW$3+3,0)</f>
        <v>3</v>
      </c>
      <c r="YX11" s="163">
        <f ca="1">VLOOKUP($YC11,$WK$4:XE$33,YX$3+3,0)</f>
        <v>3</v>
      </c>
      <c r="YY11" s="163">
        <f ca="1">VLOOKUP($YC11,$WK$4:XF$33,YY$3+3,0)</f>
        <v>3</v>
      </c>
      <c r="YZ11" s="163">
        <f ca="1">VLOOKUP($YC11,$WK$4:XG$33,YZ$3+3,0)</f>
        <v>3</v>
      </c>
      <c r="ZA11" s="163">
        <f ca="1">VLOOKUP($YC11,$WK$4:XH$33,ZA$3+3,0)</f>
        <v>3</v>
      </c>
      <c r="ZB11" s="163" t="e">
        <f>VLOOKUP($YC11,$WK$4:XI$33,ZB$3+3,0)</f>
        <v>#N/A</v>
      </c>
      <c r="ZC11" s="163" t="e">
        <f>VLOOKUP($YC11,$WK$4:XJ$33,ZC$3+3,0)</f>
        <v>#N/A</v>
      </c>
      <c r="ZD11" s="163" t="e">
        <f>VLOOKUP($YC11,$WK$4:XK$33,ZD$3+3,0)</f>
        <v>#N/A</v>
      </c>
      <c r="ZE11" s="163" t="e">
        <f>VLOOKUP($YC11,$WK$4:XL$33,ZE$3+3,0)</f>
        <v>#N/A</v>
      </c>
      <c r="ZF11" s="163" t="e">
        <f>VLOOKUP($YC11,$WK$4:XM$33,ZF$3+3,0)</f>
        <v>#N/A</v>
      </c>
      <c r="ZG11" s="163" t="e">
        <f>VLOOKUP($YC11,$WK$4:XN$33,ZG$3+3,0)</f>
        <v>#N/A</v>
      </c>
      <c r="ZH11" s="163" t="e">
        <f>VLOOKUP($YC11,$WK$4:XO$33,ZH$3+3,0)</f>
        <v>#N/A</v>
      </c>
      <c r="ZI11" s="163" t="e">
        <f>VLOOKUP($YC11,$WK$4:XP$33,ZI$3+3,0)</f>
        <v>#N/A</v>
      </c>
      <c r="ZJ11" s="163" t="e">
        <f>VLOOKUP($YC11,$WK$4:XQ$33,ZJ$3+3,0)</f>
        <v>#N/A</v>
      </c>
      <c r="ZK11" s="163" t="e">
        <f>VLOOKUP($YC11,$WK$4:XR$33,ZK$3+3,0)</f>
        <v>#N/A</v>
      </c>
      <c r="ZL11" s="163" t="e">
        <f>VLOOKUP($YC11,$WK$4:XS$33,ZL$3+3,0)</f>
        <v>#N/A</v>
      </c>
      <c r="ZM11" s="163" t="e">
        <f>VLOOKUP($YC11,$WK$4:XT$33,ZM$3+3,0)</f>
        <v>#N/A</v>
      </c>
      <c r="ZN11" s="163" t="e">
        <f>VLOOKUP($YC11,$WK$4:XU$33,ZN$3+3,0)</f>
        <v>#N/A</v>
      </c>
      <c r="ZO11" s="163" t="e">
        <f>VLOOKUP($YC11,$WK$4:XV$33,ZO$3+3,0)</f>
        <v>#N/A</v>
      </c>
      <c r="ZP11" s="163" t="e">
        <f>VLOOKUP($YC11,$WK$4:XW$33,ZP$3+3,0)</f>
        <v>#N/A</v>
      </c>
      <c r="ZQ11" s="163" t="e">
        <f>VLOOKUP($YC11,$WK$4:XX$33,ZQ$3+3,0)</f>
        <v>#N/A</v>
      </c>
      <c r="ZR11" s="163" t="e">
        <f>VLOOKUP($YC11,$WK$4:XY$33,ZR$3+3,0)</f>
        <v>#N/A</v>
      </c>
      <c r="ZS11" s="280"/>
      <c r="ZT11" s="280"/>
      <c r="ZU11" s="280"/>
      <c r="ZV11" s="280"/>
      <c r="ZW11" s="280"/>
      <c r="ZX11" s="280"/>
      <c r="ZY11" s="280"/>
      <c r="ZZ11" s="280"/>
      <c r="AAA11" s="280"/>
      <c r="AAB11" s="280"/>
      <c r="AAC11" s="280"/>
      <c r="AAD11" s="160"/>
      <c r="AAE11" s="160"/>
      <c r="AAF11" s="160"/>
      <c r="AAG11" s="160"/>
      <c r="AAH11" s="241"/>
      <c r="AAI11" s="241"/>
      <c r="AAJ11" s="241"/>
      <c r="AAK11" s="241"/>
      <c r="AAL11" s="241"/>
      <c r="AAM11" s="241"/>
      <c r="AAN11" s="241"/>
      <c r="AAO11" s="241"/>
      <c r="AAP11" s="241"/>
      <c r="AAQ11" s="241"/>
      <c r="AAR11" s="241"/>
      <c r="AAS11" s="241"/>
      <c r="AAT11" s="241"/>
      <c r="AAU11" s="241"/>
    </row>
    <row r="12" spans="4:723">
      <c r="D12" s="29">
        <v>9</v>
      </c>
      <c r="E12" s="31" t="s">
        <v>192</v>
      </c>
      <c r="F12" s="25">
        <f>SUMIF('ef-FT'!$C$2001:$C$3800,E12,'ef-FT'!$E$2001:$E$3800)</f>
        <v>20</v>
      </c>
      <c r="G12" s="25">
        <f>SUMIF('ef-FT'!$C$2001:$C$3800,E12,'ef-FT'!$F$2001:$F$3800)</f>
        <v>13</v>
      </c>
      <c r="H12" s="25">
        <f>SUMIF('ef-FT'!$C$2001:$C$3800,E12,'ef-FT'!$G$2001:$G$3800)</f>
        <v>4</v>
      </c>
      <c r="I12" s="25">
        <f>SUMIF('ef-FT'!$C$2001:$C$3800,E12,'ef-FT'!$H$2001:$H$3800)</f>
        <v>3</v>
      </c>
      <c r="J12" s="25">
        <f>SUMIF('ef-FT'!$C$2001:$C$3800,E12,'ef-FT'!$D$2001:$D$3800)</f>
        <v>43</v>
      </c>
      <c r="K12" s="25">
        <f>SUMIF('ef-FT'!$C$2001:$C$3800,E12,'ef-FT'!$I$2001:$I$3800)</f>
        <v>32</v>
      </c>
      <c r="L12" s="25">
        <f>SUMIF('ef-FT'!$C$2001:$C$3800,E12,'ef-FT'!$J$2001:$J$3800)</f>
        <v>13</v>
      </c>
      <c r="M12" s="25" t="str">
        <f>CONCATENATE(K12, " - ",L12)</f>
        <v>32 - 13</v>
      </c>
      <c r="N12" s="25">
        <f>K12-L12</f>
        <v>19</v>
      </c>
      <c r="O12" s="25">
        <f>SUMIF('ef-FT'!$C$2001:$C$3800,$E12,'ef-FT'!$K$2001:$K$3800)</f>
        <v>5</v>
      </c>
      <c r="P12" s="25">
        <f>SUMIF('ef-FT'!$C$2001:$C$3800,$E12,'ef-FT'!$L$2001:$L$3800)</f>
        <v>11</v>
      </c>
      <c r="Q12" s="55"/>
      <c r="R12" s="25">
        <f>SUMIF('ef-FT'!$C$2001:$C$2999,$E12,'ef-FT'!$E$2001:$E$2999)</f>
        <v>9</v>
      </c>
      <c r="S12" s="25">
        <f>SUMIF('ef-FT'!$C$2001:$C$2999,$E12,'ef-FT'!$F$2001:$F$2999)</f>
        <v>6</v>
      </c>
      <c r="T12" s="25">
        <f>SUMIF('ef-FT'!$C$2001:$C$2999,$E12,'ef-FT'!$G$2001:$G$2999)</f>
        <v>2</v>
      </c>
      <c r="U12" s="25">
        <f>SUMIF('ef-FT'!$C$2001:$C$2999,$E12,'ef-FT'!$H$2001:$H$2999)</f>
        <v>1</v>
      </c>
      <c r="V12" s="25">
        <f>SUMIF('ef-FT'!$C$2001:$C$2999,$E12,'ef-FT'!$D$2001:$D$2999)</f>
        <v>20</v>
      </c>
      <c r="W12" s="25">
        <f>SUMIF('ef-FT'!$C$2001:$C$2999,$E12,'ef-FT'!$I$2001:$I$2999)</f>
        <v>19</v>
      </c>
      <c r="X12" s="25">
        <f>SUMIF('ef-FT'!$C$2001:$C$2999,$E12,'ef-FT'!$J$2001:$J$2999)</f>
        <v>9</v>
      </c>
      <c r="Y12" s="25" t="str">
        <f t="shared" ref="Y12:Y19" si="375">CONCATENATE(W12, " - ",X12)</f>
        <v>19 - 9</v>
      </c>
      <c r="Z12" s="25">
        <f t="shared" ref="Z12:Z19" si="376">W12-X12</f>
        <v>10</v>
      </c>
      <c r="AA12" s="25">
        <f>SUMIF('ef-FT'!$C$2001:$C$2999,$E12,'ef-FT'!$K$2001:$K$2999)</f>
        <v>1</v>
      </c>
      <c r="AB12" s="25">
        <f>SUMIF('ef-FT'!$C$2001:$C$2999,$E12,'ef-FT'!$L$2001:$L$2999)</f>
        <v>3</v>
      </c>
      <c r="AC12" s="55"/>
      <c r="AD12" s="25">
        <f>SUMIF('ef-FT'!$C$3000:$C$3800,$E12,'ef-FT'!$E$3000:$E$3800)</f>
        <v>11</v>
      </c>
      <c r="AE12" s="25">
        <f>SUMIF('ef-FT'!$C$3000:$C$3800,$E12,'ef-FT'!$F$3000:$F$3800)</f>
        <v>7</v>
      </c>
      <c r="AF12" s="25">
        <f>SUMIF('ef-FT'!$C$3000:$C$3800,$E12,'ef-FT'!$G$3000:$G$3800)</f>
        <v>2</v>
      </c>
      <c r="AG12" s="25">
        <f>SUMIF('ef-FT'!$C$3000:$C$3800,$E12,'ef-FT'!$H$3000:$H$3800)</f>
        <v>2</v>
      </c>
      <c r="AH12" s="25">
        <f>SUMIF('ef-FT'!$C$3000:$C$3800,$E12,'ef-FT'!$D$3000:$D$3800)</f>
        <v>23</v>
      </c>
      <c r="AI12" s="25">
        <f>SUMIF('ef-FT'!$C$3000:$C$3800,$E12,'ef-FT'!$I$3000:$I$3800)</f>
        <v>13</v>
      </c>
      <c r="AJ12" s="25">
        <f>SUMIF('ef-FT'!$C$3000:$C$3800,$E12,'ef-FT'!$J$3000:$J$3800)</f>
        <v>4</v>
      </c>
      <c r="AK12" s="25" t="str">
        <f t="shared" ref="AK12:AK19" si="377">CONCATENATE(AI12, " - ",AJ12)</f>
        <v>13 - 4</v>
      </c>
      <c r="AL12" s="25">
        <f t="shared" ref="AL12:AL19" si="378">AI12-AJ12</f>
        <v>9</v>
      </c>
      <c r="AM12" s="25">
        <f>SUMIF('ef-FT'!$C$3000:$C$3800,$E12,'ef-FT'!$K$3000:$K$3800)</f>
        <v>4</v>
      </c>
      <c r="AN12" s="25">
        <f>SUMIF('ef-FT'!$C$3000:$C$3800,$E12,'ef-FT'!$L$3000:$L$3800)</f>
        <v>8</v>
      </c>
      <c r="AO12" s="26"/>
      <c r="AP12" s="27">
        <v>0.21</v>
      </c>
      <c r="AQ12" s="28">
        <f t="shared" ref="AQ12:AQ19" si="379">IF(E12=0,-10000000000,1000000000000+J12*100000000+N12*10000+K12+AP12)</f>
        <v>1004300190032.21</v>
      </c>
      <c r="AR12" s="29">
        <v>1</v>
      </c>
      <c r="AS12" s="28">
        <f>LARGE($AQ$12:$AQ$32,AR12)</f>
        <v>1004300190032.21</v>
      </c>
      <c r="AT12" s="29">
        <f t="shared" ref="AT12:AT19" si="380">VLOOKUP(AS12,$AQ$4:$AR$33,2,0)</f>
        <v>1</v>
      </c>
      <c r="AU12" s="30" t="str">
        <f>VLOOKUP($AT12+$AT$11,$D$12:$N$33,2,0)</f>
        <v>Los Angeles</v>
      </c>
      <c r="AV12" s="29">
        <f>VLOOKUP($AT12+$AT$11,$D$12:$N$33,3,0)</f>
        <v>20</v>
      </c>
      <c r="AW12" s="29">
        <f>VLOOKUP($AT12+$AT$11,$D$12:$N$33,4,0)</f>
        <v>13</v>
      </c>
      <c r="AX12" s="29">
        <f>VLOOKUP($AT12+$AT$11,$D$12:$N$33,5,0)</f>
        <v>4</v>
      </c>
      <c r="AY12" s="29">
        <f>VLOOKUP($AT12+$AT$11,$D$12:$N$33,6,0)</f>
        <v>3</v>
      </c>
      <c r="AZ12" s="29">
        <f>VLOOKUP($AT12+$AT$11,$D$12:$N$33,7,0)</f>
        <v>43</v>
      </c>
      <c r="BA12" s="29" t="str">
        <f>VLOOKUP($AT12+$AT$11,$D$12:$N$33,10,0)</f>
        <v>32 - 13</v>
      </c>
      <c r="BB12" s="29">
        <f>VLOOKUP($AT12+$AT$11,$D$12:$N$33,11,0)</f>
        <v>19</v>
      </c>
      <c r="BC12" s="90">
        <f>VLOOKUP($AT12+$AT$11,$D$12:R$33,15,0)</f>
        <v>9</v>
      </c>
      <c r="BD12" s="90">
        <f>VLOOKUP($AT12+$AT$11,$D$12:S$33,16,0)</f>
        <v>6</v>
      </c>
      <c r="BE12" s="90">
        <f>VLOOKUP($AT12+$AT$11,$D$12:T$33,17,0)</f>
        <v>2</v>
      </c>
      <c r="BF12" s="90">
        <f>VLOOKUP($AT12+$AT$11,$D$12:U$33,18,0)</f>
        <v>1</v>
      </c>
      <c r="BG12" s="90">
        <f>VLOOKUP($AT12+$AT$11,$D$12:V$33,19,0)</f>
        <v>20</v>
      </c>
      <c r="BH12" s="90" t="str">
        <f>VLOOKUP($AT12+$AT$11,$D$12:Y$33,22,0)</f>
        <v>19 - 9</v>
      </c>
      <c r="BI12" s="90">
        <f>VLOOKUP($AT12+$AT$11,$D$12:Z$33,23,0)</f>
        <v>10</v>
      </c>
      <c r="BJ12" s="90">
        <f>VLOOKUP($AT12+$AT$11,$D$12:AD$33,27,0)</f>
        <v>11</v>
      </c>
      <c r="BK12" s="90">
        <f>VLOOKUP($AT12+$AT$11,$D$12:AE$33,28,0)</f>
        <v>7</v>
      </c>
      <c r="BL12" s="90">
        <f>VLOOKUP($AT12+$AT$11,$D$12:AF$33,29,0)</f>
        <v>2</v>
      </c>
      <c r="BM12" s="90">
        <f>VLOOKUP($AT12+$AT$11,$D$12:AG$33,30,0)</f>
        <v>2</v>
      </c>
      <c r="BN12" s="90">
        <f>VLOOKUP($AT12+$AT$11,$D$12:AH$33,31,0)</f>
        <v>23</v>
      </c>
      <c r="BO12" s="90" t="str">
        <f>VLOOKUP($AT12+$AT$11,$D$12:AK$35,34,0)</f>
        <v>13 - 4</v>
      </c>
      <c r="BP12" s="90">
        <f>VLOOKUP($AT12+$AT$11,$D$12:AL$35,35,0)</f>
        <v>9</v>
      </c>
      <c r="BS12" s="10" t="s">
        <v>36</v>
      </c>
      <c r="BT12" s="123">
        <v>0.1875</v>
      </c>
      <c r="BU12" s="123">
        <f t="shared" si="2"/>
        <v>2.0833333333333343E-2</v>
      </c>
      <c r="BV12" s="10" t="s">
        <v>63</v>
      </c>
      <c r="CA12" s="130">
        <f t="shared" si="119"/>
        <v>43.21</v>
      </c>
      <c r="CB12" s="130">
        <f t="shared" si="120"/>
        <v>42.79</v>
      </c>
      <c r="CC12" s="130">
        <f t="shared" si="121"/>
        <v>13.21</v>
      </c>
      <c r="CD12" s="130">
        <f t="shared" si="122"/>
        <v>12.79</v>
      </c>
      <c r="CE12" s="130">
        <f t="shared" si="123"/>
        <v>3.21</v>
      </c>
      <c r="CF12" s="130">
        <f t="shared" si="124"/>
        <v>2.79</v>
      </c>
      <c r="CG12" s="130">
        <f t="shared" si="125"/>
        <v>32.21</v>
      </c>
      <c r="CH12" s="130">
        <f t="shared" si="126"/>
        <v>31.79</v>
      </c>
      <c r="CI12" s="130">
        <f t="shared" si="127"/>
        <v>13.21</v>
      </c>
      <c r="CJ12" s="130">
        <f t="shared" si="128"/>
        <v>12.79</v>
      </c>
      <c r="CK12" s="130">
        <f t="shared" si="129"/>
        <v>19.21</v>
      </c>
      <c r="CL12" s="130">
        <f t="shared" si="130"/>
        <v>18.79</v>
      </c>
      <c r="CM12" s="130">
        <f t="shared" si="131"/>
        <v>5.21</v>
      </c>
      <c r="CN12" s="130">
        <f t="shared" si="132"/>
        <v>4.79</v>
      </c>
      <c r="CO12" s="130">
        <f t="shared" si="133"/>
        <v>11.21</v>
      </c>
      <c r="CP12" s="130">
        <f t="shared" si="134"/>
        <v>10.79</v>
      </c>
      <c r="CQ12" s="131"/>
      <c r="CR12" s="130">
        <f t="shared" si="360"/>
        <v>20.21</v>
      </c>
      <c r="CS12" s="130">
        <f t="shared" si="135"/>
        <v>19.79</v>
      </c>
      <c r="CT12" s="130">
        <f t="shared" si="361"/>
        <v>6.21</v>
      </c>
      <c r="CU12" s="130">
        <f t="shared" si="362"/>
        <v>5.79</v>
      </c>
      <c r="CV12" s="130">
        <f t="shared" si="363"/>
        <v>1.21</v>
      </c>
      <c r="CW12" s="130">
        <f t="shared" si="364"/>
        <v>0.79</v>
      </c>
      <c r="CX12" s="130">
        <f t="shared" si="365"/>
        <v>19.21</v>
      </c>
      <c r="CY12" s="130">
        <f t="shared" si="366"/>
        <v>18.79</v>
      </c>
      <c r="CZ12" s="130">
        <f t="shared" si="367"/>
        <v>9.2100000000000009</v>
      </c>
      <c r="DA12" s="130">
        <f t="shared" si="368"/>
        <v>8.7899999999999991</v>
      </c>
      <c r="DB12" s="130">
        <f t="shared" si="369"/>
        <v>10.210000000000001</v>
      </c>
      <c r="DC12" s="130">
        <f t="shared" si="370"/>
        <v>9.7899999999999991</v>
      </c>
      <c r="DD12" s="130">
        <f t="shared" si="371"/>
        <v>1.21</v>
      </c>
      <c r="DE12" s="130">
        <f t="shared" si="372"/>
        <v>0.79</v>
      </c>
      <c r="DF12" s="130">
        <f t="shared" si="373"/>
        <v>3.21</v>
      </c>
      <c r="DG12" s="130">
        <f t="shared" si="374"/>
        <v>2.79</v>
      </c>
      <c r="DI12" s="130">
        <f>IF($E12=0,-1+$AP12,AH12+$AP12)</f>
        <v>23.21</v>
      </c>
      <c r="DJ12" s="130">
        <f t="shared" si="136"/>
        <v>-0.21</v>
      </c>
      <c r="DK12" s="130">
        <f>IF($E12=0,-1+$AP12,AE12+$AP12)</f>
        <v>7.21</v>
      </c>
      <c r="DL12" s="130">
        <f t="shared" si="18"/>
        <v>6.79</v>
      </c>
      <c r="DM12" s="130">
        <f>IF($E12=0,-1+$AP12,AG12+$AP12)</f>
        <v>2.21</v>
      </c>
      <c r="DN12" s="130">
        <f>IF(DM12&lt;0,100000-$AP12,AG12-$AP12)</f>
        <v>1.79</v>
      </c>
      <c r="DO12" s="130">
        <f>IF($E12=0,-1+$AP12,AI12+$AP12)</f>
        <v>13.21</v>
      </c>
      <c r="DP12" s="130">
        <f>IF(DO12&lt;0,100000-$AP12,AI12-$AP12)</f>
        <v>12.79</v>
      </c>
      <c r="DQ12" s="130">
        <f>IF($E12=0,-1+$AP12,AJ12+$AP12)</f>
        <v>4.21</v>
      </c>
      <c r="DR12" s="130">
        <f>IF(DQ12&lt;0,100000-$AP12,AJ12-$AP12)</f>
        <v>3.79</v>
      </c>
      <c r="DS12" s="130">
        <f>IF($E12=0,-100000+$AP12,AL12+$AP12)</f>
        <v>9.2100000000000009</v>
      </c>
      <c r="DT12" s="130">
        <f>IF(DS12&lt;-50000,100000+$AP12,AL12-$AP12)</f>
        <v>8.7899999999999991</v>
      </c>
      <c r="DU12" s="130">
        <f>IF($E12=0,-1+$AP12,AM12+$AP12)</f>
        <v>4.21</v>
      </c>
      <c r="DV12" s="130">
        <f>IF(DU12&lt;0,100000-$AP12,AM12-$AP12)</f>
        <v>3.79</v>
      </c>
      <c r="DW12" s="130">
        <f>IF($E12=0,-1+$AP12,AN12+$AP12)</f>
        <v>8.2100000000000009</v>
      </c>
      <c r="DX12" s="130">
        <f>IF(DW12&lt;0,100000-$AP12,AN12-$AP12)</f>
        <v>7.79</v>
      </c>
      <c r="DY12" s="132"/>
      <c r="DZ12" s="115">
        <v>9</v>
      </c>
      <c r="EA12" s="115">
        <v>22</v>
      </c>
      <c r="EB12" s="10">
        <f t="shared" si="137"/>
        <v>14</v>
      </c>
      <c r="EC12" s="10">
        <f t="shared" si="138"/>
        <v>14</v>
      </c>
      <c r="ED12" s="10">
        <f t="shared" si="139"/>
        <v>14</v>
      </c>
      <c r="EE12" s="10">
        <f t="shared" si="140"/>
        <v>13</v>
      </c>
      <c r="EF12" s="10">
        <f t="shared" si="141"/>
        <v>3</v>
      </c>
      <c r="EG12" s="10">
        <f t="shared" si="142"/>
        <v>3</v>
      </c>
      <c r="EH12" s="10">
        <f t="shared" si="143"/>
        <v>2</v>
      </c>
      <c r="EI12" s="10">
        <f t="shared" si="144"/>
        <v>15</v>
      </c>
      <c r="EJ12" s="10">
        <f t="shared" si="145"/>
        <v>3</v>
      </c>
      <c r="EK12" s="10">
        <f t="shared" si="146"/>
        <v>2</v>
      </c>
      <c r="EL12" s="10">
        <f t="shared" si="147"/>
        <v>2</v>
      </c>
      <c r="EM12" s="10">
        <f t="shared" si="148"/>
        <v>3</v>
      </c>
      <c r="EN12" s="10">
        <f t="shared" si="149"/>
        <v>14</v>
      </c>
      <c r="EO12" s="10">
        <f t="shared" si="150"/>
        <v>12</v>
      </c>
      <c r="EP12" s="10">
        <f t="shared" si="151"/>
        <v>4</v>
      </c>
      <c r="EQ12" s="10">
        <f t="shared" si="152"/>
        <v>3</v>
      </c>
      <c r="ES12" s="10">
        <f t="shared" si="153"/>
        <v>13</v>
      </c>
      <c r="ET12" s="10">
        <f t="shared" si="154"/>
        <v>4</v>
      </c>
      <c r="EU12" s="10">
        <f t="shared" si="155"/>
        <v>6</v>
      </c>
      <c r="EV12" s="10">
        <f t="shared" si="154"/>
        <v>4</v>
      </c>
      <c r="EW12" s="10">
        <f t="shared" si="156"/>
        <v>1</v>
      </c>
      <c r="EX12" s="10">
        <f t="shared" si="157"/>
        <v>2</v>
      </c>
      <c r="EY12" s="10">
        <f t="shared" si="158"/>
        <v>4</v>
      </c>
      <c r="EZ12" s="10">
        <f t="shared" si="159"/>
        <v>3</v>
      </c>
      <c r="FA12" s="10">
        <f t="shared" si="160"/>
        <v>9</v>
      </c>
      <c r="FB12" s="10">
        <f t="shared" si="161"/>
        <v>9</v>
      </c>
      <c r="FC12" s="10">
        <f t="shared" si="162"/>
        <v>4</v>
      </c>
      <c r="FD12" s="10">
        <f t="shared" si="163"/>
        <v>14</v>
      </c>
      <c r="FE12" s="10">
        <f t="shared" si="164"/>
        <v>3</v>
      </c>
      <c r="FF12" s="10">
        <f t="shared" si="165"/>
        <v>14</v>
      </c>
      <c r="FG12" s="10">
        <f t="shared" si="166"/>
        <v>14</v>
      </c>
      <c r="FH12" s="10">
        <f t="shared" si="167"/>
        <v>11</v>
      </c>
      <c r="FJ12" s="10">
        <f t="shared" si="168"/>
        <v>5</v>
      </c>
      <c r="FK12" s="10">
        <f t="shared" si="169"/>
        <v>9</v>
      </c>
      <c r="FL12" s="10">
        <f t="shared" si="170"/>
        <v>14</v>
      </c>
      <c r="FM12" s="10">
        <f t="shared" si="171"/>
        <v>2</v>
      </c>
      <c r="FN12" s="10">
        <f t="shared" si="172"/>
        <v>10</v>
      </c>
      <c r="FO12" s="10">
        <f t="shared" si="173"/>
        <v>13</v>
      </c>
      <c r="FP12" s="10">
        <f t="shared" si="174"/>
        <v>7</v>
      </c>
      <c r="FQ12" s="10">
        <f t="shared" si="175"/>
        <v>10</v>
      </c>
      <c r="FR12" s="10">
        <f t="shared" si="176"/>
        <v>5</v>
      </c>
      <c r="FS12" s="10">
        <f t="shared" si="177"/>
        <v>12</v>
      </c>
      <c r="FT12" s="10">
        <f t="shared" si="178"/>
        <v>16</v>
      </c>
      <c r="FU12" s="10">
        <f t="shared" si="179"/>
        <v>16</v>
      </c>
      <c r="FV12" s="10">
        <f t="shared" si="180"/>
        <v>16</v>
      </c>
      <c r="FW12" s="10">
        <f t="shared" si="181"/>
        <v>3</v>
      </c>
      <c r="FX12" s="10">
        <f t="shared" si="182"/>
        <v>13</v>
      </c>
      <c r="FY12" s="10">
        <f t="shared" si="183"/>
        <v>6</v>
      </c>
      <c r="GA12" s="10">
        <f>IF(lg!$C$18=1,EB12,IF(lg!$C$18=2,ES12,FJ12))</f>
        <v>14</v>
      </c>
      <c r="GB12" s="10">
        <f>IF(lg!$C$18=1,EC12,IF(lg!$C$18=2,ET12,FK12))</f>
        <v>14</v>
      </c>
      <c r="GC12" s="10">
        <f>IF(lg!$C$18=1,ED12,IF(lg!$C$18=2,EU12,FL12))</f>
        <v>14</v>
      </c>
      <c r="GD12" s="10">
        <f>IF(lg!$C$18=1,EE12,IF(lg!$C$18=2,EV12,FM12))</f>
        <v>13</v>
      </c>
      <c r="GE12" s="10">
        <f>IF(lg!$C$18=1,EF12,IF(lg!$C$18=2,EW12,FN12))</f>
        <v>3</v>
      </c>
      <c r="GF12" s="10">
        <f>IF(lg!$C$18=1,EG12,IF(lg!$C$18=2,EX12,FO12))</f>
        <v>3</v>
      </c>
      <c r="GG12" s="10">
        <f>IF(lg!$C$18=1,EH12,IF(lg!$C$18=2,EY12,FP12))</f>
        <v>2</v>
      </c>
      <c r="GH12" s="10">
        <f>IF(lg!$C$18=1,EI12,IF(lg!$C$18=2,EZ12,FQ12))</f>
        <v>15</v>
      </c>
      <c r="GI12" s="10">
        <f>IF(lg!$C$18=1,EJ12,IF(lg!$C$18=2,FA12,FR12))</f>
        <v>3</v>
      </c>
      <c r="GJ12" s="10">
        <f>IF(lg!$C$18=1,EK12,IF(lg!$C$18=2,FB12,FS12))</f>
        <v>2</v>
      </c>
      <c r="GK12" s="10">
        <f>IF(lg!$C$18=1,EL12,IF(lg!$C$18=2,FC12,FT12))</f>
        <v>2</v>
      </c>
      <c r="GL12" s="10">
        <f>IF(lg!$C$18=1,EM12,IF(lg!$C$18=2,FD12,FU12))</f>
        <v>3</v>
      </c>
      <c r="GM12" s="10">
        <f>IF(lg!$C$18=1,EN12,IF(lg!$C$18=2,FE12,FV12))</f>
        <v>14</v>
      </c>
      <c r="GN12" s="10">
        <f>IF(lg!$C$18=1,EO12,IF(lg!$C$18=2,FF12,FW12))</f>
        <v>12</v>
      </c>
      <c r="GO12" s="10">
        <f>IF(lg!$C$18=1,EP12,IF(lg!$C$18=2,FG12,FX12))</f>
        <v>4</v>
      </c>
      <c r="GP12" s="10">
        <f>IF(lg!$C$18=1,EQ12,IF(lg!$C$18=2,FH12,FY12))</f>
        <v>3</v>
      </c>
      <c r="GR12" s="10" t="str">
        <f t="shared" si="184"/>
        <v>San Jose</v>
      </c>
      <c r="GS12" s="10" t="str">
        <f t="shared" si="31"/>
        <v>San Jose</v>
      </c>
      <c r="GT12" s="10" t="str">
        <f t="shared" si="32"/>
        <v>San Jose</v>
      </c>
      <c r="GU12" s="10" t="str">
        <f t="shared" si="33"/>
        <v>Colorado</v>
      </c>
      <c r="GV12" s="10" t="str">
        <f t="shared" si="34"/>
        <v>Toronto FC</v>
      </c>
      <c r="GW12" s="10" t="str">
        <f t="shared" si="35"/>
        <v>Toronto FC</v>
      </c>
      <c r="GX12" s="10" t="str">
        <f t="shared" si="36"/>
        <v>New York Red Bulls</v>
      </c>
      <c r="GY12" s="10" t="str">
        <f t="shared" si="37"/>
        <v>Houston</v>
      </c>
      <c r="GZ12" s="10" t="str">
        <f t="shared" si="38"/>
        <v>Toronto FC</v>
      </c>
      <c r="HA12" s="10" t="str">
        <f t="shared" si="39"/>
        <v>New York Red Bulls</v>
      </c>
      <c r="HB12" s="10" t="str">
        <f t="shared" si="40"/>
        <v>New York Red Bulls</v>
      </c>
      <c r="HC12" s="10" t="str">
        <f t="shared" si="41"/>
        <v>Toronto FC</v>
      </c>
      <c r="HD12" s="10" t="str">
        <f t="shared" si="42"/>
        <v>San Jose</v>
      </c>
      <c r="HE12" s="10" t="str">
        <f t="shared" si="43"/>
        <v>Seattle Sounders FC</v>
      </c>
      <c r="HF12" s="10" t="str">
        <f t="shared" si="44"/>
        <v>New England</v>
      </c>
      <c r="HG12" s="10" t="str">
        <f t="shared" si="45"/>
        <v>Toronto FC</v>
      </c>
      <c r="HI12" s="10">
        <v>9</v>
      </c>
      <c r="HJ12" s="115">
        <f>IF(lg!$C$18=1,F12,IF(lg!$C$18=2,R12,AD12))</f>
        <v>20</v>
      </c>
      <c r="HK12" s="115">
        <f>IF(lg!$C$18=1,G12,IF(lg!$C$18=2,S12,AE12))</f>
        <v>13</v>
      </c>
      <c r="HL12" s="115">
        <f>IF(lg!$C$18=1,H12,IF(lg!$C$18=2,T12,AF12))</f>
        <v>4</v>
      </c>
      <c r="HM12" s="115">
        <f>IF(lg!$C$18=1,I12,IF(lg!$C$18=2,U12,AG12))</f>
        <v>3</v>
      </c>
      <c r="HN12" s="115">
        <f>IF(lg!$C$18=1,J12,IF(lg!$C$18=2,V12,AH12))</f>
        <v>43</v>
      </c>
      <c r="HO12" s="115">
        <f>IF(lg!$C$18=1,K12,IF(lg!$C$18=2,W12,AI12))</f>
        <v>32</v>
      </c>
      <c r="HP12" s="115">
        <f>IF(lg!$C$18=1,L12,IF(lg!$C$18=2,X12,AJ12))</f>
        <v>13</v>
      </c>
      <c r="HQ12" s="115" t="str">
        <f>IF(lg!$C$18=1,M12,IF(lg!$C$18=2,Y12,AK12))</f>
        <v>32 - 13</v>
      </c>
      <c r="HR12" s="115">
        <f>IF(lg!$C$18=1,N12,IF(lg!$C$18=2,Z12,AL12))</f>
        <v>19</v>
      </c>
      <c r="HS12" s="115">
        <f>IF(lg!$C$18=1,O12,IF(lg!$C$18=2,AA12,AM12))</f>
        <v>5</v>
      </c>
      <c r="HT12" s="115">
        <f>IF(lg!$C$18=1,P12,IF(lg!$C$18=2,AB12,AN12))</f>
        <v>11</v>
      </c>
      <c r="HV12" s="115">
        <f t="shared" si="185"/>
        <v>26</v>
      </c>
      <c r="HW12" s="115">
        <f t="shared" si="186"/>
        <v>26</v>
      </c>
      <c r="HX12" s="115">
        <f t="shared" si="187"/>
        <v>7</v>
      </c>
      <c r="HY12" s="115">
        <f t="shared" si="188"/>
        <v>7</v>
      </c>
      <c r="HZ12" s="115">
        <f t="shared" si="189"/>
        <v>7</v>
      </c>
      <c r="IA12" s="115">
        <f t="shared" si="190"/>
        <v>7</v>
      </c>
      <c r="IB12" s="115">
        <f t="shared" si="191"/>
        <v>21</v>
      </c>
      <c r="IC12" s="115">
        <f t="shared" si="192"/>
        <v>22</v>
      </c>
      <c r="ID12" s="115">
        <f t="shared" si="193"/>
        <v>21</v>
      </c>
      <c r="IE12" s="115">
        <f t="shared" si="194"/>
        <v>22</v>
      </c>
      <c r="IF12" s="115">
        <f t="shared" si="195"/>
        <v>-1</v>
      </c>
      <c r="IG12" s="115">
        <f t="shared" si="196"/>
        <v>0</v>
      </c>
      <c r="IH12" s="115">
        <f t="shared" si="197"/>
        <v>6</v>
      </c>
      <c r="II12" s="115">
        <f t="shared" si="198"/>
        <v>6</v>
      </c>
      <c r="IJ12" s="115">
        <f t="shared" si="199"/>
        <v>5</v>
      </c>
      <c r="IK12" s="115">
        <f t="shared" si="200"/>
        <v>6</v>
      </c>
      <c r="IN12" s="77" t="s">
        <v>127</v>
      </c>
      <c r="IO12" s="36" t="s">
        <v>8</v>
      </c>
      <c r="IP12" s="67">
        <f>VLOOKUP('ef-TeamStats'!B2,Table!$B$4:$W$23,13,0)</f>
        <v>20</v>
      </c>
      <c r="IQ12" s="133">
        <f>VLOOKUP('ef-TeamStats'!$B$2,Table!$B$4:$W$23,9,0)</f>
        <v>9</v>
      </c>
      <c r="IR12" s="134">
        <f t="shared" si="47"/>
        <v>2.2222222222222223</v>
      </c>
      <c r="IS12" s="133">
        <f>MATCH('ef-TeamStats'!$B$2,$JS$4:$JS$33,0)</f>
        <v>1</v>
      </c>
      <c r="IT12" s="67"/>
      <c r="IU12" s="36" t="s">
        <v>8</v>
      </c>
      <c r="IV12" s="67">
        <f>VLOOKUP('ef-TeamStats'!G2,Table!$B$4:$W$23,13,0)</f>
        <v>18</v>
      </c>
      <c r="IW12" s="133">
        <f>VLOOKUP('ef-TeamStats'!$G$2,Table!$B$4:$W$23,9,0)</f>
        <v>9</v>
      </c>
      <c r="IX12" s="134">
        <f t="shared" si="48"/>
        <v>2</v>
      </c>
      <c r="IY12" s="133">
        <f>MATCH('ef-TeamStats'!$G$2,$JS$4:$JS$33,0)</f>
        <v>4</v>
      </c>
      <c r="JB12" s="10">
        <f>IF(lg!$F$18=1,EB12,IF(lg!$F$18=2,ES12,FJ12))</f>
        <v>14</v>
      </c>
      <c r="JC12" s="10">
        <f>IF(lg!$F$18=1,EC12,IF(lg!$F$18=2,ET12,FK12))</f>
        <v>14</v>
      </c>
      <c r="JD12" s="10">
        <f>IF(lg!$F$18=1,ED12,IF(lg!$F$18=2,EU12,FL12))</f>
        <v>14</v>
      </c>
      <c r="JE12" s="10">
        <f>IF(lg!$F$18=1,EE12,IF(lg!$F$18=2,EV12,FM12))</f>
        <v>13</v>
      </c>
      <c r="JF12" s="10">
        <f>IF(lg!$F$18=1,EF12,IF(lg!$F$18=2,EW12,FN12))</f>
        <v>3</v>
      </c>
      <c r="JG12" s="10">
        <f>IF(lg!$F$18=1,EG12,IF(lg!$F$18=2,EX12,FO12))</f>
        <v>3</v>
      </c>
      <c r="JH12" s="10">
        <f>IF(lg!$F$18=1,EH12,IF(lg!$F$18=2,EY12,FP12))</f>
        <v>2</v>
      </c>
      <c r="JI12" s="10">
        <f>IF(lg!$F$18=1,EI12,IF(lg!$F$18=2,EZ12,FQ12))</f>
        <v>15</v>
      </c>
      <c r="JJ12" s="10">
        <f>IF(lg!$F$18=1,EJ12,IF(lg!$F$18=2,FA12,FR12))</f>
        <v>3</v>
      </c>
      <c r="JK12" s="10">
        <f>IF(lg!$F$18=1,EK12,IF(lg!$F$18=2,FB12,FS12))</f>
        <v>2</v>
      </c>
      <c r="JL12" s="10">
        <f>IF(lg!$F$18=1,EL12,IF(lg!$F$18=2,FC12,FT12))</f>
        <v>2</v>
      </c>
      <c r="JM12" s="10">
        <f>IF(lg!$F$18=1,EM12,IF(lg!$F$18=2,FD12,FU12))</f>
        <v>3</v>
      </c>
      <c r="JN12" s="10">
        <f>IF(lg!$F$18=1,EN12,IF(lg!$F$18=2,FE12,FV12))</f>
        <v>14</v>
      </c>
      <c r="JO12" s="10">
        <f>IF(lg!$F$18=1,EO12,IF(lg!$F$18=2,FF12,FW12))</f>
        <v>12</v>
      </c>
      <c r="JP12" s="10">
        <f>IF(lg!$F$18=1,EP12,IF(lg!$F$18=2,FG12,FX12))</f>
        <v>4</v>
      </c>
      <c r="JQ12" s="10">
        <f>IF(lg!$F$18=1,EQ12,IF(lg!$F$18=2,FH12,FY12))</f>
        <v>3</v>
      </c>
      <c r="JS12" s="10" t="str">
        <f t="shared" si="201"/>
        <v>San Jose</v>
      </c>
      <c r="JT12" s="10" t="str">
        <f t="shared" si="49"/>
        <v>San Jose</v>
      </c>
      <c r="JU12" s="10" t="str">
        <f t="shared" si="50"/>
        <v>San Jose</v>
      </c>
      <c r="JV12" s="10" t="str">
        <f t="shared" si="51"/>
        <v>Colorado</v>
      </c>
      <c r="JW12" s="10" t="str">
        <f t="shared" si="52"/>
        <v>Toronto FC</v>
      </c>
      <c r="JX12" s="10" t="str">
        <f t="shared" si="53"/>
        <v>Toronto FC</v>
      </c>
      <c r="JY12" s="10" t="str">
        <f t="shared" si="54"/>
        <v>New York Red Bulls</v>
      </c>
      <c r="JZ12" s="10" t="str">
        <f t="shared" si="55"/>
        <v>Houston</v>
      </c>
      <c r="KA12" s="10" t="str">
        <f t="shared" si="56"/>
        <v>Toronto FC</v>
      </c>
      <c r="KB12" s="10" t="str">
        <f t="shared" si="57"/>
        <v>New York Red Bulls</v>
      </c>
      <c r="KC12" s="10" t="str">
        <f t="shared" si="58"/>
        <v>New York Red Bulls</v>
      </c>
      <c r="KD12" s="10" t="str">
        <f t="shared" si="59"/>
        <v>Toronto FC</v>
      </c>
      <c r="KE12" s="10" t="str">
        <f t="shared" si="60"/>
        <v>San Jose</v>
      </c>
      <c r="KF12" s="10" t="str">
        <f t="shared" si="61"/>
        <v>Seattle Sounders FC</v>
      </c>
      <c r="KG12" s="10" t="str">
        <f t="shared" si="62"/>
        <v>New England</v>
      </c>
      <c r="KH12" s="10" t="str">
        <f t="shared" si="63"/>
        <v>Toronto FC</v>
      </c>
      <c r="KL12" s="27">
        <v>0.22</v>
      </c>
      <c r="KM12" s="29">
        <v>9</v>
      </c>
      <c r="KN12" s="31" t="str">
        <f t="shared" si="202"/>
        <v>Los Angeles</v>
      </c>
      <c r="KO12" s="152">
        <f t="shared" si="203"/>
        <v>3</v>
      </c>
      <c r="KP12" s="152">
        <f t="shared" si="204"/>
        <v>1</v>
      </c>
      <c r="KQ12" s="152">
        <f t="shared" si="205"/>
        <v>0</v>
      </c>
      <c r="KR12" s="28">
        <f t="shared" si="206"/>
        <v>1000300010001.22</v>
      </c>
      <c r="KS12" s="29"/>
      <c r="KT12" s="28"/>
      <c r="KU12" s="29">
        <f>RANK(KR12,KR$12:KR$19)</f>
        <v>3</v>
      </c>
      <c r="KV12" s="152">
        <f t="shared" si="207"/>
        <v>6</v>
      </c>
      <c r="KW12" s="152">
        <f t="shared" si="208"/>
        <v>3</v>
      </c>
      <c r="KX12" s="152">
        <f t="shared" si="209"/>
        <v>0</v>
      </c>
      <c r="KY12" s="28">
        <f t="shared" si="210"/>
        <v>1000600030003.22</v>
      </c>
      <c r="KZ12" s="29"/>
      <c r="LA12" s="28"/>
      <c r="LB12" s="29">
        <f>RANK(KY12,KY$12:KY$19)</f>
        <v>1</v>
      </c>
      <c r="LC12" s="152">
        <f t="shared" si="211"/>
        <v>9</v>
      </c>
      <c r="LD12" s="152">
        <f t="shared" si="212"/>
        <v>5</v>
      </c>
      <c r="LE12" s="152">
        <f t="shared" si="213"/>
        <v>0</v>
      </c>
      <c r="LF12" s="28">
        <f t="shared" si="214"/>
        <v>1000900050005.22</v>
      </c>
      <c r="LG12" s="29"/>
      <c r="LH12" s="28"/>
      <c r="LI12" s="29">
        <f>RANK(LF12,LF$12:LF$19)</f>
        <v>1</v>
      </c>
      <c r="LJ12" s="152">
        <f t="shared" si="215"/>
        <v>12</v>
      </c>
      <c r="LK12" s="152">
        <f t="shared" si="216"/>
        <v>7</v>
      </c>
      <c r="LL12" s="152">
        <f t="shared" si="217"/>
        <v>1</v>
      </c>
      <c r="LM12" s="28">
        <f t="shared" si="218"/>
        <v>1001200060007.22</v>
      </c>
      <c r="LN12" s="29"/>
      <c r="LO12" s="28"/>
      <c r="LP12" s="29">
        <f>RANK(LM12,LM$12:LM$19)</f>
        <v>1</v>
      </c>
      <c r="LQ12" s="152">
        <f t="shared" si="219"/>
        <v>13</v>
      </c>
      <c r="LR12" s="152">
        <f t="shared" si="220"/>
        <v>7</v>
      </c>
      <c r="LS12" s="152">
        <f t="shared" si="221"/>
        <v>1</v>
      </c>
      <c r="LT12" s="28">
        <f t="shared" si="222"/>
        <v>1001300060007.22</v>
      </c>
      <c r="LU12" s="29"/>
      <c r="LV12" s="28"/>
      <c r="LW12" s="29">
        <f>RANK(LT12,LT$12:LT$19)</f>
        <v>1</v>
      </c>
      <c r="LX12" s="152">
        <f t="shared" si="223"/>
        <v>16</v>
      </c>
      <c r="LY12" s="152">
        <f t="shared" si="224"/>
        <v>10</v>
      </c>
      <c r="LZ12" s="152">
        <f t="shared" si="225"/>
        <v>2</v>
      </c>
      <c r="MA12" s="28">
        <f t="shared" si="226"/>
        <v>1001600080010.22</v>
      </c>
      <c r="MB12" s="29"/>
      <c r="MC12" s="28"/>
      <c r="MD12" s="29">
        <f>RANK(MA12,MA$12:MA$19)</f>
        <v>1</v>
      </c>
      <c r="ME12" s="152">
        <f t="shared" si="227"/>
        <v>19</v>
      </c>
      <c r="MF12" s="152">
        <f t="shared" si="228"/>
        <v>11</v>
      </c>
      <c r="MG12" s="152">
        <f t="shared" si="229"/>
        <v>2</v>
      </c>
      <c r="MH12" s="28">
        <f t="shared" si="230"/>
        <v>1001900090011.22</v>
      </c>
      <c r="MI12" s="29"/>
      <c r="MJ12" s="28"/>
      <c r="MK12" s="29">
        <f>RANK(MH12,MH$12:MH$19)</f>
        <v>1</v>
      </c>
      <c r="ML12" s="152">
        <f t="shared" si="231"/>
        <v>22</v>
      </c>
      <c r="MM12" s="152">
        <f t="shared" si="232"/>
        <v>15</v>
      </c>
      <c r="MN12" s="152">
        <f t="shared" si="233"/>
        <v>2</v>
      </c>
      <c r="MO12" s="28">
        <f t="shared" si="234"/>
        <v>1002200130015.22</v>
      </c>
      <c r="MP12" s="29"/>
      <c r="MQ12" s="28"/>
      <c r="MR12" s="29">
        <f>RANK(MO12,MO$12:MO$19)</f>
        <v>1</v>
      </c>
      <c r="MS12" s="152">
        <f t="shared" si="235"/>
        <v>23</v>
      </c>
      <c r="MT12" s="152">
        <f t="shared" si="236"/>
        <v>15</v>
      </c>
      <c r="MU12" s="152">
        <f t="shared" si="237"/>
        <v>2</v>
      </c>
      <c r="MV12" s="28">
        <f t="shared" si="238"/>
        <v>1002300130015.22</v>
      </c>
      <c r="MW12" s="29"/>
      <c r="MX12" s="28"/>
      <c r="MY12" s="29">
        <f>RANK(MV12,MV$12:MV$19)</f>
        <v>1</v>
      </c>
      <c r="MZ12" s="152">
        <f t="shared" si="239"/>
        <v>26</v>
      </c>
      <c r="NA12" s="152">
        <f t="shared" si="240"/>
        <v>16</v>
      </c>
      <c r="NB12" s="152">
        <f t="shared" si="241"/>
        <v>2</v>
      </c>
      <c r="NC12" s="28">
        <f t="shared" si="242"/>
        <v>1002600140016.22</v>
      </c>
      <c r="ND12" s="29"/>
      <c r="NE12" s="28"/>
      <c r="NF12" s="29">
        <f>RANK(NC12,NC$12:NC$19)</f>
        <v>1</v>
      </c>
      <c r="NG12" s="152">
        <f t="shared" si="243"/>
        <v>29</v>
      </c>
      <c r="NH12" s="152">
        <f t="shared" si="244"/>
        <v>18</v>
      </c>
      <c r="NI12" s="152">
        <f t="shared" si="245"/>
        <v>2</v>
      </c>
      <c r="NJ12" s="28">
        <f t="shared" si="246"/>
        <v>1002900160018.22</v>
      </c>
      <c r="NK12" s="29"/>
      <c r="NL12" s="28"/>
      <c r="NM12" s="29">
        <f>RANK(NJ12,NJ$12:NJ$19)</f>
        <v>1</v>
      </c>
      <c r="NN12" s="152">
        <f t="shared" si="247"/>
        <v>32</v>
      </c>
      <c r="NO12" s="152">
        <f t="shared" si="248"/>
        <v>22</v>
      </c>
      <c r="NP12" s="152">
        <f t="shared" si="249"/>
        <v>3</v>
      </c>
      <c r="NQ12" s="28">
        <f t="shared" si="250"/>
        <v>1003200190022.22</v>
      </c>
      <c r="NR12" s="29"/>
      <c r="NS12" s="28"/>
      <c r="NT12" s="29">
        <f>RANK(NQ12,NQ$12:NQ$19)</f>
        <v>1</v>
      </c>
      <c r="NU12" s="152">
        <f t="shared" si="251"/>
        <v>32</v>
      </c>
      <c r="NV12" s="152">
        <f t="shared" si="252"/>
        <v>22</v>
      </c>
      <c r="NW12" s="152">
        <f t="shared" si="253"/>
        <v>4</v>
      </c>
      <c r="NX12" s="28">
        <f t="shared" si="254"/>
        <v>1003200180022.22</v>
      </c>
      <c r="NY12" s="29"/>
      <c r="NZ12" s="28"/>
      <c r="OA12" s="29">
        <f>RANK(NX12,NX$12:NX$19)</f>
        <v>1</v>
      </c>
      <c r="OB12" s="152">
        <f t="shared" si="255"/>
        <v>33</v>
      </c>
      <c r="OC12" s="152">
        <f t="shared" si="256"/>
        <v>22</v>
      </c>
      <c r="OD12" s="152">
        <f t="shared" si="257"/>
        <v>4</v>
      </c>
      <c r="OE12" s="28">
        <f t="shared" si="258"/>
        <v>1003300180022.22</v>
      </c>
      <c r="OF12" s="29"/>
      <c r="OG12" s="28"/>
      <c r="OH12" s="29">
        <f>RANK(OE12,OE$12:OE$19)</f>
        <v>1</v>
      </c>
      <c r="OI12" s="152">
        <f t="shared" si="259"/>
        <v>36</v>
      </c>
      <c r="OJ12" s="152">
        <f t="shared" si="260"/>
        <v>25</v>
      </c>
      <c r="OK12" s="152">
        <f t="shared" si="261"/>
        <v>5</v>
      </c>
      <c r="OL12" s="28">
        <f t="shared" si="262"/>
        <v>1003600200025.22</v>
      </c>
      <c r="OM12" s="29"/>
      <c r="ON12" s="28"/>
      <c r="OO12" s="29">
        <f>RANK(OL12,OL$12:OL$19)</f>
        <v>1</v>
      </c>
      <c r="OP12" s="152">
        <f t="shared" si="263"/>
        <v>36</v>
      </c>
      <c r="OQ12" s="152">
        <f t="shared" si="264"/>
        <v>25</v>
      </c>
      <c r="OR12" s="152">
        <f t="shared" si="265"/>
        <v>7</v>
      </c>
      <c r="OS12" s="28">
        <f t="shared" si="266"/>
        <v>1003600180025.22</v>
      </c>
      <c r="OT12" s="29"/>
      <c r="OU12" s="28"/>
      <c r="OV12" s="29">
        <f>RANK(OS12,OS$12:OS$19)</f>
        <v>1</v>
      </c>
      <c r="OW12" s="152">
        <f t="shared" si="267"/>
        <v>39</v>
      </c>
      <c r="OX12" s="152">
        <f t="shared" si="268"/>
        <v>27</v>
      </c>
      <c r="OY12" s="152">
        <f t="shared" si="269"/>
        <v>8</v>
      </c>
      <c r="OZ12" s="28">
        <f t="shared" si="270"/>
        <v>1003900190027.22</v>
      </c>
      <c r="PA12" s="29"/>
      <c r="PB12" s="28"/>
      <c r="PC12" s="29">
        <f>RANK(OZ12,OZ$12:OZ$19)</f>
        <v>1</v>
      </c>
      <c r="PD12" s="152">
        <f t="shared" si="271"/>
        <v>40</v>
      </c>
      <c r="PE12" s="152">
        <f t="shared" si="272"/>
        <v>29</v>
      </c>
      <c r="PF12" s="152">
        <f t="shared" si="273"/>
        <v>10</v>
      </c>
      <c r="PG12" s="28">
        <f t="shared" si="274"/>
        <v>1004000190029.22</v>
      </c>
      <c r="PH12" s="29"/>
      <c r="PI12" s="28"/>
      <c r="PJ12" s="29">
        <f>RANK(PG12,PG$12:PG$19)</f>
        <v>1</v>
      </c>
      <c r="PK12" s="152">
        <f t="shared" si="275"/>
        <v>40</v>
      </c>
      <c r="PL12" s="152">
        <f t="shared" si="276"/>
        <v>31</v>
      </c>
      <c r="PM12" s="152">
        <f t="shared" si="277"/>
        <v>13</v>
      </c>
      <c r="PN12" s="28">
        <f t="shared" si="278"/>
        <v>1004000180031.22</v>
      </c>
      <c r="PO12" s="29"/>
      <c r="PP12" s="28"/>
      <c r="PQ12" s="29">
        <f>RANK(PN12,PN$12:PN$19)</f>
        <v>1</v>
      </c>
      <c r="PR12" s="152">
        <f t="shared" si="279"/>
        <v>43</v>
      </c>
      <c r="PS12" s="152">
        <f t="shared" si="280"/>
        <v>32</v>
      </c>
      <c r="PT12" s="152">
        <f t="shared" si="281"/>
        <v>13</v>
      </c>
      <c r="PU12" s="28">
        <f t="shared" si="282"/>
        <v>1004300190032.22</v>
      </c>
      <c r="PV12" s="29"/>
      <c r="PW12" s="28"/>
      <c r="PX12" s="29">
        <f>RANK(PU12,PU$12:PU$19)</f>
        <v>1</v>
      </c>
      <c r="PY12" s="152">
        <f t="shared" si="283"/>
        <v>43</v>
      </c>
      <c r="PZ12" s="152">
        <f t="shared" si="284"/>
        <v>32</v>
      </c>
      <c r="QA12" s="152">
        <f t="shared" si="285"/>
        <v>13</v>
      </c>
      <c r="QB12" s="28">
        <f t="shared" si="286"/>
        <v>1004300190032.22</v>
      </c>
      <c r="QC12" s="29"/>
      <c r="QD12" s="28"/>
      <c r="QE12" s="29">
        <f>RANK(QB12,QB$12:QB$19)</f>
        <v>1</v>
      </c>
      <c r="QF12" s="152">
        <f t="shared" si="287"/>
        <v>43</v>
      </c>
      <c r="QG12" s="152">
        <f t="shared" si="288"/>
        <v>32</v>
      </c>
      <c r="QH12" s="152">
        <f t="shared" si="289"/>
        <v>13</v>
      </c>
      <c r="QI12" s="28">
        <f t="shared" si="290"/>
        <v>1004300190032.22</v>
      </c>
      <c r="QJ12" s="29"/>
      <c r="QK12" s="28"/>
      <c r="QL12" s="29">
        <f>RANK(QI12,QI$12:QI$19)</f>
        <v>1</v>
      </c>
      <c r="QM12" s="152">
        <f t="shared" si="291"/>
        <v>43</v>
      </c>
      <c r="QN12" s="152">
        <f t="shared" si="292"/>
        <v>32</v>
      </c>
      <c r="QO12" s="152">
        <f t="shared" si="293"/>
        <v>13</v>
      </c>
      <c r="QP12" s="28">
        <f t="shared" si="294"/>
        <v>1004300190032.22</v>
      </c>
      <c r="QQ12" s="29"/>
      <c r="QR12" s="28"/>
      <c r="QS12" s="29">
        <f>RANK(QP12,QP$12:QP$19)</f>
        <v>1</v>
      </c>
      <c r="QT12" s="152">
        <f t="shared" si="295"/>
        <v>43</v>
      </c>
      <c r="QU12" s="152">
        <f t="shared" si="296"/>
        <v>32</v>
      </c>
      <c r="QV12" s="152">
        <f t="shared" si="297"/>
        <v>13</v>
      </c>
      <c r="QW12" s="28">
        <f t="shared" si="298"/>
        <v>1004300190032.22</v>
      </c>
      <c r="QX12" s="29"/>
      <c r="QY12" s="28"/>
      <c r="QZ12" s="29">
        <f>RANK(QW12,QW$12:QW$19)</f>
        <v>1</v>
      </c>
      <c r="RA12" s="152">
        <f t="shared" si="299"/>
        <v>43</v>
      </c>
      <c r="RB12" s="152">
        <f t="shared" si="300"/>
        <v>32</v>
      </c>
      <c r="RC12" s="152">
        <f t="shared" si="301"/>
        <v>13</v>
      </c>
      <c r="RD12" s="28">
        <f t="shared" si="302"/>
        <v>1004300190032.22</v>
      </c>
      <c r="RE12" s="29"/>
      <c r="RF12" s="28"/>
      <c r="RG12" s="29">
        <f>RANK(RD12,RD$12:RD$19)</f>
        <v>1</v>
      </c>
      <c r="RH12" s="152">
        <f t="shared" si="303"/>
        <v>43</v>
      </c>
      <c r="RI12" s="152">
        <f t="shared" si="304"/>
        <v>32</v>
      </c>
      <c r="RJ12" s="152">
        <f t="shared" si="305"/>
        <v>13</v>
      </c>
      <c r="RK12" s="28">
        <f t="shared" si="306"/>
        <v>1004300190032.22</v>
      </c>
      <c r="RL12" s="29"/>
      <c r="RM12" s="28"/>
      <c r="RN12" s="29">
        <f>RANK(RK12,RK$12:RK$19)</f>
        <v>1</v>
      </c>
      <c r="RO12" s="152">
        <f t="shared" si="307"/>
        <v>43</v>
      </c>
      <c r="RP12" s="152">
        <f t="shared" si="308"/>
        <v>32</v>
      </c>
      <c r="RQ12" s="152">
        <f t="shared" si="309"/>
        <v>13</v>
      </c>
      <c r="RR12" s="28">
        <f t="shared" si="310"/>
        <v>1004300190032.22</v>
      </c>
      <c r="RS12" s="29"/>
      <c r="RT12" s="28"/>
      <c r="RU12" s="29">
        <f>RANK(RR12,RR$12:RR$19)</f>
        <v>1</v>
      </c>
      <c r="RV12" s="152">
        <f t="shared" si="311"/>
        <v>43</v>
      </c>
      <c r="RW12" s="152">
        <f t="shared" si="312"/>
        <v>32</v>
      </c>
      <c r="RX12" s="152">
        <f t="shared" si="313"/>
        <v>13</v>
      </c>
      <c r="RY12" s="28">
        <f t="shared" si="314"/>
        <v>1004300190032.22</v>
      </c>
      <c r="RZ12" s="29"/>
      <c r="SA12" s="28"/>
      <c r="SB12" s="29">
        <f>RANK(RY12,RY$12:RY$19)</f>
        <v>1</v>
      </c>
      <c r="SC12" s="152">
        <f t="shared" si="315"/>
        <v>43</v>
      </c>
      <c r="SD12" s="152">
        <f t="shared" si="316"/>
        <v>32</v>
      </c>
      <c r="SE12" s="152">
        <f t="shared" si="317"/>
        <v>13</v>
      </c>
      <c r="SF12" s="28">
        <f t="shared" si="318"/>
        <v>1004300190032.22</v>
      </c>
      <c r="SG12" s="29"/>
      <c r="SH12" s="28"/>
      <c r="SI12" s="29">
        <f>RANK(SF12,SF$12:SF$19)</f>
        <v>1</v>
      </c>
      <c r="SJ12" s="152">
        <f t="shared" si="319"/>
        <v>43</v>
      </c>
      <c r="SK12" s="152">
        <f t="shared" si="320"/>
        <v>32</v>
      </c>
      <c r="SL12" s="152">
        <f t="shared" si="321"/>
        <v>13</v>
      </c>
      <c r="SM12" s="28">
        <f t="shared" si="322"/>
        <v>1004300190032.22</v>
      </c>
      <c r="SN12" s="29"/>
      <c r="SO12" s="28"/>
      <c r="SP12" s="29">
        <f>RANK(SM12,SM$12:SM$19)</f>
        <v>1</v>
      </c>
      <c r="SQ12" s="152">
        <f t="shared" si="323"/>
        <v>43</v>
      </c>
      <c r="SR12" s="152">
        <f t="shared" si="324"/>
        <v>32</v>
      </c>
      <c r="SS12" s="152">
        <f t="shared" si="325"/>
        <v>13</v>
      </c>
      <c r="ST12" s="28">
        <f t="shared" si="326"/>
        <v>1004300190032.22</v>
      </c>
      <c r="SU12" s="29"/>
      <c r="SV12" s="28"/>
      <c r="SW12" s="29">
        <f>RANK(ST12,ST$12:ST$19)</f>
        <v>1</v>
      </c>
      <c r="SX12" s="152">
        <f t="shared" si="327"/>
        <v>43</v>
      </c>
      <c r="SY12" s="152">
        <f t="shared" si="328"/>
        <v>32</v>
      </c>
      <c r="SZ12" s="152">
        <f t="shared" si="329"/>
        <v>13</v>
      </c>
      <c r="TA12" s="28">
        <f t="shared" si="330"/>
        <v>1004300190032.22</v>
      </c>
      <c r="TB12" s="29"/>
      <c r="TC12" s="28"/>
      <c r="TD12" s="29">
        <f>RANK(TA12,TA$12:TA$19)</f>
        <v>1</v>
      </c>
      <c r="TE12" s="152">
        <f t="shared" si="331"/>
        <v>43</v>
      </c>
      <c r="TF12" s="152">
        <f t="shared" si="332"/>
        <v>32</v>
      </c>
      <c r="TG12" s="152">
        <f t="shared" si="333"/>
        <v>13</v>
      </c>
      <c r="TH12" s="28">
        <f t="shared" si="334"/>
        <v>1004300190032.22</v>
      </c>
      <c r="TI12" s="29"/>
      <c r="TJ12" s="28"/>
      <c r="TK12" s="29">
        <f>RANK(TH12,TH$12:TH$19)</f>
        <v>1</v>
      </c>
      <c r="TL12" s="152">
        <f t="shared" si="335"/>
        <v>43</v>
      </c>
      <c r="TM12" s="152">
        <f t="shared" si="336"/>
        <v>32</v>
      </c>
      <c r="TN12" s="152">
        <f t="shared" si="337"/>
        <v>13</v>
      </c>
      <c r="TO12" s="28">
        <f t="shared" si="338"/>
        <v>1004300190032.22</v>
      </c>
      <c r="TP12" s="29"/>
      <c r="TQ12" s="28"/>
      <c r="TR12" s="29">
        <f>RANK(TO12,TO$12:TO$19)</f>
        <v>1</v>
      </c>
      <c r="TS12" s="152">
        <f t="shared" si="339"/>
        <v>43</v>
      </c>
      <c r="TT12" s="152">
        <f t="shared" si="340"/>
        <v>32</v>
      </c>
      <c r="TU12" s="152">
        <f t="shared" si="341"/>
        <v>13</v>
      </c>
      <c r="TV12" s="28">
        <f t="shared" si="342"/>
        <v>1004300190032.22</v>
      </c>
      <c r="TW12" s="29"/>
      <c r="TX12" s="28"/>
      <c r="TY12" s="29">
        <f>RANK(TV12,TV$12:TV$19)</f>
        <v>1</v>
      </c>
      <c r="TZ12" s="152">
        <f t="shared" si="343"/>
        <v>43</v>
      </c>
      <c r="UA12" s="152">
        <f t="shared" si="344"/>
        <v>32</v>
      </c>
      <c r="UB12" s="152">
        <f t="shared" si="345"/>
        <v>13</v>
      </c>
      <c r="UC12" s="28">
        <f t="shared" si="346"/>
        <v>1004300190032.22</v>
      </c>
      <c r="UD12" s="29"/>
      <c r="UE12" s="28"/>
      <c r="UF12" s="29">
        <f>RANK(UC12,UC$12:UC$19)</f>
        <v>1</v>
      </c>
      <c r="UG12" s="152">
        <f t="shared" si="347"/>
        <v>43</v>
      </c>
      <c r="UH12" s="152">
        <f t="shared" si="348"/>
        <v>32</v>
      </c>
      <c r="UI12" s="152">
        <f t="shared" si="349"/>
        <v>13</v>
      </c>
      <c r="UJ12" s="28">
        <f t="shared" si="350"/>
        <v>1004300190032.22</v>
      </c>
      <c r="UK12" s="29"/>
      <c r="UL12" s="28"/>
      <c r="UM12" s="29">
        <f>RANK(UJ12,UJ$12:UJ$19)</f>
        <v>1</v>
      </c>
      <c r="UN12" s="152">
        <f t="shared" si="351"/>
        <v>43</v>
      </c>
      <c r="UO12" s="152">
        <f t="shared" si="352"/>
        <v>32</v>
      </c>
      <c r="UP12" s="152">
        <f t="shared" si="353"/>
        <v>13</v>
      </c>
      <c r="UQ12" s="28">
        <f t="shared" si="354"/>
        <v>1004300190032.22</v>
      </c>
      <c r="UR12" s="29"/>
      <c r="US12" s="28"/>
      <c r="UT12" s="29">
        <f>RANK(UQ12,UQ$12:UQ$19)</f>
        <v>1</v>
      </c>
      <c r="UU12" s="129"/>
      <c r="UV12" s="129" t="str">
        <f t="shared" si="355"/>
        <v>Los Angeles</v>
      </c>
      <c r="UW12" s="129">
        <f t="shared" si="356"/>
        <v>3</v>
      </c>
      <c r="UX12" s="129">
        <f t="shared" ca="1" si="357"/>
        <v>1</v>
      </c>
      <c r="UY12" s="129">
        <f t="shared" ca="1" si="64"/>
        <v>1</v>
      </c>
      <c r="UZ12" s="129">
        <f t="shared" ca="1" si="64"/>
        <v>1</v>
      </c>
      <c r="VA12" s="129">
        <f t="shared" ca="1" si="64"/>
        <v>1</v>
      </c>
      <c r="VB12" s="129">
        <f t="shared" ca="1" si="64"/>
        <v>1</v>
      </c>
      <c r="VC12" s="129">
        <f t="shared" ca="1" si="64"/>
        <v>1</v>
      </c>
      <c r="VD12" s="129">
        <f t="shared" ca="1" si="64"/>
        <v>1</v>
      </c>
      <c r="VE12" s="129">
        <f t="shared" ca="1" si="64"/>
        <v>1</v>
      </c>
      <c r="VF12" s="129">
        <f t="shared" ca="1" si="64"/>
        <v>1</v>
      </c>
      <c r="VG12" s="129">
        <f t="shared" ca="1" si="64"/>
        <v>1</v>
      </c>
      <c r="VH12" s="129">
        <f t="shared" ca="1" si="64"/>
        <v>1</v>
      </c>
      <c r="VI12" s="129">
        <f t="shared" ca="1" si="64"/>
        <v>1</v>
      </c>
      <c r="VJ12" s="129">
        <f t="shared" ca="1" si="64"/>
        <v>1</v>
      </c>
      <c r="VK12" s="129">
        <f t="shared" ca="1" si="64"/>
        <v>1</v>
      </c>
      <c r="VL12" s="129">
        <f t="shared" ca="1" si="64"/>
        <v>1</v>
      </c>
      <c r="VM12" s="129">
        <f t="shared" ca="1" si="64"/>
        <v>1</v>
      </c>
      <c r="VN12" s="129">
        <f t="shared" ca="1" si="64"/>
        <v>1</v>
      </c>
      <c r="VO12" s="129">
        <f t="shared" ca="1" si="65"/>
        <v>1</v>
      </c>
      <c r="VP12" s="129">
        <f t="shared" ca="1" si="65"/>
        <v>1</v>
      </c>
      <c r="VQ12" s="129">
        <f t="shared" ca="1" si="65"/>
        <v>1</v>
      </c>
      <c r="VR12" s="129">
        <f t="shared" ca="1" si="65"/>
        <v>1</v>
      </c>
      <c r="VS12" s="129">
        <f t="shared" ca="1" si="65"/>
        <v>1</v>
      </c>
      <c r="VT12" s="129">
        <f t="shared" ca="1" si="65"/>
        <v>1</v>
      </c>
      <c r="VU12" s="129">
        <f t="shared" ca="1" si="65"/>
        <v>1</v>
      </c>
      <c r="VV12" s="129">
        <f t="shared" ca="1" si="65"/>
        <v>1</v>
      </c>
      <c r="VW12" s="129">
        <f t="shared" ca="1" si="65"/>
        <v>1</v>
      </c>
      <c r="VX12" s="129">
        <f t="shared" ca="1" si="65"/>
        <v>1</v>
      </c>
      <c r="VY12" s="129">
        <f t="shared" ca="1" si="65"/>
        <v>1</v>
      </c>
      <c r="VZ12" s="129">
        <f t="shared" ca="1" si="65"/>
        <v>1</v>
      </c>
      <c r="WA12" s="129">
        <f t="shared" ca="1" si="65"/>
        <v>1</v>
      </c>
      <c r="WB12" s="129">
        <f t="shared" ca="1" si="65"/>
        <v>1</v>
      </c>
      <c r="WC12" s="129">
        <f t="shared" ca="1" si="65"/>
        <v>1</v>
      </c>
      <c r="WD12" s="129">
        <f t="shared" ca="1" si="65"/>
        <v>1</v>
      </c>
      <c r="WE12" s="129">
        <f t="shared" ca="1" si="66"/>
        <v>1</v>
      </c>
      <c r="WF12" s="129">
        <f t="shared" ca="1" si="66"/>
        <v>1</v>
      </c>
      <c r="WG12" s="129">
        <f t="shared" ca="1" si="66"/>
        <v>1</v>
      </c>
      <c r="WH12" s="129">
        <f t="shared" ca="1" si="66"/>
        <v>1</v>
      </c>
      <c r="WJ12" s="87"/>
      <c r="WK12" s="87" t="str">
        <f t="shared" si="358"/>
        <v>Los Angeles</v>
      </c>
      <c r="WL12" s="87">
        <v>1</v>
      </c>
      <c r="WM12" s="87">
        <v>1</v>
      </c>
      <c r="WN12" s="87">
        <f>IF($WI$3&gt;=WN$3,UW12,NA())</f>
        <v>3</v>
      </c>
      <c r="WO12" s="87">
        <f ca="1">IF($WI$3&gt;=WO$3,UX12,NA())</f>
        <v>1</v>
      </c>
      <c r="WP12" s="87">
        <f ca="1">IF($WI$3&gt;=WP$3,UY12,NA())</f>
        <v>1</v>
      </c>
      <c r="WQ12" s="87">
        <f ca="1">IF($WI$3&gt;=WQ$3,UZ12,NA())</f>
        <v>1</v>
      </c>
      <c r="WR12" s="87">
        <f ca="1">IF($WI$3&gt;=WR$3,VA12,NA())</f>
        <v>1</v>
      </c>
      <c r="WS12" s="87">
        <f ca="1">IF($WI$3&gt;=WS$3,VB12,NA())</f>
        <v>1</v>
      </c>
      <c r="WT12" s="87">
        <f ca="1">IF($WI$3&gt;=WT$3,VC12,NA())</f>
        <v>1</v>
      </c>
      <c r="WU12" s="87">
        <f ca="1">IF($WI$3&gt;=WU$3,VD12,NA())</f>
        <v>1</v>
      </c>
      <c r="WV12" s="87">
        <f ca="1">IF($WI$3&gt;=WV$3,VE12,NA())</f>
        <v>1</v>
      </c>
      <c r="WW12" s="87">
        <f ca="1">IF($WI$3&gt;=WW$3,VF12,NA())</f>
        <v>1</v>
      </c>
      <c r="WX12" s="87">
        <f ca="1">IF($WI$3&gt;=WX$3,VG12,NA())</f>
        <v>1</v>
      </c>
      <c r="WY12" s="87">
        <f ca="1">IF($WI$3&gt;=WY$3,VH12,NA())</f>
        <v>1</v>
      </c>
      <c r="WZ12" s="87">
        <f ca="1">IF($WI$3&gt;=WZ$3,VI12,NA())</f>
        <v>1</v>
      </c>
      <c r="XA12" s="87">
        <f ca="1">IF($WI$3&gt;=XA$3,VJ12,NA())</f>
        <v>1</v>
      </c>
      <c r="XB12" s="87">
        <f ca="1">IF($WI$3&gt;=XB$3,VK12,NA())</f>
        <v>1</v>
      </c>
      <c r="XC12" s="87">
        <f ca="1">IF($WI$3&gt;=XC$3,VL12,NA())</f>
        <v>1</v>
      </c>
      <c r="XD12" s="87">
        <f ca="1">IF($WI$3&gt;=XD$3,VM12,NA())</f>
        <v>1</v>
      </c>
      <c r="XE12" s="87">
        <f ca="1">IF($WI$3&gt;=XE$3,VN12,NA())</f>
        <v>1</v>
      </c>
      <c r="XF12" s="87">
        <f ca="1">IF($WI$3&gt;=XF$3,VO12,NA())</f>
        <v>1</v>
      </c>
      <c r="XG12" s="87">
        <f ca="1">IF($WI$3&gt;=XG$3,VP12,NA())</f>
        <v>1</v>
      </c>
      <c r="XH12" s="87">
        <f ca="1">IF($WI$3&gt;=XH$3,VQ12,NA())</f>
        <v>1</v>
      </c>
      <c r="XI12" s="87" t="e">
        <f>IF($WI$3&gt;=XI$3,VR12,NA())</f>
        <v>#N/A</v>
      </c>
      <c r="XJ12" s="87" t="e">
        <f>IF($WI$3&gt;=XJ$3,VS12,NA())</f>
        <v>#N/A</v>
      </c>
      <c r="XK12" s="87" t="e">
        <f>IF($WI$3&gt;=XK$3,VT12,NA())</f>
        <v>#N/A</v>
      </c>
      <c r="XL12" s="87" t="e">
        <f>IF($WI$3&gt;=XL$3,VU12,NA())</f>
        <v>#N/A</v>
      </c>
      <c r="XM12" s="87" t="e">
        <f>IF($WI$3&gt;=XM$3,VV12,NA())</f>
        <v>#N/A</v>
      </c>
      <c r="XN12" s="87" t="e">
        <f>IF($WI$3&gt;=XN$3,VW12,NA())</f>
        <v>#N/A</v>
      </c>
      <c r="XO12" s="87" t="e">
        <f>IF($WI$3&gt;=XO$3,VX12,NA())</f>
        <v>#N/A</v>
      </c>
      <c r="XP12" s="87" t="e">
        <f>IF($WI$3&gt;=XP$3,VY12,NA())</f>
        <v>#N/A</v>
      </c>
      <c r="XQ12" s="87" t="e">
        <f>IF($WI$3&gt;=XQ$3,VZ12,NA())</f>
        <v>#N/A</v>
      </c>
      <c r="XR12" s="87" t="e">
        <f>IF($WI$3&gt;=XR$3,WA12,NA())</f>
        <v>#N/A</v>
      </c>
      <c r="XS12" s="87" t="e">
        <f>IF($WI$3&gt;=XS$3,WB12,NA())</f>
        <v>#N/A</v>
      </c>
      <c r="XT12" s="87" t="e">
        <f>IF($WI$3&gt;=XT$3,WC12,NA())</f>
        <v>#N/A</v>
      </c>
      <c r="XU12" s="87" t="e">
        <f>IF($WI$3&gt;=XU$3,WD12,NA())</f>
        <v>#N/A</v>
      </c>
      <c r="XV12" s="87" t="e">
        <f>IF($WI$3&gt;=XV$3,WE12,NA())</f>
        <v>#N/A</v>
      </c>
      <c r="XW12" s="87" t="e">
        <f>IF($WI$3&gt;=XW$3,WF12,NA())</f>
        <v>#N/A</v>
      </c>
      <c r="XX12" s="87" t="e">
        <f>IF($WI$3&gt;=XX$3,WG12,NA())</f>
        <v>#N/A</v>
      </c>
      <c r="XY12" s="87" t="e">
        <f>IF($WI$3&gt;=XY$3,WH12,NA())</f>
        <v>#N/A</v>
      </c>
      <c r="XZ12" s="241"/>
      <c r="YA12" s="241"/>
      <c r="YB12" s="280"/>
      <c r="YC12" s="280" t="str">
        <f>IF(ISERROR(VLOOKUP(YB6,$E$11:$E$19,1,0)),"",YB6)</f>
        <v/>
      </c>
      <c r="YD12" s="280"/>
      <c r="YE12" s="163" t="e">
        <f>VLOOKUP($YC12,$WK$4:WL$33,YE$3+3,0)</f>
        <v>#N/A</v>
      </c>
      <c r="YF12" s="163" t="e">
        <f>VLOOKUP($YC12,$WK$4:WM$33,YF$3+3,0)</f>
        <v>#N/A</v>
      </c>
      <c r="YG12" s="163" t="e">
        <f>VLOOKUP($YC12,$WK$4:WN$33,YG$3+3,0)</f>
        <v>#N/A</v>
      </c>
      <c r="YH12" s="163" t="e">
        <f>VLOOKUP($YC12,$WK$4:WO$33,YH$3+3,0)</f>
        <v>#N/A</v>
      </c>
      <c r="YI12" s="163" t="e">
        <f>VLOOKUP($YC12,$WK$4:WP$33,YI$3+3,0)</f>
        <v>#N/A</v>
      </c>
      <c r="YJ12" s="163" t="e">
        <f>VLOOKUP($YC12,$WK$4:WQ$33,YJ$3+3,0)</f>
        <v>#N/A</v>
      </c>
      <c r="YK12" s="163" t="e">
        <f>VLOOKUP($YC12,$WK$4:WR$33,YK$3+3,0)</f>
        <v>#N/A</v>
      </c>
      <c r="YL12" s="163" t="e">
        <f>VLOOKUP($YC12,$WK$4:WS$33,YL$3+3,0)</f>
        <v>#N/A</v>
      </c>
      <c r="YM12" s="163" t="e">
        <f>VLOOKUP($YC12,$WK$4:WT$33,YM$3+3,0)</f>
        <v>#N/A</v>
      </c>
      <c r="YN12" s="163" t="e">
        <f>VLOOKUP($YC12,$WK$4:WU$33,YN$3+3,0)</f>
        <v>#N/A</v>
      </c>
      <c r="YO12" s="163" t="e">
        <f>VLOOKUP($YC12,$WK$4:WV$33,YO$3+3,0)</f>
        <v>#N/A</v>
      </c>
      <c r="YP12" s="163" t="e">
        <f>VLOOKUP($YC12,$WK$4:WW$33,YP$3+3,0)</f>
        <v>#N/A</v>
      </c>
      <c r="YQ12" s="163" t="e">
        <f>VLOOKUP($YC12,$WK$4:WX$33,YQ$3+3,0)</f>
        <v>#N/A</v>
      </c>
      <c r="YR12" s="163" t="e">
        <f>VLOOKUP($YC12,$WK$4:WY$33,YR$3+3,0)</f>
        <v>#N/A</v>
      </c>
      <c r="YS12" s="163" t="e">
        <f>VLOOKUP($YC12,$WK$4:WZ$33,YS$3+3,0)</f>
        <v>#N/A</v>
      </c>
      <c r="YT12" s="163" t="e">
        <f>VLOOKUP($YC12,$WK$4:XA$33,YT$3+3,0)</f>
        <v>#N/A</v>
      </c>
      <c r="YU12" s="163" t="e">
        <f>VLOOKUP($YC12,$WK$4:XB$33,YU$3+3,0)</f>
        <v>#N/A</v>
      </c>
      <c r="YV12" s="163" t="e">
        <f>VLOOKUP($YC12,$WK$4:XC$33,YV$3+3,0)</f>
        <v>#N/A</v>
      </c>
      <c r="YW12" s="163" t="e">
        <f>VLOOKUP($YC12,$WK$4:XD$33,YW$3+3,0)</f>
        <v>#N/A</v>
      </c>
      <c r="YX12" s="163" t="e">
        <f>VLOOKUP($YC12,$WK$4:XE$33,YX$3+3,0)</f>
        <v>#N/A</v>
      </c>
      <c r="YY12" s="163" t="e">
        <f>VLOOKUP($YC12,$WK$4:XF$33,YY$3+3,0)</f>
        <v>#N/A</v>
      </c>
      <c r="YZ12" s="163" t="e">
        <f>VLOOKUP($YC12,$WK$4:XG$33,YZ$3+3,0)</f>
        <v>#N/A</v>
      </c>
      <c r="ZA12" s="163" t="e">
        <f>VLOOKUP($YC12,$WK$4:XH$33,ZA$3+3,0)</f>
        <v>#N/A</v>
      </c>
      <c r="ZB12" s="163" t="e">
        <f>VLOOKUP($YC12,$WK$4:XI$33,ZB$3+3,0)</f>
        <v>#N/A</v>
      </c>
      <c r="ZC12" s="163" t="e">
        <f>VLOOKUP($YC12,$WK$4:XJ$33,ZC$3+3,0)</f>
        <v>#N/A</v>
      </c>
      <c r="ZD12" s="163" t="e">
        <f>VLOOKUP($YC12,$WK$4:XK$33,ZD$3+3,0)</f>
        <v>#N/A</v>
      </c>
      <c r="ZE12" s="163" t="e">
        <f>VLOOKUP($YC12,$WK$4:XL$33,ZE$3+3,0)</f>
        <v>#N/A</v>
      </c>
      <c r="ZF12" s="163" t="e">
        <f>VLOOKUP($YC12,$WK$4:XM$33,ZF$3+3,0)</f>
        <v>#N/A</v>
      </c>
      <c r="ZG12" s="163" t="e">
        <f>VLOOKUP($YC12,$WK$4:XN$33,ZG$3+3,0)</f>
        <v>#N/A</v>
      </c>
      <c r="ZH12" s="163" t="e">
        <f>VLOOKUP($YC12,$WK$4:XO$33,ZH$3+3,0)</f>
        <v>#N/A</v>
      </c>
      <c r="ZI12" s="163" t="e">
        <f>VLOOKUP($YC12,$WK$4:XP$33,ZI$3+3,0)</f>
        <v>#N/A</v>
      </c>
      <c r="ZJ12" s="163" t="e">
        <f>VLOOKUP($YC12,$WK$4:XQ$33,ZJ$3+3,0)</f>
        <v>#N/A</v>
      </c>
      <c r="ZK12" s="163" t="e">
        <f>VLOOKUP($YC12,$WK$4:XR$33,ZK$3+3,0)</f>
        <v>#N/A</v>
      </c>
      <c r="ZL12" s="163" t="e">
        <f>VLOOKUP($YC12,$WK$4:XS$33,ZL$3+3,0)</f>
        <v>#N/A</v>
      </c>
      <c r="ZM12" s="163" t="e">
        <f>VLOOKUP($YC12,$WK$4:XT$33,ZM$3+3,0)</f>
        <v>#N/A</v>
      </c>
      <c r="ZN12" s="163" t="e">
        <f>VLOOKUP($YC12,$WK$4:XU$33,ZN$3+3,0)</f>
        <v>#N/A</v>
      </c>
      <c r="ZO12" s="163" t="e">
        <f>VLOOKUP($YC12,$WK$4:XV$33,ZO$3+3,0)</f>
        <v>#N/A</v>
      </c>
      <c r="ZP12" s="163" t="e">
        <f>VLOOKUP($YC12,$WK$4:XW$33,ZP$3+3,0)</f>
        <v>#N/A</v>
      </c>
      <c r="ZQ12" s="163" t="e">
        <f>VLOOKUP($YC12,$WK$4:XX$33,ZQ$3+3,0)</f>
        <v>#N/A</v>
      </c>
      <c r="ZR12" s="163" t="e">
        <f>VLOOKUP($YC12,$WK$4:XY$33,ZR$3+3,0)</f>
        <v>#N/A</v>
      </c>
      <c r="ZS12" s="280"/>
      <c r="ZT12" s="280"/>
      <c r="ZU12" s="280"/>
      <c r="ZV12" s="280"/>
      <c r="ZW12" s="280"/>
      <c r="ZX12" s="280"/>
      <c r="ZY12" s="280"/>
      <c r="ZZ12" s="280"/>
      <c r="AAA12" s="280"/>
      <c r="AAB12" s="280"/>
      <c r="AAC12" s="280"/>
      <c r="AAD12" s="160"/>
      <c r="AAE12" s="160"/>
      <c r="AAF12" s="160"/>
      <c r="AAG12" s="160"/>
      <c r="AAH12" s="241"/>
      <c r="AAI12" s="241"/>
      <c r="AAJ12" s="241"/>
      <c r="AAK12" s="241"/>
      <c r="AAL12" s="241"/>
      <c r="AAM12" s="241"/>
      <c r="AAN12" s="241"/>
      <c r="AAO12" s="241"/>
      <c r="AAP12" s="241"/>
      <c r="AAQ12" s="241"/>
      <c r="AAR12" s="241"/>
      <c r="AAS12" s="241"/>
      <c r="AAT12" s="241"/>
      <c r="AAU12" s="241"/>
    </row>
    <row r="13" spans="4:723">
      <c r="D13" s="29">
        <v>10</v>
      </c>
      <c r="E13" s="31" t="s">
        <v>191</v>
      </c>
      <c r="F13" s="25">
        <f>SUMIF('ef-FT'!$C$2001:$C$3800,E13,'ef-FT'!$E$2001:$E$3800)</f>
        <v>21</v>
      </c>
      <c r="G13" s="25">
        <f>SUMIF('ef-FT'!$C$2001:$C$3800,E13,'ef-FT'!$F$2001:$F$3800)</f>
        <v>11</v>
      </c>
      <c r="H13" s="25">
        <f>SUMIF('ef-FT'!$C$2001:$C$3800,E13,'ef-FT'!$G$2001:$G$3800)</f>
        <v>6</v>
      </c>
      <c r="I13" s="25">
        <f>SUMIF('ef-FT'!$C$2001:$C$3800,E13,'ef-FT'!$H$2001:$H$3800)</f>
        <v>4</v>
      </c>
      <c r="J13" s="25">
        <f>SUMIF('ef-FT'!$C$2001:$C$3800,E13,'ef-FT'!$D$2001:$D$3800)</f>
        <v>39</v>
      </c>
      <c r="K13" s="25">
        <f>SUMIF('ef-FT'!$C$2001:$C$3800,E13,'ef-FT'!$I$2001:$I$3800)</f>
        <v>36</v>
      </c>
      <c r="L13" s="25">
        <f>SUMIF('ef-FT'!$C$2001:$C$3800,E13,'ef-FT'!$J$2001:$J$3800)</f>
        <v>16</v>
      </c>
      <c r="M13" s="25" t="str">
        <f>CONCATENATE(K13, " - ",L13)</f>
        <v>36 - 16</v>
      </c>
      <c r="N13" s="25">
        <f>K13-L13</f>
        <v>20</v>
      </c>
      <c r="O13" s="25">
        <f>SUMIF('ef-FT'!$C$2001:$C$3800,$E13,'ef-FT'!$K$2001:$K$3800)</f>
        <v>4</v>
      </c>
      <c r="P13" s="25">
        <f>SUMIF('ef-FT'!$C$2001:$C$3800,$E13,'ef-FT'!$L$2001:$L$3800)</f>
        <v>9</v>
      </c>
      <c r="Q13" s="55"/>
      <c r="R13" s="25">
        <f>SUMIF('ef-FT'!$C$2001:$C$2999,$E13,'ef-FT'!$E$2001:$E$2999)</f>
        <v>11</v>
      </c>
      <c r="S13" s="25">
        <f>SUMIF('ef-FT'!$C$2001:$C$2999,$E13,'ef-FT'!$F$2001:$F$2999)</f>
        <v>8</v>
      </c>
      <c r="T13" s="25">
        <f>SUMIF('ef-FT'!$C$2001:$C$2999,$E13,'ef-FT'!$G$2001:$G$2999)</f>
        <v>3</v>
      </c>
      <c r="U13" s="25">
        <f>SUMIF('ef-FT'!$C$2001:$C$2999,$E13,'ef-FT'!$H$2001:$H$2999)</f>
        <v>0</v>
      </c>
      <c r="V13" s="25">
        <f>SUMIF('ef-FT'!$C$2001:$C$2999,$E13,'ef-FT'!$D$2001:$D$2999)</f>
        <v>27</v>
      </c>
      <c r="W13" s="25">
        <f>SUMIF('ef-FT'!$C$2001:$C$2999,$E13,'ef-FT'!$I$2001:$I$2999)</f>
        <v>26</v>
      </c>
      <c r="X13" s="25">
        <f>SUMIF('ef-FT'!$C$2001:$C$2999,$E13,'ef-FT'!$J$2001:$J$2999)</f>
        <v>6</v>
      </c>
      <c r="Y13" s="25" t="str">
        <f t="shared" si="375"/>
        <v>26 - 6</v>
      </c>
      <c r="Z13" s="25">
        <f t="shared" si="376"/>
        <v>20</v>
      </c>
      <c r="AA13" s="25">
        <f>SUMIF('ef-FT'!$C$2001:$C$2999,$E13,'ef-FT'!$K$2001:$K$2999)</f>
        <v>1</v>
      </c>
      <c r="AB13" s="25">
        <f>SUMIF('ef-FT'!$C$2001:$C$2999,$E13,'ef-FT'!$L$2001:$L$2999)</f>
        <v>6</v>
      </c>
      <c r="AC13" s="55"/>
      <c r="AD13" s="25">
        <f>SUMIF('ef-FT'!$C$3000:$C$3800,$E13,'ef-FT'!$E$3000:$E$3800)</f>
        <v>10</v>
      </c>
      <c r="AE13" s="25">
        <f>SUMIF('ef-FT'!$C$3000:$C$3800,$E13,'ef-FT'!$F$3000:$F$3800)</f>
        <v>3</v>
      </c>
      <c r="AF13" s="25">
        <f>SUMIF('ef-FT'!$C$3000:$C$3800,$E13,'ef-FT'!$G$3000:$G$3800)</f>
        <v>3</v>
      </c>
      <c r="AG13" s="25">
        <f>SUMIF('ef-FT'!$C$3000:$C$3800,$E13,'ef-FT'!$H$3000:$H$3800)</f>
        <v>4</v>
      </c>
      <c r="AH13" s="25">
        <f>SUMIF('ef-FT'!$C$3000:$C$3800,$E13,'ef-FT'!$D$3000:$D$3800)</f>
        <v>12</v>
      </c>
      <c r="AI13" s="25">
        <f>SUMIF('ef-FT'!$C$3000:$C$3800,$E13,'ef-FT'!$I$3000:$I$3800)</f>
        <v>10</v>
      </c>
      <c r="AJ13" s="25">
        <f>SUMIF('ef-FT'!$C$3000:$C$3800,$E13,'ef-FT'!$J$3000:$J$3800)</f>
        <v>10</v>
      </c>
      <c r="AK13" s="25" t="str">
        <f t="shared" si="377"/>
        <v>10 - 10</v>
      </c>
      <c r="AL13" s="25">
        <f t="shared" si="378"/>
        <v>0</v>
      </c>
      <c r="AM13" s="25">
        <f>SUMIF('ef-FT'!$C$3000:$C$3800,$E13,'ef-FT'!$K$3000:$K$3800)</f>
        <v>3</v>
      </c>
      <c r="AN13" s="25">
        <f>SUMIF('ef-FT'!$C$3000:$C$3800,$E13,'ef-FT'!$L$3000:$L$3800)</f>
        <v>3</v>
      </c>
      <c r="AO13" s="26"/>
      <c r="AP13" s="27">
        <v>0.2</v>
      </c>
      <c r="AQ13" s="28">
        <f t="shared" si="379"/>
        <v>1003900200036.2</v>
      </c>
      <c r="AR13" s="29">
        <v>2</v>
      </c>
      <c r="AS13" s="28">
        <f>LARGE($AQ$12:$AQ$32,AR13)</f>
        <v>1003900200036.2</v>
      </c>
      <c r="AT13" s="29">
        <f t="shared" si="380"/>
        <v>2</v>
      </c>
      <c r="AU13" s="30" t="str">
        <f t="shared" ref="AU13:AU19" si="381">VLOOKUP($AT13+$AT$11,$D$12:$N$33,2,0)</f>
        <v>Real Salt Lake</v>
      </c>
      <c r="AV13" s="29">
        <f t="shared" ref="AV13:AV19" si="382">VLOOKUP($AT13+$AT$11,$D$12:$N$33,3,0)</f>
        <v>21</v>
      </c>
      <c r="AW13" s="29">
        <f t="shared" ref="AW13:AW19" si="383">VLOOKUP($AT13+$AT$11,$D$12:$N$33,4,0)</f>
        <v>11</v>
      </c>
      <c r="AX13" s="29">
        <f t="shared" ref="AX13:AX19" si="384">VLOOKUP($AT13+$AT$11,$D$12:$N$33,5,0)</f>
        <v>6</v>
      </c>
      <c r="AY13" s="29">
        <f t="shared" ref="AY13:AY19" si="385">VLOOKUP($AT13+$AT$11,$D$12:$N$33,6,0)</f>
        <v>4</v>
      </c>
      <c r="AZ13" s="29">
        <f t="shared" ref="AZ13:AZ19" si="386">VLOOKUP($AT13+$AT$11,$D$12:$N$33,7,0)</f>
        <v>39</v>
      </c>
      <c r="BA13" s="29" t="str">
        <f t="shared" ref="BA13:BA19" si="387">VLOOKUP($AT13+$AT$11,$D$12:$N$33,10,0)</f>
        <v>36 - 16</v>
      </c>
      <c r="BB13" s="29">
        <f t="shared" ref="BB13:BB19" si="388">VLOOKUP($AT13+$AT$11,$D$12:$N$33,11,0)</f>
        <v>20</v>
      </c>
      <c r="BC13" s="90">
        <f>VLOOKUP($AT13+$AT$11,$D$12:R$33,15,0)</f>
        <v>11</v>
      </c>
      <c r="BD13" s="90">
        <f>VLOOKUP($AT13+$AT$11,$D$12:S$33,16,0)</f>
        <v>8</v>
      </c>
      <c r="BE13" s="90">
        <f>VLOOKUP($AT13+$AT$11,$D$12:T$33,17,0)</f>
        <v>3</v>
      </c>
      <c r="BF13" s="90">
        <f>VLOOKUP($AT13+$AT$11,$D$12:U$33,18,0)</f>
        <v>0</v>
      </c>
      <c r="BG13" s="90">
        <f>VLOOKUP($AT13+$AT$11,$D$12:V$33,19,0)</f>
        <v>27</v>
      </c>
      <c r="BH13" s="90" t="str">
        <f>VLOOKUP($AT13+$AT$11,$D$12:Y$33,22,0)</f>
        <v>26 - 6</v>
      </c>
      <c r="BI13" s="90">
        <f>VLOOKUP($AT13+$AT$11,$D$12:Z$33,23,0)</f>
        <v>20</v>
      </c>
      <c r="BJ13" s="90">
        <f>VLOOKUP($AT13+$AT$11,$D$12:AD$33,27,0)</f>
        <v>10</v>
      </c>
      <c r="BK13" s="90">
        <f>VLOOKUP($AT13+$AT$11,$D$12:AE$33,28,0)</f>
        <v>3</v>
      </c>
      <c r="BL13" s="90">
        <f>VLOOKUP($AT13+$AT$11,$D$12:AF$33,29,0)</f>
        <v>3</v>
      </c>
      <c r="BM13" s="90">
        <f>VLOOKUP($AT13+$AT$11,$D$12:AG$33,30,0)</f>
        <v>4</v>
      </c>
      <c r="BN13" s="90">
        <f>VLOOKUP($AT13+$AT$11,$D$12:AH$33,31,0)</f>
        <v>12</v>
      </c>
      <c r="BO13" s="90" t="str">
        <f>VLOOKUP($AT13+$AT$11,$D$12:AK$35,34,0)</f>
        <v>10 - 10</v>
      </c>
      <c r="BP13" s="90">
        <f>VLOOKUP($AT13+$AT$11,$D$12:AL$35,35,0)</f>
        <v>0</v>
      </c>
      <c r="BS13" s="279" t="s">
        <v>212</v>
      </c>
      <c r="BT13" s="123">
        <v>0.16666666666666699</v>
      </c>
      <c r="BU13" s="123">
        <f t="shared" si="2"/>
        <v>3.3306690738754696E-16</v>
      </c>
      <c r="BV13" s="10" t="s">
        <v>64</v>
      </c>
      <c r="CA13" s="130">
        <f t="shared" si="119"/>
        <v>39.200000000000003</v>
      </c>
      <c r="CB13" s="130">
        <f t="shared" si="120"/>
        <v>38.799999999999997</v>
      </c>
      <c r="CC13" s="130">
        <f t="shared" si="121"/>
        <v>11.2</v>
      </c>
      <c r="CD13" s="130">
        <f t="shared" si="122"/>
        <v>10.8</v>
      </c>
      <c r="CE13" s="130">
        <f t="shared" si="123"/>
        <v>4.2</v>
      </c>
      <c r="CF13" s="130">
        <f t="shared" si="124"/>
        <v>3.8</v>
      </c>
      <c r="CG13" s="130">
        <f t="shared" si="125"/>
        <v>36.200000000000003</v>
      </c>
      <c r="CH13" s="130">
        <f t="shared" si="126"/>
        <v>35.799999999999997</v>
      </c>
      <c r="CI13" s="130">
        <f t="shared" si="127"/>
        <v>16.2</v>
      </c>
      <c r="CJ13" s="130">
        <f t="shared" si="128"/>
        <v>15.8</v>
      </c>
      <c r="CK13" s="130">
        <f t="shared" si="129"/>
        <v>20.2</v>
      </c>
      <c r="CL13" s="130">
        <f t="shared" si="130"/>
        <v>19.8</v>
      </c>
      <c r="CM13" s="130">
        <f t="shared" si="131"/>
        <v>4.2</v>
      </c>
      <c r="CN13" s="130">
        <f t="shared" si="132"/>
        <v>3.8</v>
      </c>
      <c r="CO13" s="130">
        <f t="shared" si="133"/>
        <v>9.1999999999999993</v>
      </c>
      <c r="CP13" s="130">
        <f t="shared" si="134"/>
        <v>8.8000000000000007</v>
      </c>
      <c r="CQ13" s="131"/>
      <c r="CR13" s="130">
        <f t="shared" si="360"/>
        <v>27.2</v>
      </c>
      <c r="CS13" s="130">
        <f t="shared" si="135"/>
        <v>26.8</v>
      </c>
      <c r="CT13" s="130">
        <f t="shared" si="361"/>
        <v>8.1999999999999993</v>
      </c>
      <c r="CU13" s="130">
        <f t="shared" si="362"/>
        <v>7.8</v>
      </c>
      <c r="CV13" s="130">
        <f t="shared" si="363"/>
        <v>0.2</v>
      </c>
      <c r="CW13" s="130">
        <f t="shared" si="364"/>
        <v>-0.2</v>
      </c>
      <c r="CX13" s="130">
        <f t="shared" si="365"/>
        <v>26.2</v>
      </c>
      <c r="CY13" s="130">
        <f t="shared" si="366"/>
        <v>25.8</v>
      </c>
      <c r="CZ13" s="130">
        <f t="shared" si="367"/>
        <v>6.2</v>
      </c>
      <c r="DA13" s="130">
        <f t="shared" si="368"/>
        <v>5.8</v>
      </c>
      <c r="DB13" s="130">
        <f t="shared" si="369"/>
        <v>20.2</v>
      </c>
      <c r="DC13" s="130">
        <f t="shared" si="370"/>
        <v>19.8</v>
      </c>
      <c r="DD13" s="130">
        <f t="shared" si="371"/>
        <v>1.2</v>
      </c>
      <c r="DE13" s="130">
        <f t="shared" si="372"/>
        <v>0.8</v>
      </c>
      <c r="DF13" s="130">
        <f t="shared" si="373"/>
        <v>6.2</v>
      </c>
      <c r="DG13" s="130">
        <f t="shared" si="374"/>
        <v>5.8</v>
      </c>
      <c r="DH13" s="131"/>
      <c r="DI13" s="130">
        <f t="shared" ref="DI13:DI33" si="389">IF($E13=0,-1+$AP13,AH13+$AP13)</f>
        <v>12.2</v>
      </c>
      <c r="DJ13" s="130">
        <f t="shared" si="136"/>
        <v>-0.2</v>
      </c>
      <c r="DK13" s="130">
        <f t="shared" ref="DK13:DK33" si="390">IF($E13=0,-1+$AP13,AE13+$AP13)</f>
        <v>3.2</v>
      </c>
      <c r="DL13" s="130">
        <f t="shared" ref="DL13:DL33" si="391">IF(DK13&lt;0,100000-$AP13,AE13-$AP13)</f>
        <v>2.8</v>
      </c>
      <c r="DM13" s="130">
        <f t="shared" ref="DM13:DM33" si="392">IF($E13=0,-1+$AP13,AG13+$AP13)</f>
        <v>4.2</v>
      </c>
      <c r="DN13" s="130">
        <f t="shared" ref="DN13:DN33" si="393">IF(DM13&lt;0,100000-$AP13,AG13-$AP13)</f>
        <v>3.8</v>
      </c>
      <c r="DO13" s="130">
        <f t="shared" ref="DO13:DO33" si="394">IF($E13=0,-1+$AP13,AI13+$AP13)</f>
        <v>10.199999999999999</v>
      </c>
      <c r="DP13" s="130">
        <f t="shared" ref="DP13:DP33" si="395">IF(DO13&lt;0,100000-$AP13,AI13-$AP13)</f>
        <v>9.8000000000000007</v>
      </c>
      <c r="DQ13" s="130">
        <f t="shared" ref="DQ13:DQ33" si="396">IF($E13=0,-1+$AP13,AJ13+$AP13)</f>
        <v>10.199999999999999</v>
      </c>
      <c r="DR13" s="130">
        <f t="shared" ref="DR13:DR33" si="397">IF(DQ13&lt;0,100000-$AP13,AJ13-$AP13)</f>
        <v>9.8000000000000007</v>
      </c>
      <c r="DS13" s="130">
        <f t="shared" ref="DS13:DS33" si="398">IF($E13=0,-100000+$AP13,AL13+$AP13)</f>
        <v>0.2</v>
      </c>
      <c r="DT13" s="130">
        <f t="shared" ref="DT13:DT33" si="399">IF(DS13&lt;-50000,100000+$AP13,AL13-$AP13)</f>
        <v>-0.2</v>
      </c>
      <c r="DU13" s="130">
        <f t="shared" ref="DU13:DU33" si="400">IF($E13=0,-1+$AP13,AM13+$AP13)</f>
        <v>3.2</v>
      </c>
      <c r="DV13" s="130">
        <f t="shared" ref="DV13:DV33" si="401">IF(DU13&lt;0,100000-$AP13,AM13-$AP13)</f>
        <v>2.8</v>
      </c>
      <c r="DW13" s="130">
        <f t="shared" ref="DW13:DW33" si="402">IF($E13=0,-1+$AP13,AN13+$AP13)</f>
        <v>3.2</v>
      </c>
      <c r="DX13" s="130">
        <f t="shared" ref="DX13:DX33" si="403">IF(DW13&lt;0,100000-$AP13,AN13-$AP13)</f>
        <v>2.8</v>
      </c>
      <c r="DY13" s="132"/>
      <c r="DZ13" s="115">
        <v>10</v>
      </c>
      <c r="EA13" s="115">
        <v>21</v>
      </c>
      <c r="EB13" s="10">
        <f t="shared" si="137"/>
        <v>4</v>
      </c>
      <c r="EC13" s="10">
        <f t="shared" si="138"/>
        <v>13</v>
      </c>
      <c r="ED13" s="10">
        <f t="shared" si="139"/>
        <v>4</v>
      </c>
      <c r="EE13" s="10">
        <f t="shared" si="140"/>
        <v>14</v>
      </c>
      <c r="EF13" s="10">
        <f t="shared" si="141"/>
        <v>14</v>
      </c>
      <c r="EG13" s="10">
        <f t="shared" si="142"/>
        <v>12</v>
      </c>
      <c r="EH13" s="10">
        <f t="shared" si="143"/>
        <v>3</v>
      </c>
      <c r="EI13" s="10">
        <f t="shared" si="144"/>
        <v>16</v>
      </c>
      <c r="EJ13" s="10">
        <f t="shared" si="145"/>
        <v>5</v>
      </c>
      <c r="EK13" s="10">
        <f t="shared" si="146"/>
        <v>6</v>
      </c>
      <c r="EL13" s="10">
        <f t="shared" si="147"/>
        <v>12</v>
      </c>
      <c r="EM13" s="10">
        <f t="shared" si="148"/>
        <v>5</v>
      </c>
      <c r="EN13" s="10">
        <f t="shared" si="149"/>
        <v>1</v>
      </c>
      <c r="EO13" s="10">
        <f t="shared" si="150"/>
        <v>14</v>
      </c>
      <c r="EP13" s="10">
        <f t="shared" si="151"/>
        <v>11</v>
      </c>
      <c r="EQ13" s="10">
        <f t="shared" si="152"/>
        <v>6</v>
      </c>
      <c r="ES13" s="10">
        <f t="shared" si="153"/>
        <v>6</v>
      </c>
      <c r="ET13" s="10">
        <f t="shared" si="154"/>
        <v>12</v>
      </c>
      <c r="EU13" s="10">
        <f t="shared" si="155"/>
        <v>13</v>
      </c>
      <c r="EV13" s="10">
        <f t="shared" si="154"/>
        <v>11</v>
      </c>
      <c r="EW13" s="10">
        <f t="shared" si="156"/>
        <v>5</v>
      </c>
      <c r="EX13" s="10">
        <f t="shared" si="157"/>
        <v>4</v>
      </c>
      <c r="EY13" s="10">
        <f t="shared" si="158"/>
        <v>14</v>
      </c>
      <c r="EZ13" s="10">
        <f t="shared" si="159"/>
        <v>7</v>
      </c>
      <c r="FA13" s="10">
        <f t="shared" si="160"/>
        <v>2</v>
      </c>
      <c r="FB13" s="10">
        <f t="shared" si="161"/>
        <v>14</v>
      </c>
      <c r="FC13" s="10">
        <f t="shared" si="162"/>
        <v>6</v>
      </c>
      <c r="FD13" s="10">
        <f t="shared" si="163"/>
        <v>13</v>
      </c>
      <c r="FE13" s="10">
        <f t="shared" si="164"/>
        <v>5</v>
      </c>
      <c r="FF13" s="10">
        <f t="shared" si="165"/>
        <v>2</v>
      </c>
      <c r="FG13" s="10">
        <f t="shared" si="166"/>
        <v>15</v>
      </c>
      <c r="FH13" s="10">
        <f t="shared" si="167"/>
        <v>12</v>
      </c>
      <c r="FJ13" s="10">
        <f t="shared" si="168"/>
        <v>16</v>
      </c>
      <c r="FK13" s="10">
        <f t="shared" si="169"/>
        <v>10</v>
      </c>
      <c r="FL13" s="10">
        <f t="shared" si="170"/>
        <v>16</v>
      </c>
      <c r="FM13" s="10">
        <f t="shared" si="171"/>
        <v>5</v>
      </c>
      <c r="FN13" s="10">
        <f t="shared" si="172"/>
        <v>12</v>
      </c>
      <c r="FO13" s="10">
        <f t="shared" si="173"/>
        <v>4</v>
      </c>
      <c r="FP13" s="10">
        <f t="shared" si="174"/>
        <v>12</v>
      </c>
      <c r="FQ13" s="10">
        <f t="shared" si="175"/>
        <v>13</v>
      </c>
      <c r="FR13" s="10">
        <f t="shared" si="176"/>
        <v>6</v>
      </c>
      <c r="FS13" s="10">
        <f t="shared" si="177"/>
        <v>2</v>
      </c>
      <c r="FT13" s="10">
        <f t="shared" si="178"/>
        <v>12</v>
      </c>
      <c r="FU13" s="10">
        <f t="shared" si="179"/>
        <v>1</v>
      </c>
      <c r="FV13" s="10">
        <f t="shared" si="180"/>
        <v>1</v>
      </c>
      <c r="FW13" s="10">
        <f t="shared" si="181"/>
        <v>9</v>
      </c>
      <c r="FX13" s="10">
        <f t="shared" si="182"/>
        <v>16</v>
      </c>
      <c r="FY13" s="10">
        <f t="shared" si="183"/>
        <v>13</v>
      </c>
      <c r="GA13" s="10">
        <f>IF(lg!$C$18=1,EB13,IF(lg!$C$18=2,ES13,FJ13))</f>
        <v>4</v>
      </c>
      <c r="GB13" s="10">
        <f>IF(lg!$C$18=1,EC13,IF(lg!$C$18=2,ET13,FK13))</f>
        <v>13</v>
      </c>
      <c r="GC13" s="10">
        <f>IF(lg!$C$18=1,ED13,IF(lg!$C$18=2,EU13,FL13))</f>
        <v>4</v>
      </c>
      <c r="GD13" s="10">
        <f>IF(lg!$C$18=1,EE13,IF(lg!$C$18=2,EV13,FM13))</f>
        <v>14</v>
      </c>
      <c r="GE13" s="10">
        <f>IF(lg!$C$18=1,EF13,IF(lg!$C$18=2,EW13,FN13))</f>
        <v>14</v>
      </c>
      <c r="GF13" s="10">
        <f>IF(lg!$C$18=1,EG13,IF(lg!$C$18=2,EX13,FO13))</f>
        <v>12</v>
      </c>
      <c r="GG13" s="10">
        <f>IF(lg!$C$18=1,EH13,IF(lg!$C$18=2,EY13,FP13))</f>
        <v>3</v>
      </c>
      <c r="GH13" s="10">
        <f>IF(lg!$C$18=1,EI13,IF(lg!$C$18=2,EZ13,FQ13))</f>
        <v>16</v>
      </c>
      <c r="GI13" s="10">
        <f>IF(lg!$C$18=1,EJ13,IF(lg!$C$18=2,FA13,FR13))</f>
        <v>5</v>
      </c>
      <c r="GJ13" s="10">
        <f>IF(lg!$C$18=1,EK13,IF(lg!$C$18=2,FB13,FS13))</f>
        <v>6</v>
      </c>
      <c r="GK13" s="10">
        <f>IF(lg!$C$18=1,EL13,IF(lg!$C$18=2,FC13,FT13))</f>
        <v>12</v>
      </c>
      <c r="GL13" s="10">
        <f>IF(lg!$C$18=1,EM13,IF(lg!$C$18=2,FD13,FU13))</f>
        <v>5</v>
      </c>
      <c r="GM13" s="10">
        <f>IF(lg!$C$18=1,EN13,IF(lg!$C$18=2,FE13,FV13))</f>
        <v>1</v>
      </c>
      <c r="GN13" s="10">
        <f>IF(lg!$C$18=1,EO13,IF(lg!$C$18=2,FF13,FW13))</f>
        <v>14</v>
      </c>
      <c r="GO13" s="10">
        <f>IF(lg!$C$18=1,EP13,IF(lg!$C$18=2,FG13,FX13))</f>
        <v>11</v>
      </c>
      <c r="GP13" s="10">
        <f>IF(lg!$C$18=1,EQ13,IF(lg!$C$18=2,FH13,FY13))</f>
        <v>6</v>
      </c>
      <c r="GR13" s="10" t="str">
        <f t="shared" si="184"/>
        <v>New England</v>
      </c>
      <c r="GS13" s="10" t="str">
        <f t="shared" si="31"/>
        <v>Colorado</v>
      </c>
      <c r="GT13" s="10" t="str">
        <f t="shared" si="32"/>
        <v>New England</v>
      </c>
      <c r="GU13" s="10" t="str">
        <f t="shared" si="33"/>
        <v>San Jose</v>
      </c>
      <c r="GV13" s="10" t="str">
        <f t="shared" si="34"/>
        <v>San Jose</v>
      </c>
      <c r="GW13" s="10" t="str">
        <f t="shared" si="35"/>
        <v>Seattle Sounders FC</v>
      </c>
      <c r="GX13" s="10" t="str">
        <f t="shared" si="36"/>
        <v>Toronto FC</v>
      </c>
      <c r="GY13" s="10" t="str">
        <f t="shared" si="37"/>
        <v>Chivas USA</v>
      </c>
      <c r="GZ13" s="10" t="str">
        <f t="shared" si="38"/>
        <v>Chicago</v>
      </c>
      <c r="HA13" s="10" t="str">
        <f t="shared" si="39"/>
        <v>Kansas City</v>
      </c>
      <c r="HB13" s="10" t="str">
        <f t="shared" si="40"/>
        <v>Seattle Sounders FC</v>
      </c>
      <c r="HC13" s="10" t="str">
        <f t="shared" si="41"/>
        <v>Chicago</v>
      </c>
      <c r="HD13" s="10" t="str">
        <f t="shared" si="42"/>
        <v>Columbus</v>
      </c>
      <c r="HE13" s="10" t="str">
        <f t="shared" si="43"/>
        <v>San Jose</v>
      </c>
      <c r="HF13" s="10" t="str">
        <f t="shared" si="44"/>
        <v>Dallas</v>
      </c>
      <c r="HG13" s="10" t="str">
        <f t="shared" si="45"/>
        <v>Kansas City</v>
      </c>
      <c r="HI13" s="10">
        <v>10</v>
      </c>
      <c r="HJ13" s="115">
        <f>IF(lg!$C$18=1,F13,IF(lg!$C$18=2,R13,AD13))</f>
        <v>21</v>
      </c>
      <c r="HK13" s="115">
        <f>IF(lg!$C$18=1,G13,IF(lg!$C$18=2,S13,AE13))</f>
        <v>11</v>
      </c>
      <c r="HL13" s="115">
        <f>IF(lg!$C$18=1,H13,IF(lg!$C$18=2,T13,AF13))</f>
        <v>6</v>
      </c>
      <c r="HM13" s="115">
        <f>IF(lg!$C$18=1,I13,IF(lg!$C$18=2,U13,AG13))</f>
        <v>4</v>
      </c>
      <c r="HN13" s="115">
        <f>IF(lg!$C$18=1,J13,IF(lg!$C$18=2,V13,AH13))</f>
        <v>39</v>
      </c>
      <c r="HO13" s="115">
        <f>IF(lg!$C$18=1,K13,IF(lg!$C$18=2,W13,AI13))</f>
        <v>36</v>
      </c>
      <c r="HP13" s="115">
        <f>IF(lg!$C$18=1,L13,IF(lg!$C$18=2,X13,AJ13))</f>
        <v>16</v>
      </c>
      <c r="HQ13" s="115" t="str">
        <f>IF(lg!$C$18=1,M13,IF(lg!$C$18=2,Y13,AK13))</f>
        <v>36 - 16</v>
      </c>
      <c r="HR13" s="115">
        <f>IF(lg!$C$18=1,N13,IF(lg!$C$18=2,Z13,AL13))</f>
        <v>20</v>
      </c>
      <c r="HS13" s="115">
        <f>IF(lg!$C$18=1,O13,IF(lg!$C$18=2,AA13,AM13))</f>
        <v>4</v>
      </c>
      <c r="HT13" s="115">
        <f>IF(lg!$C$18=1,P13,IF(lg!$C$18=2,AB13,AN13))</f>
        <v>9</v>
      </c>
      <c r="HV13" s="115">
        <f t="shared" si="185"/>
        <v>21</v>
      </c>
      <c r="HW13" s="115">
        <f t="shared" si="186"/>
        <v>28</v>
      </c>
      <c r="HX13" s="115">
        <f t="shared" si="187"/>
        <v>6</v>
      </c>
      <c r="HY13" s="115">
        <f t="shared" si="188"/>
        <v>7</v>
      </c>
      <c r="HZ13" s="115">
        <f t="shared" si="189"/>
        <v>6</v>
      </c>
      <c r="IA13" s="115">
        <f t="shared" si="190"/>
        <v>8</v>
      </c>
      <c r="IB13" s="115">
        <f t="shared" si="191"/>
        <v>21</v>
      </c>
      <c r="IC13" s="115">
        <f t="shared" si="192"/>
        <v>22</v>
      </c>
      <c r="ID13" s="115">
        <f t="shared" si="193"/>
        <v>21</v>
      </c>
      <c r="IE13" s="115">
        <f t="shared" si="194"/>
        <v>22</v>
      </c>
      <c r="IF13" s="115">
        <f t="shared" si="195"/>
        <v>-2</v>
      </c>
      <c r="IG13" s="115">
        <f t="shared" si="196"/>
        <v>0</v>
      </c>
      <c r="IH13" s="115">
        <f t="shared" si="197"/>
        <v>5</v>
      </c>
      <c r="II13" s="115">
        <f t="shared" si="198"/>
        <v>6</v>
      </c>
      <c r="IJ13" s="115">
        <f t="shared" si="199"/>
        <v>5</v>
      </c>
      <c r="IK13" s="115">
        <f t="shared" si="200"/>
        <v>7</v>
      </c>
      <c r="IN13" s="77" t="s">
        <v>69</v>
      </c>
      <c r="IO13" s="36" t="s">
        <v>8</v>
      </c>
      <c r="IP13" s="67">
        <f>VLOOKUP('ef-TeamStats'!B2,Table!$B$4:$W$23,10,0)</f>
        <v>6</v>
      </c>
      <c r="IQ13" s="133">
        <f>VLOOKUP('ef-TeamStats'!$B$2,Table!$B$4:$W$23,9,0)</f>
        <v>9</v>
      </c>
      <c r="IR13" s="134">
        <f t="shared" si="47"/>
        <v>0.66666666666666663</v>
      </c>
      <c r="IS13" s="133">
        <f>MATCH('ef-TeamStats'!$B$2,$JU$4:$JU$33,0)</f>
        <v>1</v>
      </c>
      <c r="IT13" s="67"/>
      <c r="IU13" s="36" t="s">
        <v>8</v>
      </c>
      <c r="IV13" s="67">
        <f>VLOOKUP('ef-TeamStats'!G2,Table!$B$4:$W$23,10,0)</f>
        <v>5</v>
      </c>
      <c r="IW13" s="133">
        <f>VLOOKUP('ef-TeamStats'!$G$2,Table!$B$4:$W$23,9,0)</f>
        <v>9</v>
      </c>
      <c r="IX13" s="134">
        <f t="shared" si="48"/>
        <v>0.55555555555555558</v>
      </c>
      <c r="IY13" s="133">
        <f>MATCH('ef-TeamStats'!$G$2,$JU$4:$JU$33,0)</f>
        <v>5</v>
      </c>
      <c r="JB13" s="10">
        <f>IF(lg!$F$18=1,EB13,IF(lg!$F$18=2,ES13,FJ13))</f>
        <v>4</v>
      </c>
      <c r="JC13" s="10">
        <f>IF(lg!$F$18=1,EC13,IF(lg!$F$18=2,ET13,FK13))</f>
        <v>13</v>
      </c>
      <c r="JD13" s="10">
        <f>IF(lg!$F$18=1,ED13,IF(lg!$F$18=2,EU13,FL13))</f>
        <v>4</v>
      </c>
      <c r="JE13" s="10">
        <f>IF(lg!$F$18=1,EE13,IF(lg!$F$18=2,EV13,FM13))</f>
        <v>14</v>
      </c>
      <c r="JF13" s="10">
        <f>IF(lg!$F$18=1,EF13,IF(lg!$F$18=2,EW13,FN13))</f>
        <v>14</v>
      </c>
      <c r="JG13" s="10">
        <f>IF(lg!$F$18=1,EG13,IF(lg!$F$18=2,EX13,FO13))</f>
        <v>12</v>
      </c>
      <c r="JH13" s="10">
        <f>IF(lg!$F$18=1,EH13,IF(lg!$F$18=2,EY13,FP13))</f>
        <v>3</v>
      </c>
      <c r="JI13" s="10">
        <f>IF(lg!$F$18=1,EI13,IF(lg!$F$18=2,EZ13,FQ13))</f>
        <v>16</v>
      </c>
      <c r="JJ13" s="10">
        <f>IF(lg!$F$18=1,EJ13,IF(lg!$F$18=2,FA13,FR13))</f>
        <v>5</v>
      </c>
      <c r="JK13" s="10">
        <f>IF(lg!$F$18=1,EK13,IF(lg!$F$18=2,FB13,FS13))</f>
        <v>6</v>
      </c>
      <c r="JL13" s="10">
        <f>IF(lg!$F$18=1,EL13,IF(lg!$F$18=2,FC13,FT13))</f>
        <v>12</v>
      </c>
      <c r="JM13" s="10">
        <f>IF(lg!$F$18=1,EM13,IF(lg!$F$18=2,FD13,FU13))</f>
        <v>5</v>
      </c>
      <c r="JN13" s="10">
        <f>IF(lg!$F$18=1,EN13,IF(lg!$F$18=2,FE13,FV13))</f>
        <v>1</v>
      </c>
      <c r="JO13" s="10">
        <f>IF(lg!$F$18=1,EO13,IF(lg!$F$18=2,FF13,FW13))</f>
        <v>14</v>
      </c>
      <c r="JP13" s="10">
        <f>IF(lg!$F$18=1,EP13,IF(lg!$F$18=2,FG13,FX13))</f>
        <v>11</v>
      </c>
      <c r="JQ13" s="10">
        <f>IF(lg!$F$18=1,EQ13,IF(lg!$F$18=2,FH13,FY13))</f>
        <v>6</v>
      </c>
      <c r="JS13" s="10" t="str">
        <f t="shared" si="201"/>
        <v>New England</v>
      </c>
      <c r="JT13" s="10" t="str">
        <f t="shared" si="49"/>
        <v>Colorado</v>
      </c>
      <c r="JU13" s="10" t="str">
        <f t="shared" si="50"/>
        <v>New England</v>
      </c>
      <c r="JV13" s="10" t="str">
        <f t="shared" si="51"/>
        <v>San Jose</v>
      </c>
      <c r="JW13" s="10" t="str">
        <f t="shared" si="52"/>
        <v>San Jose</v>
      </c>
      <c r="JX13" s="10" t="str">
        <f t="shared" si="53"/>
        <v>Seattle Sounders FC</v>
      </c>
      <c r="JY13" s="10" t="str">
        <f t="shared" si="54"/>
        <v>Toronto FC</v>
      </c>
      <c r="JZ13" s="10" t="str">
        <f t="shared" si="55"/>
        <v>Chivas USA</v>
      </c>
      <c r="KA13" s="10" t="str">
        <f t="shared" si="56"/>
        <v>Chicago</v>
      </c>
      <c r="KB13" s="10" t="str">
        <f t="shared" si="57"/>
        <v>Kansas City</v>
      </c>
      <c r="KC13" s="10" t="str">
        <f t="shared" si="58"/>
        <v>Seattle Sounders FC</v>
      </c>
      <c r="KD13" s="10" t="str">
        <f t="shared" si="59"/>
        <v>Chicago</v>
      </c>
      <c r="KE13" s="10" t="str">
        <f t="shared" si="60"/>
        <v>Columbus</v>
      </c>
      <c r="KF13" s="10" t="str">
        <f t="shared" si="61"/>
        <v>San Jose</v>
      </c>
      <c r="KG13" s="10" t="str">
        <f t="shared" si="62"/>
        <v>Dallas</v>
      </c>
      <c r="KH13" s="10" t="str">
        <f t="shared" si="63"/>
        <v>Kansas City</v>
      </c>
      <c r="KL13" s="27">
        <v>0.21</v>
      </c>
      <c r="KM13" s="29">
        <v>10</v>
      </c>
      <c r="KN13" s="31" t="str">
        <f t="shared" si="202"/>
        <v>Real Salt Lake</v>
      </c>
      <c r="KO13" s="152">
        <f t="shared" si="203"/>
        <v>3</v>
      </c>
      <c r="KP13" s="152">
        <f t="shared" si="204"/>
        <v>3</v>
      </c>
      <c r="KQ13" s="152">
        <f t="shared" si="205"/>
        <v>0</v>
      </c>
      <c r="KR13" s="28">
        <f t="shared" si="206"/>
        <v>1000300030003.21</v>
      </c>
      <c r="KS13" s="29"/>
      <c r="KT13" s="28"/>
      <c r="KU13" s="29">
        <f>RANK(KR13,KR$12:KR$19)</f>
        <v>1</v>
      </c>
      <c r="KV13" s="152">
        <f t="shared" si="207"/>
        <v>3</v>
      </c>
      <c r="KW13" s="152">
        <f t="shared" si="208"/>
        <v>4</v>
      </c>
      <c r="KX13" s="152">
        <f t="shared" si="209"/>
        <v>2</v>
      </c>
      <c r="KY13" s="28">
        <f t="shared" si="210"/>
        <v>1000300020004.21</v>
      </c>
      <c r="KZ13" s="29"/>
      <c r="LA13" s="28"/>
      <c r="LB13" s="29">
        <f>RANK(KY13,KY$12:KY$19)</f>
        <v>4</v>
      </c>
      <c r="LC13" s="152">
        <f t="shared" si="211"/>
        <v>4</v>
      </c>
      <c r="LD13" s="152">
        <f t="shared" si="212"/>
        <v>6</v>
      </c>
      <c r="LE13" s="152">
        <f t="shared" si="213"/>
        <v>4</v>
      </c>
      <c r="LF13" s="28">
        <f t="shared" si="214"/>
        <v>1000400020006.21</v>
      </c>
      <c r="LG13" s="29"/>
      <c r="LH13" s="28"/>
      <c r="LI13" s="29">
        <f>RANK(LF13,LF$12:LF$19)</f>
        <v>3</v>
      </c>
      <c r="LJ13" s="152">
        <f t="shared" si="215"/>
        <v>4</v>
      </c>
      <c r="LK13" s="152">
        <f t="shared" si="216"/>
        <v>7</v>
      </c>
      <c r="LL13" s="152">
        <f t="shared" si="217"/>
        <v>6</v>
      </c>
      <c r="LM13" s="28">
        <f t="shared" si="218"/>
        <v>1000400010007.21</v>
      </c>
      <c r="LN13" s="29"/>
      <c r="LO13" s="28"/>
      <c r="LP13" s="29">
        <f>RANK(LM13,LM$12:LM$19)</f>
        <v>6</v>
      </c>
      <c r="LQ13" s="152">
        <f t="shared" si="219"/>
        <v>4</v>
      </c>
      <c r="LR13" s="152">
        <f t="shared" si="220"/>
        <v>7</v>
      </c>
      <c r="LS13" s="152">
        <f t="shared" si="221"/>
        <v>7</v>
      </c>
      <c r="LT13" s="28">
        <f t="shared" si="222"/>
        <v>1000400000007.21</v>
      </c>
      <c r="LU13" s="29"/>
      <c r="LV13" s="28"/>
      <c r="LW13" s="29">
        <f>RANK(LT13,LT$12:LT$19)</f>
        <v>7</v>
      </c>
      <c r="LX13" s="152">
        <f t="shared" si="223"/>
        <v>7</v>
      </c>
      <c r="LY13" s="152">
        <f t="shared" si="224"/>
        <v>9</v>
      </c>
      <c r="LZ13" s="152">
        <f t="shared" si="225"/>
        <v>8</v>
      </c>
      <c r="MA13" s="28">
        <f t="shared" si="226"/>
        <v>1000700010009.21</v>
      </c>
      <c r="MB13" s="29"/>
      <c r="MC13" s="28"/>
      <c r="MD13" s="29">
        <f>RANK(MA13,MA$12:MA$19)</f>
        <v>6</v>
      </c>
      <c r="ME13" s="152">
        <f t="shared" si="227"/>
        <v>10</v>
      </c>
      <c r="MF13" s="152">
        <f t="shared" si="228"/>
        <v>12</v>
      </c>
      <c r="MG13" s="152">
        <f t="shared" si="229"/>
        <v>8</v>
      </c>
      <c r="MH13" s="28">
        <f t="shared" si="230"/>
        <v>1001000040012.21</v>
      </c>
      <c r="MI13" s="29"/>
      <c r="MJ13" s="28"/>
      <c r="MK13" s="29">
        <f>RANK(MH13,MH$12:MH$19)</f>
        <v>3</v>
      </c>
      <c r="ML13" s="152">
        <f t="shared" si="231"/>
        <v>13</v>
      </c>
      <c r="MM13" s="152">
        <f t="shared" si="232"/>
        <v>15</v>
      </c>
      <c r="MN13" s="152">
        <f t="shared" si="233"/>
        <v>9</v>
      </c>
      <c r="MO13" s="28">
        <f t="shared" si="234"/>
        <v>1001300060015.21</v>
      </c>
      <c r="MP13" s="29"/>
      <c r="MQ13" s="28"/>
      <c r="MR13" s="29">
        <f>RANK(MO13,MO$12:MO$19)</f>
        <v>3</v>
      </c>
      <c r="MS13" s="152">
        <f t="shared" si="235"/>
        <v>16</v>
      </c>
      <c r="MT13" s="152">
        <f t="shared" si="236"/>
        <v>17</v>
      </c>
      <c r="MU13" s="152">
        <f t="shared" si="237"/>
        <v>10</v>
      </c>
      <c r="MV13" s="28">
        <f t="shared" si="238"/>
        <v>1001600070017.21</v>
      </c>
      <c r="MW13" s="29"/>
      <c r="MX13" s="28"/>
      <c r="MY13" s="29">
        <f>RANK(MV13,MV$12:MV$19)</f>
        <v>2</v>
      </c>
      <c r="MZ13" s="152">
        <f t="shared" si="239"/>
        <v>19</v>
      </c>
      <c r="NA13" s="152">
        <f t="shared" si="240"/>
        <v>21</v>
      </c>
      <c r="NB13" s="152">
        <f t="shared" si="241"/>
        <v>11</v>
      </c>
      <c r="NC13" s="28">
        <f t="shared" si="242"/>
        <v>1001900100021.21</v>
      </c>
      <c r="ND13" s="29"/>
      <c r="NE13" s="28"/>
      <c r="NF13" s="29">
        <f>RANK(NC13,NC$12:NC$19)</f>
        <v>2</v>
      </c>
      <c r="NG13" s="152">
        <f t="shared" si="243"/>
        <v>20</v>
      </c>
      <c r="NH13" s="152">
        <f t="shared" si="244"/>
        <v>21</v>
      </c>
      <c r="NI13" s="152">
        <f t="shared" si="245"/>
        <v>11</v>
      </c>
      <c r="NJ13" s="28">
        <f t="shared" si="246"/>
        <v>1002000100021.21</v>
      </c>
      <c r="NK13" s="29"/>
      <c r="NL13" s="28"/>
      <c r="NM13" s="29">
        <f>RANK(NJ13,NJ$12:NJ$19)</f>
        <v>2</v>
      </c>
      <c r="NN13" s="152">
        <f t="shared" si="247"/>
        <v>23</v>
      </c>
      <c r="NO13" s="152">
        <f t="shared" si="248"/>
        <v>22</v>
      </c>
      <c r="NP13" s="152">
        <f t="shared" si="249"/>
        <v>11</v>
      </c>
      <c r="NQ13" s="28">
        <f t="shared" si="250"/>
        <v>1002300110022.21</v>
      </c>
      <c r="NR13" s="29"/>
      <c r="NS13" s="28"/>
      <c r="NT13" s="29">
        <f>RANK(NQ13,NQ$12:NQ$19)</f>
        <v>2</v>
      </c>
      <c r="NU13" s="152">
        <f t="shared" si="251"/>
        <v>24</v>
      </c>
      <c r="NV13" s="152">
        <f t="shared" si="252"/>
        <v>22</v>
      </c>
      <c r="NW13" s="152">
        <f t="shared" si="253"/>
        <v>11</v>
      </c>
      <c r="NX13" s="28">
        <f t="shared" si="254"/>
        <v>1002400110022.21</v>
      </c>
      <c r="NY13" s="29"/>
      <c r="NZ13" s="28"/>
      <c r="OA13" s="29">
        <f>RANK(NX13,NX$12:NX$19)</f>
        <v>2</v>
      </c>
      <c r="OB13" s="152">
        <f t="shared" si="255"/>
        <v>27</v>
      </c>
      <c r="OC13" s="152">
        <f t="shared" si="256"/>
        <v>27</v>
      </c>
      <c r="OD13" s="152">
        <f t="shared" si="257"/>
        <v>11</v>
      </c>
      <c r="OE13" s="28">
        <f t="shared" si="258"/>
        <v>1002700160027.21</v>
      </c>
      <c r="OF13" s="29"/>
      <c r="OG13" s="28"/>
      <c r="OH13" s="29">
        <f>RANK(OE13,OE$12:OE$19)</f>
        <v>2</v>
      </c>
      <c r="OI13" s="152">
        <f t="shared" si="259"/>
        <v>30</v>
      </c>
      <c r="OJ13" s="152">
        <f t="shared" si="260"/>
        <v>28</v>
      </c>
      <c r="OK13" s="152">
        <f t="shared" si="261"/>
        <v>11</v>
      </c>
      <c r="OL13" s="28">
        <f t="shared" si="262"/>
        <v>1003000170028.21</v>
      </c>
      <c r="OM13" s="29"/>
      <c r="ON13" s="28"/>
      <c r="OO13" s="29">
        <f>RANK(OL13,OL$12:OL$19)</f>
        <v>2</v>
      </c>
      <c r="OP13" s="152">
        <f t="shared" si="263"/>
        <v>30</v>
      </c>
      <c r="OQ13" s="152">
        <f t="shared" si="264"/>
        <v>28</v>
      </c>
      <c r="OR13" s="152">
        <f t="shared" si="265"/>
        <v>13</v>
      </c>
      <c r="OS13" s="28">
        <f t="shared" si="266"/>
        <v>1003000150028.21</v>
      </c>
      <c r="OT13" s="29"/>
      <c r="OU13" s="28"/>
      <c r="OV13" s="29">
        <f>RANK(OS13,OS$12:OS$19)</f>
        <v>2</v>
      </c>
      <c r="OW13" s="152">
        <f t="shared" si="267"/>
        <v>31</v>
      </c>
      <c r="OX13" s="152">
        <f t="shared" si="268"/>
        <v>29</v>
      </c>
      <c r="OY13" s="152">
        <f t="shared" si="269"/>
        <v>14</v>
      </c>
      <c r="OZ13" s="28">
        <f t="shared" si="270"/>
        <v>1003100150029.21</v>
      </c>
      <c r="PA13" s="29"/>
      <c r="PB13" s="28"/>
      <c r="PC13" s="29">
        <f>RANK(OZ13,OZ$12:OZ$19)</f>
        <v>2</v>
      </c>
      <c r="PD13" s="152">
        <f t="shared" si="271"/>
        <v>34</v>
      </c>
      <c r="PE13" s="152">
        <f t="shared" si="272"/>
        <v>32</v>
      </c>
      <c r="PF13" s="152">
        <f t="shared" si="273"/>
        <v>14</v>
      </c>
      <c r="PG13" s="28">
        <f t="shared" si="274"/>
        <v>1003400180032.21</v>
      </c>
      <c r="PH13" s="29"/>
      <c r="PI13" s="28"/>
      <c r="PJ13" s="29">
        <f>RANK(PG13,PG$12:PG$19)</f>
        <v>2</v>
      </c>
      <c r="PK13" s="152">
        <f t="shared" si="275"/>
        <v>35</v>
      </c>
      <c r="PL13" s="152">
        <f t="shared" si="276"/>
        <v>33</v>
      </c>
      <c r="PM13" s="152">
        <f t="shared" si="277"/>
        <v>15</v>
      </c>
      <c r="PN13" s="28">
        <f t="shared" si="278"/>
        <v>1003500180033.21</v>
      </c>
      <c r="PO13" s="29"/>
      <c r="PP13" s="28"/>
      <c r="PQ13" s="29">
        <f>RANK(PN13,PN$12:PN$19)</f>
        <v>2</v>
      </c>
      <c r="PR13" s="152">
        <f t="shared" si="279"/>
        <v>36</v>
      </c>
      <c r="PS13" s="152">
        <f t="shared" si="280"/>
        <v>34</v>
      </c>
      <c r="PT13" s="152">
        <f t="shared" si="281"/>
        <v>16</v>
      </c>
      <c r="PU13" s="28">
        <f t="shared" si="282"/>
        <v>1003600180034.21</v>
      </c>
      <c r="PV13" s="29"/>
      <c r="PW13" s="28"/>
      <c r="PX13" s="29">
        <f>RANK(PU13,PU$12:PU$19)</f>
        <v>2</v>
      </c>
      <c r="PY13" s="152">
        <f t="shared" si="283"/>
        <v>39</v>
      </c>
      <c r="PZ13" s="152">
        <f t="shared" si="284"/>
        <v>36</v>
      </c>
      <c r="QA13" s="152">
        <f t="shared" si="285"/>
        <v>16</v>
      </c>
      <c r="QB13" s="28">
        <f t="shared" si="286"/>
        <v>1003900200036.21</v>
      </c>
      <c r="QC13" s="29"/>
      <c r="QD13" s="28"/>
      <c r="QE13" s="29">
        <f>RANK(QB13,QB$12:QB$19)</f>
        <v>2</v>
      </c>
      <c r="QF13" s="152">
        <f t="shared" si="287"/>
        <v>39</v>
      </c>
      <c r="QG13" s="152">
        <f t="shared" si="288"/>
        <v>36</v>
      </c>
      <c r="QH13" s="152">
        <f t="shared" si="289"/>
        <v>16</v>
      </c>
      <c r="QI13" s="28">
        <f t="shared" si="290"/>
        <v>1003900200036.21</v>
      </c>
      <c r="QJ13" s="29"/>
      <c r="QK13" s="28"/>
      <c r="QL13" s="29">
        <f>RANK(QI13,QI$12:QI$19)</f>
        <v>2</v>
      </c>
      <c r="QM13" s="152">
        <f t="shared" si="291"/>
        <v>39</v>
      </c>
      <c r="QN13" s="152">
        <f t="shared" si="292"/>
        <v>36</v>
      </c>
      <c r="QO13" s="152">
        <f t="shared" si="293"/>
        <v>16</v>
      </c>
      <c r="QP13" s="28">
        <f t="shared" si="294"/>
        <v>1003900200036.21</v>
      </c>
      <c r="QQ13" s="29"/>
      <c r="QR13" s="28"/>
      <c r="QS13" s="29">
        <f>RANK(QP13,QP$12:QP$19)</f>
        <v>2</v>
      </c>
      <c r="QT13" s="152">
        <f t="shared" si="295"/>
        <v>39</v>
      </c>
      <c r="QU13" s="152">
        <f t="shared" si="296"/>
        <v>36</v>
      </c>
      <c r="QV13" s="152">
        <f t="shared" si="297"/>
        <v>16</v>
      </c>
      <c r="QW13" s="28">
        <f t="shared" si="298"/>
        <v>1003900200036.21</v>
      </c>
      <c r="QX13" s="29"/>
      <c r="QY13" s="28"/>
      <c r="QZ13" s="29">
        <f>RANK(QW13,QW$12:QW$19)</f>
        <v>2</v>
      </c>
      <c r="RA13" s="152">
        <f t="shared" si="299"/>
        <v>39</v>
      </c>
      <c r="RB13" s="152">
        <f t="shared" si="300"/>
        <v>36</v>
      </c>
      <c r="RC13" s="152">
        <f t="shared" si="301"/>
        <v>16</v>
      </c>
      <c r="RD13" s="28">
        <f t="shared" si="302"/>
        <v>1003900200036.21</v>
      </c>
      <c r="RE13" s="29"/>
      <c r="RF13" s="28"/>
      <c r="RG13" s="29">
        <f>RANK(RD13,RD$12:RD$19)</f>
        <v>2</v>
      </c>
      <c r="RH13" s="152">
        <f t="shared" si="303"/>
        <v>39</v>
      </c>
      <c r="RI13" s="152">
        <f t="shared" si="304"/>
        <v>36</v>
      </c>
      <c r="RJ13" s="152">
        <f t="shared" si="305"/>
        <v>16</v>
      </c>
      <c r="RK13" s="28">
        <f t="shared" si="306"/>
        <v>1003900200036.21</v>
      </c>
      <c r="RL13" s="29"/>
      <c r="RM13" s="28"/>
      <c r="RN13" s="29">
        <f>RANK(RK13,RK$12:RK$19)</f>
        <v>2</v>
      </c>
      <c r="RO13" s="152">
        <f t="shared" si="307"/>
        <v>39</v>
      </c>
      <c r="RP13" s="152">
        <f t="shared" si="308"/>
        <v>36</v>
      </c>
      <c r="RQ13" s="152">
        <f t="shared" si="309"/>
        <v>16</v>
      </c>
      <c r="RR13" s="28">
        <f t="shared" si="310"/>
        <v>1003900200036.21</v>
      </c>
      <c r="RS13" s="29"/>
      <c r="RT13" s="28"/>
      <c r="RU13" s="29">
        <f>RANK(RR13,RR$12:RR$19)</f>
        <v>2</v>
      </c>
      <c r="RV13" s="152">
        <f t="shared" si="311"/>
        <v>39</v>
      </c>
      <c r="RW13" s="152">
        <f t="shared" si="312"/>
        <v>36</v>
      </c>
      <c r="RX13" s="152">
        <f t="shared" si="313"/>
        <v>16</v>
      </c>
      <c r="RY13" s="28">
        <f t="shared" si="314"/>
        <v>1003900200036.21</v>
      </c>
      <c r="RZ13" s="29"/>
      <c r="SA13" s="28"/>
      <c r="SB13" s="29">
        <f>RANK(RY13,RY$12:RY$19)</f>
        <v>2</v>
      </c>
      <c r="SC13" s="152">
        <f t="shared" si="315"/>
        <v>39</v>
      </c>
      <c r="SD13" s="152">
        <f t="shared" si="316"/>
        <v>36</v>
      </c>
      <c r="SE13" s="152">
        <f t="shared" si="317"/>
        <v>16</v>
      </c>
      <c r="SF13" s="28">
        <f t="shared" si="318"/>
        <v>1003900200036.21</v>
      </c>
      <c r="SG13" s="29"/>
      <c r="SH13" s="28"/>
      <c r="SI13" s="29">
        <f>RANK(SF13,SF$12:SF$19)</f>
        <v>2</v>
      </c>
      <c r="SJ13" s="152">
        <f t="shared" si="319"/>
        <v>39</v>
      </c>
      <c r="SK13" s="152">
        <f t="shared" si="320"/>
        <v>36</v>
      </c>
      <c r="SL13" s="152">
        <f t="shared" si="321"/>
        <v>16</v>
      </c>
      <c r="SM13" s="28">
        <f t="shared" si="322"/>
        <v>1003900200036.21</v>
      </c>
      <c r="SN13" s="29"/>
      <c r="SO13" s="28"/>
      <c r="SP13" s="29">
        <f>RANK(SM13,SM$12:SM$19)</f>
        <v>2</v>
      </c>
      <c r="SQ13" s="152">
        <f t="shared" si="323"/>
        <v>39</v>
      </c>
      <c r="SR13" s="152">
        <f t="shared" si="324"/>
        <v>36</v>
      </c>
      <c r="SS13" s="152">
        <f t="shared" si="325"/>
        <v>16</v>
      </c>
      <c r="ST13" s="28">
        <f t="shared" si="326"/>
        <v>1003900200036.21</v>
      </c>
      <c r="SU13" s="29"/>
      <c r="SV13" s="28"/>
      <c r="SW13" s="29">
        <f>RANK(ST13,ST$12:ST$19)</f>
        <v>2</v>
      </c>
      <c r="SX13" s="152">
        <f t="shared" si="327"/>
        <v>39</v>
      </c>
      <c r="SY13" s="152">
        <f t="shared" si="328"/>
        <v>36</v>
      </c>
      <c r="SZ13" s="152">
        <f t="shared" si="329"/>
        <v>16</v>
      </c>
      <c r="TA13" s="28">
        <f t="shared" si="330"/>
        <v>1003900200036.21</v>
      </c>
      <c r="TB13" s="29"/>
      <c r="TC13" s="28"/>
      <c r="TD13" s="29">
        <f>RANK(TA13,TA$12:TA$19)</f>
        <v>2</v>
      </c>
      <c r="TE13" s="152">
        <f t="shared" si="331"/>
        <v>39</v>
      </c>
      <c r="TF13" s="152">
        <f t="shared" si="332"/>
        <v>36</v>
      </c>
      <c r="TG13" s="152">
        <f t="shared" si="333"/>
        <v>16</v>
      </c>
      <c r="TH13" s="28">
        <f t="shared" si="334"/>
        <v>1003900200036.21</v>
      </c>
      <c r="TI13" s="29"/>
      <c r="TJ13" s="28"/>
      <c r="TK13" s="29">
        <f>RANK(TH13,TH$12:TH$19)</f>
        <v>2</v>
      </c>
      <c r="TL13" s="152">
        <f t="shared" si="335"/>
        <v>39</v>
      </c>
      <c r="TM13" s="152">
        <f t="shared" si="336"/>
        <v>36</v>
      </c>
      <c r="TN13" s="152">
        <f t="shared" si="337"/>
        <v>16</v>
      </c>
      <c r="TO13" s="28">
        <f t="shared" si="338"/>
        <v>1003900200036.21</v>
      </c>
      <c r="TP13" s="29"/>
      <c r="TQ13" s="28"/>
      <c r="TR13" s="29">
        <f>RANK(TO13,TO$12:TO$19)</f>
        <v>2</v>
      </c>
      <c r="TS13" s="152">
        <f t="shared" si="339"/>
        <v>39</v>
      </c>
      <c r="TT13" s="152">
        <f t="shared" si="340"/>
        <v>36</v>
      </c>
      <c r="TU13" s="152">
        <f t="shared" si="341"/>
        <v>16</v>
      </c>
      <c r="TV13" s="28">
        <f t="shared" si="342"/>
        <v>1003900200036.21</v>
      </c>
      <c r="TW13" s="29"/>
      <c r="TX13" s="28"/>
      <c r="TY13" s="29">
        <f>RANK(TV13,TV$12:TV$19)</f>
        <v>2</v>
      </c>
      <c r="TZ13" s="152">
        <f t="shared" si="343"/>
        <v>39</v>
      </c>
      <c r="UA13" s="152">
        <f t="shared" si="344"/>
        <v>36</v>
      </c>
      <c r="UB13" s="152">
        <f t="shared" si="345"/>
        <v>16</v>
      </c>
      <c r="UC13" s="28">
        <f t="shared" si="346"/>
        <v>1003900200036.21</v>
      </c>
      <c r="UD13" s="29"/>
      <c r="UE13" s="28"/>
      <c r="UF13" s="29">
        <f>RANK(UC13,UC$12:UC$19)</f>
        <v>2</v>
      </c>
      <c r="UG13" s="152">
        <f t="shared" si="347"/>
        <v>39</v>
      </c>
      <c r="UH13" s="152">
        <f t="shared" si="348"/>
        <v>36</v>
      </c>
      <c r="UI13" s="152">
        <f t="shared" si="349"/>
        <v>16</v>
      </c>
      <c r="UJ13" s="28">
        <f t="shared" si="350"/>
        <v>1003900200036.21</v>
      </c>
      <c r="UK13" s="29"/>
      <c r="UL13" s="28"/>
      <c r="UM13" s="29">
        <f>RANK(UJ13,UJ$12:UJ$19)</f>
        <v>2</v>
      </c>
      <c r="UN13" s="152">
        <f t="shared" si="351"/>
        <v>39</v>
      </c>
      <c r="UO13" s="152">
        <f t="shared" si="352"/>
        <v>36</v>
      </c>
      <c r="UP13" s="152">
        <f t="shared" si="353"/>
        <v>16</v>
      </c>
      <c r="UQ13" s="28">
        <f t="shared" si="354"/>
        <v>1003900200036.21</v>
      </c>
      <c r="UR13" s="29"/>
      <c r="US13" s="28"/>
      <c r="UT13" s="29">
        <f>RANK(UQ13,UQ$12:UQ$19)</f>
        <v>2</v>
      </c>
      <c r="UU13" s="129"/>
      <c r="UV13" s="129" t="str">
        <f t="shared" si="355"/>
        <v>Real Salt Lake</v>
      </c>
      <c r="UW13" s="129">
        <f t="shared" si="356"/>
        <v>1</v>
      </c>
      <c r="UX13" s="129">
        <f t="shared" ca="1" si="357"/>
        <v>4</v>
      </c>
      <c r="UY13" s="129">
        <f t="shared" ca="1" si="64"/>
        <v>3</v>
      </c>
      <c r="UZ13" s="129">
        <f t="shared" ca="1" si="64"/>
        <v>6</v>
      </c>
      <c r="VA13" s="129">
        <f t="shared" ca="1" si="64"/>
        <v>7</v>
      </c>
      <c r="VB13" s="129">
        <f t="shared" ca="1" si="64"/>
        <v>6</v>
      </c>
      <c r="VC13" s="129">
        <f t="shared" ca="1" si="64"/>
        <v>3</v>
      </c>
      <c r="VD13" s="129">
        <f t="shared" ca="1" si="64"/>
        <v>3</v>
      </c>
      <c r="VE13" s="129">
        <f t="shared" ca="1" si="64"/>
        <v>2</v>
      </c>
      <c r="VF13" s="129">
        <f t="shared" ca="1" si="64"/>
        <v>2</v>
      </c>
      <c r="VG13" s="129">
        <f t="shared" ca="1" si="64"/>
        <v>2</v>
      </c>
      <c r="VH13" s="129">
        <f t="shared" ca="1" si="64"/>
        <v>2</v>
      </c>
      <c r="VI13" s="129">
        <f t="shared" ca="1" si="64"/>
        <v>2</v>
      </c>
      <c r="VJ13" s="129">
        <f t="shared" ca="1" si="64"/>
        <v>2</v>
      </c>
      <c r="VK13" s="129">
        <f t="shared" ca="1" si="64"/>
        <v>2</v>
      </c>
      <c r="VL13" s="129">
        <f t="shared" ca="1" si="64"/>
        <v>2</v>
      </c>
      <c r="VM13" s="129">
        <f t="shared" ca="1" si="64"/>
        <v>2</v>
      </c>
      <c r="VN13" s="129">
        <f t="shared" ca="1" si="64"/>
        <v>2</v>
      </c>
      <c r="VO13" s="129">
        <f t="shared" ca="1" si="65"/>
        <v>2</v>
      </c>
      <c r="VP13" s="129">
        <f t="shared" ca="1" si="65"/>
        <v>2</v>
      </c>
      <c r="VQ13" s="129">
        <f t="shared" ca="1" si="65"/>
        <v>2</v>
      </c>
      <c r="VR13" s="129">
        <f t="shared" ca="1" si="65"/>
        <v>2</v>
      </c>
      <c r="VS13" s="129">
        <f t="shared" ca="1" si="65"/>
        <v>2</v>
      </c>
      <c r="VT13" s="129">
        <f t="shared" ca="1" si="65"/>
        <v>2</v>
      </c>
      <c r="VU13" s="129">
        <f t="shared" ca="1" si="65"/>
        <v>2</v>
      </c>
      <c r="VV13" s="129">
        <f t="shared" ca="1" si="65"/>
        <v>2</v>
      </c>
      <c r="VW13" s="129">
        <f t="shared" ca="1" si="65"/>
        <v>2</v>
      </c>
      <c r="VX13" s="129">
        <f t="shared" ca="1" si="65"/>
        <v>2</v>
      </c>
      <c r="VY13" s="129">
        <f t="shared" ca="1" si="65"/>
        <v>2</v>
      </c>
      <c r="VZ13" s="129">
        <f t="shared" ca="1" si="65"/>
        <v>2</v>
      </c>
      <c r="WA13" s="129">
        <f t="shared" ca="1" si="65"/>
        <v>2</v>
      </c>
      <c r="WB13" s="129">
        <f t="shared" ca="1" si="65"/>
        <v>2</v>
      </c>
      <c r="WC13" s="129">
        <f t="shared" ca="1" si="65"/>
        <v>2</v>
      </c>
      <c r="WD13" s="129">
        <f t="shared" ca="1" si="65"/>
        <v>2</v>
      </c>
      <c r="WE13" s="129">
        <f t="shared" ca="1" si="66"/>
        <v>2</v>
      </c>
      <c r="WF13" s="129">
        <f t="shared" ca="1" si="66"/>
        <v>2</v>
      </c>
      <c r="WG13" s="129">
        <f t="shared" ca="1" si="66"/>
        <v>2</v>
      </c>
      <c r="WH13" s="129">
        <f t="shared" ca="1" si="66"/>
        <v>2</v>
      </c>
      <c r="WK13" s="87" t="str">
        <f t="shared" si="358"/>
        <v>Real Salt Lake</v>
      </c>
      <c r="WL13" s="87">
        <v>2</v>
      </c>
      <c r="WM13" s="87">
        <v>2</v>
      </c>
      <c r="WN13" s="87">
        <f>IF($WI$3&gt;=WN$3,UW13,NA())</f>
        <v>1</v>
      </c>
      <c r="WO13" s="87">
        <f ca="1">IF($WI$3&gt;=WO$3,UX13,NA())</f>
        <v>4</v>
      </c>
      <c r="WP13" s="87">
        <f ca="1">IF($WI$3&gt;=WP$3,UY13,NA())</f>
        <v>3</v>
      </c>
      <c r="WQ13" s="87">
        <f ca="1">IF($WI$3&gt;=WQ$3,UZ13,NA())</f>
        <v>6</v>
      </c>
      <c r="WR13" s="87">
        <f ca="1">IF($WI$3&gt;=WR$3,VA13,NA())</f>
        <v>7</v>
      </c>
      <c r="WS13" s="87">
        <f ca="1">IF($WI$3&gt;=WS$3,VB13,NA())</f>
        <v>6</v>
      </c>
      <c r="WT13" s="87">
        <f ca="1">IF($WI$3&gt;=WT$3,VC13,NA())</f>
        <v>3</v>
      </c>
      <c r="WU13" s="87">
        <f ca="1">IF($WI$3&gt;=WU$3,VD13,NA())</f>
        <v>3</v>
      </c>
      <c r="WV13" s="87">
        <f ca="1">IF($WI$3&gt;=WV$3,VE13,NA())</f>
        <v>2</v>
      </c>
      <c r="WW13" s="87">
        <f ca="1">IF($WI$3&gt;=WW$3,VF13,NA())</f>
        <v>2</v>
      </c>
      <c r="WX13" s="87">
        <f ca="1">IF($WI$3&gt;=WX$3,VG13,NA())</f>
        <v>2</v>
      </c>
      <c r="WY13" s="87">
        <f ca="1">IF($WI$3&gt;=WY$3,VH13,NA())</f>
        <v>2</v>
      </c>
      <c r="WZ13" s="87">
        <f ca="1">IF($WI$3&gt;=WZ$3,VI13,NA())</f>
        <v>2</v>
      </c>
      <c r="XA13" s="87">
        <f ca="1">IF($WI$3&gt;=XA$3,VJ13,NA())</f>
        <v>2</v>
      </c>
      <c r="XB13" s="87">
        <f ca="1">IF($WI$3&gt;=XB$3,VK13,NA())</f>
        <v>2</v>
      </c>
      <c r="XC13" s="87">
        <f ca="1">IF($WI$3&gt;=XC$3,VL13,NA())</f>
        <v>2</v>
      </c>
      <c r="XD13" s="87">
        <f ca="1">IF($WI$3&gt;=XD$3,VM13,NA())</f>
        <v>2</v>
      </c>
      <c r="XE13" s="87">
        <f ca="1">IF($WI$3&gt;=XE$3,VN13,NA())</f>
        <v>2</v>
      </c>
      <c r="XF13" s="87">
        <f ca="1">IF($WI$3&gt;=XF$3,VO13,NA())</f>
        <v>2</v>
      </c>
      <c r="XG13" s="87">
        <f ca="1">IF($WI$3&gt;=XG$3,VP13,NA())</f>
        <v>2</v>
      </c>
      <c r="XH13" s="87">
        <f ca="1">IF($WI$3&gt;=XH$3,VQ13,NA())</f>
        <v>2</v>
      </c>
      <c r="XI13" s="87" t="e">
        <f>IF($WI$3&gt;=XI$3,VR13,NA())</f>
        <v>#N/A</v>
      </c>
      <c r="XJ13" s="87" t="e">
        <f>IF($WI$3&gt;=XJ$3,VS13,NA())</f>
        <v>#N/A</v>
      </c>
      <c r="XK13" s="87" t="e">
        <f>IF($WI$3&gt;=XK$3,VT13,NA())</f>
        <v>#N/A</v>
      </c>
      <c r="XL13" s="87" t="e">
        <f>IF($WI$3&gt;=XL$3,VU13,NA())</f>
        <v>#N/A</v>
      </c>
      <c r="XM13" s="87" t="e">
        <f>IF($WI$3&gt;=XM$3,VV13,NA())</f>
        <v>#N/A</v>
      </c>
      <c r="XN13" s="87" t="e">
        <f>IF($WI$3&gt;=XN$3,VW13,NA())</f>
        <v>#N/A</v>
      </c>
      <c r="XO13" s="87" t="e">
        <f>IF($WI$3&gt;=XO$3,VX13,NA())</f>
        <v>#N/A</v>
      </c>
      <c r="XP13" s="87" t="e">
        <f>IF($WI$3&gt;=XP$3,VY13,NA())</f>
        <v>#N/A</v>
      </c>
      <c r="XQ13" s="87" t="e">
        <f>IF($WI$3&gt;=XQ$3,VZ13,NA())</f>
        <v>#N/A</v>
      </c>
      <c r="XR13" s="87" t="e">
        <f>IF($WI$3&gt;=XR$3,WA13,NA())</f>
        <v>#N/A</v>
      </c>
      <c r="XS13" s="87" t="e">
        <f>IF($WI$3&gt;=XS$3,WB13,NA())</f>
        <v>#N/A</v>
      </c>
      <c r="XT13" s="87" t="e">
        <f>IF($WI$3&gt;=XT$3,WC13,NA())</f>
        <v>#N/A</v>
      </c>
      <c r="XU13" s="87" t="e">
        <f>IF($WI$3&gt;=XU$3,WD13,NA())</f>
        <v>#N/A</v>
      </c>
      <c r="XV13" s="87" t="e">
        <f>IF($WI$3&gt;=XV$3,WE13,NA())</f>
        <v>#N/A</v>
      </c>
      <c r="XW13" s="87" t="e">
        <f>IF($WI$3&gt;=XW$3,WF13,NA())</f>
        <v>#N/A</v>
      </c>
      <c r="XX13" s="87" t="e">
        <f>IF($WI$3&gt;=XX$3,WG13,NA())</f>
        <v>#N/A</v>
      </c>
      <c r="XY13" s="87" t="e">
        <f>IF($WI$3&gt;=XY$3,WH13,NA())</f>
        <v>#N/A</v>
      </c>
      <c r="XZ13" s="241"/>
      <c r="YA13" s="241"/>
      <c r="YB13" s="280"/>
      <c r="YC13" s="280" t="str">
        <f>IF(ISERROR(VLOOKUP(YB7,$E$11:$E$19,1,0)),"",YB7)</f>
        <v/>
      </c>
      <c r="YD13" s="280"/>
      <c r="YE13" s="163" t="e">
        <f>VLOOKUP($YC13,$WK$4:WL$33,YE$3+3,0)</f>
        <v>#N/A</v>
      </c>
      <c r="YF13" s="163" t="e">
        <f>VLOOKUP($YC13,$WK$4:WM$33,YF$3+3,0)</f>
        <v>#N/A</v>
      </c>
      <c r="YG13" s="163" t="e">
        <f>VLOOKUP($YC13,$WK$4:WN$33,YG$3+3,0)</f>
        <v>#N/A</v>
      </c>
      <c r="YH13" s="163" t="e">
        <f>VLOOKUP($YC13,$WK$4:WO$33,YH$3+3,0)</f>
        <v>#N/A</v>
      </c>
      <c r="YI13" s="163" t="e">
        <f>VLOOKUP($YC13,$WK$4:WP$33,YI$3+3,0)</f>
        <v>#N/A</v>
      </c>
      <c r="YJ13" s="163" t="e">
        <f>VLOOKUP($YC13,$WK$4:WQ$33,YJ$3+3,0)</f>
        <v>#N/A</v>
      </c>
      <c r="YK13" s="163" t="e">
        <f>VLOOKUP($YC13,$WK$4:WR$33,YK$3+3,0)</f>
        <v>#N/A</v>
      </c>
      <c r="YL13" s="163" t="e">
        <f>VLOOKUP($YC13,$WK$4:WS$33,YL$3+3,0)</f>
        <v>#N/A</v>
      </c>
      <c r="YM13" s="163" t="e">
        <f>VLOOKUP($YC13,$WK$4:WT$33,YM$3+3,0)</f>
        <v>#N/A</v>
      </c>
      <c r="YN13" s="163" t="e">
        <f>VLOOKUP($YC13,$WK$4:WU$33,YN$3+3,0)</f>
        <v>#N/A</v>
      </c>
      <c r="YO13" s="163" t="e">
        <f>VLOOKUP($YC13,$WK$4:WV$33,YO$3+3,0)</f>
        <v>#N/A</v>
      </c>
      <c r="YP13" s="163" t="e">
        <f>VLOOKUP($YC13,$WK$4:WW$33,YP$3+3,0)</f>
        <v>#N/A</v>
      </c>
      <c r="YQ13" s="163" t="e">
        <f>VLOOKUP($YC13,$WK$4:WX$33,YQ$3+3,0)</f>
        <v>#N/A</v>
      </c>
      <c r="YR13" s="163" t="e">
        <f>VLOOKUP($YC13,$WK$4:WY$33,YR$3+3,0)</f>
        <v>#N/A</v>
      </c>
      <c r="YS13" s="163" t="e">
        <f>VLOOKUP($YC13,$WK$4:WZ$33,YS$3+3,0)</f>
        <v>#N/A</v>
      </c>
      <c r="YT13" s="163" t="e">
        <f>VLOOKUP($YC13,$WK$4:XA$33,YT$3+3,0)</f>
        <v>#N/A</v>
      </c>
      <c r="YU13" s="163" t="e">
        <f>VLOOKUP($YC13,$WK$4:XB$33,YU$3+3,0)</f>
        <v>#N/A</v>
      </c>
      <c r="YV13" s="163" t="e">
        <f>VLOOKUP($YC13,$WK$4:XC$33,YV$3+3,0)</f>
        <v>#N/A</v>
      </c>
      <c r="YW13" s="163" t="e">
        <f>VLOOKUP($YC13,$WK$4:XD$33,YW$3+3,0)</f>
        <v>#N/A</v>
      </c>
      <c r="YX13" s="163" t="e">
        <f>VLOOKUP($YC13,$WK$4:XE$33,YX$3+3,0)</f>
        <v>#N/A</v>
      </c>
      <c r="YY13" s="163" t="e">
        <f>VLOOKUP($YC13,$WK$4:XF$33,YY$3+3,0)</f>
        <v>#N/A</v>
      </c>
      <c r="YZ13" s="163" t="e">
        <f>VLOOKUP($YC13,$WK$4:XG$33,YZ$3+3,0)</f>
        <v>#N/A</v>
      </c>
      <c r="ZA13" s="163" t="e">
        <f>VLOOKUP($YC13,$WK$4:XH$33,ZA$3+3,0)</f>
        <v>#N/A</v>
      </c>
      <c r="ZB13" s="163" t="e">
        <f>VLOOKUP($YC13,$WK$4:XI$33,ZB$3+3,0)</f>
        <v>#N/A</v>
      </c>
      <c r="ZC13" s="163" t="e">
        <f>VLOOKUP($YC13,$WK$4:XJ$33,ZC$3+3,0)</f>
        <v>#N/A</v>
      </c>
      <c r="ZD13" s="163" t="e">
        <f>VLOOKUP($YC13,$WK$4:XK$33,ZD$3+3,0)</f>
        <v>#N/A</v>
      </c>
      <c r="ZE13" s="163" t="e">
        <f>VLOOKUP($YC13,$WK$4:XL$33,ZE$3+3,0)</f>
        <v>#N/A</v>
      </c>
      <c r="ZF13" s="163" t="e">
        <f>VLOOKUP($YC13,$WK$4:XM$33,ZF$3+3,0)</f>
        <v>#N/A</v>
      </c>
      <c r="ZG13" s="163" t="e">
        <f>VLOOKUP($YC13,$WK$4:XN$33,ZG$3+3,0)</f>
        <v>#N/A</v>
      </c>
      <c r="ZH13" s="163" t="e">
        <f>VLOOKUP($YC13,$WK$4:XO$33,ZH$3+3,0)</f>
        <v>#N/A</v>
      </c>
      <c r="ZI13" s="163" t="e">
        <f>VLOOKUP($YC13,$WK$4:XP$33,ZI$3+3,0)</f>
        <v>#N/A</v>
      </c>
      <c r="ZJ13" s="163" t="e">
        <f>VLOOKUP($YC13,$WK$4:XQ$33,ZJ$3+3,0)</f>
        <v>#N/A</v>
      </c>
      <c r="ZK13" s="163" t="e">
        <f>VLOOKUP($YC13,$WK$4:XR$33,ZK$3+3,0)</f>
        <v>#N/A</v>
      </c>
      <c r="ZL13" s="163" t="e">
        <f>VLOOKUP($YC13,$WK$4:XS$33,ZL$3+3,0)</f>
        <v>#N/A</v>
      </c>
      <c r="ZM13" s="163" t="e">
        <f>VLOOKUP($YC13,$WK$4:XT$33,ZM$3+3,0)</f>
        <v>#N/A</v>
      </c>
      <c r="ZN13" s="163" t="e">
        <f>VLOOKUP($YC13,$WK$4:XU$33,ZN$3+3,0)</f>
        <v>#N/A</v>
      </c>
      <c r="ZO13" s="163" t="e">
        <f>VLOOKUP($YC13,$WK$4:XV$33,ZO$3+3,0)</f>
        <v>#N/A</v>
      </c>
      <c r="ZP13" s="163" t="e">
        <f>VLOOKUP($YC13,$WK$4:XW$33,ZP$3+3,0)</f>
        <v>#N/A</v>
      </c>
      <c r="ZQ13" s="163" t="e">
        <f>VLOOKUP($YC13,$WK$4:XX$33,ZQ$3+3,0)</f>
        <v>#N/A</v>
      </c>
      <c r="ZR13" s="163" t="e">
        <f>VLOOKUP($YC13,$WK$4:XY$33,ZR$3+3,0)</f>
        <v>#N/A</v>
      </c>
      <c r="ZS13" s="280"/>
      <c r="ZT13" s="280"/>
      <c r="ZU13" s="280"/>
      <c r="ZV13" s="280"/>
      <c r="ZW13" s="280"/>
      <c r="ZX13" s="280"/>
      <c r="ZY13" s="280"/>
      <c r="ZZ13" s="280"/>
      <c r="AAA13" s="280"/>
      <c r="AAB13" s="280"/>
      <c r="AAC13" s="280"/>
      <c r="AAD13" s="160"/>
      <c r="AAE13" s="160"/>
      <c r="AAF13" s="160"/>
      <c r="AAG13" s="160"/>
      <c r="AAH13" s="241"/>
      <c r="AAI13" s="241"/>
      <c r="AAJ13" s="241"/>
      <c r="AAK13" s="241"/>
      <c r="AAL13" s="241"/>
      <c r="AAM13" s="241"/>
      <c r="AAN13" s="241"/>
      <c r="AAO13" s="241"/>
      <c r="AAP13" s="241"/>
      <c r="AAQ13" s="241"/>
      <c r="AAR13" s="241"/>
      <c r="AAS13" s="241"/>
      <c r="AAT13" s="241"/>
      <c r="AAU13" s="241"/>
    </row>
    <row r="14" spans="4:723">
      <c r="D14" s="29">
        <v>11</v>
      </c>
      <c r="E14" s="31" t="s">
        <v>182</v>
      </c>
      <c r="F14" s="25">
        <f>SUMIF('ef-FT'!$C$2001:$C$3800,E14,'ef-FT'!$E$2001:$E$3800)</f>
        <v>19</v>
      </c>
      <c r="G14" s="25">
        <f>SUMIF('ef-FT'!$C$2001:$C$3800,E14,'ef-FT'!$F$2001:$F$3800)</f>
        <v>8</v>
      </c>
      <c r="H14" s="25">
        <f>SUMIF('ef-FT'!$C$2001:$C$3800,E14,'ef-FT'!$G$2001:$G$3800)</f>
        <v>9</v>
      </c>
      <c r="I14" s="25">
        <f>SUMIF('ef-FT'!$C$2001:$C$3800,E14,'ef-FT'!$H$2001:$H$3800)</f>
        <v>2</v>
      </c>
      <c r="J14" s="25">
        <f>SUMIF('ef-FT'!$C$2001:$C$3800,E14,'ef-FT'!$D$2001:$D$3800)</f>
        <v>33</v>
      </c>
      <c r="K14" s="25">
        <f>SUMIF('ef-FT'!$C$2001:$C$3800,E14,'ef-FT'!$I$2001:$I$3800)</f>
        <v>27</v>
      </c>
      <c r="L14" s="25">
        <f>SUMIF('ef-FT'!$C$2001:$C$3800,E14,'ef-FT'!$J$2001:$J$3800)</f>
        <v>17</v>
      </c>
      <c r="M14" s="25" t="str">
        <f>CONCATENATE(K14, " - ",L14)</f>
        <v>27 - 17</v>
      </c>
      <c r="N14" s="25">
        <f>K14-L14</f>
        <v>10</v>
      </c>
      <c r="O14" s="25">
        <f>SUMIF('ef-FT'!$C$2001:$C$3800,$E14,'ef-FT'!$K$2001:$K$3800)</f>
        <v>1</v>
      </c>
      <c r="P14" s="25">
        <f>SUMIF('ef-FT'!$C$2001:$C$3800,$E14,'ef-FT'!$L$2001:$L$3800)</f>
        <v>5</v>
      </c>
      <c r="Q14" s="55"/>
      <c r="R14" s="25">
        <f>SUMIF('ef-FT'!$C$2001:$C$2999,$E14,'ef-FT'!$E$2001:$E$2999)</f>
        <v>9</v>
      </c>
      <c r="S14" s="25">
        <f>SUMIF('ef-FT'!$C$2001:$C$2999,$E14,'ef-FT'!$F$2001:$F$2999)</f>
        <v>5</v>
      </c>
      <c r="T14" s="25">
        <f>SUMIF('ef-FT'!$C$2001:$C$2999,$E14,'ef-FT'!$G$2001:$G$2999)</f>
        <v>3</v>
      </c>
      <c r="U14" s="25">
        <f>SUMIF('ef-FT'!$C$2001:$C$2999,$E14,'ef-FT'!$H$2001:$H$2999)</f>
        <v>1</v>
      </c>
      <c r="V14" s="25">
        <f>SUMIF('ef-FT'!$C$2001:$C$2999,$E14,'ef-FT'!$D$2001:$D$2999)</f>
        <v>18</v>
      </c>
      <c r="W14" s="25">
        <f>SUMIF('ef-FT'!$C$2001:$C$2999,$E14,'ef-FT'!$I$2001:$I$2999)</f>
        <v>14</v>
      </c>
      <c r="X14" s="25">
        <f>SUMIF('ef-FT'!$C$2001:$C$2999,$E14,'ef-FT'!$J$2001:$J$2999)</f>
        <v>7</v>
      </c>
      <c r="Y14" s="25" t="str">
        <f t="shared" si="375"/>
        <v>14 - 7</v>
      </c>
      <c r="Z14" s="25">
        <f t="shared" si="376"/>
        <v>7</v>
      </c>
      <c r="AA14" s="25">
        <f>SUMIF('ef-FT'!$C$2001:$C$2999,$E14,'ef-FT'!$K$2001:$K$2999)</f>
        <v>1</v>
      </c>
      <c r="AB14" s="25">
        <f>SUMIF('ef-FT'!$C$2001:$C$2999,$E14,'ef-FT'!$L$2001:$L$2999)</f>
        <v>4</v>
      </c>
      <c r="AC14" s="55"/>
      <c r="AD14" s="25">
        <f>SUMIF('ef-FT'!$C$3000:$C$3800,$E14,'ef-FT'!$E$3000:$E$3800)</f>
        <v>10</v>
      </c>
      <c r="AE14" s="25">
        <f>SUMIF('ef-FT'!$C$3000:$C$3800,$E14,'ef-FT'!$F$3000:$F$3800)</f>
        <v>3</v>
      </c>
      <c r="AF14" s="25">
        <f>SUMIF('ef-FT'!$C$3000:$C$3800,$E14,'ef-FT'!$G$3000:$G$3800)</f>
        <v>6</v>
      </c>
      <c r="AG14" s="25">
        <f>SUMIF('ef-FT'!$C$3000:$C$3800,$E14,'ef-FT'!$H$3000:$H$3800)</f>
        <v>1</v>
      </c>
      <c r="AH14" s="25">
        <f>SUMIF('ef-FT'!$C$3000:$C$3800,$E14,'ef-FT'!$D$3000:$D$3800)</f>
        <v>15</v>
      </c>
      <c r="AI14" s="25">
        <f>SUMIF('ef-FT'!$C$3000:$C$3800,$E14,'ef-FT'!$I$3000:$I$3800)</f>
        <v>13</v>
      </c>
      <c r="AJ14" s="25">
        <f>SUMIF('ef-FT'!$C$3000:$C$3800,$E14,'ef-FT'!$J$3000:$J$3800)</f>
        <v>10</v>
      </c>
      <c r="AK14" s="25" t="str">
        <f t="shared" si="377"/>
        <v>13 - 10</v>
      </c>
      <c r="AL14" s="25">
        <f t="shared" si="378"/>
        <v>3</v>
      </c>
      <c r="AM14" s="25">
        <f>SUMIF('ef-FT'!$C$3000:$C$3800,$E14,'ef-FT'!$K$3000:$K$3800)</f>
        <v>0</v>
      </c>
      <c r="AN14" s="25">
        <f>SUMIF('ef-FT'!$C$3000:$C$3800,$E14,'ef-FT'!$L$3000:$L$3800)</f>
        <v>1</v>
      </c>
      <c r="AO14" s="26"/>
      <c r="AP14" s="27">
        <v>0.19</v>
      </c>
      <c r="AQ14" s="28">
        <f t="shared" si="379"/>
        <v>1003300100027.1899</v>
      </c>
      <c r="AR14" s="29">
        <v>3</v>
      </c>
      <c r="AS14" s="28">
        <f>LARGE($AQ$12:$AQ$32,AR14)</f>
        <v>1003300100027.1899</v>
      </c>
      <c r="AT14" s="29">
        <f t="shared" si="380"/>
        <v>3</v>
      </c>
      <c r="AU14" s="30" t="str">
        <f t="shared" si="381"/>
        <v>Dallas</v>
      </c>
      <c r="AV14" s="29">
        <f t="shared" si="382"/>
        <v>19</v>
      </c>
      <c r="AW14" s="29">
        <f t="shared" si="383"/>
        <v>8</v>
      </c>
      <c r="AX14" s="29">
        <f t="shared" si="384"/>
        <v>9</v>
      </c>
      <c r="AY14" s="29">
        <f t="shared" si="385"/>
        <v>2</v>
      </c>
      <c r="AZ14" s="29">
        <f t="shared" si="386"/>
        <v>33</v>
      </c>
      <c r="BA14" s="29" t="str">
        <f t="shared" si="387"/>
        <v>27 - 17</v>
      </c>
      <c r="BB14" s="29">
        <f t="shared" si="388"/>
        <v>10</v>
      </c>
      <c r="BC14" s="90">
        <f>VLOOKUP($AT14+$AT$11,$D$12:R$33,15,0)</f>
        <v>9</v>
      </c>
      <c r="BD14" s="90">
        <f>VLOOKUP($AT14+$AT$11,$D$12:S$33,16,0)</f>
        <v>5</v>
      </c>
      <c r="BE14" s="90">
        <f>VLOOKUP($AT14+$AT$11,$D$12:T$33,17,0)</f>
        <v>3</v>
      </c>
      <c r="BF14" s="90">
        <f>VLOOKUP($AT14+$AT$11,$D$12:U$33,18,0)</f>
        <v>1</v>
      </c>
      <c r="BG14" s="90">
        <f>VLOOKUP($AT14+$AT$11,$D$12:V$33,19,0)</f>
        <v>18</v>
      </c>
      <c r="BH14" s="90" t="str">
        <f>VLOOKUP($AT14+$AT$11,$D$12:Y$33,22,0)</f>
        <v>14 - 7</v>
      </c>
      <c r="BI14" s="90">
        <f>VLOOKUP($AT14+$AT$11,$D$12:Z$33,23,0)</f>
        <v>7</v>
      </c>
      <c r="BJ14" s="90">
        <f>VLOOKUP($AT14+$AT$11,$D$12:AD$33,27,0)</f>
        <v>10</v>
      </c>
      <c r="BK14" s="90">
        <f>VLOOKUP($AT14+$AT$11,$D$12:AE$33,28,0)</f>
        <v>3</v>
      </c>
      <c r="BL14" s="90">
        <f>VLOOKUP($AT14+$AT$11,$D$12:AF$33,29,0)</f>
        <v>6</v>
      </c>
      <c r="BM14" s="90">
        <f>VLOOKUP($AT14+$AT$11,$D$12:AG$33,30,0)</f>
        <v>1</v>
      </c>
      <c r="BN14" s="90">
        <f>VLOOKUP($AT14+$AT$11,$D$12:AH$33,31,0)</f>
        <v>15</v>
      </c>
      <c r="BO14" s="90" t="str">
        <f>VLOOKUP($AT14+$AT$11,$D$12:AK$35,34,0)</f>
        <v>13 - 10</v>
      </c>
      <c r="BP14" s="90">
        <f>VLOOKUP($AT14+$AT$11,$D$12:AL$35,35,0)</f>
        <v>3</v>
      </c>
      <c r="BS14" s="10" t="s">
        <v>37</v>
      </c>
      <c r="BT14" s="123">
        <v>0.14583333333333334</v>
      </c>
      <c r="BU14" s="123">
        <f>$BU$2-BT14</f>
        <v>2.0833333333333315E-2</v>
      </c>
      <c r="BV14" s="10" t="s">
        <v>64</v>
      </c>
      <c r="CA14" s="130">
        <f t="shared" si="119"/>
        <v>33.19</v>
      </c>
      <c r="CB14" s="130">
        <f t="shared" si="120"/>
        <v>32.81</v>
      </c>
      <c r="CC14" s="130">
        <f t="shared" si="121"/>
        <v>8.19</v>
      </c>
      <c r="CD14" s="130">
        <f t="shared" si="122"/>
        <v>7.81</v>
      </c>
      <c r="CE14" s="130">
        <f t="shared" si="123"/>
        <v>2.19</v>
      </c>
      <c r="CF14" s="130">
        <f t="shared" si="124"/>
        <v>1.81</v>
      </c>
      <c r="CG14" s="130">
        <f t="shared" si="125"/>
        <v>27.19</v>
      </c>
      <c r="CH14" s="130">
        <f t="shared" si="126"/>
        <v>26.81</v>
      </c>
      <c r="CI14" s="130">
        <f t="shared" si="127"/>
        <v>17.190000000000001</v>
      </c>
      <c r="CJ14" s="130">
        <f t="shared" si="128"/>
        <v>16.809999999999999</v>
      </c>
      <c r="CK14" s="130">
        <f t="shared" si="129"/>
        <v>10.19</v>
      </c>
      <c r="CL14" s="130">
        <f t="shared" si="130"/>
        <v>9.81</v>
      </c>
      <c r="CM14" s="130">
        <f t="shared" si="131"/>
        <v>1.19</v>
      </c>
      <c r="CN14" s="130">
        <f t="shared" si="132"/>
        <v>0.81</v>
      </c>
      <c r="CO14" s="130">
        <f t="shared" si="133"/>
        <v>5.19</v>
      </c>
      <c r="CP14" s="130">
        <f t="shared" si="134"/>
        <v>4.8099999999999996</v>
      </c>
      <c r="CQ14" s="131"/>
      <c r="CR14" s="130">
        <f t="shared" si="360"/>
        <v>18.190000000000001</v>
      </c>
      <c r="CS14" s="130">
        <f t="shared" si="135"/>
        <v>17.809999999999999</v>
      </c>
      <c r="CT14" s="130">
        <f t="shared" si="361"/>
        <v>5.19</v>
      </c>
      <c r="CU14" s="130">
        <f t="shared" si="362"/>
        <v>4.8099999999999996</v>
      </c>
      <c r="CV14" s="130">
        <f t="shared" si="363"/>
        <v>1.19</v>
      </c>
      <c r="CW14" s="130">
        <f t="shared" si="364"/>
        <v>0.81</v>
      </c>
      <c r="CX14" s="130">
        <f t="shared" si="365"/>
        <v>14.19</v>
      </c>
      <c r="CY14" s="130">
        <f t="shared" si="366"/>
        <v>13.81</v>
      </c>
      <c r="CZ14" s="130">
        <f t="shared" si="367"/>
        <v>7.19</v>
      </c>
      <c r="DA14" s="130">
        <f t="shared" si="368"/>
        <v>6.81</v>
      </c>
      <c r="DB14" s="130">
        <f t="shared" si="369"/>
        <v>7.19</v>
      </c>
      <c r="DC14" s="130">
        <f t="shared" si="370"/>
        <v>6.81</v>
      </c>
      <c r="DD14" s="130">
        <f t="shared" si="371"/>
        <v>1.19</v>
      </c>
      <c r="DE14" s="130">
        <f t="shared" si="372"/>
        <v>0.81</v>
      </c>
      <c r="DF14" s="130">
        <f t="shared" si="373"/>
        <v>4.1900000000000004</v>
      </c>
      <c r="DG14" s="130">
        <f t="shared" si="374"/>
        <v>3.81</v>
      </c>
      <c r="DH14" s="131"/>
      <c r="DI14" s="130">
        <f t="shared" si="389"/>
        <v>15.19</v>
      </c>
      <c r="DJ14" s="130">
        <f t="shared" si="136"/>
        <v>-0.19</v>
      </c>
      <c r="DK14" s="130">
        <f t="shared" si="390"/>
        <v>3.19</v>
      </c>
      <c r="DL14" s="130">
        <f t="shared" si="391"/>
        <v>2.81</v>
      </c>
      <c r="DM14" s="130">
        <f t="shared" si="392"/>
        <v>1.19</v>
      </c>
      <c r="DN14" s="130">
        <f t="shared" si="393"/>
        <v>0.81</v>
      </c>
      <c r="DO14" s="130">
        <f t="shared" si="394"/>
        <v>13.19</v>
      </c>
      <c r="DP14" s="130">
        <f t="shared" si="395"/>
        <v>12.81</v>
      </c>
      <c r="DQ14" s="130">
        <f t="shared" si="396"/>
        <v>10.19</v>
      </c>
      <c r="DR14" s="130">
        <f t="shared" si="397"/>
        <v>9.81</v>
      </c>
      <c r="DS14" s="130">
        <f t="shared" si="398"/>
        <v>3.19</v>
      </c>
      <c r="DT14" s="130">
        <f t="shared" si="399"/>
        <v>2.81</v>
      </c>
      <c r="DU14" s="130">
        <f t="shared" si="400"/>
        <v>0.19</v>
      </c>
      <c r="DV14" s="130">
        <f t="shared" si="401"/>
        <v>-0.19</v>
      </c>
      <c r="DW14" s="130">
        <f t="shared" si="402"/>
        <v>1.19</v>
      </c>
      <c r="DX14" s="130">
        <f t="shared" si="403"/>
        <v>0.81</v>
      </c>
      <c r="DY14" s="132"/>
      <c r="DZ14" s="115">
        <v>11</v>
      </c>
      <c r="EA14" s="115">
        <v>20</v>
      </c>
      <c r="EB14" s="10">
        <f t="shared" si="137"/>
        <v>5</v>
      </c>
      <c r="EC14" s="10">
        <f t="shared" si="138"/>
        <v>12</v>
      </c>
      <c r="ED14" s="10">
        <f t="shared" si="139"/>
        <v>5</v>
      </c>
      <c r="EE14" s="10">
        <f t="shared" si="140"/>
        <v>11</v>
      </c>
      <c r="EF14" s="10">
        <f t="shared" si="141"/>
        <v>1</v>
      </c>
      <c r="EG14" s="10">
        <f t="shared" si="142"/>
        <v>4</v>
      </c>
      <c r="EH14" s="10">
        <f t="shared" si="143"/>
        <v>5</v>
      </c>
      <c r="EI14" s="10">
        <f t="shared" si="144"/>
        <v>7</v>
      </c>
      <c r="EJ14" s="10">
        <f t="shared" si="145"/>
        <v>14</v>
      </c>
      <c r="EK14" s="10">
        <f t="shared" si="146"/>
        <v>12</v>
      </c>
      <c r="EL14" s="10">
        <f t="shared" si="147"/>
        <v>16</v>
      </c>
      <c r="EM14" s="10">
        <f t="shared" si="148"/>
        <v>14</v>
      </c>
      <c r="EN14" s="10">
        <f t="shared" si="149"/>
        <v>9</v>
      </c>
      <c r="EO14" s="10">
        <f t="shared" si="150"/>
        <v>2</v>
      </c>
      <c r="EP14" s="10">
        <f t="shared" si="151"/>
        <v>13</v>
      </c>
      <c r="EQ14" s="10">
        <f t="shared" si="152"/>
        <v>14</v>
      </c>
      <c r="ES14" s="10">
        <f t="shared" si="153"/>
        <v>15</v>
      </c>
      <c r="ET14" s="10">
        <f t="shared" si="154"/>
        <v>11</v>
      </c>
      <c r="EU14" s="10">
        <f t="shared" si="155"/>
        <v>14</v>
      </c>
      <c r="EV14" s="10">
        <f t="shared" si="154"/>
        <v>12</v>
      </c>
      <c r="EW14" s="10">
        <f t="shared" si="156"/>
        <v>7</v>
      </c>
      <c r="EX14" s="10">
        <f t="shared" si="157"/>
        <v>6</v>
      </c>
      <c r="EY14" s="10">
        <f t="shared" si="158"/>
        <v>6</v>
      </c>
      <c r="EZ14" s="10">
        <f t="shared" si="159"/>
        <v>11</v>
      </c>
      <c r="FA14" s="10">
        <f t="shared" si="160"/>
        <v>5</v>
      </c>
      <c r="FB14" s="10">
        <f t="shared" si="161"/>
        <v>4</v>
      </c>
      <c r="FC14" s="10">
        <f t="shared" si="162"/>
        <v>7</v>
      </c>
      <c r="FD14" s="10">
        <f t="shared" si="163"/>
        <v>15</v>
      </c>
      <c r="FE14" s="10">
        <f t="shared" si="164"/>
        <v>14</v>
      </c>
      <c r="FF14" s="10">
        <f t="shared" si="165"/>
        <v>4</v>
      </c>
      <c r="FG14" s="10">
        <f t="shared" si="166"/>
        <v>9</v>
      </c>
      <c r="FH14" s="10">
        <f t="shared" si="167"/>
        <v>14</v>
      </c>
      <c r="FJ14" s="10">
        <f t="shared" si="168"/>
        <v>6</v>
      </c>
      <c r="FK14" s="10">
        <f t="shared" si="169"/>
        <v>11</v>
      </c>
      <c r="FL14" s="10">
        <f t="shared" si="170"/>
        <v>3</v>
      </c>
      <c r="FM14" s="10">
        <f t="shared" si="171"/>
        <v>10</v>
      </c>
      <c r="FN14" s="10">
        <f t="shared" si="172"/>
        <v>13</v>
      </c>
      <c r="FO14" s="10">
        <f t="shared" si="173"/>
        <v>6</v>
      </c>
      <c r="FP14" s="10">
        <f t="shared" si="174"/>
        <v>14</v>
      </c>
      <c r="FQ14" s="10">
        <f t="shared" si="175"/>
        <v>2</v>
      </c>
      <c r="FR14" s="10">
        <f t="shared" si="176"/>
        <v>12</v>
      </c>
      <c r="FS14" s="10">
        <f t="shared" si="177"/>
        <v>16</v>
      </c>
      <c r="FT14" s="10">
        <f t="shared" si="178"/>
        <v>3</v>
      </c>
      <c r="FU14" s="10">
        <f t="shared" si="179"/>
        <v>5</v>
      </c>
      <c r="FV14" s="10">
        <f t="shared" si="180"/>
        <v>7</v>
      </c>
      <c r="FW14" s="10">
        <f t="shared" si="181"/>
        <v>14</v>
      </c>
      <c r="FX14" s="10">
        <f t="shared" si="182"/>
        <v>3</v>
      </c>
      <c r="FY14" s="10">
        <f t="shared" si="183"/>
        <v>16</v>
      </c>
      <c r="GA14" s="10">
        <f>IF(lg!$C$18=1,EB14,IF(lg!$C$18=2,ES14,FJ14))</f>
        <v>5</v>
      </c>
      <c r="GB14" s="10">
        <f>IF(lg!$C$18=1,EC14,IF(lg!$C$18=2,ET14,FK14))</f>
        <v>12</v>
      </c>
      <c r="GC14" s="10">
        <f>IF(lg!$C$18=1,ED14,IF(lg!$C$18=2,EU14,FL14))</f>
        <v>5</v>
      </c>
      <c r="GD14" s="10">
        <f>IF(lg!$C$18=1,EE14,IF(lg!$C$18=2,EV14,FM14))</f>
        <v>11</v>
      </c>
      <c r="GE14" s="10">
        <f>IF(lg!$C$18=1,EF14,IF(lg!$C$18=2,EW14,FN14))</f>
        <v>1</v>
      </c>
      <c r="GF14" s="10">
        <f>IF(lg!$C$18=1,EG14,IF(lg!$C$18=2,EX14,FO14))</f>
        <v>4</v>
      </c>
      <c r="GG14" s="10">
        <f>IF(lg!$C$18=1,EH14,IF(lg!$C$18=2,EY14,FP14))</f>
        <v>5</v>
      </c>
      <c r="GH14" s="10">
        <f>IF(lg!$C$18=1,EI14,IF(lg!$C$18=2,EZ14,FQ14))</f>
        <v>7</v>
      </c>
      <c r="GI14" s="10">
        <f>IF(lg!$C$18=1,EJ14,IF(lg!$C$18=2,FA14,FR14))</f>
        <v>14</v>
      </c>
      <c r="GJ14" s="10">
        <f>IF(lg!$C$18=1,EK14,IF(lg!$C$18=2,FB14,FS14))</f>
        <v>12</v>
      </c>
      <c r="GK14" s="10">
        <f>IF(lg!$C$18=1,EL14,IF(lg!$C$18=2,FC14,FT14))</f>
        <v>16</v>
      </c>
      <c r="GL14" s="10">
        <f>IF(lg!$C$18=1,EM14,IF(lg!$C$18=2,FD14,FU14))</f>
        <v>14</v>
      </c>
      <c r="GM14" s="10">
        <f>IF(lg!$C$18=1,EN14,IF(lg!$C$18=2,FE14,FV14))</f>
        <v>9</v>
      </c>
      <c r="GN14" s="10">
        <f>IF(lg!$C$18=1,EO14,IF(lg!$C$18=2,FF14,FW14))</f>
        <v>2</v>
      </c>
      <c r="GO14" s="10">
        <f>IF(lg!$C$18=1,EP14,IF(lg!$C$18=2,FG14,FX14))</f>
        <v>13</v>
      </c>
      <c r="GP14" s="10">
        <f>IF(lg!$C$18=1,EQ14,IF(lg!$C$18=2,FH14,FY14))</f>
        <v>14</v>
      </c>
      <c r="GR14" s="10" t="str">
        <f t="shared" si="184"/>
        <v>Chicago</v>
      </c>
      <c r="GS14" s="10" t="str">
        <f t="shared" si="31"/>
        <v>Seattle Sounders FC</v>
      </c>
      <c r="GT14" s="10" t="str">
        <f t="shared" si="32"/>
        <v>Chicago</v>
      </c>
      <c r="GU14" s="10" t="str">
        <f t="shared" si="33"/>
        <v>Dallas</v>
      </c>
      <c r="GV14" s="10" t="str">
        <f t="shared" si="34"/>
        <v>Columbus</v>
      </c>
      <c r="GW14" s="10" t="str">
        <f t="shared" si="35"/>
        <v>New England</v>
      </c>
      <c r="GX14" s="10" t="str">
        <f t="shared" si="36"/>
        <v>Chicago</v>
      </c>
      <c r="GY14" s="10" t="str">
        <f t="shared" si="37"/>
        <v>Philadelphia Union</v>
      </c>
      <c r="GZ14" s="10" t="str">
        <f t="shared" si="38"/>
        <v>San Jose</v>
      </c>
      <c r="HA14" s="10" t="str">
        <f t="shared" si="39"/>
        <v>Seattle Sounders FC</v>
      </c>
      <c r="HB14" s="10" t="str">
        <f t="shared" si="40"/>
        <v>Chivas USA</v>
      </c>
      <c r="HC14" s="10" t="str">
        <f t="shared" si="41"/>
        <v>San Jose</v>
      </c>
      <c r="HD14" s="10" t="str">
        <f t="shared" si="42"/>
        <v>Los Angeles</v>
      </c>
      <c r="HE14" s="10" t="str">
        <f t="shared" si="43"/>
        <v>New York Red Bulls</v>
      </c>
      <c r="HF14" s="10" t="str">
        <f t="shared" si="44"/>
        <v>Colorado</v>
      </c>
      <c r="HG14" s="10" t="str">
        <f t="shared" si="45"/>
        <v>San Jose</v>
      </c>
      <c r="HI14" s="10">
        <v>11</v>
      </c>
      <c r="HJ14" s="115">
        <f>IF(lg!$C$18=1,F14,IF(lg!$C$18=2,R14,AD14))</f>
        <v>19</v>
      </c>
      <c r="HK14" s="115">
        <f>IF(lg!$C$18=1,G14,IF(lg!$C$18=2,S14,AE14))</f>
        <v>8</v>
      </c>
      <c r="HL14" s="115">
        <f>IF(lg!$C$18=1,H14,IF(lg!$C$18=2,T14,AF14))</f>
        <v>9</v>
      </c>
      <c r="HM14" s="115">
        <f>IF(lg!$C$18=1,I14,IF(lg!$C$18=2,U14,AG14))</f>
        <v>2</v>
      </c>
      <c r="HN14" s="115">
        <f>IF(lg!$C$18=1,J14,IF(lg!$C$18=2,V14,AH14))</f>
        <v>33</v>
      </c>
      <c r="HO14" s="115">
        <f>IF(lg!$C$18=1,K14,IF(lg!$C$18=2,W14,AI14))</f>
        <v>27</v>
      </c>
      <c r="HP14" s="115">
        <f>IF(lg!$C$18=1,L14,IF(lg!$C$18=2,X14,AJ14))</f>
        <v>17</v>
      </c>
      <c r="HQ14" s="115" t="str">
        <f>IF(lg!$C$18=1,M14,IF(lg!$C$18=2,Y14,AK14))</f>
        <v>27 - 17</v>
      </c>
      <c r="HR14" s="115">
        <f>IF(lg!$C$18=1,N14,IF(lg!$C$18=2,Z14,AL14))</f>
        <v>10</v>
      </c>
      <c r="HS14" s="115">
        <f>IF(lg!$C$18=1,O14,IF(lg!$C$18=2,AA14,AM14))</f>
        <v>1</v>
      </c>
      <c r="HT14" s="115">
        <f>IF(lg!$C$18=1,P14,IF(lg!$C$18=2,AB14,AN14))</f>
        <v>5</v>
      </c>
      <c r="HV14" s="115">
        <f t="shared" si="185"/>
        <v>21</v>
      </c>
      <c r="HW14" s="115">
        <f t="shared" si="186"/>
        <v>29</v>
      </c>
      <c r="HX14" s="115">
        <f t="shared" si="187"/>
        <v>5</v>
      </c>
      <c r="HY14" s="115">
        <f t="shared" si="188"/>
        <v>8</v>
      </c>
      <c r="HZ14" s="115">
        <f t="shared" si="189"/>
        <v>5</v>
      </c>
      <c r="IA14" s="115">
        <f t="shared" si="190"/>
        <v>9</v>
      </c>
      <c r="IB14" s="115">
        <f t="shared" si="191"/>
        <v>21</v>
      </c>
      <c r="IC14" s="115">
        <f t="shared" si="192"/>
        <v>23</v>
      </c>
      <c r="ID14" s="115">
        <f t="shared" si="193"/>
        <v>20</v>
      </c>
      <c r="IE14" s="115">
        <f t="shared" si="194"/>
        <v>25</v>
      </c>
      <c r="IF14" s="115">
        <f t="shared" si="195"/>
        <v>-3</v>
      </c>
      <c r="IG14" s="115">
        <f t="shared" si="196"/>
        <v>1</v>
      </c>
      <c r="IH14" s="115">
        <f t="shared" si="197"/>
        <v>5</v>
      </c>
      <c r="II14" s="115">
        <f t="shared" si="198"/>
        <v>7</v>
      </c>
      <c r="IJ14" s="115">
        <f t="shared" si="199"/>
        <v>5</v>
      </c>
      <c r="IK14" s="115">
        <f t="shared" si="200"/>
        <v>7</v>
      </c>
      <c r="IN14" s="77" t="s">
        <v>72</v>
      </c>
      <c r="IO14" s="36" t="s">
        <v>8</v>
      </c>
      <c r="IP14" s="67">
        <f>VLOOKUP('ef-TeamStats'!B2,Table!$B$4:$W$23,12,0)</f>
        <v>1</v>
      </c>
      <c r="IQ14" s="133">
        <f>VLOOKUP('ef-TeamStats'!$B$2,Table!$B$4:$W$23,9,0)</f>
        <v>9</v>
      </c>
      <c r="IR14" s="134">
        <f t="shared" si="47"/>
        <v>0.1111111111111111</v>
      </c>
      <c r="IS14" s="133">
        <f>MATCH('ef-TeamStats'!$B$2,$JW$4:$JW$33,0)</f>
        <v>15</v>
      </c>
      <c r="IT14" s="67"/>
      <c r="IU14" s="36" t="s">
        <v>8</v>
      </c>
      <c r="IV14" s="67">
        <f>VLOOKUP('ef-TeamStats'!G2,Table!$B$4:$W$23,12,0)</f>
        <v>1</v>
      </c>
      <c r="IW14" s="133">
        <f>VLOOKUP('ef-TeamStats'!$G$2,Table!$B$4:$W$23,9,0)</f>
        <v>9</v>
      </c>
      <c r="IX14" s="134">
        <f t="shared" si="48"/>
        <v>0.1111111111111111</v>
      </c>
      <c r="IY14" s="133">
        <f>MATCH('ef-TeamStats'!$G$2,$JW$4:$JW$33,0)</f>
        <v>16</v>
      </c>
      <c r="JB14" s="10">
        <f>IF(lg!$F$18=1,EB14,IF(lg!$F$18=2,ES14,FJ14))</f>
        <v>5</v>
      </c>
      <c r="JC14" s="10">
        <f>IF(lg!$F$18=1,EC14,IF(lg!$F$18=2,ET14,FK14))</f>
        <v>12</v>
      </c>
      <c r="JD14" s="10">
        <f>IF(lg!$F$18=1,ED14,IF(lg!$F$18=2,EU14,FL14))</f>
        <v>5</v>
      </c>
      <c r="JE14" s="10">
        <f>IF(lg!$F$18=1,EE14,IF(lg!$F$18=2,EV14,FM14))</f>
        <v>11</v>
      </c>
      <c r="JF14" s="10">
        <f>IF(lg!$F$18=1,EF14,IF(lg!$F$18=2,EW14,FN14))</f>
        <v>1</v>
      </c>
      <c r="JG14" s="10">
        <f>IF(lg!$F$18=1,EG14,IF(lg!$F$18=2,EX14,FO14))</f>
        <v>4</v>
      </c>
      <c r="JH14" s="10">
        <f>IF(lg!$F$18=1,EH14,IF(lg!$F$18=2,EY14,FP14))</f>
        <v>5</v>
      </c>
      <c r="JI14" s="10">
        <f>IF(lg!$F$18=1,EI14,IF(lg!$F$18=2,EZ14,FQ14))</f>
        <v>7</v>
      </c>
      <c r="JJ14" s="10">
        <f>IF(lg!$F$18=1,EJ14,IF(lg!$F$18=2,FA14,FR14))</f>
        <v>14</v>
      </c>
      <c r="JK14" s="10">
        <f>IF(lg!$F$18=1,EK14,IF(lg!$F$18=2,FB14,FS14))</f>
        <v>12</v>
      </c>
      <c r="JL14" s="10">
        <f>IF(lg!$F$18=1,EL14,IF(lg!$F$18=2,FC14,FT14))</f>
        <v>16</v>
      </c>
      <c r="JM14" s="10">
        <f>IF(lg!$F$18=1,EM14,IF(lg!$F$18=2,FD14,FU14))</f>
        <v>14</v>
      </c>
      <c r="JN14" s="10">
        <f>IF(lg!$F$18=1,EN14,IF(lg!$F$18=2,FE14,FV14))</f>
        <v>9</v>
      </c>
      <c r="JO14" s="10">
        <f>IF(lg!$F$18=1,EO14,IF(lg!$F$18=2,FF14,FW14))</f>
        <v>2</v>
      </c>
      <c r="JP14" s="10">
        <f>IF(lg!$F$18=1,EP14,IF(lg!$F$18=2,FG14,FX14))</f>
        <v>13</v>
      </c>
      <c r="JQ14" s="10">
        <f>IF(lg!$F$18=1,EQ14,IF(lg!$F$18=2,FH14,FY14))</f>
        <v>14</v>
      </c>
      <c r="JS14" s="10" t="str">
        <f t="shared" si="201"/>
        <v>Chicago</v>
      </c>
      <c r="JT14" s="10" t="str">
        <f t="shared" si="49"/>
        <v>Seattle Sounders FC</v>
      </c>
      <c r="JU14" s="10" t="str">
        <f t="shared" si="50"/>
        <v>Chicago</v>
      </c>
      <c r="JV14" s="10" t="str">
        <f t="shared" si="51"/>
        <v>Dallas</v>
      </c>
      <c r="JW14" s="10" t="str">
        <f t="shared" si="52"/>
        <v>Columbus</v>
      </c>
      <c r="JX14" s="10" t="str">
        <f t="shared" si="53"/>
        <v>New England</v>
      </c>
      <c r="JY14" s="10" t="str">
        <f t="shared" si="54"/>
        <v>Chicago</v>
      </c>
      <c r="JZ14" s="10" t="str">
        <f t="shared" si="55"/>
        <v>Philadelphia Union</v>
      </c>
      <c r="KA14" s="10" t="str">
        <f t="shared" si="56"/>
        <v>San Jose</v>
      </c>
      <c r="KB14" s="10" t="str">
        <f t="shared" si="57"/>
        <v>Seattle Sounders FC</v>
      </c>
      <c r="KC14" s="10" t="str">
        <f t="shared" si="58"/>
        <v>Chivas USA</v>
      </c>
      <c r="KD14" s="10" t="str">
        <f t="shared" si="59"/>
        <v>San Jose</v>
      </c>
      <c r="KE14" s="10" t="str">
        <f t="shared" si="60"/>
        <v>Los Angeles</v>
      </c>
      <c r="KF14" s="10" t="str">
        <f t="shared" si="61"/>
        <v>New York Red Bulls</v>
      </c>
      <c r="KG14" s="10" t="str">
        <f t="shared" si="62"/>
        <v>Colorado</v>
      </c>
      <c r="KH14" s="10" t="str">
        <f t="shared" si="63"/>
        <v>San Jose</v>
      </c>
      <c r="KL14" s="27">
        <v>0.2</v>
      </c>
      <c r="KM14" s="29">
        <v>11</v>
      </c>
      <c r="KN14" s="31" t="str">
        <f t="shared" si="202"/>
        <v>Dallas</v>
      </c>
      <c r="KO14" s="152">
        <f t="shared" si="203"/>
        <v>1</v>
      </c>
      <c r="KP14" s="152">
        <f t="shared" si="204"/>
        <v>1</v>
      </c>
      <c r="KQ14" s="152">
        <f t="shared" si="205"/>
        <v>1</v>
      </c>
      <c r="KR14" s="28">
        <f t="shared" si="206"/>
        <v>1000100000001.2</v>
      </c>
      <c r="KS14" s="29"/>
      <c r="KT14" s="28"/>
      <c r="KU14" s="29">
        <f>RANK(KR14,KR$12:KR$19)</f>
        <v>5</v>
      </c>
      <c r="KV14" s="152">
        <f t="shared" si="207"/>
        <v>2</v>
      </c>
      <c r="KW14" s="152">
        <f t="shared" si="208"/>
        <v>3</v>
      </c>
      <c r="KX14" s="152">
        <f t="shared" si="209"/>
        <v>3</v>
      </c>
      <c r="KY14" s="28">
        <f t="shared" si="210"/>
        <v>1000200000003.2</v>
      </c>
      <c r="KZ14" s="29"/>
      <c r="LA14" s="28"/>
      <c r="LB14" s="29">
        <f>RANK(KY14,KY$12:KY$19)</f>
        <v>7</v>
      </c>
      <c r="LC14" s="152">
        <f t="shared" si="211"/>
        <v>2</v>
      </c>
      <c r="LD14" s="152">
        <f t="shared" si="212"/>
        <v>4</v>
      </c>
      <c r="LE14" s="152">
        <f t="shared" si="213"/>
        <v>5</v>
      </c>
      <c r="LF14" s="28">
        <f t="shared" si="214"/>
        <v>1000199990004.2</v>
      </c>
      <c r="LG14" s="29"/>
      <c r="LH14" s="28"/>
      <c r="LI14" s="29">
        <f>RANK(LF14,LF$12:LF$19)</f>
        <v>8</v>
      </c>
      <c r="LJ14" s="152">
        <f t="shared" si="215"/>
        <v>3</v>
      </c>
      <c r="LK14" s="152">
        <f t="shared" si="216"/>
        <v>6</v>
      </c>
      <c r="LL14" s="152">
        <f t="shared" si="217"/>
        <v>7</v>
      </c>
      <c r="LM14" s="28">
        <f t="shared" si="218"/>
        <v>1000299990006.2</v>
      </c>
      <c r="LN14" s="29"/>
      <c r="LO14" s="28"/>
      <c r="LP14" s="29">
        <f>RANK(LM14,LM$12:LM$19)</f>
        <v>7</v>
      </c>
      <c r="LQ14" s="152">
        <f t="shared" si="219"/>
        <v>4</v>
      </c>
      <c r="LR14" s="152">
        <f t="shared" si="220"/>
        <v>7</v>
      </c>
      <c r="LS14" s="152">
        <f t="shared" si="221"/>
        <v>8</v>
      </c>
      <c r="LT14" s="28">
        <f t="shared" si="222"/>
        <v>1000399990007.2</v>
      </c>
      <c r="LU14" s="29"/>
      <c r="LV14" s="28"/>
      <c r="LW14" s="29">
        <f>RANK(LT14,LT$12:LT$19)</f>
        <v>8</v>
      </c>
      <c r="LX14" s="152">
        <f t="shared" si="223"/>
        <v>7</v>
      </c>
      <c r="LY14" s="152">
        <f t="shared" si="224"/>
        <v>8</v>
      </c>
      <c r="LZ14" s="152">
        <f t="shared" si="225"/>
        <v>8</v>
      </c>
      <c r="MA14" s="28">
        <f t="shared" si="226"/>
        <v>1000700000008.2</v>
      </c>
      <c r="MB14" s="29"/>
      <c r="MC14" s="28"/>
      <c r="MD14" s="29">
        <f>RANK(MA14,MA$12:MA$19)</f>
        <v>7</v>
      </c>
      <c r="ME14" s="152">
        <f t="shared" si="227"/>
        <v>10</v>
      </c>
      <c r="MF14" s="152">
        <f t="shared" si="228"/>
        <v>9</v>
      </c>
      <c r="MG14" s="152">
        <f t="shared" si="229"/>
        <v>8</v>
      </c>
      <c r="MH14" s="28">
        <f t="shared" si="230"/>
        <v>1001000010009.2</v>
      </c>
      <c r="MI14" s="29"/>
      <c r="MJ14" s="28"/>
      <c r="MK14" s="29">
        <f>RANK(MH14,MH$12:MH$19)</f>
        <v>6</v>
      </c>
      <c r="ML14" s="152">
        <f t="shared" si="231"/>
        <v>11</v>
      </c>
      <c r="MM14" s="152">
        <f t="shared" si="232"/>
        <v>10</v>
      </c>
      <c r="MN14" s="152">
        <f t="shared" si="233"/>
        <v>9</v>
      </c>
      <c r="MO14" s="28">
        <f t="shared" si="234"/>
        <v>1001100010010.2</v>
      </c>
      <c r="MP14" s="29"/>
      <c r="MQ14" s="28"/>
      <c r="MR14" s="29">
        <f>RANK(MO14,MO$12:MO$19)</f>
        <v>6</v>
      </c>
      <c r="MS14" s="152">
        <f t="shared" si="235"/>
        <v>11</v>
      </c>
      <c r="MT14" s="152">
        <f t="shared" si="236"/>
        <v>10</v>
      </c>
      <c r="MU14" s="152">
        <f t="shared" si="237"/>
        <v>10</v>
      </c>
      <c r="MV14" s="28">
        <f t="shared" si="238"/>
        <v>1001100000010.2</v>
      </c>
      <c r="MW14" s="29"/>
      <c r="MX14" s="28"/>
      <c r="MY14" s="29">
        <f>RANK(MV14,MV$12:MV$19)</f>
        <v>7</v>
      </c>
      <c r="MZ14" s="152">
        <f t="shared" si="239"/>
        <v>12</v>
      </c>
      <c r="NA14" s="152">
        <f t="shared" si="240"/>
        <v>11</v>
      </c>
      <c r="NB14" s="152">
        <f t="shared" si="241"/>
        <v>11</v>
      </c>
      <c r="NC14" s="28">
        <f t="shared" si="242"/>
        <v>1001200000011.2</v>
      </c>
      <c r="ND14" s="29"/>
      <c r="NE14" s="28"/>
      <c r="NF14" s="29">
        <f>RANK(NC14,NC$12:NC$19)</f>
        <v>6</v>
      </c>
      <c r="NG14" s="152">
        <f t="shared" si="243"/>
        <v>15</v>
      </c>
      <c r="NH14" s="152">
        <f t="shared" si="244"/>
        <v>13</v>
      </c>
      <c r="NI14" s="152">
        <f t="shared" si="245"/>
        <v>11</v>
      </c>
      <c r="NJ14" s="28">
        <f t="shared" si="246"/>
        <v>1001500020013.2</v>
      </c>
      <c r="NK14" s="29"/>
      <c r="NL14" s="28"/>
      <c r="NM14" s="29">
        <f>RANK(NJ14,NJ$12:NJ$19)</f>
        <v>6</v>
      </c>
      <c r="NN14" s="152">
        <f t="shared" si="247"/>
        <v>18</v>
      </c>
      <c r="NO14" s="152">
        <f t="shared" si="248"/>
        <v>15</v>
      </c>
      <c r="NP14" s="152">
        <f t="shared" si="249"/>
        <v>12</v>
      </c>
      <c r="NQ14" s="28">
        <f t="shared" si="250"/>
        <v>1001800030015.2</v>
      </c>
      <c r="NR14" s="29"/>
      <c r="NS14" s="28"/>
      <c r="NT14" s="29">
        <f>RANK(NQ14,NQ$12:NQ$19)</f>
        <v>4</v>
      </c>
      <c r="NU14" s="152">
        <f t="shared" si="251"/>
        <v>21</v>
      </c>
      <c r="NV14" s="152">
        <f t="shared" si="252"/>
        <v>16</v>
      </c>
      <c r="NW14" s="152">
        <f t="shared" si="253"/>
        <v>12</v>
      </c>
      <c r="NX14" s="28">
        <f t="shared" si="254"/>
        <v>1002100040016.2</v>
      </c>
      <c r="NY14" s="29"/>
      <c r="NZ14" s="28"/>
      <c r="OA14" s="29">
        <f>RANK(NX14,NX$12:NX$19)</f>
        <v>4</v>
      </c>
      <c r="OB14" s="152">
        <f t="shared" si="255"/>
        <v>22</v>
      </c>
      <c r="OC14" s="152">
        <f t="shared" si="256"/>
        <v>17</v>
      </c>
      <c r="OD14" s="152">
        <f t="shared" si="257"/>
        <v>13</v>
      </c>
      <c r="OE14" s="28">
        <f t="shared" si="258"/>
        <v>1002200040017.2</v>
      </c>
      <c r="OF14" s="29"/>
      <c r="OG14" s="28"/>
      <c r="OH14" s="29">
        <f>RANK(OE14,OE$12:OE$19)</f>
        <v>3</v>
      </c>
      <c r="OI14" s="152">
        <f t="shared" si="259"/>
        <v>25</v>
      </c>
      <c r="OJ14" s="152">
        <f t="shared" si="260"/>
        <v>19</v>
      </c>
      <c r="OK14" s="152">
        <f t="shared" si="261"/>
        <v>13</v>
      </c>
      <c r="OL14" s="28">
        <f t="shared" si="262"/>
        <v>1002500060019.2</v>
      </c>
      <c r="OM14" s="29"/>
      <c r="ON14" s="28"/>
      <c r="OO14" s="29">
        <f>RANK(OL14,OL$12:OL$19)</f>
        <v>3</v>
      </c>
      <c r="OP14" s="152">
        <f t="shared" si="263"/>
        <v>26</v>
      </c>
      <c r="OQ14" s="152">
        <f t="shared" si="264"/>
        <v>20</v>
      </c>
      <c r="OR14" s="152">
        <f t="shared" si="265"/>
        <v>14</v>
      </c>
      <c r="OS14" s="28">
        <f t="shared" si="266"/>
        <v>1002600060020.2</v>
      </c>
      <c r="OT14" s="29"/>
      <c r="OU14" s="28"/>
      <c r="OV14" s="29">
        <f>RANK(OS14,OS$12:OS$19)</f>
        <v>3</v>
      </c>
      <c r="OW14" s="152">
        <f t="shared" si="267"/>
        <v>27</v>
      </c>
      <c r="OX14" s="152">
        <f t="shared" si="268"/>
        <v>21</v>
      </c>
      <c r="OY14" s="152">
        <f t="shared" si="269"/>
        <v>15</v>
      </c>
      <c r="OZ14" s="28">
        <f t="shared" si="270"/>
        <v>1002700060021.2</v>
      </c>
      <c r="PA14" s="29"/>
      <c r="PB14" s="28"/>
      <c r="PC14" s="29">
        <f>RANK(OZ14,OZ$12:OZ$19)</f>
        <v>3</v>
      </c>
      <c r="PD14" s="152">
        <f t="shared" si="271"/>
        <v>30</v>
      </c>
      <c r="PE14" s="152">
        <f t="shared" si="272"/>
        <v>24</v>
      </c>
      <c r="PF14" s="152">
        <f t="shared" si="273"/>
        <v>16</v>
      </c>
      <c r="PG14" s="28">
        <f t="shared" si="274"/>
        <v>1003000080024.2</v>
      </c>
      <c r="PH14" s="29"/>
      <c r="PI14" s="28"/>
      <c r="PJ14" s="29">
        <f>RANK(PG14,PG$12:PG$19)</f>
        <v>3</v>
      </c>
      <c r="PK14" s="152">
        <f t="shared" si="275"/>
        <v>33</v>
      </c>
      <c r="PL14" s="152">
        <f t="shared" si="276"/>
        <v>27</v>
      </c>
      <c r="PM14" s="152">
        <f t="shared" si="277"/>
        <v>17</v>
      </c>
      <c r="PN14" s="28">
        <f t="shared" si="278"/>
        <v>1003300100027.2</v>
      </c>
      <c r="PO14" s="29"/>
      <c r="PP14" s="28"/>
      <c r="PQ14" s="29">
        <f>RANK(PN14,PN$12:PN$19)</f>
        <v>3</v>
      </c>
      <c r="PR14" s="152">
        <f t="shared" si="279"/>
        <v>33</v>
      </c>
      <c r="PS14" s="152">
        <f t="shared" si="280"/>
        <v>27</v>
      </c>
      <c r="PT14" s="152">
        <f t="shared" si="281"/>
        <v>17</v>
      </c>
      <c r="PU14" s="28">
        <f t="shared" si="282"/>
        <v>1003300100027.2</v>
      </c>
      <c r="PV14" s="29"/>
      <c r="PW14" s="28"/>
      <c r="PX14" s="29">
        <f>RANK(PU14,PU$12:PU$19)</f>
        <v>3</v>
      </c>
      <c r="PY14" s="152">
        <f t="shared" si="283"/>
        <v>33</v>
      </c>
      <c r="PZ14" s="152">
        <f t="shared" si="284"/>
        <v>27</v>
      </c>
      <c r="QA14" s="152">
        <f t="shared" si="285"/>
        <v>17</v>
      </c>
      <c r="QB14" s="28">
        <f t="shared" si="286"/>
        <v>1003300100027.2</v>
      </c>
      <c r="QC14" s="29"/>
      <c r="QD14" s="28"/>
      <c r="QE14" s="29">
        <f>RANK(QB14,QB$12:QB$19)</f>
        <v>3</v>
      </c>
      <c r="QF14" s="152">
        <f t="shared" si="287"/>
        <v>33</v>
      </c>
      <c r="QG14" s="152">
        <f t="shared" si="288"/>
        <v>27</v>
      </c>
      <c r="QH14" s="152">
        <f t="shared" si="289"/>
        <v>17</v>
      </c>
      <c r="QI14" s="28">
        <f t="shared" si="290"/>
        <v>1003300100027.2</v>
      </c>
      <c r="QJ14" s="29"/>
      <c r="QK14" s="28"/>
      <c r="QL14" s="29">
        <f>RANK(QI14,QI$12:QI$19)</f>
        <v>3</v>
      </c>
      <c r="QM14" s="152">
        <f t="shared" si="291"/>
        <v>33</v>
      </c>
      <c r="QN14" s="152">
        <f t="shared" si="292"/>
        <v>27</v>
      </c>
      <c r="QO14" s="152">
        <f t="shared" si="293"/>
        <v>17</v>
      </c>
      <c r="QP14" s="28">
        <f t="shared" si="294"/>
        <v>1003300100027.2</v>
      </c>
      <c r="QQ14" s="29"/>
      <c r="QR14" s="28"/>
      <c r="QS14" s="29">
        <f>RANK(QP14,QP$12:QP$19)</f>
        <v>3</v>
      </c>
      <c r="QT14" s="152">
        <f t="shared" si="295"/>
        <v>33</v>
      </c>
      <c r="QU14" s="152">
        <f t="shared" si="296"/>
        <v>27</v>
      </c>
      <c r="QV14" s="152">
        <f t="shared" si="297"/>
        <v>17</v>
      </c>
      <c r="QW14" s="28">
        <f t="shared" si="298"/>
        <v>1003300100027.2</v>
      </c>
      <c r="QX14" s="29"/>
      <c r="QY14" s="28"/>
      <c r="QZ14" s="29">
        <f>RANK(QW14,QW$12:QW$19)</f>
        <v>3</v>
      </c>
      <c r="RA14" s="152">
        <f t="shared" si="299"/>
        <v>33</v>
      </c>
      <c r="RB14" s="152">
        <f t="shared" si="300"/>
        <v>27</v>
      </c>
      <c r="RC14" s="152">
        <f t="shared" si="301"/>
        <v>17</v>
      </c>
      <c r="RD14" s="28">
        <f t="shared" si="302"/>
        <v>1003300100027.2</v>
      </c>
      <c r="RE14" s="29"/>
      <c r="RF14" s="28"/>
      <c r="RG14" s="29">
        <f>RANK(RD14,RD$12:RD$19)</f>
        <v>3</v>
      </c>
      <c r="RH14" s="152">
        <f t="shared" si="303"/>
        <v>33</v>
      </c>
      <c r="RI14" s="152">
        <f t="shared" si="304"/>
        <v>27</v>
      </c>
      <c r="RJ14" s="152">
        <f t="shared" si="305"/>
        <v>17</v>
      </c>
      <c r="RK14" s="28">
        <f t="shared" si="306"/>
        <v>1003300100027.2</v>
      </c>
      <c r="RL14" s="29"/>
      <c r="RM14" s="28"/>
      <c r="RN14" s="29">
        <f>RANK(RK14,RK$12:RK$19)</f>
        <v>3</v>
      </c>
      <c r="RO14" s="152">
        <f t="shared" si="307"/>
        <v>33</v>
      </c>
      <c r="RP14" s="152">
        <f t="shared" si="308"/>
        <v>27</v>
      </c>
      <c r="RQ14" s="152">
        <f t="shared" si="309"/>
        <v>17</v>
      </c>
      <c r="RR14" s="28">
        <f t="shared" si="310"/>
        <v>1003300100027.2</v>
      </c>
      <c r="RS14" s="29"/>
      <c r="RT14" s="28"/>
      <c r="RU14" s="29">
        <f>RANK(RR14,RR$12:RR$19)</f>
        <v>3</v>
      </c>
      <c r="RV14" s="152">
        <f t="shared" si="311"/>
        <v>33</v>
      </c>
      <c r="RW14" s="152">
        <f t="shared" si="312"/>
        <v>27</v>
      </c>
      <c r="RX14" s="152">
        <f t="shared" si="313"/>
        <v>17</v>
      </c>
      <c r="RY14" s="28">
        <f t="shared" si="314"/>
        <v>1003300100027.2</v>
      </c>
      <c r="RZ14" s="29"/>
      <c r="SA14" s="28"/>
      <c r="SB14" s="29">
        <f>RANK(RY14,RY$12:RY$19)</f>
        <v>3</v>
      </c>
      <c r="SC14" s="152">
        <f t="shared" si="315"/>
        <v>33</v>
      </c>
      <c r="SD14" s="152">
        <f t="shared" si="316"/>
        <v>27</v>
      </c>
      <c r="SE14" s="152">
        <f t="shared" si="317"/>
        <v>17</v>
      </c>
      <c r="SF14" s="28">
        <f t="shared" si="318"/>
        <v>1003300100027.2</v>
      </c>
      <c r="SG14" s="29"/>
      <c r="SH14" s="28"/>
      <c r="SI14" s="29">
        <f>RANK(SF14,SF$12:SF$19)</f>
        <v>3</v>
      </c>
      <c r="SJ14" s="152">
        <f t="shared" si="319"/>
        <v>33</v>
      </c>
      <c r="SK14" s="152">
        <f t="shared" si="320"/>
        <v>27</v>
      </c>
      <c r="SL14" s="152">
        <f t="shared" si="321"/>
        <v>17</v>
      </c>
      <c r="SM14" s="28">
        <f t="shared" si="322"/>
        <v>1003300100027.2</v>
      </c>
      <c r="SN14" s="29"/>
      <c r="SO14" s="28"/>
      <c r="SP14" s="29">
        <f>RANK(SM14,SM$12:SM$19)</f>
        <v>3</v>
      </c>
      <c r="SQ14" s="152">
        <f t="shared" si="323"/>
        <v>33</v>
      </c>
      <c r="SR14" s="152">
        <f t="shared" si="324"/>
        <v>27</v>
      </c>
      <c r="SS14" s="152">
        <f t="shared" si="325"/>
        <v>17</v>
      </c>
      <c r="ST14" s="28">
        <f t="shared" si="326"/>
        <v>1003300100027.2</v>
      </c>
      <c r="SU14" s="29"/>
      <c r="SV14" s="28"/>
      <c r="SW14" s="29">
        <f>RANK(ST14,ST$12:ST$19)</f>
        <v>3</v>
      </c>
      <c r="SX14" s="152">
        <f t="shared" si="327"/>
        <v>33</v>
      </c>
      <c r="SY14" s="152">
        <f t="shared" si="328"/>
        <v>27</v>
      </c>
      <c r="SZ14" s="152">
        <f t="shared" si="329"/>
        <v>17</v>
      </c>
      <c r="TA14" s="28">
        <f t="shared" si="330"/>
        <v>1003300100027.2</v>
      </c>
      <c r="TB14" s="29"/>
      <c r="TC14" s="28"/>
      <c r="TD14" s="29">
        <f>RANK(TA14,TA$12:TA$19)</f>
        <v>3</v>
      </c>
      <c r="TE14" s="152">
        <f t="shared" si="331"/>
        <v>33</v>
      </c>
      <c r="TF14" s="152">
        <f t="shared" si="332"/>
        <v>27</v>
      </c>
      <c r="TG14" s="152">
        <f t="shared" si="333"/>
        <v>17</v>
      </c>
      <c r="TH14" s="28">
        <f t="shared" si="334"/>
        <v>1003300100027.2</v>
      </c>
      <c r="TI14" s="29"/>
      <c r="TJ14" s="28"/>
      <c r="TK14" s="29">
        <f>RANK(TH14,TH$12:TH$19)</f>
        <v>3</v>
      </c>
      <c r="TL14" s="152">
        <f t="shared" si="335"/>
        <v>33</v>
      </c>
      <c r="TM14" s="152">
        <f t="shared" si="336"/>
        <v>27</v>
      </c>
      <c r="TN14" s="152">
        <f t="shared" si="337"/>
        <v>17</v>
      </c>
      <c r="TO14" s="28">
        <f t="shared" si="338"/>
        <v>1003300100027.2</v>
      </c>
      <c r="TP14" s="29"/>
      <c r="TQ14" s="28"/>
      <c r="TR14" s="29">
        <f>RANK(TO14,TO$12:TO$19)</f>
        <v>3</v>
      </c>
      <c r="TS14" s="152">
        <f t="shared" si="339"/>
        <v>33</v>
      </c>
      <c r="TT14" s="152">
        <f t="shared" si="340"/>
        <v>27</v>
      </c>
      <c r="TU14" s="152">
        <f t="shared" si="341"/>
        <v>17</v>
      </c>
      <c r="TV14" s="28">
        <f t="shared" si="342"/>
        <v>1003300100027.2</v>
      </c>
      <c r="TW14" s="29"/>
      <c r="TX14" s="28"/>
      <c r="TY14" s="29">
        <f>RANK(TV14,TV$12:TV$19)</f>
        <v>3</v>
      </c>
      <c r="TZ14" s="152">
        <f t="shared" si="343"/>
        <v>33</v>
      </c>
      <c r="UA14" s="152">
        <f t="shared" si="344"/>
        <v>27</v>
      </c>
      <c r="UB14" s="152">
        <f t="shared" si="345"/>
        <v>17</v>
      </c>
      <c r="UC14" s="28">
        <f t="shared" si="346"/>
        <v>1003300100027.2</v>
      </c>
      <c r="UD14" s="29"/>
      <c r="UE14" s="28"/>
      <c r="UF14" s="29">
        <f>RANK(UC14,UC$12:UC$19)</f>
        <v>3</v>
      </c>
      <c r="UG14" s="152">
        <f t="shared" si="347"/>
        <v>33</v>
      </c>
      <c r="UH14" s="152">
        <f t="shared" si="348"/>
        <v>27</v>
      </c>
      <c r="UI14" s="152">
        <f t="shared" si="349"/>
        <v>17</v>
      </c>
      <c r="UJ14" s="28">
        <f t="shared" si="350"/>
        <v>1003300100027.2</v>
      </c>
      <c r="UK14" s="29"/>
      <c r="UL14" s="28"/>
      <c r="UM14" s="29">
        <f>RANK(UJ14,UJ$12:UJ$19)</f>
        <v>3</v>
      </c>
      <c r="UN14" s="152">
        <f t="shared" si="351"/>
        <v>33</v>
      </c>
      <c r="UO14" s="152">
        <f t="shared" si="352"/>
        <v>27</v>
      </c>
      <c r="UP14" s="152">
        <f t="shared" si="353"/>
        <v>17</v>
      </c>
      <c r="UQ14" s="28">
        <f t="shared" si="354"/>
        <v>1003300100027.2</v>
      </c>
      <c r="UR14" s="29"/>
      <c r="US14" s="28"/>
      <c r="UT14" s="29">
        <f>RANK(UQ14,UQ$12:UQ$19)</f>
        <v>3</v>
      </c>
      <c r="UU14" s="129"/>
      <c r="UV14" s="129" t="str">
        <f t="shared" si="355"/>
        <v>Dallas</v>
      </c>
      <c r="UW14" s="129">
        <f t="shared" si="356"/>
        <v>5</v>
      </c>
      <c r="UX14" s="129">
        <f t="shared" ca="1" si="357"/>
        <v>7</v>
      </c>
      <c r="UY14" s="129">
        <f t="shared" ca="1" si="64"/>
        <v>8</v>
      </c>
      <c r="UZ14" s="129">
        <f t="shared" ca="1" si="64"/>
        <v>7</v>
      </c>
      <c r="VA14" s="129">
        <f t="shared" ca="1" si="64"/>
        <v>8</v>
      </c>
      <c r="VB14" s="129">
        <f t="shared" ca="1" si="64"/>
        <v>7</v>
      </c>
      <c r="VC14" s="129">
        <f t="shared" ca="1" si="64"/>
        <v>6</v>
      </c>
      <c r="VD14" s="129">
        <f t="shared" ca="1" si="64"/>
        <v>6</v>
      </c>
      <c r="VE14" s="129">
        <f t="shared" ca="1" si="64"/>
        <v>7</v>
      </c>
      <c r="VF14" s="129">
        <f t="shared" ca="1" si="64"/>
        <v>6</v>
      </c>
      <c r="VG14" s="129">
        <f t="shared" ca="1" si="64"/>
        <v>6</v>
      </c>
      <c r="VH14" s="129">
        <f t="shared" ca="1" si="64"/>
        <v>4</v>
      </c>
      <c r="VI14" s="129">
        <f t="shared" ca="1" si="64"/>
        <v>4</v>
      </c>
      <c r="VJ14" s="129">
        <f t="shared" ca="1" si="64"/>
        <v>3</v>
      </c>
      <c r="VK14" s="129">
        <f t="shared" ca="1" si="64"/>
        <v>3</v>
      </c>
      <c r="VL14" s="129">
        <f t="shared" ca="1" si="64"/>
        <v>3</v>
      </c>
      <c r="VM14" s="129">
        <f t="shared" ca="1" si="64"/>
        <v>3</v>
      </c>
      <c r="VN14" s="129">
        <f t="shared" ca="1" si="64"/>
        <v>3</v>
      </c>
      <c r="VO14" s="129">
        <f t="shared" ca="1" si="65"/>
        <v>3</v>
      </c>
      <c r="VP14" s="129">
        <f t="shared" ca="1" si="65"/>
        <v>3</v>
      </c>
      <c r="VQ14" s="129">
        <f t="shared" ca="1" si="65"/>
        <v>3</v>
      </c>
      <c r="VR14" s="129">
        <f t="shared" ca="1" si="65"/>
        <v>3</v>
      </c>
      <c r="VS14" s="129">
        <f t="shared" ca="1" si="65"/>
        <v>3</v>
      </c>
      <c r="VT14" s="129">
        <f t="shared" ca="1" si="65"/>
        <v>3</v>
      </c>
      <c r="VU14" s="129">
        <f t="shared" ca="1" si="65"/>
        <v>3</v>
      </c>
      <c r="VV14" s="129">
        <f t="shared" ca="1" si="65"/>
        <v>3</v>
      </c>
      <c r="VW14" s="129">
        <f t="shared" ca="1" si="65"/>
        <v>3</v>
      </c>
      <c r="VX14" s="129">
        <f t="shared" ca="1" si="65"/>
        <v>3</v>
      </c>
      <c r="VY14" s="129">
        <f t="shared" ca="1" si="65"/>
        <v>3</v>
      </c>
      <c r="VZ14" s="129">
        <f t="shared" ca="1" si="65"/>
        <v>3</v>
      </c>
      <c r="WA14" s="129">
        <f t="shared" ca="1" si="65"/>
        <v>3</v>
      </c>
      <c r="WB14" s="129">
        <f t="shared" ca="1" si="65"/>
        <v>3</v>
      </c>
      <c r="WC14" s="129">
        <f t="shared" ca="1" si="65"/>
        <v>3</v>
      </c>
      <c r="WD14" s="129">
        <f t="shared" ca="1" si="65"/>
        <v>3</v>
      </c>
      <c r="WE14" s="129">
        <f t="shared" ca="1" si="66"/>
        <v>3</v>
      </c>
      <c r="WF14" s="129">
        <f t="shared" ca="1" si="66"/>
        <v>3</v>
      </c>
      <c r="WG14" s="129">
        <f t="shared" ca="1" si="66"/>
        <v>3</v>
      </c>
      <c r="WH14" s="129">
        <f t="shared" ca="1" si="66"/>
        <v>3</v>
      </c>
      <c r="WJ14" s="87"/>
      <c r="WK14" s="87" t="str">
        <f t="shared" si="358"/>
        <v>Dallas</v>
      </c>
      <c r="WL14" s="87">
        <v>3</v>
      </c>
      <c r="WM14" s="87">
        <v>3</v>
      </c>
      <c r="WN14" s="87">
        <f>IF($WI$3&gt;=WN$3,UW14,NA())</f>
        <v>5</v>
      </c>
      <c r="WO14" s="87">
        <f ca="1">IF($WI$3&gt;=WO$3,UX14,NA())</f>
        <v>7</v>
      </c>
      <c r="WP14" s="87">
        <f ca="1">IF($WI$3&gt;=WP$3,UY14,NA())</f>
        <v>8</v>
      </c>
      <c r="WQ14" s="87">
        <f ca="1">IF($WI$3&gt;=WQ$3,UZ14,NA())</f>
        <v>7</v>
      </c>
      <c r="WR14" s="87">
        <f ca="1">IF($WI$3&gt;=WR$3,VA14,NA())</f>
        <v>8</v>
      </c>
      <c r="WS14" s="87">
        <f ca="1">IF($WI$3&gt;=WS$3,VB14,NA())</f>
        <v>7</v>
      </c>
      <c r="WT14" s="87">
        <f ca="1">IF($WI$3&gt;=WT$3,VC14,NA())</f>
        <v>6</v>
      </c>
      <c r="WU14" s="87">
        <f ca="1">IF($WI$3&gt;=WU$3,VD14,NA())</f>
        <v>6</v>
      </c>
      <c r="WV14" s="87">
        <f ca="1">IF($WI$3&gt;=WV$3,VE14,NA())</f>
        <v>7</v>
      </c>
      <c r="WW14" s="87">
        <f ca="1">IF($WI$3&gt;=WW$3,VF14,NA())</f>
        <v>6</v>
      </c>
      <c r="WX14" s="87">
        <f ca="1">IF($WI$3&gt;=WX$3,VG14,NA())</f>
        <v>6</v>
      </c>
      <c r="WY14" s="87">
        <f ca="1">IF($WI$3&gt;=WY$3,VH14,NA())</f>
        <v>4</v>
      </c>
      <c r="WZ14" s="87">
        <f ca="1">IF($WI$3&gt;=WZ$3,VI14,NA())</f>
        <v>4</v>
      </c>
      <c r="XA14" s="87">
        <f ca="1">IF($WI$3&gt;=XA$3,VJ14,NA())</f>
        <v>3</v>
      </c>
      <c r="XB14" s="87">
        <f ca="1">IF($WI$3&gt;=XB$3,VK14,NA())</f>
        <v>3</v>
      </c>
      <c r="XC14" s="87">
        <f ca="1">IF($WI$3&gt;=XC$3,VL14,NA())</f>
        <v>3</v>
      </c>
      <c r="XD14" s="87">
        <f ca="1">IF($WI$3&gt;=XD$3,VM14,NA())</f>
        <v>3</v>
      </c>
      <c r="XE14" s="87">
        <f ca="1">IF($WI$3&gt;=XE$3,VN14,NA())</f>
        <v>3</v>
      </c>
      <c r="XF14" s="87">
        <f ca="1">IF($WI$3&gt;=XF$3,VO14,NA())</f>
        <v>3</v>
      </c>
      <c r="XG14" s="87">
        <f ca="1">IF($WI$3&gt;=XG$3,VP14,NA())</f>
        <v>3</v>
      </c>
      <c r="XH14" s="87">
        <f ca="1">IF($WI$3&gt;=XH$3,VQ14,NA())</f>
        <v>3</v>
      </c>
      <c r="XI14" s="87" t="e">
        <f>IF($WI$3&gt;=XI$3,VR14,NA())</f>
        <v>#N/A</v>
      </c>
      <c r="XJ14" s="87" t="e">
        <f>IF($WI$3&gt;=XJ$3,VS14,NA())</f>
        <v>#N/A</v>
      </c>
      <c r="XK14" s="87" t="e">
        <f>IF($WI$3&gt;=XK$3,VT14,NA())</f>
        <v>#N/A</v>
      </c>
      <c r="XL14" s="87" t="e">
        <f>IF($WI$3&gt;=XL$3,VU14,NA())</f>
        <v>#N/A</v>
      </c>
      <c r="XM14" s="87" t="e">
        <f>IF($WI$3&gt;=XM$3,VV14,NA())</f>
        <v>#N/A</v>
      </c>
      <c r="XN14" s="87" t="e">
        <f>IF($WI$3&gt;=XN$3,VW14,NA())</f>
        <v>#N/A</v>
      </c>
      <c r="XO14" s="87" t="e">
        <f>IF($WI$3&gt;=XO$3,VX14,NA())</f>
        <v>#N/A</v>
      </c>
      <c r="XP14" s="87" t="e">
        <f>IF($WI$3&gt;=XP$3,VY14,NA())</f>
        <v>#N/A</v>
      </c>
      <c r="XQ14" s="87" t="e">
        <f>IF($WI$3&gt;=XQ$3,VZ14,NA())</f>
        <v>#N/A</v>
      </c>
      <c r="XR14" s="87" t="e">
        <f>IF($WI$3&gt;=XR$3,WA14,NA())</f>
        <v>#N/A</v>
      </c>
      <c r="XS14" s="87" t="e">
        <f>IF($WI$3&gt;=XS$3,WB14,NA())</f>
        <v>#N/A</v>
      </c>
      <c r="XT14" s="87" t="e">
        <f>IF($WI$3&gt;=XT$3,WC14,NA())</f>
        <v>#N/A</v>
      </c>
      <c r="XU14" s="87" t="e">
        <f>IF($WI$3&gt;=XU$3,WD14,NA())</f>
        <v>#N/A</v>
      </c>
      <c r="XV14" s="87" t="e">
        <f>IF($WI$3&gt;=XV$3,WE14,NA())</f>
        <v>#N/A</v>
      </c>
      <c r="XW14" s="87" t="e">
        <f>IF($WI$3&gt;=XW$3,WF14,NA())</f>
        <v>#N/A</v>
      </c>
      <c r="XX14" s="87" t="e">
        <f>IF($WI$3&gt;=XX$3,WG14,NA())</f>
        <v>#N/A</v>
      </c>
      <c r="XY14" s="87" t="e">
        <f>IF($WI$3&gt;=XY$3,WH14,NA())</f>
        <v>#N/A</v>
      </c>
      <c r="YB14" s="280"/>
      <c r="YC14" s="280" t="str">
        <f>IF(ISERROR(VLOOKUP(YB8,$E$11:$E$19,1,0)),"",YB8)</f>
        <v/>
      </c>
      <c r="YD14" s="280"/>
      <c r="YE14" s="163" t="e">
        <f>VLOOKUP($YC14,$WK$4:WL$33,YE$3+3,0)</f>
        <v>#N/A</v>
      </c>
      <c r="YF14" s="163" t="e">
        <f>VLOOKUP($YC14,$WK$4:WM$33,YF$3+3,0)</f>
        <v>#N/A</v>
      </c>
      <c r="YG14" s="163" t="e">
        <f>VLOOKUP($YC14,$WK$4:WN$33,YG$3+3,0)</f>
        <v>#N/A</v>
      </c>
      <c r="YH14" s="163" t="e">
        <f>VLOOKUP($YC14,$WK$4:WO$33,YH$3+3,0)</f>
        <v>#N/A</v>
      </c>
      <c r="YI14" s="163" t="e">
        <f>VLOOKUP($YC14,$WK$4:WP$33,YI$3+3,0)</f>
        <v>#N/A</v>
      </c>
      <c r="YJ14" s="163" t="e">
        <f>VLOOKUP($YC14,$WK$4:WQ$33,YJ$3+3,0)</f>
        <v>#N/A</v>
      </c>
      <c r="YK14" s="163" t="e">
        <f>VLOOKUP($YC14,$WK$4:WR$33,YK$3+3,0)</f>
        <v>#N/A</v>
      </c>
      <c r="YL14" s="163" t="e">
        <f>VLOOKUP($YC14,$WK$4:WS$33,YL$3+3,0)</f>
        <v>#N/A</v>
      </c>
      <c r="YM14" s="163" t="e">
        <f>VLOOKUP($YC14,$WK$4:WT$33,YM$3+3,0)</f>
        <v>#N/A</v>
      </c>
      <c r="YN14" s="163" t="e">
        <f>VLOOKUP($YC14,$WK$4:WU$33,YN$3+3,0)</f>
        <v>#N/A</v>
      </c>
      <c r="YO14" s="163" t="e">
        <f>VLOOKUP($YC14,$WK$4:WV$33,YO$3+3,0)</f>
        <v>#N/A</v>
      </c>
      <c r="YP14" s="163" t="e">
        <f>VLOOKUP($YC14,$WK$4:WW$33,YP$3+3,0)</f>
        <v>#N/A</v>
      </c>
      <c r="YQ14" s="163" t="e">
        <f>VLOOKUP($YC14,$WK$4:WX$33,YQ$3+3,0)</f>
        <v>#N/A</v>
      </c>
      <c r="YR14" s="163" t="e">
        <f>VLOOKUP($YC14,$WK$4:WY$33,YR$3+3,0)</f>
        <v>#N/A</v>
      </c>
      <c r="YS14" s="163" t="e">
        <f>VLOOKUP($YC14,$WK$4:WZ$33,YS$3+3,0)</f>
        <v>#N/A</v>
      </c>
      <c r="YT14" s="163" t="e">
        <f>VLOOKUP($YC14,$WK$4:XA$33,YT$3+3,0)</f>
        <v>#N/A</v>
      </c>
      <c r="YU14" s="163" t="e">
        <f>VLOOKUP($YC14,$WK$4:XB$33,YU$3+3,0)</f>
        <v>#N/A</v>
      </c>
      <c r="YV14" s="163" t="e">
        <f>VLOOKUP($YC14,$WK$4:XC$33,YV$3+3,0)</f>
        <v>#N/A</v>
      </c>
      <c r="YW14" s="163" t="e">
        <f>VLOOKUP($YC14,$WK$4:XD$33,YW$3+3,0)</f>
        <v>#N/A</v>
      </c>
      <c r="YX14" s="163" t="e">
        <f>VLOOKUP($YC14,$WK$4:XE$33,YX$3+3,0)</f>
        <v>#N/A</v>
      </c>
      <c r="YY14" s="163" t="e">
        <f>VLOOKUP($YC14,$WK$4:XF$33,YY$3+3,0)</f>
        <v>#N/A</v>
      </c>
      <c r="YZ14" s="163" t="e">
        <f>VLOOKUP($YC14,$WK$4:XG$33,YZ$3+3,0)</f>
        <v>#N/A</v>
      </c>
      <c r="ZA14" s="163" t="e">
        <f>VLOOKUP($YC14,$WK$4:XH$33,ZA$3+3,0)</f>
        <v>#N/A</v>
      </c>
      <c r="ZB14" s="163" t="e">
        <f>VLOOKUP($YC14,$WK$4:XI$33,ZB$3+3,0)</f>
        <v>#N/A</v>
      </c>
      <c r="ZC14" s="163" t="e">
        <f>VLOOKUP($YC14,$WK$4:XJ$33,ZC$3+3,0)</f>
        <v>#N/A</v>
      </c>
      <c r="ZD14" s="163" t="e">
        <f>VLOOKUP($YC14,$WK$4:XK$33,ZD$3+3,0)</f>
        <v>#N/A</v>
      </c>
      <c r="ZE14" s="163" t="e">
        <f>VLOOKUP($YC14,$WK$4:XL$33,ZE$3+3,0)</f>
        <v>#N/A</v>
      </c>
      <c r="ZF14" s="163" t="e">
        <f>VLOOKUP($YC14,$WK$4:XM$33,ZF$3+3,0)</f>
        <v>#N/A</v>
      </c>
      <c r="ZG14" s="163" t="e">
        <f>VLOOKUP($YC14,$WK$4:XN$33,ZG$3+3,0)</f>
        <v>#N/A</v>
      </c>
      <c r="ZH14" s="163" t="e">
        <f>VLOOKUP($YC14,$WK$4:XO$33,ZH$3+3,0)</f>
        <v>#N/A</v>
      </c>
      <c r="ZI14" s="163" t="e">
        <f>VLOOKUP($YC14,$WK$4:XP$33,ZI$3+3,0)</f>
        <v>#N/A</v>
      </c>
      <c r="ZJ14" s="163" t="e">
        <f>VLOOKUP($YC14,$WK$4:XQ$33,ZJ$3+3,0)</f>
        <v>#N/A</v>
      </c>
      <c r="ZK14" s="163" t="e">
        <f>VLOOKUP($YC14,$WK$4:XR$33,ZK$3+3,0)</f>
        <v>#N/A</v>
      </c>
      <c r="ZL14" s="163" t="e">
        <f>VLOOKUP($YC14,$WK$4:XS$33,ZL$3+3,0)</f>
        <v>#N/A</v>
      </c>
      <c r="ZM14" s="163" t="e">
        <f>VLOOKUP($YC14,$WK$4:XT$33,ZM$3+3,0)</f>
        <v>#N/A</v>
      </c>
      <c r="ZN14" s="163" t="e">
        <f>VLOOKUP($YC14,$WK$4:XU$33,ZN$3+3,0)</f>
        <v>#N/A</v>
      </c>
      <c r="ZO14" s="163" t="e">
        <f>VLOOKUP($YC14,$WK$4:XV$33,ZO$3+3,0)</f>
        <v>#N/A</v>
      </c>
      <c r="ZP14" s="163" t="e">
        <f>VLOOKUP($YC14,$WK$4:XW$33,ZP$3+3,0)</f>
        <v>#N/A</v>
      </c>
      <c r="ZQ14" s="163" t="e">
        <f>VLOOKUP($YC14,$WK$4:XX$33,ZQ$3+3,0)</f>
        <v>#N/A</v>
      </c>
      <c r="ZR14" s="163" t="e">
        <f>VLOOKUP($YC14,$WK$4:XY$33,ZR$3+3,0)</f>
        <v>#N/A</v>
      </c>
      <c r="ZS14" s="280"/>
      <c r="ZT14" s="280"/>
      <c r="ZU14" s="280"/>
      <c r="ZV14" s="280"/>
      <c r="ZW14" s="280"/>
      <c r="ZX14" s="280"/>
      <c r="ZY14" s="280"/>
      <c r="ZZ14" s="280"/>
      <c r="AAA14" s="280"/>
      <c r="AAB14" s="280"/>
      <c r="AAC14" s="280"/>
      <c r="AAD14" s="160"/>
      <c r="AAE14" s="160"/>
      <c r="AAF14" s="160"/>
      <c r="AAG14" s="160"/>
      <c r="AAH14" s="241"/>
      <c r="AAI14" s="241"/>
      <c r="AAJ14" s="241"/>
      <c r="AAK14" s="241"/>
      <c r="AAL14" s="241"/>
      <c r="AAM14" s="241"/>
      <c r="AAN14" s="241"/>
      <c r="AAO14" s="241"/>
      <c r="AAP14" s="241"/>
      <c r="AAQ14" s="241"/>
      <c r="AAR14" s="241"/>
      <c r="AAS14" s="241"/>
      <c r="AAT14" s="241"/>
      <c r="AAU14" s="241"/>
    </row>
    <row r="15" spans="4:723">
      <c r="D15" s="29">
        <v>12</v>
      </c>
      <c r="E15" s="31" t="s">
        <v>178</v>
      </c>
      <c r="F15" s="25">
        <f>SUMIF('ef-FT'!$C$2001:$C$3800,E15,'ef-FT'!$E$2001:$E$3800)</f>
        <v>21</v>
      </c>
      <c r="G15" s="25">
        <f>SUMIF('ef-FT'!$C$2001:$C$3800,E15,'ef-FT'!$F$2001:$F$3800)</f>
        <v>8</v>
      </c>
      <c r="H15" s="25">
        <f>SUMIF('ef-FT'!$C$2001:$C$3800,E15,'ef-FT'!$G$2001:$G$3800)</f>
        <v>5</v>
      </c>
      <c r="I15" s="25">
        <f>SUMIF('ef-FT'!$C$2001:$C$3800,E15,'ef-FT'!$H$2001:$H$3800)</f>
        <v>8</v>
      </c>
      <c r="J15" s="25">
        <f>SUMIF('ef-FT'!$C$2001:$C$3800,E15,'ef-FT'!$D$2001:$D$3800)</f>
        <v>29</v>
      </c>
      <c r="K15" s="25">
        <f>SUMIF('ef-FT'!$C$2001:$C$3800,E15,'ef-FT'!$I$2001:$I$3800)</f>
        <v>23</v>
      </c>
      <c r="L15" s="25">
        <f>SUMIF('ef-FT'!$C$2001:$C$3800,E15,'ef-FT'!$J$2001:$J$3800)</f>
        <v>25</v>
      </c>
      <c r="M15" s="25" t="str">
        <f>CONCATENATE(K15, " - ",L15)</f>
        <v>23 - 25</v>
      </c>
      <c r="N15" s="25">
        <f>K15-L15</f>
        <v>-2</v>
      </c>
      <c r="O15" s="25">
        <f>SUMIF('ef-FT'!$C$2001:$C$3800,$E15,'ef-FT'!$K$2001:$K$3800)</f>
        <v>6</v>
      </c>
      <c r="P15" s="25">
        <f>SUMIF('ef-FT'!$C$2001:$C$3800,$E15,'ef-FT'!$L$2001:$L$3800)</f>
        <v>8</v>
      </c>
      <c r="Q15" s="55"/>
      <c r="R15" s="25">
        <f>SUMIF('ef-FT'!$C$2001:$C$2999,$E15,'ef-FT'!$E$2001:$E$2999)</f>
        <v>11</v>
      </c>
      <c r="S15" s="25">
        <f>SUMIF('ef-FT'!$C$2001:$C$2999,$E15,'ef-FT'!$F$2001:$F$2999)</f>
        <v>5</v>
      </c>
      <c r="T15" s="25">
        <f>SUMIF('ef-FT'!$C$2001:$C$2999,$E15,'ef-FT'!$G$2001:$G$2999)</f>
        <v>2</v>
      </c>
      <c r="U15" s="25">
        <f>SUMIF('ef-FT'!$C$2001:$C$2999,$E15,'ef-FT'!$H$2001:$H$2999)</f>
        <v>4</v>
      </c>
      <c r="V15" s="25">
        <f>SUMIF('ef-FT'!$C$2001:$C$2999,$E15,'ef-FT'!$D$2001:$D$2999)</f>
        <v>17</v>
      </c>
      <c r="W15" s="25">
        <f>SUMIF('ef-FT'!$C$2001:$C$2999,$E15,'ef-FT'!$I$2001:$I$2999)</f>
        <v>14</v>
      </c>
      <c r="X15" s="25">
        <f>SUMIF('ef-FT'!$C$2001:$C$2999,$E15,'ef-FT'!$J$2001:$J$2999)</f>
        <v>12</v>
      </c>
      <c r="Y15" s="25" t="str">
        <f t="shared" si="375"/>
        <v>14 - 12</v>
      </c>
      <c r="Z15" s="25">
        <f t="shared" si="376"/>
        <v>2</v>
      </c>
      <c r="AA15" s="25">
        <f>SUMIF('ef-FT'!$C$2001:$C$2999,$E15,'ef-FT'!$K$2001:$K$2999)</f>
        <v>3</v>
      </c>
      <c r="AB15" s="25">
        <f>SUMIF('ef-FT'!$C$2001:$C$2999,$E15,'ef-FT'!$L$2001:$L$2999)</f>
        <v>4</v>
      </c>
      <c r="AC15" s="55"/>
      <c r="AD15" s="25">
        <f>SUMIF('ef-FT'!$C$3000:$C$3800,$E15,'ef-FT'!$E$3000:$E$3800)</f>
        <v>10</v>
      </c>
      <c r="AE15" s="25">
        <f>SUMIF('ef-FT'!$C$3000:$C$3800,$E15,'ef-FT'!$F$3000:$F$3800)</f>
        <v>3</v>
      </c>
      <c r="AF15" s="25">
        <f>SUMIF('ef-FT'!$C$3000:$C$3800,$E15,'ef-FT'!$G$3000:$G$3800)</f>
        <v>3</v>
      </c>
      <c r="AG15" s="25">
        <f>SUMIF('ef-FT'!$C$3000:$C$3800,$E15,'ef-FT'!$H$3000:$H$3800)</f>
        <v>4</v>
      </c>
      <c r="AH15" s="25">
        <f>SUMIF('ef-FT'!$C$3000:$C$3800,$E15,'ef-FT'!$D$3000:$D$3800)</f>
        <v>12</v>
      </c>
      <c r="AI15" s="25">
        <f>SUMIF('ef-FT'!$C$3000:$C$3800,$E15,'ef-FT'!$I$3000:$I$3800)</f>
        <v>9</v>
      </c>
      <c r="AJ15" s="25">
        <f>SUMIF('ef-FT'!$C$3000:$C$3800,$E15,'ef-FT'!$J$3000:$J$3800)</f>
        <v>13</v>
      </c>
      <c r="AK15" s="25" t="str">
        <f t="shared" si="377"/>
        <v>9 - 13</v>
      </c>
      <c r="AL15" s="25">
        <f t="shared" si="378"/>
        <v>-4</v>
      </c>
      <c r="AM15" s="25">
        <f>SUMIF('ef-FT'!$C$3000:$C$3800,$E15,'ef-FT'!$K$3000:$K$3800)</f>
        <v>3</v>
      </c>
      <c r="AN15" s="25">
        <f>SUMIF('ef-FT'!$C$3000:$C$3800,$E15,'ef-FT'!$L$3000:$L$3800)</f>
        <v>4</v>
      </c>
      <c r="AO15" s="26"/>
      <c r="AP15" s="27">
        <v>0.18</v>
      </c>
      <c r="AQ15" s="28">
        <f t="shared" si="379"/>
        <v>1002899980023.1801</v>
      </c>
      <c r="AR15" s="29">
        <v>4</v>
      </c>
      <c r="AS15" s="28">
        <f>LARGE($AQ$12:$AQ$32,AR15)</f>
        <v>1002899980023.1801</v>
      </c>
      <c r="AT15" s="29">
        <f t="shared" si="380"/>
        <v>4</v>
      </c>
      <c r="AU15" s="30" t="str">
        <f t="shared" si="381"/>
        <v>Seattle Sounders FC</v>
      </c>
      <c r="AV15" s="29">
        <f t="shared" si="382"/>
        <v>21</v>
      </c>
      <c r="AW15" s="29">
        <f t="shared" si="383"/>
        <v>8</v>
      </c>
      <c r="AX15" s="29">
        <f t="shared" si="384"/>
        <v>5</v>
      </c>
      <c r="AY15" s="29">
        <f t="shared" si="385"/>
        <v>8</v>
      </c>
      <c r="AZ15" s="29">
        <f t="shared" si="386"/>
        <v>29</v>
      </c>
      <c r="BA15" s="29" t="str">
        <f t="shared" si="387"/>
        <v>23 - 25</v>
      </c>
      <c r="BB15" s="29">
        <f t="shared" si="388"/>
        <v>-2</v>
      </c>
      <c r="BC15" s="90">
        <f>VLOOKUP($AT15+$AT$11,$D$12:R$33,15,0)</f>
        <v>11</v>
      </c>
      <c r="BD15" s="90">
        <f>VLOOKUP($AT15+$AT$11,$D$12:S$33,16,0)</f>
        <v>5</v>
      </c>
      <c r="BE15" s="90">
        <f>VLOOKUP($AT15+$AT$11,$D$12:T$33,17,0)</f>
        <v>2</v>
      </c>
      <c r="BF15" s="90">
        <f>VLOOKUP($AT15+$AT$11,$D$12:U$33,18,0)</f>
        <v>4</v>
      </c>
      <c r="BG15" s="90">
        <f>VLOOKUP($AT15+$AT$11,$D$12:V$33,19,0)</f>
        <v>17</v>
      </c>
      <c r="BH15" s="90" t="str">
        <f>VLOOKUP($AT15+$AT$11,$D$12:Y$33,22,0)</f>
        <v>14 - 12</v>
      </c>
      <c r="BI15" s="90">
        <f>VLOOKUP($AT15+$AT$11,$D$12:Z$33,23,0)</f>
        <v>2</v>
      </c>
      <c r="BJ15" s="90">
        <f>VLOOKUP($AT15+$AT$11,$D$12:AD$33,27,0)</f>
        <v>10</v>
      </c>
      <c r="BK15" s="90">
        <f>VLOOKUP($AT15+$AT$11,$D$12:AE$33,28,0)</f>
        <v>3</v>
      </c>
      <c r="BL15" s="90">
        <f>VLOOKUP($AT15+$AT$11,$D$12:AF$33,29,0)</f>
        <v>3</v>
      </c>
      <c r="BM15" s="90">
        <f>VLOOKUP($AT15+$AT$11,$D$12:AG$33,30,0)</f>
        <v>4</v>
      </c>
      <c r="BN15" s="90">
        <f>VLOOKUP($AT15+$AT$11,$D$12:AH$33,31,0)</f>
        <v>12</v>
      </c>
      <c r="BO15" s="90" t="str">
        <f>VLOOKUP($AT15+$AT$11,$D$12:AK$35,34,0)</f>
        <v>9 - 13</v>
      </c>
      <c r="BP15" s="90">
        <f>VLOOKUP($AT15+$AT$11,$D$12:AL$35,35,0)</f>
        <v>-4</v>
      </c>
      <c r="BS15" s="10" t="s">
        <v>38</v>
      </c>
      <c r="BT15" s="123">
        <v>0.125</v>
      </c>
      <c r="BU15" s="123">
        <f t="shared" ref="BU15:BU17" si="404">$BU$2-BT15</f>
        <v>4.1666666666666657E-2</v>
      </c>
      <c r="BV15" s="10" t="s">
        <v>64</v>
      </c>
      <c r="CA15" s="130">
        <f t="shared" si="119"/>
        <v>29.18</v>
      </c>
      <c r="CB15" s="130">
        <f t="shared" si="120"/>
        <v>28.82</v>
      </c>
      <c r="CC15" s="130">
        <f t="shared" si="121"/>
        <v>8.18</v>
      </c>
      <c r="CD15" s="130">
        <f t="shared" si="122"/>
        <v>7.82</v>
      </c>
      <c r="CE15" s="130">
        <f t="shared" si="123"/>
        <v>8.18</v>
      </c>
      <c r="CF15" s="130">
        <f t="shared" si="124"/>
        <v>7.82</v>
      </c>
      <c r="CG15" s="130">
        <f t="shared" si="125"/>
        <v>23.18</v>
      </c>
      <c r="CH15" s="130">
        <f t="shared" si="126"/>
        <v>22.82</v>
      </c>
      <c r="CI15" s="130">
        <f t="shared" si="127"/>
        <v>25.18</v>
      </c>
      <c r="CJ15" s="130">
        <f t="shared" si="128"/>
        <v>24.82</v>
      </c>
      <c r="CK15" s="130">
        <f t="shared" si="129"/>
        <v>-1.82</v>
      </c>
      <c r="CL15" s="130">
        <f t="shared" si="130"/>
        <v>-2.1800000000000002</v>
      </c>
      <c r="CM15" s="130">
        <f t="shared" si="131"/>
        <v>6.18</v>
      </c>
      <c r="CN15" s="130">
        <f t="shared" si="132"/>
        <v>5.82</v>
      </c>
      <c r="CO15" s="130">
        <f t="shared" si="133"/>
        <v>8.18</v>
      </c>
      <c r="CP15" s="130">
        <f t="shared" si="134"/>
        <v>7.82</v>
      </c>
      <c r="CQ15" s="131"/>
      <c r="CR15" s="130">
        <f t="shared" si="360"/>
        <v>17.18</v>
      </c>
      <c r="CS15" s="130">
        <f t="shared" si="135"/>
        <v>16.82</v>
      </c>
      <c r="CT15" s="130">
        <f t="shared" si="361"/>
        <v>5.18</v>
      </c>
      <c r="CU15" s="130">
        <f t="shared" si="362"/>
        <v>4.82</v>
      </c>
      <c r="CV15" s="130">
        <f t="shared" si="363"/>
        <v>4.18</v>
      </c>
      <c r="CW15" s="130">
        <f t="shared" si="364"/>
        <v>3.82</v>
      </c>
      <c r="CX15" s="130">
        <f t="shared" si="365"/>
        <v>14.18</v>
      </c>
      <c r="CY15" s="130">
        <f t="shared" si="366"/>
        <v>13.82</v>
      </c>
      <c r="CZ15" s="130">
        <f t="shared" si="367"/>
        <v>12.18</v>
      </c>
      <c r="DA15" s="130">
        <f t="shared" si="368"/>
        <v>11.82</v>
      </c>
      <c r="DB15" s="130">
        <f t="shared" si="369"/>
        <v>2.1800000000000002</v>
      </c>
      <c r="DC15" s="130">
        <f t="shared" si="370"/>
        <v>1.82</v>
      </c>
      <c r="DD15" s="130">
        <f t="shared" si="371"/>
        <v>3.18</v>
      </c>
      <c r="DE15" s="130">
        <f t="shared" si="372"/>
        <v>2.82</v>
      </c>
      <c r="DF15" s="130">
        <f t="shared" si="373"/>
        <v>4.18</v>
      </c>
      <c r="DG15" s="130">
        <f t="shared" si="374"/>
        <v>3.82</v>
      </c>
      <c r="DH15" s="131"/>
      <c r="DI15" s="130">
        <f t="shared" si="389"/>
        <v>12.18</v>
      </c>
      <c r="DJ15" s="130">
        <f t="shared" si="136"/>
        <v>-0.18</v>
      </c>
      <c r="DK15" s="130">
        <f t="shared" si="390"/>
        <v>3.18</v>
      </c>
      <c r="DL15" s="130">
        <f t="shared" si="391"/>
        <v>2.82</v>
      </c>
      <c r="DM15" s="130">
        <f t="shared" si="392"/>
        <v>4.18</v>
      </c>
      <c r="DN15" s="130">
        <f t="shared" si="393"/>
        <v>3.82</v>
      </c>
      <c r="DO15" s="130">
        <f t="shared" si="394"/>
        <v>9.18</v>
      </c>
      <c r="DP15" s="130">
        <f t="shared" si="395"/>
        <v>8.82</v>
      </c>
      <c r="DQ15" s="130">
        <f t="shared" si="396"/>
        <v>13.18</v>
      </c>
      <c r="DR15" s="130">
        <f t="shared" si="397"/>
        <v>12.82</v>
      </c>
      <c r="DS15" s="130">
        <f t="shared" si="398"/>
        <v>-3.82</v>
      </c>
      <c r="DT15" s="130">
        <f t="shared" si="399"/>
        <v>-4.18</v>
      </c>
      <c r="DU15" s="130">
        <f t="shared" si="400"/>
        <v>3.18</v>
      </c>
      <c r="DV15" s="130">
        <f t="shared" si="401"/>
        <v>2.82</v>
      </c>
      <c r="DW15" s="130">
        <f t="shared" si="402"/>
        <v>4.18</v>
      </c>
      <c r="DX15" s="130">
        <f t="shared" si="403"/>
        <v>3.82</v>
      </c>
      <c r="DY15" s="132"/>
      <c r="DZ15" s="115">
        <v>12</v>
      </c>
      <c r="EA15" s="115">
        <v>19</v>
      </c>
      <c r="EB15" s="10">
        <f t="shared" si="137"/>
        <v>6</v>
      </c>
      <c r="EC15" s="10">
        <f t="shared" si="138"/>
        <v>2</v>
      </c>
      <c r="ED15" s="10">
        <f t="shared" si="139"/>
        <v>6</v>
      </c>
      <c r="EE15" s="10">
        <f t="shared" si="140"/>
        <v>12</v>
      </c>
      <c r="EF15" s="10">
        <f t="shared" si="141"/>
        <v>5</v>
      </c>
      <c r="EG15" s="10">
        <f t="shared" si="142"/>
        <v>6</v>
      </c>
      <c r="EH15" s="10">
        <f t="shared" si="143"/>
        <v>13</v>
      </c>
      <c r="EI15" s="10">
        <f t="shared" si="144"/>
        <v>12</v>
      </c>
      <c r="EJ15" s="10">
        <f t="shared" si="145"/>
        <v>1</v>
      </c>
      <c r="EK15" s="10">
        <f t="shared" si="146"/>
        <v>16</v>
      </c>
      <c r="EL15" s="10">
        <f t="shared" si="147"/>
        <v>6</v>
      </c>
      <c r="EM15" s="10">
        <f t="shared" si="148"/>
        <v>13</v>
      </c>
      <c r="EN15" s="10">
        <f t="shared" si="149"/>
        <v>10</v>
      </c>
      <c r="EO15" s="10">
        <f t="shared" si="150"/>
        <v>15</v>
      </c>
      <c r="EP15" s="10">
        <f t="shared" si="151"/>
        <v>15</v>
      </c>
      <c r="EQ15" s="10">
        <f t="shared" si="152"/>
        <v>1</v>
      </c>
      <c r="ES15" s="10">
        <f t="shared" si="153"/>
        <v>14</v>
      </c>
      <c r="ET15" s="10">
        <f t="shared" si="154"/>
        <v>2</v>
      </c>
      <c r="EU15" s="10">
        <f t="shared" si="155"/>
        <v>15</v>
      </c>
      <c r="EV15" s="10">
        <f t="shared" si="154"/>
        <v>2</v>
      </c>
      <c r="EW15" s="10">
        <f t="shared" si="156"/>
        <v>9</v>
      </c>
      <c r="EX15" s="10">
        <f t="shared" si="157"/>
        <v>14</v>
      </c>
      <c r="EY15" s="10">
        <f t="shared" si="158"/>
        <v>13</v>
      </c>
      <c r="EZ15" s="10">
        <f t="shared" si="159"/>
        <v>12</v>
      </c>
      <c r="FA15" s="10">
        <f t="shared" si="160"/>
        <v>11</v>
      </c>
      <c r="FB15" s="10">
        <f t="shared" si="161"/>
        <v>15</v>
      </c>
      <c r="FC15" s="10">
        <f t="shared" si="162"/>
        <v>12</v>
      </c>
      <c r="FD15" s="10">
        <f t="shared" si="163"/>
        <v>11</v>
      </c>
      <c r="FE15" s="10">
        <f t="shared" si="164"/>
        <v>9</v>
      </c>
      <c r="FF15" s="10">
        <f t="shared" si="165"/>
        <v>12</v>
      </c>
      <c r="FG15" s="10">
        <f t="shared" si="166"/>
        <v>13</v>
      </c>
      <c r="FH15" s="10">
        <f t="shared" si="167"/>
        <v>15</v>
      </c>
      <c r="FJ15" s="10">
        <f t="shared" si="168"/>
        <v>8</v>
      </c>
      <c r="FK15" s="10">
        <f t="shared" si="169"/>
        <v>12</v>
      </c>
      <c r="FL15" s="10">
        <f t="shared" si="170"/>
        <v>4</v>
      </c>
      <c r="FM15" s="10">
        <f t="shared" si="171"/>
        <v>11</v>
      </c>
      <c r="FN15" s="10">
        <f t="shared" si="172"/>
        <v>1</v>
      </c>
      <c r="FO15" s="10">
        <f t="shared" si="173"/>
        <v>16</v>
      </c>
      <c r="FP15" s="10">
        <f t="shared" si="174"/>
        <v>3</v>
      </c>
      <c r="FQ15" s="10">
        <f t="shared" si="175"/>
        <v>16</v>
      </c>
      <c r="FR15" s="10">
        <f t="shared" si="176"/>
        <v>13</v>
      </c>
      <c r="FS15" s="10">
        <f t="shared" si="177"/>
        <v>3</v>
      </c>
      <c r="FT15" s="10">
        <f t="shared" si="178"/>
        <v>6</v>
      </c>
      <c r="FU15" s="10">
        <f t="shared" si="179"/>
        <v>13</v>
      </c>
      <c r="FV15" s="10">
        <f t="shared" si="180"/>
        <v>10</v>
      </c>
      <c r="FW15" s="10">
        <f t="shared" si="181"/>
        <v>15</v>
      </c>
      <c r="FX15" s="10">
        <f t="shared" si="182"/>
        <v>4</v>
      </c>
      <c r="FY15" s="10">
        <f t="shared" si="183"/>
        <v>10</v>
      </c>
      <c r="GA15" s="10">
        <f>IF(lg!$C$18=1,EB15,IF(lg!$C$18=2,ES15,FJ15))</f>
        <v>6</v>
      </c>
      <c r="GB15" s="10">
        <f>IF(lg!$C$18=1,EC15,IF(lg!$C$18=2,ET15,FK15))</f>
        <v>2</v>
      </c>
      <c r="GC15" s="10">
        <f>IF(lg!$C$18=1,ED15,IF(lg!$C$18=2,EU15,FL15))</f>
        <v>6</v>
      </c>
      <c r="GD15" s="10">
        <f>IF(lg!$C$18=1,EE15,IF(lg!$C$18=2,EV15,FM15))</f>
        <v>12</v>
      </c>
      <c r="GE15" s="10">
        <f>IF(lg!$C$18=1,EF15,IF(lg!$C$18=2,EW15,FN15))</f>
        <v>5</v>
      </c>
      <c r="GF15" s="10">
        <f>IF(lg!$C$18=1,EG15,IF(lg!$C$18=2,EX15,FO15))</f>
        <v>6</v>
      </c>
      <c r="GG15" s="10">
        <f>IF(lg!$C$18=1,EH15,IF(lg!$C$18=2,EY15,FP15))</f>
        <v>13</v>
      </c>
      <c r="GH15" s="10">
        <f>IF(lg!$C$18=1,EI15,IF(lg!$C$18=2,EZ15,FQ15))</f>
        <v>12</v>
      </c>
      <c r="GI15" s="10">
        <f>IF(lg!$C$18=1,EJ15,IF(lg!$C$18=2,FA15,FR15))</f>
        <v>1</v>
      </c>
      <c r="GJ15" s="10">
        <f>IF(lg!$C$18=1,EK15,IF(lg!$C$18=2,FB15,FS15))</f>
        <v>16</v>
      </c>
      <c r="GK15" s="10">
        <f>IF(lg!$C$18=1,EL15,IF(lg!$C$18=2,FC15,FT15))</f>
        <v>6</v>
      </c>
      <c r="GL15" s="10">
        <f>IF(lg!$C$18=1,EM15,IF(lg!$C$18=2,FD15,FU15))</f>
        <v>13</v>
      </c>
      <c r="GM15" s="10">
        <f>IF(lg!$C$18=1,EN15,IF(lg!$C$18=2,FE15,FV15))</f>
        <v>10</v>
      </c>
      <c r="GN15" s="10">
        <f>IF(lg!$C$18=1,EO15,IF(lg!$C$18=2,FF15,FW15))</f>
        <v>15</v>
      </c>
      <c r="GO15" s="10">
        <f>IF(lg!$C$18=1,EP15,IF(lg!$C$18=2,FG15,FX15))</f>
        <v>15</v>
      </c>
      <c r="GP15" s="10">
        <f>IF(lg!$C$18=1,EQ15,IF(lg!$C$18=2,FH15,FY15))</f>
        <v>1</v>
      </c>
      <c r="GR15" s="10" t="str">
        <f t="shared" si="184"/>
        <v>Kansas City</v>
      </c>
      <c r="GS15" s="10" t="str">
        <f t="shared" si="31"/>
        <v>New York Red Bulls</v>
      </c>
      <c r="GT15" s="10" t="str">
        <f t="shared" si="32"/>
        <v>Kansas City</v>
      </c>
      <c r="GU15" s="10" t="str">
        <f t="shared" si="33"/>
        <v>Seattle Sounders FC</v>
      </c>
      <c r="GV15" s="10" t="str">
        <f t="shared" si="34"/>
        <v>Chicago</v>
      </c>
      <c r="GW15" s="10" t="str">
        <f t="shared" si="35"/>
        <v>Kansas City</v>
      </c>
      <c r="GX15" s="10" t="str">
        <f t="shared" si="36"/>
        <v>Colorado</v>
      </c>
      <c r="GY15" s="10" t="str">
        <f t="shared" si="37"/>
        <v>Seattle Sounders FC</v>
      </c>
      <c r="GZ15" s="10" t="str">
        <f t="shared" si="38"/>
        <v>Columbus</v>
      </c>
      <c r="HA15" s="10" t="str">
        <f t="shared" si="39"/>
        <v>Chivas USA</v>
      </c>
      <c r="HB15" s="10" t="str">
        <f t="shared" si="40"/>
        <v>Kansas City</v>
      </c>
      <c r="HC15" s="10" t="str">
        <f t="shared" si="41"/>
        <v>Colorado</v>
      </c>
      <c r="HD15" s="10" t="str">
        <f t="shared" si="42"/>
        <v>Real Salt Lake</v>
      </c>
      <c r="HE15" s="10" t="str">
        <f t="shared" si="43"/>
        <v>Houston</v>
      </c>
      <c r="HF15" s="10" t="str">
        <f t="shared" si="44"/>
        <v>Houston</v>
      </c>
      <c r="HG15" s="10" t="str">
        <f t="shared" si="45"/>
        <v>Columbus</v>
      </c>
      <c r="HI15" s="10">
        <v>12</v>
      </c>
      <c r="HJ15" s="115">
        <f>IF(lg!$C$18=1,F15,IF(lg!$C$18=2,R15,AD15))</f>
        <v>21</v>
      </c>
      <c r="HK15" s="115">
        <f>IF(lg!$C$18=1,G15,IF(lg!$C$18=2,S15,AE15))</f>
        <v>8</v>
      </c>
      <c r="HL15" s="115">
        <f>IF(lg!$C$18=1,H15,IF(lg!$C$18=2,T15,AF15))</f>
        <v>5</v>
      </c>
      <c r="HM15" s="115">
        <f>IF(lg!$C$18=1,I15,IF(lg!$C$18=2,U15,AG15))</f>
        <v>8</v>
      </c>
      <c r="HN15" s="115">
        <f>IF(lg!$C$18=1,J15,IF(lg!$C$18=2,V15,AH15))</f>
        <v>29</v>
      </c>
      <c r="HO15" s="115">
        <f>IF(lg!$C$18=1,K15,IF(lg!$C$18=2,W15,AI15))</f>
        <v>23</v>
      </c>
      <c r="HP15" s="115">
        <f>IF(lg!$C$18=1,L15,IF(lg!$C$18=2,X15,AJ15))</f>
        <v>25</v>
      </c>
      <c r="HQ15" s="115" t="str">
        <f>IF(lg!$C$18=1,M15,IF(lg!$C$18=2,Y15,AK15))</f>
        <v>23 - 25</v>
      </c>
      <c r="HR15" s="115">
        <f>IF(lg!$C$18=1,N15,IF(lg!$C$18=2,Z15,AL15))</f>
        <v>-2</v>
      </c>
      <c r="HS15" s="115">
        <f>IF(lg!$C$18=1,O15,IF(lg!$C$18=2,AA15,AM15))</f>
        <v>6</v>
      </c>
      <c r="HT15" s="115">
        <f>IF(lg!$C$18=1,P15,IF(lg!$C$18=2,AB15,AN15))</f>
        <v>8</v>
      </c>
      <c r="HV15" s="115">
        <f t="shared" si="185"/>
        <v>20</v>
      </c>
      <c r="HW15" s="115">
        <f t="shared" si="186"/>
        <v>31</v>
      </c>
      <c r="HX15" s="115">
        <f t="shared" si="187"/>
        <v>5</v>
      </c>
      <c r="HY15" s="115">
        <f t="shared" si="188"/>
        <v>8</v>
      </c>
      <c r="HZ15" s="115">
        <f t="shared" si="189"/>
        <v>5</v>
      </c>
      <c r="IA15" s="115">
        <f t="shared" si="190"/>
        <v>9</v>
      </c>
      <c r="IB15" s="115">
        <f t="shared" si="191"/>
        <v>21</v>
      </c>
      <c r="IC15" s="115">
        <f t="shared" si="192"/>
        <v>23</v>
      </c>
      <c r="ID15" s="115">
        <f t="shared" si="193"/>
        <v>19</v>
      </c>
      <c r="IE15" s="115">
        <f t="shared" si="194"/>
        <v>25</v>
      </c>
      <c r="IF15" s="115">
        <f t="shared" si="195"/>
        <v>-7</v>
      </c>
      <c r="IG15" s="115">
        <f t="shared" si="196"/>
        <v>3</v>
      </c>
      <c r="IH15" s="115">
        <f t="shared" si="197"/>
        <v>4</v>
      </c>
      <c r="II15" s="115">
        <f t="shared" si="198"/>
        <v>7</v>
      </c>
      <c r="IJ15" s="115">
        <f t="shared" si="199"/>
        <v>5</v>
      </c>
      <c r="IK15" s="115">
        <f t="shared" si="200"/>
        <v>8</v>
      </c>
      <c r="IN15" s="77" t="s">
        <v>136</v>
      </c>
      <c r="IO15" s="36" t="s">
        <v>8</v>
      </c>
      <c r="IP15" s="67">
        <f>VLOOKUP('ef-TeamStats'!B2,'ef-FT'!$E$4:$AN$23,19,0)</f>
        <v>19</v>
      </c>
      <c r="IQ15" s="133">
        <f>VLOOKUP('ef-TeamStats'!$B$2,Table!$B$4:$W$23,9,0)</f>
        <v>9</v>
      </c>
      <c r="IR15" s="134">
        <f t="shared" si="47"/>
        <v>2.1111111111111112</v>
      </c>
      <c r="IS15" s="133">
        <f>MATCH('ef-TeamStats'!$B$2,$JY$4:$JY$33,0)</f>
        <v>2</v>
      </c>
      <c r="IT15" s="67"/>
      <c r="IU15" s="36" t="s">
        <v>8</v>
      </c>
      <c r="IV15" s="67">
        <f>VLOOKUP('ef-TeamStats'!G2,'ef-FT'!$E$4:$AN$23,19,0)</f>
        <v>14</v>
      </c>
      <c r="IW15" s="133">
        <f>VLOOKUP('ef-TeamStats'!$G$2,Table!$B$4:$W$23,9,0)</f>
        <v>9</v>
      </c>
      <c r="IX15" s="134">
        <f t="shared" si="48"/>
        <v>1.5555555555555556</v>
      </c>
      <c r="IY15" s="133">
        <f>MATCH('ef-TeamStats'!$G$2,$JY$4:$JY$33,0)</f>
        <v>4</v>
      </c>
      <c r="JB15" s="10">
        <f>IF(lg!$F$18=1,EB15,IF(lg!$F$18=2,ES15,FJ15))</f>
        <v>6</v>
      </c>
      <c r="JC15" s="10">
        <f>IF(lg!$F$18=1,EC15,IF(lg!$F$18=2,ET15,FK15))</f>
        <v>2</v>
      </c>
      <c r="JD15" s="10">
        <f>IF(lg!$F$18=1,ED15,IF(lg!$F$18=2,EU15,FL15))</f>
        <v>6</v>
      </c>
      <c r="JE15" s="10">
        <f>IF(lg!$F$18=1,EE15,IF(lg!$F$18=2,EV15,FM15))</f>
        <v>12</v>
      </c>
      <c r="JF15" s="10">
        <f>IF(lg!$F$18=1,EF15,IF(lg!$F$18=2,EW15,FN15))</f>
        <v>5</v>
      </c>
      <c r="JG15" s="10">
        <f>IF(lg!$F$18=1,EG15,IF(lg!$F$18=2,EX15,FO15))</f>
        <v>6</v>
      </c>
      <c r="JH15" s="10">
        <f>IF(lg!$F$18=1,EH15,IF(lg!$F$18=2,EY15,FP15))</f>
        <v>13</v>
      </c>
      <c r="JI15" s="10">
        <f>IF(lg!$F$18=1,EI15,IF(lg!$F$18=2,EZ15,FQ15))</f>
        <v>12</v>
      </c>
      <c r="JJ15" s="10">
        <f>IF(lg!$F$18=1,EJ15,IF(lg!$F$18=2,FA15,FR15))</f>
        <v>1</v>
      </c>
      <c r="JK15" s="10">
        <f>IF(lg!$F$18=1,EK15,IF(lg!$F$18=2,FB15,FS15))</f>
        <v>16</v>
      </c>
      <c r="JL15" s="10">
        <f>IF(lg!$F$18=1,EL15,IF(lg!$F$18=2,FC15,FT15))</f>
        <v>6</v>
      </c>
      <c r="JM15" s="10">
        <f>IF(lg!$F$18=1,EM15,IF(lg!$F$18=2,FD15,FU15))</f>
        <v>13</v>
      </c>
      <c r="JN15" s="10">
        <f>IF(lg!$F$18=1,EN15,IF(lg!$F$18=2,FE15,FV15))</f>
        <v>10</v>
      </c>
      <c r="JO15" s="10">
        <f>IF(lg!$F$18=1,EO15,IF(lg!$F$18=2,FF15,FW15))</f>
        <v>15</v>
      </c>
      <c r="JP15" s="10">
        <f>IF(lg!$F$18=1,EP15,IF(lg!$F$18=2,FG15,FX15))</f>
        <v>15</v>
      </c>
      <c r="JQ15" s="10">
        <f>IF(lg!$F$18=1,EQ15,IF(lg!$F$18=2,FH15,FY15))</f>
        <v>1</v>
      </c>
      <c r="JS15" s="10" t="str">
        <f t="shared" si="201"/>
        <v>Kansas City</v>
      </c>
      <c r="JT15" s="10" t="str">
        <f t="shared" si="49"/>
        <v>New York Red Bulls</v>
      </c>
      <c r="JU15" s="10" t="str">
        <f t="shared" si="50"/>
        <v>Kansas City</v>
      </c>
      <c r="JV15" s="10" t="str">
        <f t="shared" si="51"/>
        <v>Seattle Sounders FC</v>
      </c>
      <c r="JW15" s="10" t="str">
        <f t="shared" si="52"/>
        <v>Chicago</v>
      </c>
      <c r="JX15" s="10" t="str">
        <f t="shared" si="53"/>
        <v>Kansas City</v>
      </c>
      <c r="JY15" s="10" t="str">
        <f t="shared" si="54"/>
        <v>Colorado</v>
      </c>
      <c r="JZ15" s="10" t="str">
        <f t="shared" si="55"/>
        <v>Seattle Sounders FC</v>
      </c>
      <c r="KA15" s="10" t="str">
        <f t="shared" si="56"/>
        <v>Columbus</v>
      </c>
      <c r="KB15" s="10" t="str">
        <f t="shared" si="57"/>
        <v>Chivas USA</v>
      </c>
      <c r="KC15" s="10" t="str">
        <f t="shared" si="58"/>
        <v>Kansas City</v>
      </c>
      <c r="KD15" s="10" t="str">
        <f t="shared" si="59"/>
        <v>Colorado</v>
      </c>
      <c r="KE15" s="10" t="str">
        <f t="shared" si="60"/>
        <v>Real Salt Lake</v>
      </c>
      <c r="KF15" s="10" t="str">
        <f t="shared" si="61"/>
        <v>Houston</v>
      </c>
      <c r="KG15" s="10" t="str">
        <f t="shared" si="62"/>
        <v>Houston</v>
      </c>
      <c r="KH15" s="10" t="str">
        <f t="shared" si="63"/>
        <v>Columbus</v>
      </c>
      <c r="KL15" s="27">
        <v>0.19</v>
      </c>
      <c r="KM15" s="29">
        <v>12</v>
      </c>
      <c r="KN15" s="31" t="str">
        <f t="shared" si="202"/>
        <v>Seattle Sounders FC</v>
      </c>
      <c r="KO15" s="152">
        <f t="shared" si="203"/>
        <v>3</v>
      </c>
      <c r="KP15" s="152">
        <f t="shared" si="204"/>
        <v>2</v>
      </c>
      <c r="KQ15" s="152">
        <f t="shared" si="205"/>
        <v>0</v>
      </c>
      <c r="KR15" s="28">
        <f t="shared" si="206"/>
        <v>1000300020002.1899</v>
      </c>
      <c r="KS15" s="29"/>
      <c r="KT15" s="28"/>
      <c r="KU15" s="29">
        <f>RANK(KR15,KR$12:KR$19)</f>
        <v>2</v>
      </c>
      <c r="KV15" s="152">
        <f t="shared" si="207"/>
        <v>3</v>
      </c>
      <c r="KW15" s="152">
        <f t="shared" si="208"/>
        <v>2</v>
      </c>
      <c r="KX15" s="152">
        <f t="shared" si="209"/>
        <v>1</v>
      </c>
      <c r="KY15" s="28">
        <f t="shared" si="210"/>
        <v>1000300010002.1899</v>
      </c>
      <c r="KZ15" s="29"/>
      <c r="LA15" s="28"/>
      <c r="LB15" s="29">
        <f>RANK(KY15,KY$12:KY$19)</f>
        <v>5</v>
      </c>
      <c r="LC15" s="152">
        <f t="shared" si="211"/>
        <v>4</v>
      </c>
      <c r="LD15" s="152">
        <f t="shared" si="212"/>
        <v>4</v>
      </c>
      <c r="LE15" s="152">
        <f t="shared" si="213"/>
        <v>3</v>
      </c>
      <c r="LF15" s="28">
        <f t="shared" si="214"/>
        <v>1000400010004.1899</v>
      </c>
      <c r="LG15" s="29"/>
      <c r="LH15" s="28"/>
      <c r="LI15" s="29">
        <f>RANK(LF15,LF$12:LF$19)</f>
        <v>4</v>
      </c>
      <c r="LJ15" s="152">
        <f t="shared" si="215"/>
        <v>7</v>
      </c>
      <c r="LK15" s="152">
        <f t="shared" si="216"/>
        <v>5</v>
      </c>
      <c r="LL15" s="152">
        <f t="shared" si="217"/>
        <v>3</v>
      </c>
      <c r="LM15" s="28">
        <f t="shared" si="218"/>
        <v>1000700020005.1899</v>
      </c>
      <c r="LN15" s="29"/>
      <c r="LO15" s="28"/>
      <c r="LP15" s="29">
        <f>RANK(LM15,LM$12:LM$19)</f>
        <v>4</v>
      </c>
      <c r="LQ15" s="152">
        <f t="shared" si="219"/>
        <v>8</v>
      </c>
      <c r="LR15" s="152">
        <f t="shared" si="220"/>
        <v>7</v>
      </c>
      <c r="LS15" s="152">
        <f t="shared" si="221"/>
        <v>5</v>
      </c>
      <c r="LT15" s="28">
        <f t="shared" si="222"/>
        <v>1000800020007.1899</v>
      </c>
      <c r="LU15" s="29"/>
      <c r="LV15" s="28"/>
      <c r="LW15" s="29">
        <f>RANK(LT15,LT$12:LT$19)</f>
        <v>4</v>
      </c>
      <c r="LX15" s="152">
        <f t="shared" si="223"/>
        <v>8</v>
      </c>
      <c r="LY15" s="152">
        <f t="shared" si="224"/>
        <v>7</v>
      </c>
      <c r="LZ15" s="152">
        <f t="shared" si="225"/>
        <v>7</v>
      </c>
      <c r="MA15" s="28">
        <f t="shared" si="226"/>
        <v>1000800000007.1899</v>
      </c>
      <c r="MB15" s="29"/>
      <c r="MC15" s="28"/>
      <c r="MD15" s="29">
        <f>RANK(MA15,MA$12:MA$19)</f>
        <v>5</v>
      </c>
      <c r="ME15" s="152">
        <f t="shared" si="227"/>
        <v>9</v>
      </c>
      <c r="MF15" s="152">
        <f t="shared" si="228"/>
        <v>8</v>
      </c>
      <c r="MG15" s="152">
        <f t="shared" si="229"/>
        <v>8</v>
      </c>
      <c r="MH15" s="28">
        <f t="shared" si="230"/>
        <v>1000900000008.1899</v>
      </c>
      <c r="MI15" s="29"/>
      <c r="MJ15" s="28"/>
      <c r="MK15" s="29">
        <f>RANK(MH15,MH$12:MH$19)</f>
        <v>8</v>
      </c>
      <c r="ML15" s="152">
        <f t="shared" si="231"/>
        <v>9</v>
      </c>
      <c r="MM15" s="152">
        <f t="shared" si="232"/>
        <v>8</v>
      </c>
      <c r="MN15" s="152">
        <f t="shared" si="233"/>
        <v>12</v>
      </c>
      <c r="MO15" s="28">
        <f t="shared" si="234"/>
        <v>1000899960008.1899</v>
      </c>
      <c r="MP15" s="29"/>
      <c r="MQ15" s="28"/>
      <c r="MR15" s="29">
        <f>RANK(MO15,MO$12:MO$19)</f>
        <v>8</v>
      </c>
      <c r="MS15" s="152">
        <f t="shared" si="235"/>
        <v>12</v>
      </c>
      <c r="MT15" s="152">
        <f t="shared" si="236"/>
        <v>9</v>
      </c>
      <c r="MU15" s="152">
        <f t="shared" si="237"/>
        <v>12</v>
      </c>
      <c r="MV15" s="28">
        <f t="shared" si="238"/>
        <v>1001199970009.1899</v>
      </c>
      <c r="MW15" s="29"/>
      <c r="MX15" s="28"/>
      <c r="MY15" s="29">
        <f>RANK(MV15,MV$12:MV$19)</f>
        <v>6</v>
      </c>
      <c r="MZ15" s="152">
        <f t="shared" si="239"/>
        <v>12</v>
      </c>
      <c r="NA15" s="152">
        <f t="shared" si="240"/>
        <v>9</v>
      </c>
      <c r="NB15" s="152">
        <f t="shared" si="241"/>
        <v>13</v>
      </c>
      <c r="NC15" s="28">
        <f t="shared" si="242"/>
        <v>1001199960009.1899</v>
      </c>
      <c r="ND15" s="29"/>
      <c r="NE15" s="28"/>
      <c r="NF15" s="29">
        <f>RANK(NC15,NC$12:NC$19)</f>
        <v>7</v>
      </c>
      <c r="NG15" s="152">
        <f t="shared" si="243"/>
        <v>12</v>
      </c>
      <c r="NH15" s="152">
        <f t="shared" si="244"/>
        <v>9</v>
      </c>
      <c r="NI15" s="152">
        <f t="shared" si="245"/>
        <v>14</v>
      </c>
      <c r="NJ15" s="28">
        <f t="shared" si="246"/>
        <v>1001199950009.1899</v>
      </c>
      <c r="NK15" s="29"/>
      <c r="NL15" s="28"/>
      <c r="NM15" s="29">
        <f>RANK(NJ15,NJ$12:NJ$19)</f>
        <v>7</v>
      </c>
      <c r="NN15" s="152">
        <f t="shared" si="247"/>
        <v>15</v>
      </c>
      <c r="NO15" s="152">
        <f t="shared" si="248"/>
        <v>12</v>
      </c>
      <c r="NP15" s="152">
        <f t="shared" si="249"/>
        <v>14</v>
      </c>
      <c r="NQ15" s="28">
        <f t="shared" si="250"/>
        <v>1001499980012.1899</v>
      </c>
      <c r="NR15" s="29"/>
      <c r="NS15" s="28"/>
      <c r="NT15" s="29">
        <f>RANK(NQ15,NQ$12:NQ$19)</f>
        <v>7</v>
      </c>
      <c r="NU15" s="152">
        <f t="shared" si="251"/>
        <v>15</v>
      </c>
      <c r="NV15" s="152">
        <f t="shared" si="252"/>
        <v>14</v>
      </c>
      <c r="NW15" s="152">
        <f t="shared" si="253"/>
        <v>17</v>
      </c>
      <c r="NX15" s="28">
        <f t="shared" si="254"/>
        <v>1001499970014.1899</v>
      </c>
      <c r="NY15" s="29"/>
      <c r="NZ15" s="28"/>
      <c r="OA15" s="29">
        <f>RANK(NX15,NX$12:NX$19)</f>
        <v>7</v>
      </c>
      <c r="OB15" s="152">
        <f t="shared" si="255"/>
        <v>15</v>
      </c>
      <c r="OC15" s="152">
        <f t="shared" si="256"/>
        <v>15</v>
      </c>
      <c r="OD15" s="152">
        <f t="shared" si="257"/>
        <v>20</v>
      </c>
      <c r="OE15" s="28">
        <f t="shared" si="258"/>
        <v>1001499950015.1899</v>
      </c>
      <c r="OF15" s="29"/>
      <c r="OG15" s="28"/>
      <c r="OH15" s="29">
        <f>RANK(OE15,OE$12:OE$19)</f>
        <v>7</v>
      </c>
      <c r="OI15" s="152">
        <f t="shared" si="259"/>
        <v>15</v>
      </c>
      <c r="OJ15" s="152">
        <f t="shared" si="260"/>
        <v>16</v>
      </c>
      <c r="OK15" s="152">
        <f t="shared" si="261"/>
        <v>23</v>
      </c>
      <c r="OL15" s="28">
        <f t="shared" si="262"/>
        <v>1001499930016.1899</v>
      </c>
      <c r="OM15" s="29"/>
      <c r="ON15" s="28"/>
      <c r="OO15" s="29">
        <f>RANK(OL15,OL$12:OL$19)</f>
        <v>7</v>
      </c>
      <c r="OP15" s="152">
        <f t="shared" si="263"/>
        <v>16</v>
      </c>
      <c r="OQ15" s="152">
        <f t="shared" si="264"/>
        <v>17</v>
      </c>
      <c r="OR15" s="152">
        <f t="shared" si="265"/>
        <v>24</v>
      </c>
      <c r="OS15" s="28">
        <f t="shared" si="266"/>
        <v>1001599930017.1899</v>
      </c>
      <c r="OT15" s="29"/>
      <c r="OU15" s="28"/>
      <c r="OV15" s="29">
        <f>RANK(OS15,OS$12:OS$19)</f>
        <v>7</v>
      </c>
      <c r="OW15" s="152">
        <f t="shared" si="267"/>
        <v>19</v>
      </c>
      <c r="OX15" s="152">
        <f t="shared" si="268"/>
        <v>18</v>
      </c>
      <c r="OY15" s="152">
        <f t="shared" si="269"/>
        <v>24</v>
      </c>
      <c r="OZ15" s="28">
        <f t="shared" si="270"/>
        <v>1001899940018.1899</v>
      </c>
      <c r="PA15" s="29"/>
      <c r="PB15" s="28"/>
      <c r="PC15" s="29">
        <f>RANK(OZ15,OZ$12:OZ$19)</f>
        <v>7</v>
      </c>
      <c r="PD15" s="152">
        <f t="shared" si="271"/>
        <v>22</v>
      </c>
      <c r="PE15" s="152">
        <f t="shared" si="272"/>
        <v>20</v>
      </c>
      <c r="PF15" s="152">
        <f t="shared" si="273"/>
        <v>25</v>
      </c>
      <c r="PG15" s="28">
        <f t="shared" si="274"/>
        <v>1002199950020.1899</v>
      </c>
      <c r="PH15" s="29"/>
      <c r="PI15" s="28"/>
      <c r="PJ15" s="29">
        <f>RANK(PG15,PG$12:PG$19)</f>
        <v>6</v>
      </c>
      <c r="PK15" s="152">
        <f t="shared" si="275"/>
        <v>25</v>
      </c>
      <c r="PL15" s="152">
        <f t="shared" si="276"/>
        <v>21</v>
      </c>
      <c r="PM15" s="152">
        <f t="shared" si="277"/>
        <v>25</v>
      </c>
      <c r="PN15" s="28">
        <f t="shared" si="278"/>
        <v>1002499960021.1899</v>
      </c>
      <c r="PO15" s="29"/>
      <c r="PP15" s="28"/>
      <c r="PQ15" s="29">
        <f>RANK(PN15,PN$12:PN$19)</f>
        <v>6</v>
      </c>
      <c r="PR15" s="152">
        <f t="shared" si="279"/>
        <v>28</v>
      </c>
      <c r="PS15" s="152">
        <f t="shared" si="280"/>
        <v>23</v>
      </c>
      <c r="PT15" s="152">
        <f t="shared" si="281"/>
        <v>25</v>
      </c>
      <c r="PU15" s="28">
        <f t="shared" si="282"/>
        <v>1002799980023.1899</v>
      </c>
      <c r="PV15" s="29"/>
      <c r="PW15" s="28"/>
      <c r="PX15" s="29">
        <f>RANK(PU15,PU$12:PU$19)</f>
        <v>5</v>
      </c>
      <c r="PY15" s="152">
        <f t="shared" si="283"/>
        <v>29</v>
      </c>
      <c r="PZ15" s="152">
        <f t="shared" si="284"/>
        <v>23</v>
      </c>
      <c r="QA15" s="152">
        <f t="shared" si="285"/>
        <v>25</v>
      </c>
      <c r="QB15" s="28">
        <f t="shared" si="286"/>
        <v>1002899980023.1899</v>
      </c>
      <c r="QC15" s="29"/>
      <c r="QD15" s="28"/>
      <c r="QE15" s="29">
        <f>RANK(QB15,QB$12:QB$19)</f>
        <v>4</v>
      </c>
      <c r="QF15" s="152">
        <f t="shared" si="287"/>
        <v>29</v>
      </c>
      <c r="QG15" s="152">
        <f t="shared" si="288"/>
        <v>23</v>
      </c>
      <c r="QH15" s="152">
        <f t="shared" si="289"/>
        <v>25</v>
      </c>
      <c r="QI15" s="28">
        <f t="shared" si="290"/>
        <v>1002899980023.1899</v>
      </c>
      <c r="QJ15" s="29"/>
      <c r="QK15" s="28"/>
      <c r="QL15" s="29">
        <f>RANK(QI15,QI$12:QI$19)</f>
        <v>4</v>
      </c>
      <c r="QM15" s="152">
        <f t="shared" si="291"/>
        <v>29</v>
      </c>
      <c r="QN15" s="152">
        <f t="shared" si="292"/>
        <v>23</v>
      </c>
      <c r="QO15" s="152">
        <f t="shared" si="293"/>
        <v>25</v>
      </c>
      <c r="QP15" s="28">
        <f t="shared" si="294"/>
        <v>1002899980023.1899</v>
      </c>
      <c r="QQ15" s="29"/>
      <c r="QR15" s="28"/>
      <c r="QS15" s="29">
        <f>RANK(QP15,QP$12:QP$19)</f>
        <v>4</v>
      </c>
      <c r="QT15" s="152">
        <f t="shared" si="295"/>
        <v>29</v>
      </c>
      <c r="QU15" s="152">
        <f t="shared" si="296"/>
        <v>23</v>
      </c>
      <c r="QV15" s="152">
        <f t="shared" si="297"/>
        <v>25</v>
      </c>
      <c r="QW15" s="28">
        <f t="shared" si="298"/>
        <v>1002899980023.1899</v>
      </c>
      <c r="QX15" s="29"/>
      <c r="QY15" s="28"/>
      <c r="QZ15" s="29">
        <f>RANK(QW15,QW$12:QW$19)</f>
        <v>4</v>
      </c>
      <c r="RA15" s="152">
        <f t="shared" si="299"/>
        <v>29</v>
      </c>
      <c r="RB15" s="152">
        <f t="shared" si="300"/>
        <v>23</v>
      </c>
      <c r="RC15" s="152">
        <f t="shared" si="301"/>
        <v>25</v>
      </c>
      <c r="RD15" s="28">
        <f t="shared" si="302"/>
        <v>1002899980023.1899</v>
      </c>
      <c r="RE15" s="29"/>
      <c r="RF15" s="28"/>
      <c r="RG15" s="29">
        <f>RANK(RD15,RD$12:RD$19)</f>
        <v>4</v>
      </c>
      <c r="RH15" s="152">
        <f t="shared" si="303"/>
        <v>29</v>
      </c>
      <c r="RI15" s="152">
        <f t="shared" si="304"/>
        <v>23</v>
      </c>
      <c r="RJ15" s="152">
        <f t="shared" si="305"/>
        <v>25</v>
      </c>
      <c r="RK15" s="28">
        <f t="shared" si="306"/>
        <v>1002899980023.1899</v>
      </c>
      <c r="RL15" s="29"/>
      <c r="RM15" s="28"/>
      <c r="RN15" s="29">
        <f>RANK(RK15,RK$12:RK$19)</f>
        <v>4</v>
      </c>
      <c r="RO15" s="152">
        <f t="shared" si="307"/>
        <v>29</v>
      </c>
      <c r="RP15" s="152">
        <f t="shared" si="308"/>
        <v>23</v>
      </c>
      <c r="RQ15" s="152">
        <f t="shared" si="309"/>
        <v>25</v>
      </c>
      <c r="RR15" s="28">
        <f t="shared" si="310"/>
        <v>1002899980023.1899</v>
      </c>
      <c r="RS15" s="29"/>
      <c r="RT15" s="28"/>
      <c r="RU15" s="29">
        <f>RANK(RR15,RR$12:RR$19)</f>
        <v>4</v>
      </c>
      <c r="RV15" s="152">
        <f t="shared" si="311"/>
        <v>29</v>
      </c>
      <c r="RW15" s="152">
        <f t="shared" si="312"/>
        <v>23</v>
      </c>
      <c r="RX15" s="152">
        <f t="shared" si="313"/>
        <v>25</v>
      </c>
      <c r="RY15" s="28">
        <f t="shared" si="314"/>
        <v>1002899980023.1899</v>
      </c>
      <c r="RZ15" s="29"/>
      <c r="SA15" s="28"/>
      <c r="SB15" s="29">
        <f>RANK(RY15,RY$12:RY$19)</f>
        <v>4</v>
      </c>
      <c r="SC15" s="152">
        <f t="shared" si="315"/>
        <v>29</v>
      </c>
      <c r="SD15" s="152">
        <f t="shared" si="316"/>
        <v>23</v>
      </c>
      <c r="SE15" s="152">
        <f t="shared" si="317"/>
        <v>25</v>
      </c>
      <c r="SF15" s="28">
        <f t="shared" si="318"/>
        <v>1002899980023.1899</v>
      </c>
      <c r="SG15" s="29"/>
      <c r="SH15" s="28"/>
      <c r="SI15" s="29">
        <f>RANK(SF15,SF$12:SF$19)</f>
        <v>4</v>
      </c>
      <c r="SJ15" s="152">
        <f t="shared" si="319"/>
        <v>29</v>
      </c>
      <c r="SK15" s="152">
        <f t="shared" si="320"/>
        <v>23</v>
      </c>
      <c r="SL15" s="152">
        <f t="shared" si="321"/>
        <v>25</v>
      </c>
      <c r="SM15" s="28">
        <f t="shared" si="322"/>
        <v>1002899980023.1899</v>
      </c>
      <c r="SN15" s="29"/>
      <c r="SO15" s="28"/>
      <c r="SP15" s="29">
        <f>RANK(SM15,SM$12:SM$19)</f>
        <v>4</v>
      </c>
      <c r="SQ15" s="152">
        <f t="shared" si="323"/>
        <v>29</v>
      </c>
      <c r="SR15" s="152">
        <f t="shared" si="324"/>
        <v>23</v>
      </c>
      <c r="SS15" s="152">
        <f t="shared" si="325"/>
        <v>25</v>
      </c>
      <c r="ST15" s="28">
        <f t="shared" si="326"/>
        <v>1002899980023.1899</v>
      </c>
      <c r="SU15" s="29"/>
      <c r="SV15" s="28"/>
      <c r="SW15" s="29">
        <f>RANK(ST15,ST$12:ST$19)</f>
        <v>4</v>
      </c>
      <c r="SX15" s="152">
        <f t="shared" si="327"/>
        <v>29</v>
      </c>
      <c r="SY15" s="152">
        <f t="shared" si="328"/>
        <v>23</v>
      </c>
      <c r="SZ15" s="152">
        <f t="shared" si="329"/>
        <v>25</v>
      </c>
      <c r="TA15" s="28">
        <f t="shared" si="330"/>
        <v>1002899980023.1899</v>
      </c>
      <c r="TB15" s="29"/>
      <c r="TC15" s="28"/>
      <c r="TD15" s="29">
        <f>RANK(TA15,TA$12:TA$19)</f>
        <v>4</v>
      </c>
      <c r="TE15" s="152">
        <f t="shared" si="331"/>
        <v>29</v>
      </c>
      <c r="TF15" s="152">
        <f t="shared" si="332"/>
        <v>23</v>
      </c>
      <c r="TG15" s="152">
        <f t="shared" si="333"/>
        <v>25</v>
      </c>
      <c r="TH15" s="28">
        <f t="shared" si="334"/>
        <v>1002899980023.1899</v>
      </c>
      <c r="TI15" s="29"/>
      <c r="TJ15" s="28"/>
      <c r="TK15" s="29">
        <f>RANK(TH15,TH$12:TH$19)</f>
        <v>4</v>
      </c>
      <c r="TL15" s="152">
        <f t="shared" si="335"/>
        <v>29</v>
      </c>
      <c r="TM15" s="152">
        <f t="shared" si="336"/>
        <v>23</v>
      </c>
      <c r="TN15" s="152">
        <f t="shared" si="337"/>
        <v>25</v>
      </c>
      <c r="TO15" s="28">
        <f t="shared" si="338"/>
        <v>1002899980023.1899</v>
      </c>
      <c r="TP15" s="29"/>
      <c r="TQ15" s="28"/>
      <c r="TR15" s="29">
        <f>RANK(TO15,TO$12:TO$19)</f>
        <v>4</v>
      </c>
      <c r="TS15" s="152">
        <f t="shared" si="339"/>
        <v>29</v>
      </c>
      <c r="TT15" s="152">
        <f t="shared" si="340"/>
        <v>23</v>
      </c>
      <c r="TU15" s="152">
        <f t="shared" si="341"/>
        <v>25</v>
      </c>
      <c r="TV15" s="28">
        <f t="shared" si="342"/>
        <v>1002899980023.1899</v>
      </c>
      <c r="TW15" s="29"/>
      <c r="TX15" s="28"/>
      <c r="TY15" s="29">
        <f>RANK(TV15,TV$12:TV$19)</f>
        <v>4</v>
      </c>
      <c r="TZ15" s="152">
        <f t="shared" si="343"/>
        <v>29</v>
      </c>
      <c r="UA15" s="152">
        <f t="shared" si="344"/>
        <v>23</v>
      </c>
      <c r="UB15" s="152">
        <f t="shared" si="345"/>
        <v>25</v>
      </c>
      <c r="UC15" s="28">
        <f t="shared" si="346"/>
        <v>1002899980023.1899</v>
      </c>
      <c r="UD15" s="29"/>
      <c r="UE15" s="28"/>
      <c r="UF15" s="29">
        <f>RANK(UC15,UC$12:UC$19)</f>
        <v>4</v>
      </c>
      <c r="UG15" s="152">
        <f t="shared" si="347"/>
        <v>29</v>
      </c>
      <c r="UH15" s="152">
        <f t="shared" si="348"/>
        <v>23</v>
      </c>
      <c r="UI15" s="152">
        <f t="shared" si="349"/>
        <v>25</v>
      </c>
      <c r="UJ15" s="28">
        <f t="shared" si="350"/>
        <v>1002899980023.1899</v>
      </c>
      <c r="UK15" s="29"/>
      <c r="UL15" s="28"/>
      <c r="UM15" s="29">
        <f>RANK(UJ15,UJ$12:UJ$19)</f>
        <v>4</v>
      </c>
      <c r="UN15" s="152">
        <f t="shared" si="351"/>
        <v>29</v>
      </c>
      <c r="UO15" s="152">
        <f t="shared" si="352"/>
        <v>23</v>
      </c>
      <c r="UP15" s="152">
        <f t="shared" si="353"/>
        <v>25</v>
      </c>
      <c r="UQ15" s="28">
        <f t="shared" si="354"/>
        <v>1002899980023.1899</v>
      </c>
      <c r="UR15" s="29"/>
      <c r="US15" s="28"/>
      <c r="UT15" s="29">
        <f>RANK(UQ15,UQ$12:UQ$19)</f>
        <v>4</v>
      </c>
      <c r="UU15" s="129"/>
      <c r="UV15" s="129" t="str">
        <f t="shared" si="355"/>
        <v>Seattle Sounders FC</v>
      </c>
      <c r="UW15" s="129">
        <f t="shared" si="356"/>
        <v>2</v>
      </c>
      <c r="UX15" s="129">
        <f t="shared" ca="1" si="357"/>
        <v>5</v>
      </c>
      <c r="UY15" s="129">
        <f t="shared" ca="1" si="64"/>
        <v>4</v>
      </c>
      <c r="UZ15" s="129">
        <f t="shared" ca="1" si="64"/>
        <v>4</v>
      </c>
      <c r="VA15" s="129">
        <f t="shared" ca="1" si="64"/>
        <v>4</v>
      </c>
      <c r="VB15" s="129">
        <f t="shared" ca="1" si="64"/>
        <v>5</v>
      </c>
      <c r="VC15" s="129">
        <f t="shared" ca="1" si="64"/>
        <v>8</v>
      </c>
      <c r="VD15" s="129">
        <f t="shared" ca="1" si="64"/>
        <v>8</v>
      </c>
      <c r="VE15" s="129">
        <f t="shared" ca="1" si="64"/>
        <v>6</v>
      </c>
      <c r="VF15" s="129">
        <f t="shared" ca="1" si="64"/>
        <v>7</v>
      </c>
      <c r="VG15" s="129">
        <f t="shared" ca="1" si="64"/>
        <v>7</v>
      </c>
      <c r="VH15" s="129">
        <f t="shared" ca="1" si="64"/>
        <v>7</v>
      </c>
      <c r="VI15" s="129">
        <f t="shared" ca="1" si="64"/>
        <v>7</v>
      </c>
      <c r="VJ15" s="129">
        <f t="shared" ca="1" si="64"/>
        <v>7</v>
      </c>
      <c r="VK15" s="129">
        <f t="shared" ca="1" si="64"/>
        <v>7</v>
      </c>
      <c r="VL15" s="129">
        <f t="shared" ca="1" si="64"/>
        <v>7</v>
      </c>
      <c r="VM15" s="129">
        <f t="shared" ca="1" si="64"/>
        <v>7</v>
      </c>
      <c r="VN15" s="129">
        <f t="shared" ca="1" si="64"/>
        <v>6</v>
      </c>
      <c r="VO15" s="129">
        <f t="shared" ca="1" si="65"/>
        <v>6</v>
      </c>
      <c r="VP15" s="129">
        <f t="shared" ca="1" si="65"/>
        <v>5</v>
      </c>
      <c r="VQ15" s="129">
        <f t="shared" ca="1" si="65"/>
        <v>4</v>
      </c>
      <c r="VR15" s="129">
        <f t="shared" ca="1" si="65"/>
        <v>4</v>
      </c>
      <c r="VS15" s="129">
        <f t="shared" ca="1" si="65"/>
        <v>4</v>
      </c>
      <c r="VT15" s="129">
        <f t="shared" ca="1" si="65"/>
        <v>4</v>
      </c>
      <c r="VU15" s="129">
        <f t="shared" ca="1" si="65"/>
        <v>4</v>
      </c>
      <c r="VV15" s="129">
        <f t="shared" ca="1" si="65"/>
        <v>4</v>
      </c>
      <c r="VW15" s="129">
        <f t="shared" ca="1" si="65"/>
        <v>4</v>
      </c>
      <c r="VX15" s="129">
        <f t="shared" ca="1" si="65"/>
        <v>4</v>
      </c>
      <c r="VY15" s="129">
        <f t="shared" ca="1" si="65"/>
        <v>4</v>
      </c>
      <c r="VZ15" s="129">
        <f t="shared" ca="1" si="65"/>
        <v>4</v>
      </c>
      <c r="WA15" s="129">
        <f t="shared" ca="1" si="65"/>
        <v>4</v>
      </c>
      <c r="WB15" s="129">
        <f t="shared" ca="1" si="65"/>
        <v>4</v>
      </c>
      <c r="WC15" s="129">
        <f t="shared" ca="1" si="65"/>
        <v>4</v>
      </c>
      <c r="WD15" s="129">
        <f t="shared" ca="1" si="65"/>
        <v>4</v>
      </c>
      <c r="WE15" s="129">
        <f t="shared" ca="1" si="66"/>
        <v>4</v>
      </c>
      <c r="WF15" s="129">
        <f t="shared" ca="1" si="66"/>
        <v>4</v>
      </c>
      <c r="WG15" s="129">
        <f t="shared" ca="1" si="66"/>
        <v>4</v>
      </c>
      <c r="WH15" s="129">
        <f t="shared" ca="1" si="66"/>
        <v>4</v>
      </c>
      <c r="WK15" s="87" t="str">
        <f t="shared" si="358"/>
        <v>Seattle Sounders FC</v>
      </c>
      <c r="WL15" s="87">
        <v>4</v>
      </c>
      <c r="WM15" s="87">
        <v>4</v>
      </c>
      <c r="WN15" s="87">
        <f>IF($WI$3&gt;=WN$3,UW15,NA())</f>
        <v>2</v>
      </c>
      <c r="WO15" s="87">
        <f ca="1">IF($WI$3&gt;=WO$3,UX15,NA())</f>
        <v>5</v>
      </c>
      <c r="WP15" s="87">
        <f ca="1">IF($WI$3&gt;=WP$3,UY15,NA())</f>
        <v>4</v>
      </c>
      <c r="WQ15" s="87">
        <f ca="1">IF($WI$3&gt;=WQ$3,UZ15,NA())</f>
        <v>4</v>
      </c>
      <c r="WR15" s="87">
        <f ca="1">IF($WI$3&gt;=WR$3,VA15,NA())</f>
        <v>4</v>
      </c>
      <c r="WS15" s="87">
        <f ca="1">IF($WI$3&gt;=WS$3,VB15,NA())</f>
        <v>5</v>
      </c>
      <c r="WT15" s="87">
        <f ca="1">IF($WI$3&gt;=WT$3,VC15,NA())</f>
        <v>8</v>
      </c>
      <c r="WU15" s="87">
        <f ca="1">IF($WI$3&gt;=WU$3,VD15,NA())</f>
        <v>8</v>
      </c>
      <c r="WV15" s="87">
        <f ca="1">IF($WI$3&gt;=WV$3,VE15,NA())</f>
        <v>6</v>
      </c>
      <c r="WW15" s="87">
        <f ca="1">IF($WI$3&gt;=WW$3,VF15,NA())</f>
        <v>7</v>
      </c>
      <c r="WX15" s="87">
        <f ca="1">IF($WI$3&gt;=WX$3,VG15,NA())</f>
        <v>7</v>
      </c>
      <c r="WY15" s="87">
        <f ca="1">IF($WI$3&gt;=WY$3,VH15,NA())</f>
        <v>7</v>
      </c>
      <c r="WZ15" s="87">
        <f ca="1">IF($WI$3&gt;=WZ$3,VI15,NA())</f>
        <v>7</v>
      </c>
      <c r="XA15" s="87">
        <f ca="1">IF($WI$3&gt;=XA$3,VJ15,NA())</f>
        <v>7</v>
      </c>
      <c r="XB15" s="87">
        <f ca="1">IF($WI$3&gt;=XB$3,VK15,NA())</f>
        <v>7</v>
      </c>
      <c r="XC15" s="87">
        <f ca="1">IF($WI$3&gt;=XC$3,VL15,NA())</f>
        <v>7</v>
      </c>
      <c r="XD15" s="87">
        <f ca="1">IF($WI$3&gt;=XD$3,VM15,NA())</f>
        <v>7</v>
      </c>
      <c r="XE15" s="87">
        <f ca="1">IF($WI$3&gt;=XE$3,VN15,NA())</f>
        <v>6</v>
      </c>
      <c r="XF15" s="87">
        <f ca="1">IF($WI$3&gt;=XF$3,VO15,NA())</f>
        <v>6</v>
      </c>
      <c r="XG15" s="87">
        <f ca="1">IF($WI$3&gt;=XG$3,VP15,NA())</f>
        <v>5</v>
      </c>
      <c r="XH15" s="87">
        <f ca="1">IF($WI$3&gt;=XH$3,VQ15,NA())</f>
        <v>4</v>
      </c>
      <c r="XI15" s="87" t="e">
        <f>IF($WI$3&gt;=XI$3,VR15,NA())</f>
        <v>#N/A</v>
      </c>
      <c r="XJ15" s="87" t="e">
        <f>IF($WI$3&gt;=XJ$3,VS15,NA())</f>
        <v>#N/A</v>
      </c>
      <c r="XK15" s="87" t="e">
        <f>IF($WI$3&gt;=XK$3,VT15,NA())</f>
        <v>#N/A</v>
      </c>
      <c r="XL15" s="87" t="e">
        <f>IF($WI$3&gt;=XL$3,VU15,NA())</f>
        <v>#N/A</v>
      </c>
      <c r="XM15" s="87" t="e">
        <f>IF($WI$3&gt;=XM$3,VV15,NA())</f>
        <v>#N/A</v>
      </c>
      <c r="XN15" s="87" t="e">
        <f>IF($WI$3&gt;=XN$3,VW15,NA())</f>
        <v>#N/A</v>
      </c>
      <c r="XO15" s="87" t="e">
        <f>IF($WI$3&gt;=XO$3,VX15,NA())</f>
        <v>#N/A</v>
      </c>
      <c r="XP15" s="87" t="e">
        <f>IF($WI$3&gt;=XP$3,VY15,NA())</f>
        <v>#N/A</v>
      </c>
      <c r="XQ15" s="87" t="e">
        <f>IF($WI$3&gt;=XQ$3,VZ15,NA())</f>
        <v>#N/A</v>
      </c>
      <c r="XR15" s="87" t="e">
        <f>IF($WI$3&gt;=XR$3,WA15,NA())</f>
        <v>#N/A</v>
      </c>
      <c r="XS15" s="87" t="e">
        <f>IF($WI$3&gt;=XS$3,WB15,NA())</f>
        <v>#N/A</v>
      </c>
      <c r="XT15" s="87" t="e">
        <f>IF($WI$3&gt;=XT$3,WC15,NA())</f>
        <v>#N/A</v>
      </c>
      <c r="XU15" s="87" t="e">
        <f>IF($WI$3&gt;=XU$3,WD15,NA())</f>
        <v>#N/A</v>
      </c>
      <c r="XV15" s="87" t="e">
        <f>IF($WI$3&gt;=XV$3,WE15,NA())</f>
        <v>#N/A</v>
      </c>
      <c r="XW15" s="87" t="e">
        <f>IF($WI$3&gt;=XW$3,WF15,NA())</f>
        <v>#N/A</v>
      </c>
      <c r="XX15" s="87" t="e">
        <f>IF($WI$3&gt;=XX$3,WG15,NA())</f>
        <v>#N/A</v>
      </c>
      <c r="XY15" s="87" t="e">
        <f>IF($WI$3&gt;=XY$3,WH15,NA())</f>
        <v>#N/A</v>
      </c>
      <c r="YB15" s="280"/>
      <c r="YC15" s="280"/>
      <c r="YD15" s="280"/>
      <c r="YE15" s="163"/>
      <c r="YF15" s="163"/>
      <c r="YG15" s="280"/>
      <c r="YH15" s="280"/>
      <c r="YI15" s="280"/>
      <c r="YJ15" s="280"/>
      <c r="YK15" s="280"/>
      <c r="YL15" s="280"/>
      <c r="YM15" s="280"/>
      <c r="YN15" s="280"/>
      <c r="YO15" s="280"/>
      <c r="YP15" s="280"/>
      <c r="YQ15" s="280"/>
      <c r="YR15" s="280"/>
      <c r="YS15" s="280"/>
      <c r="YT15" s="280"/>
      <c r="YU15" s="280"/>
      <c r="YV15" s="280"/>
      <c r="YW15" s="280"/>
      <c r="YX15" s="280"/>
      <c r="YY15" s="280"/>
      <c r="YZ15" s="280"/>
      <c r="ZA15" s="280"/>
      <c r="ZB15" s="280"/>
      <c r="ZC15" s="280"/>
      <c r="ZD15" s="280"/>
      <c r="ZE15" s="280"/>
      <c r="ZF15" s="280"/>
      <c r="ZG15" s="280"/>
      <c r="ZH15" s="280"/>
      <c r="ZI15" s="280"/>
      <c r="ZJ15" s="280"/>
      <c r="ZK15" s="280"/>
      <c r="ZL15" s="280"/>
      <c r="ZM15" s="280"/>
      <c r="ZN15" s="280"/>
      <c r="ZO15" s="280"/>
      <c r="ZP15" s="280"/>
      <c r="ZQ15" s="280"/>
      <c r="ZR15" s="280"/>
      <c r="ZS15" s="280"/>
      <c r="ZT15" s="280"/>
      <c r="ZU15" s="280"/>
      <c r="ZV15" s="280"/>
      <c r="ZW15" s="280"/>
      <c r="ZX15" s="280"/>
      <c r="ZY15" s="280"/>
      <c r="ZZ15" s="280"/>
      <c r="AAA15" s="280"/>
      <c r="AAB15" s="280"/>
      <c r="AAC15" s="280"/>
      <c r="AAD15" s="160"/>
      <c r="AAE15" s="160"/>
      <c r="AAF15" s="160"/>
      <c r="AAG15" s="160"/>
      <c r="AAH15" s="241"/>
      <c r="AAI15" s="241"/>
      <c r="AAJ15" s="241"/>
      <c r="AAK15" s="241"/>
      <c r="AAL15" s="241"/>
      <c r="AAM15" s="241"/>
      <c r="AAN15" s="241"/>
      <c r="AAO15" s="241"/>
      <c r="AAP15" s="241"/>
      <c r="AAQ15" s="241"/>
      <c r="AAR15" s="241"/>
      <c r="AAS15" s="241"/>
      <c r="AAT15" s="241"/>
      <c r="AAU15" s="241"/>
    </row>
    <row r="16" spans="4:723">
      <c r="D16" s="29">
        <v>13</v>
      </c>
      <c r="E16" s="31" t="s">
        <v>181</v>
      </c>
      <c r="F16" s="25">
        <f>SUMIF('ef-FT'!$C$2001:$C$3800,E16,'ef-FT'!$E$2001:$E$3800)</f>
        <v>19</v>
      </c>
      <c r="G16" s="25">
        <f>SUMIF('ef-FT'!$C$2001:$C$3800,E16,'ef-FT'!$F$2001:$F$3800)</f>
        <v>7</v>
      </c>
      <c r="H16" s="25">
        <f>SUMIF('ef-FT'!$C$2001:$C$3800,E16,'ef-FT'!$G$2001:$G$3800)</f>
        <v>7</v>
      </c>
      <c r="I16" s="25">
        <f>SUMIF('ef-FT'!$C$2001:$C$3800,E16,'ef-FT'!$H$2001:$H$3800)</f>
        <v>5</v>
      </c>
      <c r="J16" s="25">
        <f>SUMIF('ef-FT'!$C$2001:$C$3800,E16,'ef-FT'!$D$2001:$D$3800)</f>
        <v>28</v>
      </c>
      <c r="K16" s="25">
        <f>SUMIF('ef-FT'!$C$2001:$C$3800,E16,'ef-FT'!$I$2001:$I$3800)</f>
        <v>21</v>
      </c>
      <c r="L16" s="25">
        <f>SUMIF('ef-FT'!$C$2001:$C$3800,E16,'ef-FT'!$J$2001:$J$3800)</f>
        <v>18</v>
      </c>
      <c r="M16" s="25" t="str">
        <f>CONCATENATE(K16, " - ",L16)</f>
        <v>21 - 18</v>
      </c>
      <c r="N16" s="25">
        <f>K16-L16</f>
        <v>3</v>
      </c>
      <c r="O16" s="25">
        <f>SUMIF('ef-FT'!$C$2001:$C$3800,$E16,'ef-FT'!$K$2001:$K$3800)</f>
        <v>4</v>
      </c>
      <c r="P16" s="25">
        <f>SUMIF('ef-FT'!$C$2001:$C$3800,$E16,'ef-FT'!$L$2001:$L$3800)</f>
        <v>5</v>
      </c>
      <c r="Q16" s="55"/>
      <c r="R16" s="25">
        <f>SUMIF('ef-FT'!$C$2001:$C$2999,$E16,'ef-FT'!$E$2001:$E$2999)</f>
        <v>9</v>
      </c>
      <c r="S16" s="25">
        <f>SUMIF('ef-FT'!$C$2001:$C$2999,$E16,'ef-FT'!$F$2001:$F$2999)</f>
        <v>4</v>
      </c>
      <c r="T16" s="25">
        <f>SUMIF('ef-FT'!$C$2001:$C$2999,$E16,'ef-FT'!$G$2001:$G$2999)</f>
        <v>4</v>
      </c>
      <c r="U16" s="25">
        <f>SUMIF('ef-FT'!$C$2001:$C$2999,$E16,'ef-FT'!$H$2001:$H$2999)</f>
        <v>1</v>
      </c>
      <c r="V16" s="25">
        <f>SUMIF('ef-FT'!$C$2001:$C$2999,$E16,'ef-FT'!$D$2001:$D$2999)</f>
        <v>16</v>
      </c>
      <c r="W16" s="25">
        <f>SUMIF('ef-FT'!$C$2001:$C$2999,$E16,'ef-FT'!$I$2001:$I$2999)</f>
        <v>11</v>
      </c>
      <c r="X16" s="25">
        <f>SUMIF('ef-FT'!$C$2001:$C$2999,$E16,'ef-FT'!$J$2001:$J$2999)</f>
        <v>7</v>
      </c>
      <c r="Y16" s="25" t="str">
        <f t="shared" si="375"/>
        <v>11 - 7</v>
      </c>
      <c r="Z16" s="25">
        <f t="shared" si="376"/>
        <v>4</v>
      </c>
      <c r="AA16" s="25">
        <f>SUMIF('ef-FT'!$C$2001:$C$2999,$E16,'ef-FT'!$K$2001:$K$2999)</f>
        <v>1</v>
      </c>
      <c r="AB16" s="25">
        <f>SUMIF('ef-FT'!$C$2001:$C$2999,$E16,'ef-FT'!$L$2001:$L$2999)</f>
        <v>3</v>
      </c>
      <c r="AC16" s="55"/>
      <c r="AD16" s="25">
        <f>SUMIF('ef-FT'!$C$3000:$C$3800,$E16,'ef-FT'!$E$3000:$E$3800)</f>
        <v>10</v>
      </c>
      <c r="AE16" s="25">
        <f>SUMIF('ef-FT'!$C$3000:$C$3800,$E16,'ef-FT'!$F$3000:$F$3800)</f>
        <v>3</v>
      </c>
      <c r="AF16" s="25">
        <f>SUMIF('ef-FT'!$C$3000:$C$3800,$E16,'ef-FT'!$G$3000:$G$3800)</f>
        <v>3</v>
      </c>
      <c r="AG16" s="25">
        <f>SUMIF('ef-FT'!$C$3000:$C$3800,$E16,'ef-FT'!$H$3000:$H$3800)</f>
        <v>4</v>
      </c>
      <c r="AH16" s="25">
        <f>SUMIF('ef-FT'!$C$3000:$C$3800,$E16,'ef-FT'!$D$3000:$D$3800)</f>
        <v>12</v>
      </c>
      <c r="AI16" s="25">
        <f>SUMIF('ef-FT'!$C$3000:$C$3800,$E16,'ef-FT'!$I$3000:$I$3800)</f>
        <v>10</v>
      </c>
      <c r="AJ16" s="25">
        <f>SUMIF('ef-FT'!$C$3000:$C$3800,$E16,'ef-FT'!$J$3000:$J$3800)</f>
        <v>11</v>
      </c>
      <c r="AK16" s="25" t="str">
        <f t="shared" si="377"/>
        <v>10 - 11</v>
      </c>
      <c r="AL16" s="25">
        <f t="shared" si="378"/>
        <v>-1</v>
      </c>
      <c r="AM16" s="25">
        <f>SUMIF('ef-FT'!$C$3000:$C$3800,$E16,'ef-FT'!$K$3000:$K$3800)</f>
        <v>3</v>
      </c>
      <c r="AN16" s="25">
        <f>SUMIF('ef-FT'!$C$3000:$C$3800,$E16,'ef-FT'!$L$3000:$L$3800)</f>
        <v>2</v>
      </c>
      <c r="AO16" s="26"/>
      <c r="AP16" s="27">
        <v>0.17</v>
      </c>
      <c r="AQ16" s="28">
        <f t="shared" si="379"/>
        <v>1002800030021.17</v>
      </c>
      <c r="AR16" s="29">
        <v>5</v>
      </c>
      <c r="AS16" s="28">
        <f>LARGE($AQ$12:$AQ$32,AR16)</f>
        <v>1002800030021.17</v>
      </c>
      <c r="AT16" s="29">
        <f t="shared" si="380"/>
        <v>5</v>
      </c>
      <c r="AU16" s="30" t="str">
        <f t="shared" si="381"/>
        <v>Colorado</v>
      </c>
      <c r="AV16" s="29">
        <f t="shared" si="382"/>
        <v>19</v>
      </c>
      <c r="AW16" s="29">
        <f t="shared" si="383"/>
        <v>7</v>
      </c>
      <c r="AX16" s="29">
        <f t="shared" si="384"/>
        <v>7</v>
      </c>
      <c r="AY16" s="29">
        <f t="shared" si="385"/>
        <v>5</v>
      </c>
      <c r="AZ16" s="29">
        <f t="shared" si="386"/>
        <v>28</v>
      </c>
      <c r="BA16" s="29" t="str">
        <f t="shared" si="387"/>
        <v>21 - 18</v>
      </c>
      <c r="BB16" s="29">
        <f t="shared" si="388"/>
        <v>3</v>
      </c>
      <c r="BC16" s="90">
        <f>VLOOKUP($AT16+$AT$11,$D$12:R$33,15,0)</f>
        <v>9</v>
      </c>
      <c r="BD16" s="90">
        <f>VLOOKUP($AT16+$AT$11,$D$12:S$33,16,0)</f>
        <v>4</v>
      </c>
      <c r="BE16" s="90">
        <f>VLOOKUP($AT16+$AT$11,$D$12:T$33,17,0)</f>
        <v>4</v>
      </c>
      <c r="BF16" s="90">
        <f>VLOOKUP($AT16+$AT$11,$D$12:U$33,18,0)</f>
        <v>1</v>
      </c>
      <c r="BG16" s="90">
        <f>VLOOKUP($AT16+$AT$11,$D$12:V$33,19,0)</f>
        <v>16</v>
      </c>
      <c r="BH16" s="90" t="str">
        <f>VLOOKUP($AT16+$AT$11,$D$12:Y$33,22,0)</f>
        <v>11 - 7</v>
      </c>
      <c r="BI16" s="90">
        <f>VLOOKUP($AT16+$AT$11,$D$12:Z$33,23,0)</f>
        <v>4</v>
      </c>
      <c r="BJ16" s="90">
        <f>VLOOKUP($AT16+$AT$11,$D$12:AD$33,27,0)</f>
        <v>10</v>
      </c>
      <c r="BK16" s="90">
        <f>VLOOKUP($AT16+$AT$11,$D$12:AE$33,28,0)</f>
        <v>3</v>
      </c>
      <c r="BL16" s="90">
        <f>VLOOKUP($AT16+$AT$11,$D$12:AF$33,29,0)</f>
        <v>3</v>
      </c>
      <c r="BM16" s="90">
        <f>VLOOKUP($AT16+$AT$11,$D$12:AG$33,30,0)</f>
        <v>4</v>
      </c>
      <c r="BN16" s="90">
        <f>VLOOKUP($AT16+$AT$11,$D$12:AH$33,31,0)</f>
        <v>12</v>
      </c>
      <c r="BO16" s="90" t="str">
        <f>VLOOKUP($AT16+$AT$11,$D$12:AK$35,34,0)</f>
        <v>10 - 11</v>
      </c>
      <c r="BP16" s="90">
        <f>VLOOKUP($AT16+$AT$11,$D$12:AL$35,35,0)</f>
        <v>-1</v>
      </c>
      <c r="BS16" s="10" t="s">
        <v>39</v>
      </c>
      <c r="BT16" s="123">
        <v>8.3333333333332996E-2</v>
      </c>
      <c r="BU16" s="123">
        <f t="shared" si="404"/>
        <v>8.3333333333333662E-2</v>
      </c>
      <c r="BV16" s="10" t="s">
        <v>64</v>
      </c>
      <c r="CA16" s="130">
        <f t="shared" si="119"/>
        <v>28.17</v>
      </c>
      <c r="CB16" s="130">
        <f t="shared" si="120"/>
        <v>27.83</v>
      </c>
      <c r="CC16" s="130">
        <f t="shared" si="121"/>
        <v>7.17</v>
      </c>
      <c r="CD16" s="130">
        <f t="shared" si="122"/>
        <v>6.83</v>
      </c>
      <c r="CE16" s="130">
        <f t="shared" si="123"/>
        <v>5.17</v>
      </c>
      <c r="CF16" s="130">
        <f t="shared" si="124"/>
        <v>4.83</v>
      </c>
      <c r="CG16" s="130">
        <f t="shared" si="125"/>
        <v>21.17</v>
      </c>
      <c r="CH16" s="130">
        <f t="shared" si="126"/>
        <v>20.83</v>
      </c>
      <c r="CI16" s="130">
        <f t="shared" si="127"/>
        <v>18.170000000000002</v>
      </c>
      <c r="CJ16" s="130">
        <f t="shared" si="128"/>
        <v>17.829999999999998</v>
      </c>
      <c r="CK16" s="130">
        <f t="shared" si="129"/>
        <v>3.17</v>
      </c>
      <c r="CL16" s="130">
        <f t="shared" si="130"/>
        <v>2.83</v>
      </c>
      <c r="CM16" s="130">
        <f t="shared" si="131"/>
        <v>4.17</v>
      </c>
      <c r="CN16" s="130">
        <f t="shared" si="132"/>
        <v>3.83</v>
      </c>
      <c r="CO16" s="130">
        <f t="shared" si="133"/>
        <v>5.17</v>
      </c>
      <c r="CP16" s="130">
        <f t="shared" si="134"/>
        <v>4.83</v>
      </c>
      <c r="CQ16" s="131"/>
      <c r="CR16" s="130">
        <f t="shared" si="360"/>
        <v>16.170000000000002</v>
      </c>
      <c r="CS16" s="130">
        <f t="shared" si="135"/>
        <v>15.83</v>
      </c>
      <c r="CT16" s="130">
        <f t="shared" si="361"/>
        <v>4.17</v>
      </c>
      <c r="CU16" s="130">
        <f t="shared" si="362"/>
        <v>3.83</v>
      </c>
      <c r="CV16" s="130">
        <f t="shared" si="363"/>
        <v>1.17</v>
      </c>
      <c r="CW16" s="130">
        <f t="shared" si="364"/>
        <v>0.83</v>
      </c>
      <c r="CX16" s="130">
        <f t="shared" si="365"/>
        <v>11.17</v>
      </c>
      <c r="CY16" s="130">
        <f t="shared" si="366"/>
        <v>10.83</v>
      </c>
      <c r="CZ16" s="130">
        <f t="shared" si="367"/>
        <v>7.17</v>
      </c>
      <c r="DA16" s="130">
        <f t="shared" si="368"/>
        <v>6.83</v>
      </c>
      <c r="DB16" s="130">
        <f t="shared" si="369"/>
        <v>4.17</v>
      </c>
      <c r="DC16" s="130">
        <f t="shared" si="370"/>
        <v>3.83</v>
      </c>
      <c r="DD16" s="130">
        <f t="shared" si="371"/>
        <v>1.17</v>
      </c>
      <c r="DE16" s="130">
        <f t="shared" si="372"/>
        <v>0.83</v>
      </c>
      <c r="DF16" s="130">
        <f t="shared" si="373"/>
        <v>3.17</v>
      </c>
      <c r="DG16" s="130">
        <f t="shared" si="374"/>
        <v>2.83</v>
      </c>
      <c r="DH16" s="131"/>
      <c r="DI16" s="130">
        <f t="shared" si="389"/>
        <v>12.17</v>
      </c>
      <c r="DJ16" s="130">
        <f t="shared" si="136"/>
        <v>-0.17</v>
      </c>
      <c r="DK16" s="130">
        <f t="shared" si="390"/>
        <v>3.17</v>
      </c>
      <c r="DL16" s="130">
        <f t="shared" si="391"/>
        <v>2.83</v>
      </c>
      <c r="DM16" s="130">
        <f t="shared" si="392"/>
        <v>4.17</v>
      </c>
      <c r="DN16" s="130">
        <f t="shared" si="393"/>
        <v>3.83</v>
      </c>
      <c r="DO16" s="130">
        <f t="shared" si="394"/>
        <v>10.17</v>
      </c>
      <c r="DP16" s="130">
        <f t="shared" si="395"/>
        <v>9.83</v>
      </c>
      <c r="DQ16" s="130">
        <f t="shared" si="396"/>
        <v>11.17</v>
      </c>
      <c r="DR16" s="130">
        <f t="shared" si="397"/>
        <v>10.83</v>
      </c>
      <c r="DS16" s="130">
        <f t="shared" si="398"/>
        <v>-0.83</v>
      </c>
      <c r="DT16" s="130">
        <f t="shared" si="399"/>
        <v>-1.17</v>
      </c>
      <c r="DU16" s="130">
        <f t="shared" si="400"/>
        <v>3.17</v>
      </c>
      <c r="DV16" s="130">
        <f t="shared" si="401"/>
        <v>2.83</v>
      </c>
      <c r="DW16" s="130">
        <f t="shared" si="402"/>
        <v>2.17</v>
      </c>
      <c r="DX16" s="130">
        <f t="shared" si="403"/>
        <v>1.83</v>
      </c>
      <c r="DY16" s="132"/>
      <c r="DZ16" s="115">
        <v>13</v>
      </c>
      <c r="EA16" s="115">
        <v>18</v>
      </c>
      <c r="EB16" s="10">
        <f t="shared" si="137"/>
        <v>15</v>
      </c>
      <c r="EC16" s="10">
        <f t="shared" si="138"/>
        <v>11</v>
      </c>
      <c r="ED16" s="10">
        <f t="shared" si="139"/>
        <v>15</v>
      </c>
      <c r="EE16" s="10">
        <f t="shared" si="140"/>
        <v>2</v>
      </c>
      <c r="EF16" s="10">
        <f t="shared" si="141"/>
        <v>13</v>
      </c>
      <c r="EG16" s="10">
        <f t="shared" si="142"/>
        <v>7</v>
      </c>
      <c r="EH16" s="10">
        <f t="shared" si="143"/>
        <v>14</v>
      </c>
      <c r="EI16" s="10">
        <f t="shared" si="144"/>
        <v>11</v>
      </c>
      <c r="EJ16" s="10">
        <f t="shared" si="145"/>
        <v>13</v>
      </c>
      <c r="EK16" s="10">
        <f t="shared" si="146"/>
        <v>4</v>
      </c>
      <c r="EL16" s="10">
        <f t="shared" si="147"/>
        <v>15</v>
      </c>
      <c r="EM16" s="10">
        <f t="shared" si="148"/>
        <v>1</v>
      </c>
      <c r="EN16" s="10">
        <f t="shared" si="149"/>
        <v>13</v>
      </c>
      <c r="EO16" s="10">
        <f t="shared" si="150"/>
        <v>16</v>
      </c>
      <c r="EP16" s="10">
        <f t="shared" si="151"/>
        <v>5</v>
      </c>
      <c r="EQ16" s="10">
        <f t="shared" si="152"/>
        <v>2</v>
      </c>
      <c r="ES16" s="10">
        <f t="shared" si="153"/>
        <v>7</v>
      </c>
      <c r="ET16" s="10">
        <f t="shared" si="154"/>
        <v>9</v>
      </c>
      <c r="EU16" s="10">
        <f t="shared" si="155"/>
        <v>7</v>
      </c>
      <c r="EV16" s="10">
        <f t="shared" si="154"/>
        <v>3</v>
      </c>
      <c r="EW16" s="10">
        <f t="shared" si="156"/>
        <v>11</v>
      </c>
      <c r="EX16" s="10">
        <f t="shared" si="157"/>
        <v>15</v>
      </c>
      <c r="EY16" s="10">
        <f t="shared" si="158"/>
        <v>16</v>
      </c>
      <c r="EZ16" s="10">
        <f t="shared" si="159"/>
        <v>15</v>
      </c>
      <c r="FA16" s="10">
        <f t="shared" si="160"/>
        <v>13</v>
      </c>
      <c r="FB16" s="10">
        <f t="shared" si="161"/>
        <v>16</v>
      </c>
      <c r="FC16" s="10">
        <f t="shared" si="162"/>
        <v>14</v>
      </c>
      <c r="FD16" s="10">
        <f t="shared" si="163"/>
        <v>3</v>
      </c>
      <c r="FE16" s="10">
        <f t="shared" si="164"/>
        <v>10</v>
      </c>
      <c r="FF16" s="10">
        <f t="shared" si="165"/>
        <v>15</v>
      </c>
      <c r="FG16" s="10">
        <f t="shared" si="166"/>
        <v>5</v>
      </c>
      <c r="FH16" s="10">
        <f t="shared" si="167"/>
        <v>3</v>
      </c>
      <c r="FJ16" s="10">
        <f t="shared" si="168"/>
        <v>15</v>
      </c>
      <c r="FK16" s="10">
        <f t="shared" si="169"/>
        <v>13</v>
      </c>
      <c r="FL16" s="10">
        <f t="shared" si="170"/>
        <v>6</v>
      </c>
      <c r="FM16" s="10">
        <f t="shared" si="171"/>
        <v>12</v>
      </c>
      <c r="FN16" s="10">
        <f t="shared" si="172"/>
        <v>5</v>
      </c>
      <c r="FO16" s="10">
        <f t="shared" si="173"/>
        <v>3</v>
      </c>
      <c r="FP16" s="10">
        <f t="shared" si="174"/>
        <v>15</v>
      </c>
      <c r="FQ16" s="10">
        <f t="shared" si="175"/>
        <v>1</v>
      </c>
      <c r="FR16" s="10">
        <f t="shared" si="176"/>
        <v>10</v>
      </c>
      <c r="FS16" s="10">
        <f t="shared" si="177"/>
        <v>4</v>
      </c>
      <c r="FT16" s="10">
        <f t="shared" si="178"/>
        <v>4</v>
      </c>
      <c r="FU16" s="10">
        <f t="shared" si="179"/>
        <v>14</v>
      </c>
      <c r="FV16" s="10">
        <f t="shared" si="180"/>
        <v>12</v>
      </c>
      <c r="FW16" s="10">
        <f t="shared" si="181"/>
        <v>16</v>
      </c>
      <c r="FX16" s="10">
        <f t="shared" si="182"/>
        <v>8</v>
      </c>
      <c r="FY16" s="10">
        <f t="shared" si="183"/>
        <v>14</v>
      </c>
      <c r="GA16" s="10">
        <f>IF(lg!$C$18=1,EB16,IF(lg!$C$18=2,ES16,FJ16))</f>
        <v>15</v>
      </c>
      <c r="GB16" s="10">
        <f>IF(lg!$C$18=1,EC16,IF(lg!$C$18=2,ET16,FK16))</f>
        <v>11</v>
      </c>
      <c r="GC16" s="10">
        <f>IF(lg!$C$18=1,ED16,IF(lg!$C$18=2,EU16,FL16))</f>
        <v>15</v>
      </c>
      <c r="GD16" s="10">
        <f>IF(lg!$C$18=1,EE16,IF(lg!$C$18=2,EV16,FM16))</f>
        <v>2</v>
      </c>
      <c r="GE16" s="10">
        <f>IF(lg!$C$18=1,EF16,IF(lg!$C$18=2,EW16,FN16))</f>
        <v>13</v>
      </c>
      <c r="GF16" s="10">
        <f>IF(lg!$C$18=1,EG16,IF(lg!$C$18=2,EX16,FO16))</f>
        <v>7</v>
      </c>
      <c r="GG16" s="10">
        <f>IF(lg!$C$18=1,EH16,IF(lg!$C$18=2,EY16,FP16))</f>
        <v>14</v>
      </c>
      <c r="GH16" s="10">
        <f>IF(lg!$C$18=1,EI16,IF(lg!$C$18=2,EZ16,FQ16))</f>
        <v>11</v>
      </c>
      <c r="GI16" s="10">
        <f>IF(lg!$C$18=1,EJ16,IF(lg!$C$18=2,FA16,FR16))</f>
        <v>13</v>
      </c>
      <c r="GJ16" s="10">
        <f>IF(lg!$C$18=1,EK16,IF(lg!$C$18=2,FB16,FS16))</f>
        <v>4</v>
      </c>
      <c r="GK16" s="10">
        <f>IF(lg!$C$18=1,EL16,IF(lg!$C$18=2,FC16,FT16))</f>
        <v>15</v>
      </c>
      <c r="GL16" s="10">
        <f>IF(lg!$C$18=1,EM16,IF(lg!$C$18=2,FD16,FU16))</f>
        <v>1</v>
      </c>
      <c r="GM16" s="10">
        <f>IF(lg!$C$18=1,EN16,IF(lg!$C$18=2,FE16,FV16))</f>
        <v>13</v>
      </c>
      <c r="GN16" s="10">
        <f>IF(lg!$C$18=1,EO16,IF(lg!$C$18=2,FF16,FW16))</f>
        <v>16</v>
      </c>
      <c r="GO16" s="10">
        <f>IF(lg!$C$18=1,EP16,IF(lg!$C$18=2,FG16,FX16))</f>
        <v>5</v>
      </c>
      <c r="GP16" s="10">
        <f>IF(lg!$C$18=1,EQ16,IF(lg!$C$18=2,FH16,FY16))</f>
        <v>2</v>
      </c>
      <c r="GR16" s="10" t="str">
        <f t="shared" si="184"/>
        <v>Houston</v>
      </c>
      <c r="GS16" s="10" t="str">
        <f t="shared" si="31"/>
        <v>Dallas</v>
      </c>
      <c r="GT16" s="10" t="str">
        <f t="shared" si="32"/>
        <v>Houston</v>
      </c>
      <c r="GU16" s="10" t="str">
        <f t="shared" si="33"/>
        <v>New York Red Bulls</v>
      </c>
      <c r="GV16" s="10" t="str">
        <f t="shared" si="34"/>
        <v>Colorado</v>
      </c>
      <c r="GW16" s="10" t="str">
        <f t="shared" si="35"/>
        <v>Philadelphia Union</v>
      </c>
      <c r="GX16" s="10" t="str">
        <f t="shared" si="36"/>
        <v>San Jose</v>
      </c>
      <c r="GY16" s="10" t="str">
        <f t="shared" si="37"/>
        <v>Dallas</v>
      </c>
      <c r="GZ16" s="10" t="str">
        <f t="shared" si="38"/>
        <v>Colorado</v>
      </c>
      <c r="HA16" s="10" t="str">
        <f t="shared" si="39"/>
        <v>New England</v>
      </c>
      <c r="HB16" s="10" t="str">
        <f t="shared" si="40"/>
        <v>Houston</v>
      </c>
      <c r="HC16" s="10" t="str">
        <f t="shared" si="41"/>
        <v>Columbus</v>
      </c>
      <c r="HD16" s="10" t="str">
        <f t="shared" si="42"/>
        <v>Colorado</v>
      </c>
      <c r="HE16" s="10" t="str">
        <f t="shared" si="43"/>
        <v>Chivas USA</v>
      </c>
      <c r="HF16" s="10" t="str">
        <f t="shared" si="44"/>
        <v>Chicago</v>
      </c>
      <c r="HG16" s="10" t="str">
        <f t="shared" si="45"/>
        <v>New York Red Bulls</v>
      </c>
      <c r="HI16" s="10">
        <v>13</v>
      </c>
      <c r="HJ16" s="115">
        <f>IF(lg!$C$18=1,F16,IF(lg!$C$18=2,R16,AD16))</f>
        <v>19</v>
      </c>
      <c r="HK16" s="115">
        <f>IF(lg!$C$18=1,G16,IF(lg!$C$18=2,S16,AE16))</f>
        <v>7</v>
      </c>
      <c r="HL16" s="115">
        <f>IF(lg!$C$18=1,H16,IF(lg!$C$18=2,T16,AF16))</f>
        <v>7</v>
      </c>
      <c r="HM16" s="115">
        <f>IF(lg!$C$18=1,I16,IF(lg!$C$18=2,U16,AG16))</f>
        <v>5</v>
      </c>
      <c r="HN16" s="115">
        <f>IF(lg!$C$18=1,J16,IF(lg!$C$18=2,V16,AH16))</f>
        <v>28</v>
      </c>
      <c r="HO16" s="115">
        <f>IF(lg!$C$18=1,K16,IF(lg!$C$18=2,W16,AI16))</f>
        <v>21</v>
      </c>
      <c r="HP16" s="115">
        <f>IF(lg!$C$18=1,L16,IF(lg!$C$18=2,X16,AJ16))</f>
        <v>18</v>
      </c>
      <c r="HQ16" s="115" t="str">
        <f>IF(lg!$C$18=1,M16,IF(lg!$C$18=2,Y16,AK16))</f>
        <v>21 - 18</v>
      </c>
      <c r="HR16" s="115">
        <f>IF(lg!$C$18=1,N16,IF(lg!$C$18=2,Z16,AL16))</f>
        <v>3</v>
      </c>
      <c r="HS16" s="115">
        <f>IF(lg!$C$18=1,O16,IF(lg!$C$18=2,AA16,AM16))</f>
        <v>4</v>
      </c>
      <c r="HT16" s="115">
        <f>IF(lg!$C$18=1,P16,IF(lg!$C$18=2,AB16,AN16))</f>
        <v>5</v>
      </c>
      <c r="HV16" s="115">
        <f t="shared" si="185"/>
        <v>20</v>
      </c>
      <c r="HW16" s="115">
        <f t="shared" si="186"/>
        <v>33</v>
      </c>
      <c r="HX16" s="115">
        <f t="shared" si="187"/>
        <v>5</v>
      </c>
      <c r="HY16" s="115">
        <f t="shared" si="188"/>
        <v>9</v>
      </c>
      <c r="HZ16" s="115">
        <f t="shared" si="189"/>
        <v>5</v>
      </c>
      <c r="IA16" s="115">
        <f t="shared" si="190"/>
        <v>10</v>
      </c>
      <c r="IB16" s="115">
        <f t="shared" si="191"/>
        <v>21</v>
      </c>
      <c r="IC16" s="115">
        <f t="shared" si="192"/>
        <v>27</v>
      </c>
      <c r="ID16" s="115">
        <f t="shared" si="193"/>
        <v>18</v>
      </c>
      <c r="IE16" s="115">
        <f t="shared" si="194"/>
        <v>27</v>
      </c>
      <c r="IF16" s="115">
        <f t="shared" si="195"/>
        <v>-8</v>
      </c>
      <c r="IG16" s="115">
        <f t="shared" si="196"/>
        <v>9</v>
      </c>
      <c r="IH16" s="115">
        <f t="shared" si="197"/>
        <v>4</v>
      </c>
      <c r="II16" s="115">
        <f t="shared" si="198"/>
        <v>7</v>
      </c>
      <c r="IJ16" s="115">
        <f t="shared" si="199"/>
        <v>4</v>
      </c>
      <c r="IK16" s="115">
        <f t="shared" si="200"/>
        <v>8</v>
      </c>
      <c r="IN16" s="77" t="s">
        <v>74</v>
      </c>
      <c r="IO16" s="36" t="s">
        <v>8</v>
      </c>
      <c r="IP16" s="67">
        <f>VLOOKUP('ef-TeamStats'!B2,'ef-FT'!$E$4:$AN$23,20,0)</f>
        <v>9</v>
      </c>
      <c r="IQ16" s="133">
        <f>VLOOKUP('ef-TeamStats'!$B$2,Table!$B$4:$W$23,9,0)</f>
        <v>9</v>
      </c>
      <c r="IR16" s="134">
        <f t="shared" si="47"/>
        <v>1</v>
      </c>
      <c r="IS16" s="133">
        <f>MATCH('ef-TeamStats'!$B$2,$KA$4:$KA$33,0)</f>
        <v>16</v>
      </c>
      <c r="IT16" s="67"/>
      <c r="IU16" s="36" t="s">
        <v>8</v>
      </c>
      <c r="IV16" s="67">
        <f>VLOOKUP('ef-TeamStats'!G2,'ef-FT'!$E$4:$AN$23,20,0)</f>
        <v>7</v>
      </c>
      <c r="IW16" s="133">
        <f>VLOOKUP('ef-TeamStats'!$G$2,Table!$B$4:$W$23,9,0)</f>
        <v>9</v>
      </c>
      <c r="IX16" s="134">
        <f t="shared" si="48"/>
        <v>0.77777777777777779</v>
      </c>
      <c r="IY16" s="133">
        <f>MATCH('ef-TeamStats'!$G$2,$KA$4:$KA$33,0)</f>
        <v>14</v>
      </c>
      <c r="JB16" s="10">
        <f>IF(lg!$F$18=1,EB16,IF(lg!$F$18=2,ES16,FJ16))</f>
        <v>15</v>
      </c>
      <c r="JC16" s="10">
        <f>IF(lg!$F$18=1,EC16,IF(lg!$F$18=2,ET16,FK16))</f>
        <v>11</v>
      </c>
      <c r="JD16" s="10">
        <f>IF(lg!$F$18=1,ED16,IF(lg!$F$18=2,EU16,FL16))</f>
        <v>15</v>
      </c>
      <c r="JE16" s="10">
        <f>IF(lg!$F$18=1,EE16,IF(lg!$F$18=2,EV16,FM16))</f>
        <v>2</v>
      </c>
      <c r="JF16" s="10">
        <f>IF(lg!$F$18=1,EF16,IF(lg!$F$18=2,EW16,FN16))</f>
        <v>13</v>
      </c>
      <c r="JG16" s="10">
        <f>IF(lg!$F$18=1,EG16,IF(lg!$F$18=2,EX16,FO16))</f>
        <v>7</v>
      </c>
      <c r="JH16" s="10">
        <f>IF(lg!$F$18=1,EH16,IF(lg!$F$18=2,EY16,FP16))</f>
        <v>14</v>
      </c>
      <c r="JI16" s="10">
        <f>IF(lg!$F$18=1,EI16,IF(lg!$F$18=2,EZ16,FQ16))</f>
        <v>11</v>
      </c>
      <c r="JJ16" s="10">
        <f>IF(lg!$F$18=1,EJ16,IF(lg!$F$18=2,FA16,FR16))</f>
        <v>13</v>
      </c>
      <c r="JK16" s="10">
        <f>IF(lg!$F$18=1,EK16,IF(lg!$F$18=2,FB16,FS16))</f>
        <v>4</v>
      </c>
      <c r="JL16" s="10">
        <f>IF(lg!$F$18=1,EL16,IF(lg!$F$18=2,FC16,FT16))</f>
        <v>15</v>
      </c>
      <c r="JM16" s="10">
        <f>IF(lg!$F$18=1,EM16,IF(lg!$F$18=2,FD16,FU16))</f>
        <v>1</v>
      </c>
      <c r="JN16" s="10">
        <f>IF(lg!$F$18=1,EN16,IF(lg!$F$18=2,FE16,FV16))</f>
        <v>13</v>
      </c>
      <c r="JO16" s="10">
        <f>IF(lg!$F$18=1,EO16,IF(lg!$F$18=2,FF16,FW16))</f>
        <v>16</v>
      </c>
      <c r="JP16" s="10">
        <f>IF(lg!$F$18=1,EP16,IF(lg!$F$18=2,FG16,FX16))</f>
        <v>5</v>
      </c>
      <c r="JQ16" s="10">
        <f>IF(lg!$F$18=1,EQ16,IF(lg!$F$18=2,FH16,FY16))</f>
        <v>2</v>
      </c>
      <c r="JS16" s="10" t="str">
        <f t="shared" si="201"/>
        <v>Houston</v>
      </c>
      <c r="JT16" s="10" t="str">
        <f t="shared" si="49"/>
        <v>Dallas</v>
      </c>
      <c r="JU16" s="10" t="str">
        <f t="shared" si="50"/>
        <v>Houston</v>
      </c>
      <c r="JV16" s="10" t="str">
        <f t="shared" si="51"/>
        <v>New York Red Bulls</v>
      </c>
      <c r="JW16" s="10" t="str">
        <f t="shared" si="52"/>
        <v>Colorado</v>
      </c>
      <c r="JX16" s="10" t="str">
        <f t="shared" si="53"/>
        <v>Philadelphia Union</v>
      </c>
      <c r="JY16" s="10" t="str">
        <f t="shared" si="54"/>
        <v>San Jose</v>
      </c>
      <c r="JZ16" s="10" t="str">
        <f t="shared" si="55"/>
        <v>Dallas</v>
      </c>
      <c r="KA16" s="10" t="str">
        <f t="shared" si="56"/>
        <v>Colorado</v>
      </c>
      <c r="KB16" s="10" t="str">
        <f t="shared" si="57"/>
        <v>New England</v>
      </c>
      <c r="KC16" s="10" t="str">
        <f t="shared" si="58"/>
        <v>Houston</v>
      </c>
      <c r="KD16" s="10" t="str">
        <f t="shared" si="59"/>
        <v>Columbus</v>
      </c>
      <c r="KE16" s="10" t="str">
        <f t="shared" si="60"/>
        <v>Colorado</v>
      </c>
      <c r="KF16" s="10" t="str">
        <f t="shared" si="61"/>
        <v>Chivas USA</v>
      </c>
      <c r="KG16" s="10" t="str">
        <f t="shared" si="62"/>
        <v>Chicago</v>
      </c>
      <c r="KH16" s="10" t="str">
        <f t="shared" si="63"/>
        <v>New York Red Bulls</v>
      </c>
      <c r="KL16" s="27">
        <v>0.18</v>
      </c>
      <c r="KM16" s="29">
        <v>13</v>
      </c>
      <c r="KN16" s="31" t="str">
        <f t="shared" si="202"/>
        <v>Colorado</v>
      </c>
      <c r="KO16" s="152">
        <f t="shared" si="203"/>
        <v>3</v>
      </c>
      <c r="KP16" s="152">
        <f t="shared" si="204"/>
        <v>1</v>
      </c>
      <c r="KQ16" s="152">
        <f t="shared" si="205"/>
        <v>0</v>
      </c>
      <c r="KR16" s="28">
        <f t="shared" si="206"/>
        <v>1000300010001.1801</v>
      </c>
      <c r="KS16" s="29"/>
      <c r="KT16" s="28"/>
      <c r="KU16" s="29">
        <f>RANK(KR16,KR$12:KR$19)</f>
        <v>4</v>
      </c>
      <c r="KV16" s="152">
        <f t="shared" si="207"/>
        <v>4</v>
      </c>
      <c r="KW16" s="152">
        <f t="shared" si="208"/>
        <v>3</v>
      </c>
      <c r="KX16" s="152">
        <f t="shared" si="209"/>
        <v>2</v>
      </c>
      <c r="KY16" s="28">
        <f t="shared" si="210"/>
        <v>1000400010003.1801</v>
      </c>
      <c r="KZ16" s="29"/>
      <c r="LA16" s="28"/>
      <c r="LB16" s="29">
        <f>RANK(KY16,KY$12:KY$19)</f>
        <v>2</v>
      </c>
      <c r="LC16" s="152">
        <f t="shared" si="211"/>
        <v>4</v>
      </c>
      <c r="LD16" s="152">
        <f t="shared" si="212"/>
        <v>3</v>
      </c>
      <c r="LE16" s="152">
        <f t="shared" si="213"/>
        <v>3</v>
      </c>
      <c r="LF16" s="28">
        <f t="shared" si="214"/>
        <v>1000400000003.1801</v>
      </c>
      <c r="LG16" s="29"/>
      <c r="LH16" s="28"/>
      <c r="LI16" s="29">
        <f>RANK(LF16,LF$12:LF$19)</f>
        <v>5</v>
      </c>
      <c r="LJ16" s="152">
        <f t="shared" si="215"/>
        <v>7</v>
      </c>
      <c r="LK16" s="152">
        <f t="shared" si="216"/>
        <v>6</v>
      </c>
      <c r="LL16" s="152">
        <f t="shared" si="217"/>
        <v>4</v>
      </c>
      <c r="LM16" s="28">
        <f t="shared" si="218"/>
        <v>1000700020006.1801</v>
      </c>
      <c r="LN16" s="29"/>
      <c r="LO16" s="28"/>
      <c r="LP16" s="29">
        <f>RANK(LM16,LM$12:LM$19)</f>
        <v>2</v>
      </c>
      <c r="LQ16" s="152">
        <f t="shared" si="219"/>
        <v>10</v>
      </c>
      <c r="LR16" s="152">
        <f t="shared" si="220"/>
        <v>8</v>
      </c>
      <c r="LS16" s="152">
        <f t="shared" si="221"/>
        <v>5</v>
      </c>
      <c r="LT16" s="28">
        <f t="shared" si="222"/>
        <v>1001000030008.1801</v>
      </c>
      <c r="LU16" s="29"/>
      <c r="LV16" s="28"/>
      <c r="LW16" s="29">
        <f>RANK(LT16,LT$12:LT$19)</f>
        <v>2</v>
      </c>
      <c r="LX16" s="152">
        <f t="shared" si="223"/>
        <v>10</v>
      </c>
      <c r="LY16" s="152">
        <f t="shared" si="224"/>
        <v>8</v>
      </c>
      <c r="LZ16" s="152">
        <f t="shared" si="225"/>
        <v>6</v>
      </c>
      <c r="MA16" s="28">
        <f t="shared" si="226"/>
        <v>1001000020008.1801</v>
      </c>
      <c r="MB16" s="29"/>
      <c r="MC16" s="28"/>
      <c r="MD16" s="29">
        <f>RANK(MA16,MA$12:MA$19)</f>
        <v>4</v>
      </c>
      <c r="ME16" s="152">
        <f t="shared" si="227"/>
        <v>10</v>
      </c>
      <c r="MF16" s="152">
        <f t="shared" si="228"/>
        <v>8</v>
      </c>
      <c r="MG16" s="152">
        <f t="shared" si="229"/>
        <v>7</v>
      </c>
      <c r="MH16" s="28">
        <f t="shared" si="230"/>
        <v>1001000010008.1801</v>
      </c>
      <c r="MI16" s="29"/>
      <c r="MJ16" s="28"/>
      <c r="MK16" s="29">
        <f>RANK(MH16,MH$12:MH$19)</f>
        <v>7</v>
      </c>
      <c r="ML16" s="152">
        <f t="shared" si="231"/>
        <v>13</v>
      </c>
      <c r="MM16" s="152">
        <f t="shared" si="232"/>
        <v>9</v>
      </c>
      <c r="MN16" s="152">
        <f t="shared" si="233"/>
        <v>7</v>
      </c>
      <c r="MO16" s="28">
        <f t="shared" si="234"/>
        <v>1001300020009.1801</v>
      </c>
      <c r="MP16" s="29"/>
      <c r="MQ16" s="28"/>
      <c r="MR16" s="29">
        <f>RANK(MO16,MO$12:MO$19)</f>
        <v>5</v>
      </c>
      <c r="MS16" s="152">
        <f t="shared" si="235"/>
        <v>16</v>
      </c>
      <c r="MT16" s="152">
        <f t="shared" si="236"/>
        <v>10</v>
      </c>
      <c r="MU16" s="152">
        <f t="shared" si="237"/>
        <v>7</v>
      </c>
      <c r="MV16" s="28">
        <f t="shared" si="238"/>
        <v>1001600030010.1801</v>
      </c>
      <c r="MW16" s="29"/>
      <c r="MX16" s="28"/>
      <c r="MY16" s="29">
        <f>RANK(MV16,MV$12:MV$19)</f>
        <v>4</v>
      </c>
      <c r="MZ16" s="152">
        <f t="shared" si="239"/>
        <v>19</v>
      </c>
      <c r="NA16" s="152">
        <f t="shared" si="240"/>
        <v>11</v>
      </c>
      <c r="NB16" s="152">
        <f t="shared" si="241"/>
        <v>7</v>
      </c>
      <c r="NC16" s="28">
        <f t="shared" si="242"/>
        <v>1001900040011.1801</v>
      </c>
      <c r="ND16" s="29"/>
      <c r="NE16" s="28"/>
      <c r="NF16" s="29">
        <f>RANK(NC16,NC$12:NC$19)</f>
        <v>3</v>
      </c>
      <c r="NG16" s="152">
        <f t="shared" si="243"/>
        <v>20</v>
      </c>
      <c r="NH16" s="152">
        <f t="shared" si="244"/>
        <v>13</v>
      </c>
      <c r="NI16" s="152">
        <f t="shared" si="245"/>
        <v>9</v>
      </c>
      <c r="NJ16" s="28">
        <f t="shared" si="246"/>
        <v>1002000040013.1801</v>
      </c>
      <c r="NK16" s="29"/>
      <c r="NL16" s="28"/>
      <c r="NM16" s="29">
        <f>RANK(NJ16,NJ$12:NJ$19)</f>
        <v>3</v>
      </c>
      <c r="NN16" s="152">
        <f t="shared" si="247"/>
        <v>21</v>
      </c>
      <c r="NO16" s="152">
        <f t="shared" si="248"/>
        <v>15</v>
      </c>
      <c r="NP16" s="152">
        <f t="shared" si="249"/>
        <v>11</v>
      </c>
      <c r="NQ16" s="28">
        <f t="shared" si="250"/>
        <v>1002100040015.1801</v>
      </c>
      <c r="NR16" s="29"/>
      <c r="NS16" s="28"/>
      <c r="NT16" s="29">
        <f>RANK(NQ16,NQ$12:NQ$19)</f>
        <v>3</v>
      </c>
      <c r="NU16" s="152">
        <f t="shared" si="251"/>
        <v>22</v>
      </c>
      <c r="NV16" s="152">
        <f t="shared" si="252"/>
        <v>16</v>
      </c>
      <c r="NW16" s="152">
        <f t="shared" si="253"/>
        <v>12</v>
      </c>
      <c r="NX16" s="28">
        <f t="shared" si="254"/>
        <v>1002200040016.1801</v>
      </c>
      <c r="NY16" s="29"/>
      <c r="NZ16" s="28"/>
      <c r="OA16" s="29">
        <f>RANK(NX16,NX$12:NX$19)</f>
        <v>3</v>
      </c>
      <c r="OB16" s="152">
        <f t="shared" si="255"/>
        <v>22</v>
      </c>
      <c r="OC16" s="152">
        <f t="shared" si="256"/>
        <v>16</v>
      </c>
      <c r="OD16" s="152">
        <f t="shared" si="257"/>
        <v>13</v>
      </c>
      <c r="OE16" s="28">
        <f t="shared" si="258"/>
        <v>1002200030016.1801</v>
      </c>
      <c r="OF16" s="29"/>
      <c r="OG16" s="28"/>
      <c r="OH16" s="29">
        <f>RANK(OE16,OE$12:OE$19)</f>
        <v>4</v>
      </c>
      <c r="OI16" s="152">
        <f t="shared" si="259"/>
        <v>23</v>
      </c>
      <c r="OJ16" s="152">
        <f t="shared" si="260"/>
        <v>17</v>
      </c>
      <c r="OK16" s="152">
        <f t="shared" si="261"/>
        <v>14</v>
      </c>
      <c r="OL16" s="28">
        <f t="shared" si="262"/>
        <v>1002300030017.1801</v>
      </c>
      <c r="OM16" s="29"/>
      <c r="ON16" s="28"/>
      <c r="OO16" s="29">
        <f>RANK(OL16,OL$12:OL$19)</f>
        <v>4</v>
      </c>
      <c r="OP16" s="152">
        <f t="shared" si="263"/>
        <v>23</v>
      </c>
      <c r="OQ16" s="152">
        <f t="shared" si="264"/>
        <v>18</v>
      </c>
      <c r="OR16" s="152">
        <f t="shared" si="265"/>
        <v>16</v>
      </c>
      <c r="OS16" s="28">
        <f t="shared" si="266"/>
        <v>1002300020018.1801</v>
      </c>
      <c r="OT16" s="29"/>
      <c r="OU16" s="28"/>
      <c r="OV16" s="29">
        <f>RANK(OS16,OS$12:OS$19)</f>
        <v>4</v>
      </c>
      <c r="OW16" s="152">
        <f t="shared" si="267"/>
        <v>24</v>
      </c>
      <c r="OX16" s="152">
        <f t="shared" si="268"/>
        <v>19</v>
      </c>
      <c r="OY16" s="152">
        <f t="shared" si="269"/>
        <v>17</v>
      </c>
      <c r="OZ16" s="28">
        <f t="shared" si="270"/>
        <v>1002400020019.1801</v>
      </c>
      <c r="PA16" s="29"/>
      <c r="PB16" s="28"/>
      <c r="PC16" s="29">
        <f>RANK(OZ16,OZ$12:OZ$19)</f>
        <v>4</v>
      </c>
      <c r="PD16" s="152">
        <f t="shared" si="271"/>
        <v>27</v>
      </c>
      <c r="PE16" s="152">
        <f t="shared" si="272"/>
        <v>20</v>
      </c>
      <c r="PF16" s="152">
        <f t="shared" si="273"/>
        <v>17</v>
      </c>
      <c r="PG16" s="28">
        <f t="shared" si="274"/>
        <v>1002700030020.1801</v>
      </c>
      <c r="PH16" s="29"/>
      <c r="PI16" s="28"/>
      <c r="PJ16" s="29">
        <f>RANK(PG16,PG$12:PG$19)</f>
        <v>4</v>
      </c>
      <c r="PK16" s="152">
        <f t="shared" si="275"/>
        <v>28</v>
      </c>
      <c r="PL16" s="152">
        <f t="shared" si="276"/>
        <v>21</v>
      </c>
      <c r="PM16" s="152">
        <f t="shared" si="277"/>
        <v>18</v>
      </c>
      <c r="PN16" s="28">
        <f t="shared" si="278"/>
        <v>1002800030021.1801</v>
      </c>
      <c r="PO16" s="29"/>
      <c r="PP16" s="28"/>
      <c r="PQ16" s="29">
        <f>RANK(PN16,PN$12:PN$19)</f>
        <v>4</v>
      </c>
      <c r="PR16" s="152">
        <f t="shared" si="279"/>
        <v>28</v>
      </c>
      <c r="PS16" s="152">
        <f t="shared" si="280"/>
        <v>21</v>
      </c>
      <c r="PT16" s="152">
        <f t="shared" si="281"/>
        <v>18</v>
      </c>
      <c r="PU16" s="28">
        <f t="shared" si="282"/>
        <v>1002800030021.1801</v>
      </c>
      <c r="PV16" s="29"/>
      <c r="PW16" s="28"/>
      <c r="PX16" s="29">
        <f>RANK(PU16,PU$12:PU$19)</f>
        <v>4</v>
      </c>
      <c r="PY16" s="152">
        <f t="shared" si="283"/>
        <v>28</v>
      </c>
      <c r="PZ16" s="152">
        <f t="shared" si="284"/>
        <v>21</v>
      </c>
      <c r="QA16" s="152">
        <f t="shared" si="285"/>
        <v>18</v>
      </c>
      <c r="QB16" s="28">
        <f t="shared" si="286"/>
        <v>1002800030021.1801</v>
      </c>
      <c r="QC16" s="29"/>
      <c r="QD16" s="28"/>
      <c r="QE16" s="29">
        <f>RANK(QB16,QB$12:QB$19)</f>
        <v>5</v>
      </c>
      <c r="QF16" s="152">
        <f t="shared" si="287"/>
        <v>28</v>
      </c>
      <c r="QG16" s="152">
        <f t="shared" si="288"/>
        <v>21</v>
      </c>
      <c r="QH16" s="152">
        <f t="shared" si="289"/>
        <v>18</v>
      </c>
      <c r="QI16" s="28">
        <f t="shared" si="290"/>
        <v>1002800030021.1801</v>
      </c>
      <c r="QJ16" s="29"/>
      <c r="QK16" s="28"/>
      <c r="QL16" s="29">
        <f>RANK(QI16,QI$12:QI$19)</f>
        <v>5</v>
      </c>
      <c r="QM16" s="152">
        <f t="shared" si="291"/>
        <v>28</v>
      </c>
      <c r="QN16" s="152">
        <f t="shared" si="292"/>
        <v>21</v>
      </c>
      <c r="QO16" s="152">
        <f t="shared" si="293"/>
        <v>18</v>
      </c>
      <c r="QP16" s="28">
        <f t="shared" si="294"/>
        <v>1002800030021.1801</v>
      </c>
      <c r="QQ16" s="29"/>
      <c r="QR16" s="28"/>
      <c r="QS16" s="29">
        <f>RANK(QP16,QP$12:QP$19)</f>
        <v>5</v>
      </c>
      <c r="QT16" s="152">
        <f t="shared" si="295"/>
        <v>28</v>
      </c>
      <c r="QU16" s="152">
        <f t="shared" si="296"/>
        <v>21</v>
      </c>
      <c r="QV16" s="152">
        <f t="shared" si="297"/>
        <v>18</v>
      </c>
      <c r="QW16" s="28">
        <f t="shared" si="298"/>
        <v>1002800030021.1801</v>
      </c>
      <c r="QX16" s="29"/>
      <c r="QY16" s="28"/>
      <c r="QZ16" s="29">
        <f>RANK(QW16,QW$12:QW$19)</f>
        <v>5</v>
      </c>
      <c r="RA16" s="152">
        <f t="shared" si="299"/>
        <v>28</v>
      </c>
      <c r="RB16" s="152">
        <f t="shared" si="300"/>
        <v>21</v>
      </c>
      <c r="RC16" s="152">
        <f t="shared" si="301"/>
        <v>18</v>
      </c>
      <c r="RD16" s="28">
        <f t="shared" si="302"/>
        <v>1002800030021.1801</v>
      </c>
      <c r="RE16" s="29"/>
      <c r="RF16" s="28"/>
      <c r="RG16" s="29">
        <f>RANK(RD16,RD$12:RD$19)</f>
        <v>5</v>
      </c>
      <c r="RH16" s="152">
        <f t="shared" si="303"/>
        <v>28</v>
      </c>
      <c r="RI16" s="152">
        <f t="shared" si="304"/>
        <v>21</v>
      </c>
      <c r="RJ16" s="152">
        <f t="shared" si="305"/>
        <v>18</v>
      </c>
      <c r="RK16" s="28">
        <f t="shared" si="306"/>
        <v>1002800030021.1801</v>
      </c>
      <c r="RL16" s="29"/>
      <c r="RM16" s="28"/>
      <c r="RN16" s="29">
        <f>RANK(RK16,RK$12:RK$19)</f>
        <v>5</v>
      </c>
      <c r="RO16" s="152">
        <f t="shared" si="307"/>
        <v>28</v>
      </c>
      <c r="RP16" s="152">
        <f t="shared" si="308"/>
        <v>21</v>
      </c>
      <c r="RQ16" s="152">
        <f t="shared" si="309"/>
        <v>18</v>
      </c>
      <c r="RR16" s="28">
        <f t="shared" si="310"/>
        <v>1002800030021.1801</v>
      </c>
      <c r="RS16" s="29"/>
      <c r="RT16" s="28"/>
      <c r="RU16" s="29">
        <f>RANK(RR16,RR$12:RR$19)</f>
        <v>5</v>
      </c>
      <c r="RV16" s="152">
        <f t="shared" si="311"/>
        <v>28</v>
      </c>
      <c r="RW16" s="152">
        <f t="shared" si="312"/>
        <v>21</v>
      </c>
      <c r="RX16" s="152">
        <f t="shared" si="313"/>
        <v>18</v>
      </c>
      <c r="RY16" s="28">
        <f t="shared" si="314"/>
        <v>1002800030021.1801</v>
      </c>
      <c r="RZ16" s="29"/>
      <c r="SA16" s="28"/>
      <c r="SB16" s="29">
        <f>RANK(RY16,RY$12:RY$19)</f>
        <v>5</v>
      </c>
      <c r="SC16" s="152">
        <f t="shared" si="315"/>
        <v>28</v>
      </c>
      <c r="SD16" s="152">
        <f t="shared" si="316"/>
        <v>21</v>
      </c>
      <c r="SE16" s="152">
        <f t="shared" si="317"/>
        <v>18</v>
      </c>
      <c r="SF16" s="28">
        <f t="shared" si="318"/>
        <v>1002800030021.1801</v>
      </c>
      <c r="SG16" s="29"/>
      <c r="SH16" s="28"/>
      <c r="SI16" s="29">
        <f>RANK(SF16,SF$12:SF$19)</f>
        <v>5</v>
      </c>
      <c r="SJ16" s="152">
        <f t="shared" si="319"/>
        <v>28</v>
      </c>
      <c r="SK16" s="152">
        <f t="shared" si="320"/>
        <v>21</v>
      </c>
      <c r="SL16" s="152">
        <f t="shared" si="321"/>
        <v>18</v>
      </c>
      <c r="SM16" s="28">
        <f t="shared" si="322"/>
        <v>1002800030021.1801</v>
      </c>
      <c r="SN16" s="29"/>
      <c r="SO16" s="28"/>
      <c r="SP16" s="29">
        <f>RANK(SM16,SM$12:SM$19)</f>
        <v>5</v>
      </c>
      <c r="SQ16" s="152">
        <f t="shared" si="323"/>
        <v>28</v>
      </c>
      <c r="SR16" s="152">
        <f t="shared" si="324"/>
        <v>21</v>
      </c>
      <c r="SS16" s="152">
        <f t="shared" si="325"/>
        <v>18</v>
      </c>
      <c r="ST16" s="28">
        <f t="shared" si="326"/>
        <v>1002800030021.1801</v>
      </c>
      <c r="SU16" s="29"/>
      <c r="SV16" s="28"/>
      <c r="SW16" s="29">
        <f>RANK(ST16,ST$12:ST$19)</f>
        <v>5</v>
      </c>
      <c r="SX16" s="152">
        <f t="shared" si="327"/>
        <v>28</v>
      </c>
      <c r="SY16" s="152">
        <f t="shared" si="328"/>
        <v>21</v>
      </c>
      <c r="SZ16" s="152">
        <f t="shared" si="329"/>
        <v>18</v>
      </c>
      <c r="TA16" s="28">
        <f t="shared" si="330"/>
        <v>1002800030021.1801</v>
      </c>
      <c r="TB16" s="29"/>
      <c r="TC16" s="28"/>
      <c r="TD16" s="29">
        <f>RANK(TA16,TA$12:TA$19)</f>
        <v>5</v>
      </c>
      <c r="TE16" s="152">
        <f t="shared" si="331"/>
        <v>28</v>
      </c>
      <c r="TF16" s="152">
        <f t="shared" si="332"/>
        <v>21</v>
      </c>
      <c r="TG16" s="152">
        <f t="shared" si="333"/>
        <v>18</v>
      </c>
      <c r="TH16" s="28">
        <f t="shared" si="334"/>
        <v>1002800030021.1801</v>
      </c>
      <c r="TI16" s="29"/>
      <c r="TJ16" s="28"/>
      <c r="TK16" s="29">
        <f>RANK(TH16,TH$12:TH$19)</f>
        <v>5</v>
      </c>
      <c r="TL16" s="152">
        <f t="shared" si="335"/>
        <v>28</v>
      </c>
      <c r="TM16" s="152">
        <f t="shared" si="336"/>
        <v>21</v>
      </c>
      <c r="TN16" s="152">
        <f t="shared" si="337"/>
        <v>18</v>
      </c>
      <c r="TO16" s="28">
        <f t="shared" si="338"/>
        <v>1002800030021.1801</v>
      </c>
      <c r="TP16" s="29"/>
      <c r="TQ16" s="28"/>
      <c r="TR16" s="29">
        <f>RANK(TO16,TO$12:TO$19)</f>
        <v>5</v>
      </c>
      <c r="TS16" s="152">
        <f t="shared" si="339"/>
        <v>28</v>
      </c>
      <c r="TT16" s="152">
        <f t="shared" si="340"/>
        <v>21</v>
      </c>
      <c r="TU16" s="152">
        <f t="shared" si="341"/>
        <v>18</v>
      </c>
      <c r="TV16" s="28">
        <f t="shared" si="342"/>
        <v>1002800030021.1801</v>
      </c>
      <c r="TW16" s="29"/>
      <c r="TX16" s="28"/>
      <c r="TY16" s="29">
        <f>RANK(TV16,TV$12:TV$19)</f>
        <v>5</v>
      </c>
      <c r="TZ16" s="152">
        <f t="shared" si="343"/>
        <v>28</v>
      </c>
      <c r="UA16" s="152">
        <f t="shared" si="344"/>
        <v>21</v>
      </c>
      <c r="UB16" s="152">
        <f t="shared" si="345"/>
        <v>18</v>
      </c>
      <c r="UC16" s="28">
        <f t="shared" si="346"/>
        <v>1002800030021.1801</v>
      </c>
      <c r="UD16" s="29"/>
      <c r="UE16" s="28"/>
      <c r="UF16" s="29">
        <f>RANK(UC16,UC$12:UC$19)</f>
        <v>5</v>
      </c>
      <c r="UG16" s="152">
        <f t="shared" si="347"/>
        <v>28</v>
      </c>
      <c r="UH16" s="152">
        <f t="shared" si="348"/>
        <v>21</v>
      </c>
      <c r="UI16" s="152">
        <f t="shared" si="349"/>
        <v>18</v>
      </c>
      <c r="UJ16" s="28">
        <f t="shared" si="350"/>
        <v>1002800030021.1801</v>
      </c>
      <c r="UK16" s="29"/>
      <c r="UL16" s="28"/>
      <c r="UM16" s="29">
        <f>RANK(UJ16,UJ$12:UJ$19)</f>
        <v>5</v>
      </c>
      <c r="UN16" s="152">
        <f t="shared" si="351"/>
        <v>28</v>
      </c>
      <c r="UO16" s="152">
        <f t="shared" si="352"/>
        <v>21</v>
      </c>
      <c r="UP16" s="152">
        <f t="shared" si="353"/>
        <v>18</v>
      </c>
      <c r="UQ16" s="28">
        <f t="shared" si="354"/>
        <v>1002800030021.1801</v>
      </c>
      <c r="UR16" s="29"/>
      <c r="US16" s="28"/>
      <c r="UT16" s="29">
        <f>RANK(UQ16,UQ$12:UQ$19)</f>
        <v>5</v>
      </c>
      <c r="UU16" s="129"/>
      <c r="UV16" s="129" t="str">
        <f t="shared" si="355"/>
        <v>Colorado</v>
      </c>
      <c r="UW16" s="129">
        <f t="shared" si="356"/>
        <v>4</v>
      </c>
      <c r="UX16" s="129">
        <f t="shared" ca="1" si="357"/>
        <v>2</v>
      </c>
      <c r="UY16" s="129">
        <f t="shared" ca="1" si="64"/>
        <v>5</v>
      </c>
      <c r="UZ16" s="129">
        <f t="shared" ca="1" si="64"/>
        <v>2</v>
      </c>
      <c r="VA16" s="129">
        <f t="shared" ca="1" si="64"/>
        <v>2</v>
      </c>
      <c r="VB16" s="129">
        <f t="shared" ca="1" si="64"/>
        <v>4</v>
      </c>
      <c r="VC16" s="129">
        <f t="shared" ca="1" si="64"/>
        <v>7</v>
      </c>
      <c r="VD16" s="129">
        <f t="shared" ca="1" si="64"/>
        <v>5</v>
      </c>
      <c r="VE16" s="129">
        <f t="shared" ca="1" si="64"/>
        <v>4</v>
      </c>
      <c r="VF16" s="129">
        <f t="shared" ca="1" si="64"/>
        <v>3</v>
      </c>
      <c r="VG16" s="129">
        <f t="shared" ca="1" si="64"/>
        <v>3</v>
      </c>
      <c r="VH16" s="129">
        <f t="shared" ca="1" si="64"/>
        <v>3</v>
      </c>
      <c r="VI16" s="129">
        <f t="shared" ca="1" si="64"/>
        <v>3</v>
      </c>
      <c r="VJ16" s="129">
        <f t="shared" ca="1" si="64"/>
        <v>4</v>
      </c>
      <c r="VK16" s="129">
        <f t="shared" ca="1" si="64"/>
        <v>4</v>
      </c>
      <c r="VL16" s="129">
        <f t="shared" ca="1" si="64"/>
        <v>4</v>
      </c>
      <c r="VM16" s="129">
        <f t="shared" ca="1" si="64"/>
        <v>4</v>
      </c>
      <c r="VN16" s="129">
        <f t="shared" ca="1" si="64"/>
        <v>4</v>
      </c>
      <c r="VO16" s="129">
        <f t="shared" ca="1" si="65"/>
        <v>4</v>
      </c>
      <c r="VP16" s="129">
        <f t="shared" ca="1" si="65"/>
        <v>4</v>
      </c>
      <c r="VQ16" s="129">
        <f t="shared" ca="1" si="65"/>
        <v>5</v>
      </c>
      <c r="VR16" s="129">
        <f t="shared" ca="1" si="65"/>
        <v>5</v>
      </c>
      <c r="VS16" s="129">
        <f t="shared" ca="1" si="65"/>
        <v>5</v>
      </c>
      <c r="VT16" s="129">
        <f t="shared" ca="1" si="65"/>
        <v>5</v>
      </c>
      <c r="VU16" s="129">
        <f t="shared" ca="1" si="65"/>
        <v>5</v>
      </c>
      <c r="VV16" s="129">
        <f t="shared" ca="1" si="65"/>
        <v>5</v>
      </c>
      <c r="VW16" s="129">
        <f t="shared" ca="1" si="65"/>
        <v>5</v>
      </c>
      <c r="VX16" s="129">
        <f t="shared" ca="1" si="65"/>
        <v>5</v>
      </c>
      <c r="VY16" s="129">
        <f t="shared" ca="1" si="65"/>
        <v>5</v>
      </c>
      <c r="VZ16" s="129">
        <f t="shared" ca="1" si="65"/>
        <v>5</v>
      </c>
      <c r="WA16" s="129">
        <f t="shared" ca="1" si="65"/>
        <v>5</v>
      </c>
      <c r="WB16" s="129">
        <f t="shared" ca="1" si="65"/>
        <v>5</v>
      </c>
      <c r="WC16" s="129">
        <f t="shared" ca="1" si="65"/>
        <v>5</v>
      </c>
      <c r="WD16" s="129">
        <f t="shared" ca="1" si="65"/>
        <v>5</v>
      </c>
      <c r="WE16" s="129">
        <f t="shared" ca="1" si="66"/>
        <v>5</v>
      </c>
      <c r="WF16" s="129">
        <f t="shared" ca="1" si="66"/>
        <v>5</v>
      </c>
      <c r="WG16" s="129">
        <f t="shared" ca="1" si="66"/>
        <v>5</v>
      </c>
      <c r="WH16" s="129">
        <f t="shared" ca="1" si="66"/>
        <v>5</v>
      </c>
      <c r="WJ16" s="87"/>
      <c r="WK16" s="87" t="str">
        <f t="shared" si="358"/>
        <v>Colorado</v>
      </c>
      <c r="WL16" s="87">
        <v>5</v>
      </c>
      <c r="WM16" s="87">
        <v>5</v>
      </c>
      <c r="WN16" s="87">
        <f>IF($WI$3&gt;=WN$3,UW16,NA())</f>
        <v>4</v>
      </c>
      <c r="WO16" s="87">
        <f ca="1">IF($WI$3&gt;=WO$3,UX16,NA())</f>
        <v>2</v>
      </c>
      <c r="WP16" s="87">
        <f ca="1">IF($WI$3&gt;=WP$3,UY16,NA())</f>
        <v>5</v>
      </c>
      <c r="WQ16" s="87">
        <f ca="1">IF($WI$3&gt;=WQ$3,UZ16,NA())</f>
        <v>2</v>
      </c>
      <c r="WR16" s="87">
        <f ca="1">IF($WI$3&gt;=WR$3,VA16,NA())</f>
        <v>2</v>
      </c>
      <c r="WS16" s="87">
        <f ca="1">IF($WI$3&gt;=WS$3,VB16,NA())</f>
        <v>4</v>
      </c>
      <c r="WT16" s="87">
        <f ca="1">IF($WI$3&gt;=WT$3,VC16,NA())</f>
        <v>7</v>
      </c>
      <c r="WU16" s="87">
        <f ca="1">IF($WI$3&gt;=WU$3,VD16,NA())</f>
        <v>5</v>
      </c>
      <c r="WV16" s="87">
        <f ca="1">IF($WI$3&gt;=WV$3,VE16,NA())</f>
        <v>4</v>
      </c>
      <c r="WW16" s="87">
        <f ca="1">IF($WI$3&gt;=WW$3,VF16,NA())</f>
        <v>3</v>
      </c>
      <c r="WX16" s="87">
        <f ca="1">IF($WI$3&gt;=WX$3,VG16,NA())</f>
        <v>3</v>
      </c>
      <c r="WY16" s="87">
        <f ca="1">IF($WI$3&gt;=WY$3,VH16,NA())</f>
        <v>3</v>
      </c>
      <c r="WZ16" s="87">
        <f ca="1">IF($WI$3&gt;=WZ$3,VI16,NA())</f>
        <v>3</v>
      </c>
      <c r="XA16" s="87">
        <f ca="1">IF($WI$3&gt;=XA$3,VJ16,NA())</f>
        <v>4</v>
      </c>
      <c r="XB16" s="87">
        <f ca="1">IF($WI$3&gt;=XB$3,VK16,NA())</f>
        <v>4</v>
      </c>
      <c r="XC16" s="87">
        <f ca="1">IF($WI$3&gt;=XC$3,VL16,NA())</f>
        <v>4</v>
      </c>
      <c r="XD16" s="87">
        <f ca="1">IF($WI$3&gt;=XD$3,VM16,NA())</f>
        <v>4</v>
      </c>
      <c r="XE16" s="87">
        <f ca="1">IF($WI$3&gt;=XE$3,VN16,NA())</f>
        <v>4</v>
      </c>
      <c r="XF16" s="87">
        <f ca="1">IF($WI$3&gt;=XF$3,VO16,NA())</f>
        <v>4</v>
      </c>
      <c r="XG16" s="87">
        <f ca="1">IF($WI$3&gt;=XG$3,VP16,NA())</f>
        <v>4</v>
      </c>
      <c r="XH16" s="87">
        <f ca="1">IF($WI$3&gt;=XH$3,VQ16,NA())</f>
        <v>5</v>
      </c>
      <c r="XI16" s="87" t="e">
        <f>IF($WI$3&gt;=XI$3,VR16,NA())</f>
        <v>#N/A</v>
      </c>
      <c r="XJ16" s="87" t="e">
        <f>IF($WI$3&gt;=XJ$3,VS16,NA())</f>
        <v>#N/A</v>
      </c>
      <c r="XK16" s="87" t="e">
        <f>IF($WI$3&gt;=XK$3,VT16,NA())</f>
        <v>#N/A</v>
      </c>
      <c r="XL16" s="87" t="e">
        <f>IF($WI$3&gt;=XL$3,VU16,NA())</f>
        <v>#N/A</v>
      </c>
      <c r="XM16" s="87" t="e">
        <f>IF($WI$3&gt;=XM$3,VV16,NA())</f>
        <v>#N/A</v>
      </c>
      <c r="XN16" s="87" t="e">
        <f>IF($WI$3&gt;=XN$3,VW16,NA())</f>
        <v>#N/A</v>
      </c>
      <c r="XO16" s="87" t="e">
        <f>IF($WI$3&gt;=XO$3,VX16,NA())</f>
        <v>#N/A</v>
      </c>
      <c r="XP16" s="87" t="e">
        <f>IF($WI$3&gt;=XP$3,VY16,NA())</f>
        <v>#N/A</v>
      </c>
      <c r="XQ16" s="87" t="e">
        <f>IF($WI$3&gt;=XQ$3,VZ16,NA())</f>
        <v>#N/A</v>
      </c>
      <c r="XR16" s="87" t="e">
        <f>IF($WI$3&gt;=XR$3,WA16,NA())</f>
        <v>#N/A</v>
      </c>
      <c r="XS16" s="87" t="e">
        <f>IF($WI$3&gt;=XS$3,WB16,NA())</f>
        <v>#N/A</v>
      </c>
      <c r="XT16" s="87" t="e">
        <f>IF($WI$3&gt;=XT$3,WC16,NA())</f>
        <v>#N/A</v>
      </c>
      <c r="XU16" s="87" t="e">
        <f>IF($WI$3&gt;=XU$3,WD16,NA())</f>
        <v>#N/A</v>
      </c>
      <c r="XV16" s="87" t="e">
        <f>IF($WI$3&gt;=XV$3,WE16,NA())</f>
        <v>#N/A</v>
      </c>
      <c r="XW16" s="87" t="e">
        <f>IF($WI$3&gt;=XW$3,WF16,NA())</f>
        <v>#N/A</v>
      </c>
      <c r="XX16" s="87" t="e">
        <f>IF($WI$3&gt;=XX$3,WG16,NA())</f>
        <v>#N/A</v>
      </c>
      <c r="XY16" s="87" t="e">
        <f>IF($WI$3&gt;=XY$3,WH16,NA())</f>
        <v>#N/A</v>
      </c>
      <c r="YB16" s="280"/>
      <c r="YC16" s="280"/>
      <c r="YD16" s="280"/>
      <c r="YE16" s="163"/>
      <c r="YF16" s="163"/>
      <c r="YG16" s="280"/>
      <c r="YH16" s="280"/>
      <c r="YI16" s="280"/>
      <c r="YJ16" s="280"/>
      <c r="YK16" s="280"/>
      <c r="YL16" s="280"/>
      <c r="YM16" s="280"/>
      <c r="YN16" s="280"/>
      <c r="YO16" s="280"/>
      <c r="YP16" s="280"/>
      <c r="YQ16" s="280"/>
      <c r="YR16" s="280"/>
      <c r="YS16" s="280"/>
      <c r="YT16" s="280"/>
      <c r="YU16" s="280"/>
      <c r="YV16" s="280"/>
      <c r="YW16" s="280"/>
      <c r="YX16" s="280"/>
      <c r="YY16" s="280"/>
      <c r="YZ16" s="280"/>
      <c r="ZA16" s="280"/>
      <c r="ZB16" s="280"/>
      <c r="ZC16" s="280"/>
      <c r="ZD16" s="280"/>
      <c r="ZE16" s="280"/>
      <c r="ZF16" s="280"/>
      <c r="ZG16" s="280"/>
      <c r="ZH16" s="280"/>
      <c r="ZI16" s="280"/>
      <c r="ZJ16" s="280"/>
      <c r="ZK16" s="280"/>
      <c r="ZL16" s="280"/>
      <c r="ZM16" s="280"/>
      <c r="ZN16" s="280"/>
      <c r="ZO16" s="280"/>
      <c r="ZP16" s="280"/>
      <c r="ZQ16" s="280"/>
      <c r="ZR16" s="280"/>
      <c r="ZS16" s="280"/>
      <c r="ZT16" s="280"/>
      <c r="ZU16" s="280"/>
      <c r="ZV16" s="280"/>
      <c r="ZW16" s="280"/>
      <c r="ZX16" s="280"/>
      <c r="ZY16" s="280"/>
      <c r="ZZ16" s="280"/>
      <c r="AAA16" s="280"/>
      <c r="AAB16" s="280"/>
      <c r="AAC16" s="280"/>
      <c r="AAD16" s="160"/>
      <c r="AAE16" s="160"/>
      <c r="AAF16" s="160"/>
      <c r="AAG16" s="160"/>
      <c r="AAH16" s="241"/>
      <c r="AAI16" s="241"/>
      <c r="AAJ16" s="241"/>
      <c r="AAK16" s="241"/>
      <c r="AAL16" s="241"/>
      <c r="AAM16" s="241"/>
      <c r="AAN16" s="241"/>
      <c r="AAO16" s="241"/>
      <c r="AAP16" s="241"/>
      <c r="AAQ16" s="241"/>
      <c r="AAR16" s="241"/>
      <c r="AAS16" s="241"/>
      <c r="AAT16" s="241"/>
      <c r="AAU16" s="241"/>
    </row>
    <row r="17" spans="4:723">
      <c r="D17" s="29">
        <v>14</v>
      </c>
      <c r="E17" s="31" t="s">
        <v>190</v>
      </c>
      <c r="F17" s="25">
        <f>SUMIF('ef-FT'!$C$2001:$C$3800,E17,'ef-FT'!$E$2001:$E$3800)</f>
        <v>18</v>
      </c>
      <c r="G17" s="25">
        <f>SUMIF('ef-FT'!$C$2001:$C$3800,E17,'ef-FT'!$F$2001:$F$3800)</f>
        <v>7</v>
      </c>
      <c r="H17" s="25">
        <f>SUMIF('ef-FT'!$C$2001:$C$3800,E17,'ef-FT'!$G$2001:$G$3800)</f>
        <v>5</v>
      </c>
      <c r="I17" s="25">
        <f>SUMIF('ef-FT'!$C$2001:$C$3800,E17,'ef-FT'!$H$2001:$H$3800)</f>
        <v>6</v>
      </c>
      <c r="J17" s="25">
        <f>SUMIF('ef-FT'!$C$2001:$C$3800,E17,'ef-FT'!$D$2001:$D$3800)</f>
        <v>26</v>
      </c>
      <c r="K17" s="25">
        <f>SUMIF('ef-FT'!$C$2001:$C$3800,E17,'ef-FT'!$I$2001:$I$3800)</f>
        <v>21</v>
      </c>
      <c r="L17" s="25">
        <f>SUMIF('ef-FT'!$C$2001:$C$3800,E17,'ef-FT'!$J$2001:$J$3800)</f>
        <v>20</v>
      </c>
      <c r="M17" s="25" t="str">
        <f>CONCATENATE(K17, " - ",L17)</f>
        <v>21 - 20</v>
      </c>
      <c r="N17" s="25">
        <f>K17-L17</f>
        <v>1</v>
      </c>
      <c r="O17" s="25">
        <f>SUMIF('ef-FT'!$C$2001:$C$3800,$E17,'ef-FT'!$K$2001:$K$3800)</f>
        <v>6</v>
      </c>
      <c r="P17" s="25">
        <f>SUMIF('ef-FT'!$C$2001:$C$3800,$E17,'ef-FT'!$L$2001:$L$3800)</f>
        <v>7</v>
      </c>
      <c r="Q17" s="55"/>
      <c r="R17" s="25">
        <f>SUMIF('ef-FT'!$C$2001:$C$2999,$E17,'ef-FT'!$E$2001:$E$2999)</f>
        <v>9</v>
      </c>
      <c r="S17" s="25">
        <f>SUMIF('ef-FT'!$C$2001:$C$2999,$E17,'ef-FT'!$F$2001:$F$2999)</f>
        <v>4</v>
      </c>
      <c r="T17" s="25">
        <f>SUMIF('ef-FT'!$C$2001:$C$2999,$E17,'ef-FT'!$G$2001:$G$2999)</f>
        <v>2</v>
      </c>
      <c r="U17" s="25">
        <f>SUMIF('ef-FT'!$C$2001:$C$2999,$E17,'ef-FT'!$H$2001:$H$2999)</f>
        <v>3</v>
      </c>
      <c r="V17" s="25">
        <f>SUMIF('ef-FT'!$C$2001:$C$2999,$E17,'ef-FT'!$D$2001:$D$2999)</f>
        <v>14</v>
      </c>
      <c r="W17" s="25">
        <f>SUMIF('ef-FT'!$C$2001:$C$2999,$E17,'ef-FT'!$I$2001:$I$2999)</f>
        <v>12</v>
      </c>
      <c r="X17" s="25">
        <f>SUMIF('ef-FT'!$C$2001:$C$2999,$E17,'ef-FT'!$J$2001:$J$2999)</f>
        <v>10</v>
      </c>
      <c r="Y17" s="25" t="str">
        <f t="shared" si="375"/>
        <v>12 - 10</v>
      </c>
      <c r="Z17" s="25">
        <f t="shared" si="376"/>
        <v>2</v>
      </c>
      <c r="AA17" s="25">
        <f>SUMIF('ef-FT'!$C$2001:$C$2999,$E17,'ef-FT'!$K$2001:$K$2999)</f>
        <v>2</v>
      </c>
      <c r="AB17" s="25">
        <f>SUMIF('ef-FT'!$C$2001:$C$2999,$E17,'ef-FT'!$L$2001:$L$2999)</f>
        <v>4</v>
      </c>
      <c r="AC17" s="55"/>
      <c r="AD17" s="25">
        <f>SUMIF('ef-FT'!$C$3000:$C$3800,$E17,'ef-FT'!$E$3000:$E$3800)</f>
        <v>9</v>
      </c>
      <c r="AE17" s="25">
        <f>SUMIF('ef-FT'!$C$3000:$C$3800,$E17,'ef-FT'!$F$3000:$F$3800)</f>
        <v>3</v>
      </c>
      <c r="AF17" s="25">
        <f>SUMIF('ef-FT'!$C$3000:$C$3800,$E17,'ef-FT'!$G$3000:$G$3800)</f>
        <v>3</v>
      </c>
      <c r="AG17" s="25">
        <f>SUMIF('ef-FT'!$C$3000:$C$3800,$E17,'ef-FT'!$H$3000:$H$3800)</f>
        <v>3</v>
      </c>
      <c r="AH17" s="25">
        <f>SUMIF('ef-FT'!$C$3000:$C$3800,$E17,'ef-FT'!$D$3000:$D$3800)</f>
        <v>12</v>
      </c>
      <c r="AI17" s="25">
        <f>SUMIF('ef-FT'!$C$3000:$C$3800,$E17,'ef-FT'!$I$3000:$I$3800)</f>
        <v>9</v>
      </c>
      <c r="AJ17" s="25">
        <f>SUMIF('ef-FT'!$C$3000:$C$3800,$E17,'ef-FT'!$J$3000:$J$3800)</f>
        <v>10</v>
      </c>
      <c r="AK17" s="25" t="str">
        <f t="shared" si="377"/>
        <v>9 - 10</v>
      </c>
      <c r="AL17" s="25">
        <f t="shared" si="378"/>
        <v>-1</v>
      </c>
      <c r="AM17" s="25">
        <f>SUMIF('ef-FT'!$C$3000:$C$3800,$E17,'ef-FT'!$K$3000:$K$3800)</f>
        <v>4</v>
      </c>
      <c r="AN17" s="25">
        <f>SUMIF('ef-FT'!$C$3000:$C$3800,$E17,'ef-FT'!$L$3000:$L$3800)</f>
        <v>3</v>
      </c>
      <c r="AO17" s="26"/>
      <c r="AP17" s="27">
        <v>0.16</v>
      </c>
      <c r="AQ17" s="28">
        <f t="shared" si="379"/>
        <v>1002600010021.16</v>
      </c>
      <c r="AR17" s="29">
        <v>6</v>
      </c>
      <c r="AS17" s="28">
        <f>LARGE($AQ$12:$AQ$32,AR17)</f>
        <v>1002600010021.16</v>
      </c>
      <c r="AT17" s="29">
        <f t="shared" si="380"/>
        <v>6</v>
      </c>
      <c r="AU17" s="30" t="str">
        <f t="shared" si="381"/>
        <v>San Jose</v>
      </c>
      <c r="AV17" s="29">
        <f t="shared" si="382"/>
        <v>18</v>
      </c>
      <c r="AW17" s="29">
        <f t="shared" si="383"/>
        <v>7</v>
      </c>
      <c r="AX17" s="29">
        <f t="shared" si="384"/>
        <v>5</v>
      </c>
      <c r="AY17" s="29">
        <f t="shared" si="385"/>
        <v>6</v>
      </c>
      <c r="AZ17" s="29">
        <f t="shared" si="386"/>
        <v>26</v>
      </c>
      <c r="BA17" s="29" t="str">
        <f t="shared" si="387"/>
        <v>21 - 20</v>
      </c>
      <c r="BB17" s="29">
        <f t="shared" si="388"/>
        <v>1</v>
      </c>
      <c r="BC17" s="90">
        <f>VLOOKUP($AT17+$AT$11,$D$12:R$33,15,0)</f>
        <v>9</v>
      </c>
      <c r="BD17" s="90">
        <f>VLOOKUP($AT17+$AT$11,$D$12:S$33,16,0)</f>
        <v>4</v>
      </c>
      <c r="BE17" s="90">
        <f>VLOOKUP($AT17+$AT$11,$D$12:T$33,17,0)</f>
        <v>2</v>
      </c>
      <c r="BF17" s="90">
        <f>VLOOKUP($AT17+$AT$11,$D$12:U$33,18,0)</f>
        <v>3</v>
      </c>
      <c r="BG17" s="90">
        <f>VLOOKUP($AT17+$AT$11,$D$12:V$33,19,0)</f>
        <v>14</v>
      </c>
      <c r="BH17" s="90" t="str">
        <f>VLOOKUP($AT17+$AT$11,$D$12:Y$33,22,0)</f>
        <v>12 - 10</v>
      </c>
      <c r="BI17" s="90">
        <f>VLOOKUP($AT17+$AT$11,$D$12:Z$33,23,0)</f>
        <v>2</v>
      </c>
      <c r="BJ17" s="90">
        <f>VLOOKUP($AT17+$AT$11,$D$12:AD$33,27,0)</f>
        <v>9</v>
      </c>
      <c r="BK17" s="90">
        <f>VLOOKUP($AT17+$AT$11,$D$12:AE$33,28,0)</f>
        <v>3</v>
      </c>
      <c r="BL17" s="90">
        <f>VLOOKUP($AT17+$AT$11,$D$12:AF$33,29,0)</f>
        <v>3</v>
      </c>
      <c r="BM17" s="90">
        <f>VLOOKUP($AT17+$AT$11,$D$12:AG$33,30,0)</f>
        <v>3</v>
      </c>
      <c r="BN17" s="90">
        <f>VLOOKUP($AT17+$AT$11,$D$12:AH$33,31,0)</f>
        <v>12</v>
      </c>
      <c r="BO17" s="90" t="str">
        <f>VLOOKUP($AT17+$AT$11,$D$12:AK$35,34,0)</f>
        <v>9 - 10</v>
      </c>
      <c r="BP17" s="90">
        <f>VLOOKUP($AT17+$AT$11,$D$12:AL$35,35,0)</f>
        <v>-1</v>
      </c>
      <c r="BS17" s="10" t="s">
        <v>40</v>
      </c>
      <c r="BT17" s="123">
        <v>4.1666666666665998E-2</v>
      </c>
      <c r="BU17" s="123">
        <f t="shared" si="404"/>
        <v>0.12500000000000067</v>
      </c>
      <c r="BV17" s="10" t="s">
        <v>64</v>
      </c>
      <c r="CA17" s="130">
        <f t="shared" si="119"/>
        <v>26.16</v>
      </c>
      <c r="CB17" s="130">
        <f t="shared" si="120"/>
        <v>25.84</v>
      </c>
      <c r="CC17" s="130">
        <f t="shared" si="121"/>
        <v>7.16</v>
      </c>
      <c r="CD17" s="130">
        <f t="shared" si="122"/>
        <v>6.84</v>
      </c>
      <c r="CE17" s="130">
        <f t="shared" si="123"/>
        <v>6.16</v>
      </c>
      <c r="CF17" s="130">
        <f t="shared" si="124"/>
        <v>5.84</v>
      </c>
      <c r="CG17" s="130">
        <f t="shared" si="125"/>
        <v>21.16</v>
      </c>
      <c r="CH17" s="130">
        <f t="shared" si="126"/>
        <v>20.84</v>
      </c>
      <c r="CI17" s="130">
        <f t="shared" si="127"/>
        <v>20.16</v>
      </c>
      <c r="CJ17" s="130">
        <f t="shared" si="128"/>
        <v>19.84</v>
      </c>
      <c r="CK17" s="130">
        <f t="shared" si="129"/>
        <v>1.1599999999999999</v>
      </c>
      <c r="CL17" s="130">
        <f t="shared" si="130"/>
        <v>0.84</v>
      </c>
      <c r="CM17" s="130">
        <f t="shared" si="131"/>
        <v>6.16</v>
      </c>
      <c r="CN17" s="130">
        <f t="shared" si="132"/>
        <v>5.84</v>
      </c>
      <c r="CO17" s="130">
        <f t="shared" si="133"/>
        <v>7.16</v>
      </c>
      <c r="CP17" s="130">
        <f t="shared" si="134"/>
        <v>6.84</v>
      </c>
      <c r="CQ17" s="131"/>
      <c r="CR17" s="130">
        <f t="shared" si="360"/>
        <v>14.16</v>
      </c>
      <c r="CS17" s="130">
        <f t="shared" si="135"/>
        <v>13.84</v>
      </c>
      <c r="CT17" s="130">
        <f t="shared" si="361"/>
        <v>4.16</v>
      </c>
      <c r="CU17" s="130">
        <f t="shared" si="362"/>
        <v>3.84</v>
      </c>
      <c r="CV17" s="130">
        <f t="shared" si="363"/>
        <v>3.16</v>
      </c>
      <c r="CW17" s="130">
        <f t="shared" si="364"/>
        <v>2.84</v>
      </c>
      <c r="CX17" s="130">
        <f t="shared" si="365"/>
        <v>12.16</v>
      </c>
      <c r="CY17" s="130">
        <f t="shared" si="366"/>
        <v>11.84</v>
      </c>
      <c r="CZ17" s="130">
        <f t="shared" si="367"/>
        <v>10.16</v>
      </c>
      <c r="DA17" s="130">
        <f t="shared" si="368"/>
        <v>9.84</v>
      </c>
      <c r="DB17" s="130">
        <f t="shared" si="369"/>
        <v>2.16</v>
      </c>
      <c r="DC17" s="130">
        <f t="shared" si="370"/>
        <v>1.84</v>
      </c>
      <c r="DD17" s="130">
        <f t="shared" si="371"/>
        <v>2.16</v>
      </c>
      <c r="DE17" s="130">
        <f t="shared" si="372"/>
        <v>1.84</v>
      </c>
      <c r="DF17" s="130">
        <f t="shared" si="373"/>
        <v>4.16</v>
      </c>
      <c r="DG17" s="130">
        <f t="shared" si="374"/>
        <v>3.84</v>
      </c>
      <c r="DH17" s="131"/>
      <c r="DI17" s="130">
        <f t="shared" si="389"/>
        <v>12.16</v>
      </c>
      <c r="DJ17" s="130">
        <f t="shared" si="136"/>
        <v>-0.16</v>
      </c>
      <c r="DK17" s="130">
        <f t="shared" si="390"/>
        <v>3.16</v>
      </c>
      <c r="DL17" s="130">
        <f t="shared" si="391"/>
        <v>2.84</v>
      </c>
      <c r="DM17" s="130">
        <f t="shared" si="392"/>
        <v>3.16</v>
      </c>
      <c r="DN17" s="130">
        <f t="shared" si="393"/>
        <v>2.84</v>
      </c>
      <c r="DO17" s="130">
        <f t="shared" si="394"/>
        <v>9.16</v>
      </c>
      <c r="DP17" s="130">
        <f t="shared" si="395"/>
        <v>8.84</v>
      </c>
      <c r="DQ17" s="130">
        <f t="shared" si="396"/>
        <v>10.16</v>
      </c>
      <c r="DR17" s="130">
        <f t="shared" si="397"/>
        <v>9.84</v>
      </c>
      <c r="DS17" s="130">
        <f t="shared" si="398"/>
        <v>-0.84</v>
      </c>
      <c r="DT17" s="130">
        <f t="shared" si="399"/>
        <v>-1.1599999999999999</v>
      </c>
      <c r="DU17" s="130">
        <f t="shared" si="400"/>
        <v>4.16</v>
      </c>
      <c r="DV17" s="130">
        <f t="shared" si="401"/>
        <v>3.84</v>
      </c>
      <c r="DW17" s="130">
        <f t="shared" si="402"/>
        <v>3.16</v>
      </c>
      <c r="DX17" s="130">
        <f t="shared" si="403"/>
        <v>2.84</v>
      </c>
      <c r="DY17" s="132"/>
      <c r="DZ17" s="115">
        <v>14</v>
      </c>
      <c r="EA17" s="115">
        <v>17</v>
      </c>
      <c r="EB17" s="10">
        <f t="shared" si="137"/>
        <v>16</v>
      </c>
      <c r="EC17" s="10">
        <f t="shared" si="138"/>
        <v>1</v>
      </c>
      <c r="ED17" s="10">
        <f t="shared" si="139"/>
        <v>16</v>
      </c>
      <c r="EE17" s="10">
        <f t="shared" si="140"/>
        <v>1</v>
      </c>
      <c r="EF17" s="10">
        <f t="shared" si="141"/>
        <v>10</v>
      </c>
      <c r="EG17" s="10">
        <f t="shared" si="142"/>
        <v>15</v>
      </c>
      <c r="EH17" s="10">
        <f t="shared" si="143"/>
        <v>4</v>
      </c>
      <c r="EI17" s="10">
        <f t="shared" si="144"/>
        <v>1</v>
      </c>
      <c r="EJ17" s="10">
        <f t="shared" si="145"/>
        <v>11</v>
      </c>
      <c r="EK17" s="10">
        <f t="shared" si="146"/>
        <v>15</v>
      </c>
      <c r="EL17" s="10">
        <f t="shared" si="147"/>
        <v>4</v>
      </c>
      <c r="EM17" s="10">
        <f t="shared" si="148"/>
        <v>11</v>
      </c>
      <c r="EN17" s="10">
        <f t="shared" si="149"/>
        <v>5</v>
      </c>
      <c r="EO17" s="10">
        <f t="shared" si="150"/>
        <v>4</v>
      </c>
      <c r="EP17" s="10">
        <f t="shared" si="151"/>
        <v>16</v>
      </c>
      <c r="EQ17" s="10">
        <f t="shared" si="152"/>
        <v>12</v>
      </c>
      <c r="ES17" s="10">
        <f t="shared" si="153"/>
        <v>16</v>
      </c>
      <c r="ET17" s="10">
        <f t="shared" si="154"/>
        <v>3</v>
      </c>
      <c r="EU17" s="10">
        <f t="shared" si="155"/>
        <v>16</v>
      </c>
      <c r="EV17" s="10">
        <f t="shared" si="154"/>
        <v>9</v>
      </c>
      <c r="EW17" s="10">
        <f t="shared" si="156"/>
        <v>13</v>
      </c>
      <c r="EX17" s="10">
        <f t="shared" si="157"/>
        <v>12</v>
      </c>
      <c r="EY17" s="10">
        <f t="shared" si="158"/>
        <v>2</v>
      </c>
      <c r="EZ17" s="10">
        <f t="shared" si="159"/>
        <v>1</v>
      </c>
      <c r="FA17" s="10">
        <f t="shared" si="160"/>
        <v>1</v>
      </c>
      <c r="FB17" s="10">
        <f t="shared" si="161"/>
        <v>7</v>
      </c>
      <c r="FC17" s="10">
        <f t="shared" si="162"/>
        <v>5</v>
      </c>
      <c r="FD17" s="10">
        <f t="shared" si="163"/>
        <v>1</v>
      </c>
      <c r="FE17" s="10">
        <f t="shared" si="164"/>
        <v>11</v>
      </c>
      <c r="FF17" s="10">
        <f t="shared" si="165"/>
        <v>16</v>
      </c>
      <c r="FG17" s="10">
        <f t="shared" si="166"/>
        <v>16</v>
      </c>
      <c r="FH17" s="10">
        <f t="shared" si="167"/>
        <v>6</v>
      </c>
      <c r="FJ17" s="10">
        <f t="shared" si="168"/>
        <v>3</v>
      </c>
      <c r="FK17" s="10">
        <f t="shared" si="169"/>
        <v>14</v>
      </c>
      <c r="FL17" s="10">
        <f t="shared" si="170"/>
        <v>7</v>
      </c>
      <c r="FM17" s="10">
        <f t="shared" si="171"/>
        <v>13</v>
      </c>
      <c r="FN17" s="10">
        <f t="shared" si="172"/>
        <v>14</v>
      </c>
      <c r="FO17" s="10">
        <f t="shared" si="173"/>
        <v>8</v>
      </c>
      <c r="FP17" s="10">
        <f t="shared" si="174"/>
        <v>8</v>
      </c>
      <c r="FQ17" s="10">
        <f t="shared" si="175"/>
        <v>5</v>
      </c>
      <c r="FR17" s="10">
        <f t="shared" si="176"/>
        <v>11</v>
      </c>
      <c r="FS17" s="10">
        <f t="shared" si="177"/>
        <v>8</v>
      </c>
      <c r="FT17" s="10">
        <f t="shared" si="178"/>
        <v>7</v>
      </c>
      <c r="FU17" s="10">
        <f t="shared" si="179"/>
        <v>10</v>
      </c>
      <c r="FV17" s="10">
        <f t="shared" si="180"/>
        <v>13</v>
      </c>
      <c r="FW17" s="10">
        <f t="shared" si="181"/>
        <v>4</v>
      </c>
      <c r="FX17" s="10">
        <f t="shared" si="182"/>
        <v>11</v>
      </c>
      <c r="FY17" s="10">
        <f t="shared" si="183"/>
        <v>2</v>
      </c>
      <c r="GA17" s="10">
        <f>IF(lg!$C$18=1,EB17,IF(lg!$C$18=2,ES17,FJ17))</f>
        <v>16</v>
      </c>
      <c r="GB17" s="10">
        <f>IF(lg!$C$18=1,EC17,IF(lg!$C$18=2,ET17,FK17))</f>
        <v>1</v>
      </c>
      <c r="GC17" s="10">
        <f>IF(lg!$C$18=1,ED17,IF(lg!$C$18=2,EU17,FL17))</f>
        <v>16</v>
      </c>
      <c r="GD17" s="10">
        <f>IF(lg!$C$18=1,EE17,IF(lg!$C$18=2,EV17,FM17))</f>
        <v>1</v>
      </c>
      <c r="GE17" s="10">
        <f>IF(lg!$C$18=1,EF17,IF(lg!$C$18=2,EW17,FN17))</f>
        <v>10</v>
      </c>
      <c r="GF17" s="10">
        <f>IF(lg!$C$18=1,EG17,IF(lg!$C$18=2,EX17,FO17))</f>
        <v>15</v>
      </c>
      <c r="GG17" s="10">
        <f>IF(lg!$C$18=1,EH17,IF(lg!$C$18=2,EY17,FP17))</f>
        <v>4</v>
      </c>
      <c r="GH17" s="10">
        <f>IF(lg!$C$18=1,EI17,IF(lg!$C$18=2,EZ17,FQ17))</f>
        <v>1</v>
      </c>
      <c r="GI17" s="10">
        <f>IF(lg!$C$18=1,EJ17,IF(lg!$C$18=2,FA17,FR17))</f>
        <v>11</v>
      </c>
      <c r="GJ17" s="10">
        <f>IF(lg!$C$18=1,EK17,IF(lg!$C$18=2,FB17,FS17))</f>
        <v>15</v>
      </c>
      <c r="GK17" s="10">
        <f>IF(lg!$C$18=1,EL17,IF(lg!$C$18=2,FC17,FT17))</f>
        <v>4</v>
      </c>
      <c r="GL17" s="10">
        <f>IF(lg!$C$18=1,EM17,IF(lg!$C$18=2,FD17,FU17))</f>
        <v>11</v>
      </c>
      <c r="GM17" s="10">
        <f>IF(lg!$C$18=1,EN17,IF(lg!$C$18=2,FE17,FV17))</f>
        <v>5</v>
      </c>
      <c r="GN17" s="10">
        <f>IF(lg!$C$18=1,EO17,IF(lg!$C$18=2,FF17,FW17))</f>
        <v>4</v>
      </c>
      <c r="GO17" s="10">
        <f>IF(lg!$C$18=1,EP17,IF(lg!$C$18=2,FG17,FX17))</f>
        <v>16</v>
      </c>
      <c r="GP17" s="10">
        <f>IF(lg!$C$18=1,EQ17,IF(lg!$C$18=2,FH17,FY17))</f>
        <v>12</v>
      </c>
      <c r="GR17" s="10" t="str">
        <f t="shared" si="184"/>
        <v>Chivas USA</v>
      </c>
      <c r="GS17" s="10" t="str">
        <f t="shared" si="31"/>
        <v>Columbus</v>
      </c>
      <c r="GT17" s="10" t="str">
        <f t="shared" si="32"/>
        <v>Chivas USA</v>
      </c>
      <c r="GU17" s="10" t="str">
        <f t="shared" si="33"/>
        <v>Columbus</v>
      </c>
      <c r="GV17" s="10" t="str">
        <f t="shared" si="34"/>
        <v>Real Salt Lake</v>
      </c>
      <c r="GW17" s="10" t="str">
        <f t="shared" si="35"/>
        <v>Houston</v>
      </c>
      <c r="GX17" s="10" t="str">
        <f t="shared" si="36"/>
        <v>New England</v>
      </c>
      <c r="GY17" s="10" t="str">
        <f t="shared" si="37"/>
        <v>Columbus</v>
      </c>
      <c r="GZ17" s="10" t="str">
        <f t="shared" si="38"/>
        <v>Dallas</v>
      </c>
      <c r="HA17" s="10" t="str">
        <f t="shared" si="39"/>
        <v>Houston</v>
      </c>
      <c r="HB17" s="10" t="str">
        <f t="shared" si="40"/>
        <v>New England</v>
      </c>
      <c r="HC17" s="10" t="str">
        <f t="shared" si="41"/>
        <v>Dallas</v>
      </c>
      <c r="HD17" s="10" t="str">
        <f t="shared" si="42"/>
        <v>Chicago</v>
      </c>
      <c r="HE17" s="10" t="str">
        <f t="shared" si="43"/>
        <v>New England</v>
      </c>
      <c r="HF17" s="10" t="str">
        <f t="shared" si="44"/>
        <v>Chivas USA</v>
      </c>
      <c r="HG17" s="10" t="str">
        <f t="shared" si="45"/>
        <v>Seattle Sounders FC</v>
      </c>
      <c r="HI17" s="10">
        <v>14</v>
      </c>
      <c r="HJ17" s="115">
        <f>IF(lg!$C$18=1,F17,IF(lg!$C$18=2,R17,AD17))</f>
        <v>18</v>
      </c>
      <c r="HK17" s="115">
        <f>IF(lg!$C$18=1,G17,IF(lg!$C$18=2,S17,AE17))</f>
        <v>7</v>
      </c>
      <c r="HL17" s="115">
        <f>IF(lg!$C$18=1,H17,IF(lg!$C$18=2,T17,AF17))</f>
        <v>5</v>
      </c>
      <c r="HM17" s="115">
        <f>IF(lg!$C$18=1,I17,IF(lg!$C$18=2,U17,AG17))</f>
        <v>6</v>
      </c>
      <c r="HN17" s="115">
        <f>IF(lg!$C$18=1,J17,IF(lg!$C$18=2,V17,AH17))</f>
        <v>26</v>
      </c>
      <c r="HO17" s="115">
        <f>IF(lg!$C$18=1,K17,IF(lg!$C$18=2,W17,AI17))</f>
        <v>21</v>
      </c>
      <c r="HP17" s="115">
        <f>IF(lg!$C$18=1,L17,IF(lg!$C$18=2,X17,AJ17))</f>
        <v>20</v>
      </c>
      <c r="HQ17" s="115" t="str">
        <f>IF(lg!$C$18=1,M17,IF(lg!$C$18=2,Y17,AK17))</f>
        <v>21 - 20</v>
      </c>
      <c r="HR17" s="115">
        <f>IF(lg!$C$18=1,N17,IF(lg!$C$18=2,Z17,AL17))</f>
        <v>1</v>
      </c>
      <c r="HS17" s="115">
        <f>IF(lg!$C$18=1,O17,IF(lg!$C$18=2,AA17,AM17))</f>
        <v>6</v>
      </c>
      <c r="HT17" s="115">
        <f>IF(lg!$C$18=1,P17,IF(lg!$C$18=2,AB17,AN17))</f>
        <v>7</v>
      </c>
      <c r="HV17" s="115">
        <f t="shared" si="185"/>
        <v>19</v>
      </c>
      <c r="HW17" s="115">
        <f t="shared" si="186"/>
        <v>37</v>
      </c>
      <c r="HX17" s="115">
        <f t="shared" si="187"/>
        <v>5</v>
      </c>
      <c r="HY17" s="115">
        <f t="shared" si="188"/>
        <v>11</v>
      </c>
      <c r="HZ17" s="115">
        <f t="shared" si="189"/>
        <v>4</v>
      </c>
      <c r="IA17" s="115">
        <f t="shared" si="190"/>
        <v>10</v>
      </c>
      <c r="IB17" s="115">
        <f t="shared" si="191"/>
        <v>18</v>
      </c>
      <c r="IC17" s="115">
        <f t="shared" si="192"/>
        <v>28</v>
      </c>
      <c r="ID17" s="115">
        <f t="shared" si="193"/>
        <v>17</v>
      </c>
      <c r="IE17" s="115">
        <f t="shared" si="194"/>
        <v>30</v>
      </c>
      <c r="IF17" s="115">
        <f t="shared" si="195"/>
        <v>-9</v>
      </c>
      <c r="IG17" s="115">
        <f t="shared" si="196"/>
        <v>10</v>
      </c>
      <c r="IH17" s="115">
        <f t="shared" si="197"/>
        <v>3</v>
      </c>
      <c r="II17" s="115">
        <f t="shared" si="198"/>
        <v>8</v>
      </c>
      <c r="IJ17" s="115">
        <f t="shared" si="199"/>
        <v>4</v>
      </c>
      <c r="IK17" s="115">
        <f t="shared" si="200"/>
        <v>8</v>
      </c>
      <c r="IN17" s="77" t="s">
        <v>137</v>
      </c>
      <c r="IO17" s="36" t="s">
        <v>8</v>
      </c>
      <c r="IP17" s="67">
        <f>VLOOKUP('ef-TeamStats'!B2,Table!$B$4:$W$23,15,0)</f>
        <v>10</v>
      </c>
      <c r="IQ17" s="133">
        <f>VLOOKUP('ef-TeamStats'!$B$2,Table!$B$4:$W$23,9,0)</f>
        <v>9</v>
      </c>
      <c r="IR17" s="134">
        <f t="shared" si="47"/>
        <v>1.1111111111111112</v>
      </c>
      <c r="IS17" s="133">
        <f>MATCH('ef-TeamStats'!$B$2,$KC$4:$KC$33,0)</f>
        <v>2</v>
      </c>
      <c r="IT17" s="67"/>
      <c r="IU17" s="36" t="s">
        <v>8</v>
      </c>
      <c r="IV17" s="67">
        <f>VLOOKUP('ef-TeamStats'!G2,Table!$B$4:$W$23,15,0)</f>
        <v>7</v>
      </c>
      <c r="IW17" s="133">
        <f>VLOOKUP('ef-TeamStats'!$G$2,Table!$B$4:$W$23,9,0)</f>
        <v>9</v>
      </c>
      <c r="IX17" s="134">
        <f t="shared" si="48"/>
        <v>0.77777777777777779</v>
      </c>
      <c r="IY17" s="133">
        <f>MATCH('ef-TeamStats'!$G$2,$KC$4:$KC$33,0)</f>
        <v>3</v>
      </c>
      <c r="JB17" s="10">
        <f>IF(lg!$F$18=1,EB17,IF(lg!$F$18=2,ES17,FJ17))</f>
        <v>16</v>
      </c>
      <c r="JC17" s="10">
        <f>IF(lg!$F$18=1,EC17,IF(lg!$F$18=2,ET17,FK17))</f>
        <v>1</v>
      </c>
      <c r="JD17" s="10">
        <f>IF(lg!$F$18=1,ED17,IF(lg!$F$18=2,EU17,FL17))</f>
        <v>16</v>
      </c>
      <c r="JE17" s="10">
        <f>IF(lg!$F$18=1,EE17,IF(lg!$F$18=2,EV17,FM17))</f>
        <v>1</v>
      </c>
      <c r="JF17" s="10">
        <f>IF(lg!$F$18=1,EF17,IF(lg!$F$18=2,EW17,FN17))</f>
        <v>10</v>
      </c>
      <c r="JG17" s="10">
        <f>IF(lg!$F$18=1,EG17,IF(lg!$F$18=2,EX17,FO17))</f>
        <v>15</v>
      </c>
      <c r="JH17" s="10">
        <f>IF(lg!$F$18=1,EH17,IF(lg!$F$18=2,EY17,FP17))</f>
        <v>4</v>
      </c>
      <c r="JI17" s="10">
        <f>IF(lg!$F$18=1,EI17,IF(lg!$F$18=2,EZ17,FQ17))</f>
        <v>1</v>
      </c>
      <c r="JJ17" s="10">
        <f>IF(lg!$F$18=1,EJ17,IF(lg!$F$18=2,FA17,FR17))</f>
        <v>11</v>
      </c>
      <c r="JK17" s="10">
        <f>IF(lg!$F$18=1,EK17,IF(lg!$F$18=2,FB17,FS17))</f>
        <v>15</v>
      </c>
      <c r="JL17" s="10">
        <f>IF(lg!$F$18=1,EL17,IF(lg!$F$18=2,FC17,FT17))</f>
        <v>4</v>
      </c>
      <c r="JM17" s="10">
        <f>IF(lg!$F$18=1,EM17,IF(lg!$F$18=2,FD17,FU17))</f>
        <v>11</v>
      </c>
      <c r="JN17" s="10">
        <f>IF(lg!$F$18=1,EN17,IF(lg!$F$18=2,FE17,FV17))</f>
        <v>5</v>
      </c>
      <c r="JO17" s="10">
        <f>IF(lg!$F$18=1,EO17,IF(lg!$F$18=2,FF17,FW17))</f>
        <v>4</v>
      </c>
      <c r="JP17" s="10">
        <f>IF(lg!$F$18=1,EP17,IF(lg!$F$18=2,FG17,FX17))</f>
        <v>16</v>
      </c>
      <c r="JQ17" s="10">
        <f>IF(lg!$F$18=1,EQ17,IF(lg!$F$18=2,FH17,FY17))</f>
        <v>12</v>
      </c>
      <c r="JS17" s="10" t="str">
        <f t="shared" si="201"/>
        <v>Chivas USA</v>
      </c>
      <c r="JT17" s="10" t="str">
        <f t="shared" si="49"/>
        <v>Columbus</v>
      </c>
      <c r="JU17" s="10" t="str">
        <f t="shared" si="50"/>
        <v>Chivas USA</v>
      </c>
      <c r="JV17" s="10" t="str">
        <f t="shared" si="51"/>
        <v>Columbus</v>
      </c>
      <c r="JW17" s="10" t="str">
        <f t="shared" si="52"/>
        <v>Real Salt Lake</v>
      </c>
      <c r="JX17" s="10" t="str">
        <f t="shared" si="53"/>
        <v>Houston</v>
      </c>
      <c r="JY17" s="10" t="str">
        <f t="shared" si="54"/>
        <v>New England</v>
      </c>
      <c r="JZ17" s="10" t="str">
        <f t="shared" si="55"/>
        <v>Columbus</v>
      </c>
      <c r="KA17" s="10" t="str">
        <f t="shared" si="56"/>
        <v>Dallas</v>
      </c>
      <c r="KB17" s="10" t="str">
        <f t="shared" si="57"/>
        <v>Houston</v>
      </c>
      <c r="KC17" s="10" t="str">
        <f t="shared" si="58"/>
        <v>New England</v>
      </c>
      <c r="KD17" s="10" t="str">
        <f t="shared" si="59"/>
        <v>Dallas</v>
      </c>
      <c r="KE17" s="10" t="str">
        <f t="shared" si="60"/>
        <v>Chicago</v>
      </c>
      <c r="KF17" s="10" t="str">
        <f t="shared" si="61"/>
        <v>New England</v>
      </c>
      <c r="KG17" s="10" t="str">
        <f t="shared" si="62"/>
        <v>Chivas USA</v>
      </c>
      <c r="KH17" s="10" t="str">
        <f t="shared" si="63"/>
        <v>Seattle Sounders FC</v>
      </c>
      <c r="KL17" s="27">
        <v>0.17</v>
      </c>
      <c r="KM17" s="29">
        <v>14</v>
      </c>
      <c r="KN17" s="31" t="str">
        <f t="shared" si="202"/>
        <v>San Jose</v>
      </c>
      <c r="KO17" s="152">
        <f t="shared" si="203"/>
        <v>0</v>
      </c>
      <c r="KP17" s="152">
        <f t="shared" si="204"/>
        <v>0</v>
      </c>
      <c r="KQ17" s="152">
        <f t="shared" si="205"/>
        <v>3</v>
      </c>
      <c r="KR17" s="28">
        <f t="shared" si="206"/>
        <v>999999970000.17004</v>
      </c>
      <c r="KS17" s="29"/>
      <c r="KT17" s="28"/>
      <c r="KU17" s="29">
        <f>RANK(KR17,KR$12:KR$19)</f>
        <v>8</v>
      </c>
      <c r="KV17" s="152">
        <f t="shared" si="207"/>
        <v>3</v>
      </c>
      <c r="KW17" s="152">
        <f t="shared" si="208"/>
        <v>2</v>
      </c>
      <c r="KX17" s="152">
        <f t="shared" si="209"/>
        <v>4</v>
      </c>
      <c r="KY17" s="28">
        <f t="shared" si="210"/>
        <v>1000299980002.17</v>
      </c>
      <c r="KZ17" s="29"/>
      <c r="LA17" s="28"/>
      <c r="LB17" s="29">
        <f>RANK(KY17,KY$12:KY$19)</f>
        <v>6</v>
      </c>
      <c r="LC17" s="152">
        <f t="shared" si="211"/>
        <v>6</v>
      </c>
      <c r="LD17" s="152">
        <f t="shared" si="212"/>
        <v>4</v>
      </c>
      <c r="LE17" s="152">
        <f t="shared" si="213"/>
        <v>4</v>
      </c>
      <c r="LF17" s="28">
        <f t="shared" si="214"/>
        <v>1000600000004.17</v>
      </c>
      <c r="LG17" s="29"/>
      <c r="LH17" s="28"/>
      <c r="LI17" s="29">
        <f>RANK(LF17,LF$12:LF$19)</f>
        <v>2</v>
      </c>
      <c r="LJ17" s="152">
        <f t="shared" si="215"/>
        <v>6</v>
      </c>
      <c r="LK17" s="152">
        <f t="shared" si="216"/>
        <v>6</v>
      </c>
      <c r="LL17" s="152">
        <f t="shared" si="217"/>
        <v>7</v>
      </c>
      <c r="LM17" s="28">
        <f t="shared" si="218"/>
        <v>1000599990006.17</v>
      </c>
      <c r="LN17" s="29"/>
      <c r="LO17" s="28"/>
      <c r="LP17" s="29">
        <f>RANK(LM17,LM$12:LM$19)</f>
        <v>5</v>
      </c>
      <c r="LQ17" s="152">
        <f t="shared" si="219"/>
        <v>9</v>
      </c>
      <c r="LR17" s="152">
        <f t="shared" si="220"/>
        <v>7</v>
      </c>
      <c r="LS17" s="152">
        <f t="shared" si="221"/>
        <v>7</v>
      </c>
      <c r="LT17" s="28">
        <f t="shared" si="222"/>
        <v>1000900000007.17</v>
      </c>
      <c r="LU17" s="29"/>
      <c r="LV17" s="28"/>
      <c r="LW17" s="29">
        <f>RANK(LT17,LT$12:LT$19)</f>
        <v>3</v>
      </c>
      <c r="LX17" s="152">
        <f t="shared" si="223"/>
        <v>12</v>
      </c>
      <c r="LY17" s="152">
        <f t="shared" si="224"/>
        <v>11</v>
      </c>
      <c r="LZ17" s="152">
        <f t="shared" si="225"/>
        <v>7</v>
      </c>
      <c r="MA17" s="28">
        <f t="shared" si="226"/>
        <v>1001200040011.17</v>
      </c>
      <c r="MB17" s="29"/>
      <c r="MC17" s="28"/>
      <c r="MD17" s="29">
        <f>RANK(MA17,MA$12:MA$19)</f>
        <v>2</v>
      </c>
      <c r="ME17" s="152">
        <f t="shared" si="227"/>
        <v>13</v>
      </c>
      <c r="MF17" s="152">
        <f t="shared" si="228"/>
        <v>11</v>
      </c>
      <c r="MG17" s="152">
        <f t="shared" si="229"/>
        <v>7</v>
      </c>
      <c r="MH17" s="28">
        <f t="shared" si="230"/>
        <v>1001300040011.17</v>
      </c>
      <c r="MI17" s="29"/>
      <c r="MJ17" s="28"/>
      <c r="MK17" s="29">
        <f>RANK(MH17,MH$12:MH$19)</f>
        <v>2</v>
      </c>
      <c r="ML17" s="152">
        <f t="shared" si="231"/>
        <v>16</v>
      </c>
      <c r="MM17" s="152">
        <f t="shared" si="232"/>
        <v>12</v>
      </c>
      <c r="MN17" s="152">
        <f t="shared" si="233"/>
        <v>7</v>
      </c>
      <c r="MO17" s="28">
        <f t="shared" si="234"/>
        <v>1001600050012.17</v>
      </c>
      <c r="MP17" s="29"/>
      <c r="MQ17" s="28"/>
      <c r="MR17" s="29">
        <f>RANK(MO17,MO$12:MO$19)</f>
        <v>2</v>
      </c>
      <c r="MS17" s="152">
        <f t="shared" si="235"/>
        <v>16</v>
      </c>
      <c r="MT17" s="152">
        <f t="shared" si="236"/>
        <v>13</v>
      </c>
      <c r="MU17" s="152">
        <f t="shared" si="237"/>
        <v>10</v>
      </c>
      <c r="MV17" s="28">
        <f t="shared" si="238"/>
        <v>1001600030013.17</v>
      </c>
      <c r="MW17" s="29"/>
      <c r="MX17" s="28"/>
      <c r="MY17" s="29">
        <f>RANK(MV17,MV$12:MV$19)</f>
        <v>3</v>
      </c>
      <c r="MZ17" s="152">
        <f t="shared" si="239"/>
        <v>17</v>
      </c>
      <c r="NA17" s="152">
        <f t="shared" si="240"/>
        <v>15</v>
      </c>
      <c r="NB17" s="152">
        <f t="shared" si="241"/>
        <v>12</v>
      </c>
      <c r="NC17" s="28">
        <f t="shared" si="242"/>
        <v>1001700030015.17</v>
      </c>
      <c r="ND17" s="29"/>
      <c r="NE17" s="28"/>
      <c r="NF17" s="29">
        <f>RANK(NC17,NC$12:NC$19)</f>
        <v>4</v>
      </c>
      <c r="NG17" s="152">
        <f t="shared" si="243"/>
        <v>17</v>
      </c>
      <c r="NH17" s="152">
        <f t="shared" si="244"/>
        <v>15</v>
      </c>
      <c r="NI17" s="152">
        <f t="shared" si="245"/>
        <v>14</v>
      </c>
      <c r="NJ17" s="28">
        <f t="shared" si="246"/>
        <v>1001700010015.17</v>
      </c>
      <c r="NK17" s="29"/>
      <c r="NL17" s="28"/>
      <c r="NM17" s="29">
        <f>RANK(NJ17,NJ$12:NJ$19)</f>
        <v>4</v>
      </c>
      <c r="NN17" s="152">
        <f t="shared" si="247"/>
        <v>18</v>
      </c>
      <c r="NO17" s="152">
        <f t="shared" si="248"/>
        <v>15</v>
      </c>
      <c r="NP17" s="152">
        <f t="shared" si="249"/>
        <v>14</v>
      </c>
      <c r="NQ17" s="28">
        <f t="shared" si="250"/>
        <v>1001800010015.17</v>
      </c>
      <c r="NR17" s="29"/>
      <c r="NS17" s="28"/>
      <c r="NT17" s="29">
        <f>RANK(NQ17,NQ$12:NQ$19)</f>
        <v>5</v>
      </c>
      <c r="NU17" s="152">
        <f t="shared" si="251"/>
        <v>19</v>
      </c>
      <c r="NV17" s="152">
        <f t="shared" si="252"/>
        <v>16</v>
      </c>
      <c r="NW17" s="152">
        <f t="shared" si="253"/>
        <v>15</v>
      </c>
      <c r="NX17" s="28">
        <f t="shared" si="254"/>
        <v>1001900010016.17</v>
      </c>
      <c r="NY17" s="29"/>
      <c r="NZ17" s="28"/>
      <c r="OA17" s="29">
        <f>RANK(NX17,NX$12:NX$19)</f>
        <v>5</v>
      </c>
      <c r="OB17" s="152">
        <f t="shared" si="255"/>
        <v>22</v>
      </c>
      <c r="OC17" s="152">
        <f t="shared" si="256"/>
        <v>18</v>
      </c>
      <c r="OD17" s="152">
        <f t="shared" si="257"/>
        <v>16</v>
      </c>
      <c r="OE17" s="28">
        <f t="shared" si="258"/>
        <v>1002200020018.17</v>
      </c>
      <c r="OF17" s="29"/>
      <c r="OG17" s="28"/>
      <c r="OH17" s="29">
        <f>RANK(OE17,OE$12:OE$19)</f>
        <v>5</v>
      </c>
      <c r="OI17" s="152">
        <f t="shared" si="259"/>
        <v>23</v>
      </c>
      <c r="OJ17" s="152">
        <f t="shared" si="260"/>
        <v>20</v>
      </c>
      <c r="OK17" s="152">
        <f t="shared" si="261"/>
        <v>18</v>
      </c>
      <c r="OL17" s="28">
        <f t="shared" si="262"/>
        <v>1002300020020.17</v>
      </c>
      <c r="OM17" s="29"/>
      <c r="ON17" s="28"/>
      <c r="OO17" s="29">
        <f>RANK(OL17,OL$12:OL$19)</f>
        <v>5</v>
      </c>
      <c r="OP17" s="152">
        <f t="shared" si="263"/>
        <v>23</v>
      </c>
      <c r="OQ17" s="152">
        <f t="shared" si="264"/>
        <v>20</v>
      </c>
      <c r="OR17" s="152">
        <f t="shared" si="265"/>
        <v>19</v>
      </c>
      <c r="OS17" s="28">
        <f t="shared" si="266"/>
        <v>1002300010020.17</v>
      </c>
      <c r="OT17" s="29"/>
      <c r="OU17" s="28"/>
      <c r="OV17" s="29">
        <f>RANK(OS17,OS$12:OS$19)</f>
        <v>5</v>
      </c>
      <c r="OW17" s="152">
        <f t="shared" si="267"/>
        <v>23</v>
      </c>
      <c r="OX17" s="152">
        <f t="shared" si="268"/>
        <v>20</v>
      </c>
      <c r="OY17" s="152">
        <f t="shared" si="269"/>
        <v>20</v>
      </c>
      <c r="OZ17" s="28">
        <f t="shared" si="270"/>
        <v>1002300000020.17</v>
      </c>
      <c r="PA17" s="29"/>
      <c r="PB17" s="28"/>
      <c r="PC17" s="29">
        <f>RANK(OZ17,OZ$12:OZ$19)</f>
        <v>5</v>
      </c>
      <c r="PD17" s="152">
        <f t="shared" si="271"/>
        <v>26</v>
      </c>
      <c r="PE17" s="152">
        <f t="shared" si="272"/>
        <v>21</v>
      </c>
      <c r="PF17" s="152">
        <f t="shared" si="273"/>
        <v>20</v>
      </c>
      <c r="PG17" s="28">
        <f t="shared" si="274"/>
        <v>1002600010021.17</v>
      </c>
      <c r="PH17" s="29"/>
      <c r="PI17" s="28"/>
      <c r="PJ17" s="29">
        <f>RANK(PG17,PG$12:PG$19)</f>
        <v>5</v>
      </c>
      <c r="PK17" s="152">
        <f t="shared" si="275"/>
        <v>26</v>
      </c>
      <c r="PL17" s="152">
        <f t="shared" si="276"/>
        <v>21</v>
      </c>
      <c r="PM17" s="152">
        <f t="shared" si="277"/>
        <v>20</v>
      </c>
      <c r="PN17" s="28">
        <f t="shared" si="278"/>
        <v>1002600010021.17</v>
      </c>
      <c r="PO17" s="29"/>
      <c r="PP17" s="28"/>
      <c r="PQ17" s="29">
        <f>RANK(PN17,PN$12:PN$19)</f>
        <v>5</v>
      </c>
      <c r="PR17" s="152">
        <f t="shared" si="279"/>
        <v>26</v>
      </c>
      <c r="PS17" s="152">
        <f t="shared" si="280"/>
        <v>21</v>
      </c>
      <c r="PT17" s="152">
        <f t="shared" si="281"/>
        <v>20</v>
      </c>
      <c r="PU17" s="28">
        <f t="shared" si="282"/>
        <v>1002600010021.17</v>
      </c>
      <c r="PV17" s="29"/>
      <c r="PW17" s="28"/>
      <c r="PX17" s="29">
        <f>RANK(PU17,PU$12:PU$19)</f>
        <v>6</v>
      </c>
      <c r="PY17" s="152">
        <f t="shared" si="283"/>
        <v>26</v>
      </c>
      <c r="PZ17" s="152">
        <f t="shared" si="284"/>
        <v>21</v>
      </c>
      <c r="QA17" s="152">
        <f t="shared" si="285"/>
        <v>20</v>
      </c>
      <c r="QB17" s="28">
        <f t="shared" si="286"/>
        <v>1002600010021.17</v>
      </c>
      <c r="QC17" s="29"/>
      <c r="QD17" s="28"/>
      <c r="QE17" s="29">
        <f>RANK(QB17,QB$12:QB$19)</f>
        <v>6</v>
      </c>
      <c r="QF17" s="152">
        <f t="shared" si="287"/>
        <v>26</v>
      </c>
      <c r="QG17" s="152">
        <f t="shared" si="288"/>
        <v>21</v>
      </c>
      <c r="QH17" s="152">
        <f t="shared" si="289"/>
        <v>20</v>
      </c>
      <c r="QI17" s="28">
        <f t="shared" si="290"/>
        <v>1002600010021.17</v>
      </c>
      <c r="QJ17" s="29"/>
      <c r="QK17" s="28"/>
      <c r="QL17" s="29">
        <f>RANK(QI17,QI$12:QI$19)</f>
        <v>6</v>
      </c>
      <c r="QM17" s="152">
        <f t="shared" si="291"/>
        <v>26</v>
      </c>
      <c r="QN17" s="152">
        <f t="shared" si="292"/>
        <v>21</v>
      </c>
      <c r="QO17" s="152">
        <f t="shared" si="293"/>
        <v>20</v>
      </c>
      <c r="QP17" s="28">
        <f t="shared" si="294"/>
        <v>1002600010021.17</v>
      </c>
      <c r="QQ17" s="29"/>
      <c r="QR17" s="28"/>
      <c r="QS17" s="29">
        <f>RANK(QP17,QP$12:QP$19)</f>
        <v>6</v>
      </c>
      <c r="QT17" s="152">
        <f t="shared" si="295"/>
        <v>26</v>
      </c>
      <c r="QU17" s="152">
        <f t="shared" si="296"/>
        <v>21</v>
      </c>
      <c r="QV17" s="152">
        <f t="shared" si="297"/>
        <v>20</v>
      </c>
      <c r="QW17" s="28">
        <f t="shared" si="298"/>
        <v>1002600010021.17</v>
      </c>
      <c r="QX17" s="29"/>
      <c r="QY17" s="28"/>
      <c r="QZ17" s="29">
        <f>RANK(QW17,QW$12:QW$19)</f>
        <v>6</v>
      </c>
      <c r="RA17" s="152">
        <f t="shared" si="299"/>
        <v>26</v>
      </c>
      <c r="RB17" s="152">
        <f t="shared" si="300"/>
        <v>21</v>
      </c>
      <c r="RC17" s="152">
        <f t="shared" si="301"/>
        <v>20</v>
      </c>
      <c r="RD17" s="28">
        <f t="shared" si="302"/>
        <v>1002600010021.17</v>
      </c>
      <c r="RE17" s="29"/>
      <c r="RF17" s="28"/>
      <c r="RG17" s="29">
        <f>RANK(RD17,RD$12:RD$19)</f>
        <v>6</v>
      </c>
      <c r="RH17" s="152">
        <f t="shared" si="303"/>
        <v>26</v>
      </c>
      <c r="RI17" s="152">
        <f t="shared" si="304"/>
        <v>21</v>
      </c>
      <c r="RJ17" s="152">
        <f t="shared" si="305"/>
        <v>20</v>
      </c>
      <c r="RK17" s="28">
        <f t="shared" si="306"/>
        <v>1002600010021.17</v>
      </c>
      <c r="RL17" s="29"/>
      <c r="RM17" s="28"/>
      <c r="RN17" s="29">
        <f>RANK(RK17,RK$12:RK$19)</f>
        <v>6</v>
      </c>
      <c r="RO17" s="152">
        <f t="shared" si="307"/>
        <v>26</v>
      </c>
      <c r="RP17" s="152">
        <f t="shared" si="308"/>
        <v>21</v>
      </c>
      <c r="RQ17" s="152">
        <f t="shared" si="309"/>
        <v>20</v>
      </c>
      <c r="RR17" s="28">
        <f t="shared" si="310"/>
        <v>1002600010021.17</v>
      </c>
      <c r="RS17" s="29"/>
      <c r="RT17" s="28"/>
      <c r="RU17" s="29">
        <f>RANK(RR17,RR$12:RR$19)</f>
        <v>6</v>
      </c>
      <c r="RV17" s="152">
        <f t="shared" si="311"/>
        <v>26</v>
      </c>
      <c r="RW17" s="152">
        <f t="shared" si="312"/>
        <v>21</v>
      </c>
      <c r="RX17" s="152">
        <f t="shared" si="313"/>
        <v>20</v>
      </c>
      <c r="RY17" s="28">
        <f t="shared" si="314"/>
        <v>1002600010021.17</v>
      </c>
      <c r="RZ17" s="29"/>
      <c r="SA17" s="28"/>
      <c r="SB17" s="29">
        <f>RANK(RY17,RY$12:RY$19)</f>
        <v>6</v>
      </c>
      <c r="SC17" s="152">
        <f t="shared" si="315"/>
        <v>26</v>
      </c>
      <c r="SD17" s="152">
        <f t="shared" si="316"/>
        <v>21</v>
      </c>
      <c r="SE17" s="152">
        <f t="shared" si="317"/>
        <v>20</v>
      </c>
      <c r="SF17" s="28">
        <f t="shared" si="318"/>
        <v>1002600010021.17</v>
      </c>
      <c r="SG17" s="29"/>
      <c r="SH17" s="28"/>
      <c r="SI17" s="29">
        <f>RANK(SF17,SF$12:SF$19)</f>
        <v>6</v>
      </c>
      <c r="SJ17" s="152">
        <f t="shared" si="319"/>
        <v>26</v>
      </c>
      <c r="SK17" s="152">
        <f t="shared" si="320"/>
        <v>21</v>
      </c>
      <c r="SL17" s="152">
        <f t="shared" si="321"/>
        <v>20</v>
      </c>
      <c r="SM17" s="28">
        <f t="shared" si="322"/>
        <v>1002600010021.17</v>
      </c>
      <c r="SN17" s="29"/>
      <c r="SO17" s="28"/>
      <c r="SP17" s="29">
        <f>RANK(SM17,SM$12:SM$19)</f>
        <v>6</v>
      </c>
      <c r="SQ17" s="152">
        <f t="shared" si="323"/>
        <v>26</v>
      </c>
      <c r="SR17" s="152">
        <f t="shared" si="324"/>
        <v>21</v>
      </c>
      <c r="SS17" s="152">
        <f t="shared" si="325"/>
        <v>20</v>
      </c>
      <c r="ST17" s="28">
        <f t="shared" si="326"/>
        <v>1002600010021.17</v>
      </c>
      <c r="SU17" s="29"/>
      <c r="SV17" s="28"/>
      <c r="SW17" s="29">
        <f>RANK(ST17,ST$12:ST$19)</f>
        <v>6</v>
      </c>
      <c r="SX17" s="152">
        <f t="shared" si="327"/>
        <v>26</v>
      </c>
      <c r="SY17" s="152">
        <f t="shared" si="328"/>
        <v>21</v>
      </c>
      <c r="SZ17" s="152">
        <f t="shared" si="329"/>
        <v>20</v>
      </c>
      <c r="TA17" s="28">
        <f t="shared" si="330"/>
        <v>1002600010021.17</v>
      </c>
      <c r="TB17" s="29"/>
      <c r="TC17" s="28"/>
      <c r="TD17" s="29">
        <f>RANK(TA17,TA$12:TA$19)</f>
        <v>6</v>
      </c>
      <c r="TE17" s="152">
        <f t="shared" si="331"/>
        <v>26</v>
      </c>
      <c r="TF17" s="152">
        <f t="shared" si="332"/>
        <v>21</v>
      </c>
      <c r="TG17" s="152">
        <f t="shared" si="333"/>
        <v>20</v>
      </c>
      <c r="TH17" s="28">
        <f t="shared" si="334"/>
        <v>1002600010021.17</v>
      </c>
      <c r="TI17" s="29"/>
      <c r="TJ17" s="28"/>
      <c r="TK17" s="29">
        <f>RANK(TH17,TH$12:TH$19)</f>
        <v>6</v>
      </c>
      <c r="TL17" s="152">
        <f t="shared" si="335"/>
        <v>26</v>
      </c>
      <c r="TM17" s="152">
        <f t="shared" si="336"/>
        <v>21</v>
      </c>
      <c r="TN17" s="152">
        <f t="shared" si="337"/>
        <v>20</v>
      </c>
      <c r="TO17" s="28">
        <f t="shared" si="338"/>
        <v>1002600010021.17</v>
      </c>
      <c r="TP17" s="29"/>
      <c r="TQ17" s="28"/>
      <c r="TR17" s="29">
        <f>RANK(TO17,TO$12:TO$19)</f>
        <v>6</v>
      </c>
      <c r="TS17" s="152">
        <f t="shared" si="339"/>
        <v>26</v>
      </c>
      <c r="TT17" s="152">
        <f t="shared" si="340"/>
        <v>21</v>
      </c>
      <c r="TU17" s="152">
        <f t="shared" si="341"/>
        <v>20</v>
      </c>
      <c r="TV17" s="28">
        <f t="shared" si="342"/>
        <v>1002600010021.17</v>
      </c>
      <c r="TW17" s="29"/>
      <c r="TX17" s="28"/>
      <c r="TY17" s="29">
        <f>RANK(TV17,TV$12:TV$19)</f>
        <v>6</v>
      </c>
      <c r="TZ17" s="152">
        <f t="shared" si="343"/>
        <v>26</v>
      </c>
      <c r="UA17" s="152">
        <f t="shared" si="344"/>
        <v>21</v>
      </c>
      <c r="UB17" s="152">
        <f t="shared" si="345"/>
        <v>20</v>
      </c>
      <c r="UC17" s="28">
        <f t="shared" si="346"/>
        <v>1002600010021.17</v>
      </c>
      <c r="UD17" s="29"/>
      <c r="UE17" s="28"/>
      <c r="UF17" s="29">
        <f>RANK(UC17,UC$12:UC$19)</f>
        <v>6</v>
      </c>
      <c r="UG17" s="152">
        <f t="shared" si="347"/>
        <v>26</v>
      </c>
      <c r="UH17" s="152">
        <f t="shared" si="348"/>
        <v>21</v>
      </c>
      <c r="UI17" s="152">
        <f t="shared" si="349"/>
        <v>20</v>
      </c>
      <c r="UJ17" s="28">
        <f t="shared" si="350"/>
        <v>1002600010021.17</v>
      </c>
      <c r="UK17" s="29"/>
      <c r="UL17" s="28"/>
      <c r="UM17" s="29">
        <f>RANK(UJ17,UJ$12:UJ$19)</f>
        <v>6</v>
      </c>
      <c r="UN17" s="152">
        <f t="shared" si="351"/>
        <v>26</v>
      </c>
      <c r="UO17" s="152">
        <f t="shared" si="352"/>
        <v>21</v>
      </c>
      <c r="UP17" s="152">
        <f t="shared" si="353"/>
        <v>20</v>
      </c>
      <c r="UQ17" s="28">
        <f t="shared" si="354"/>
        <v>1002600010021.17</v>
      </c>
      <c r="UR17" s="29"/>
      <c r="US17" s="28"/>
      <c r="UT17" s="29">
        <f>RANK(UQ17,UQ$12:UQ$19)</f>
        <v>6</v>
      </c>
      <c r="UU17" s="129"/>
      <c r="UV17" s="129" t="str">
        <f t="shared" si="355"/>
        <v>San Jose</v>
      </c>
      <c r="UW17" s="129">
        <f t="shared" si="356"/>
        <v>8</v>
      </c>
      <c r="UX17" s="129">
        <f t="shared" ca="1" si="357"/>
        <v>6</v>
      </c>
      <c r="UY17" s="129">
        <f t="shared" ca="1" si="64"/>
        <v>2</v>
      </c>
      <c r="UZ17" s="129">
        <f t="shared" ca="1" si="64"/>
        <v>5</v>
      </c>
      <c r="VA17" s="129">
        <f t="shared" ca="1" si="64"/>
        <v>3</v>
      </c>
      <c r="VB17" s="129">
        <f t="shared" ca="1" si="64"/>
        <v>2</v>
      </c>
      <c r="VC17" s="129">
        <f t="shared" ca="1" si="64"/>
        <v>2</v>
      </c>
      <c r="VD17" s="129">
        <f t="shared" ca="1" si="64"/>
        <v>2</v>
      </c>
      <c r="VE17" s="129">
        <f t="shared" ca="1" si="64"/>
        <v>3</v>
      </c>
      <c r="VF17" s="129">
        <f t="shared" ca="1" si="64"/>
        <v>4</v>
      </c>
      <c r="VG17" s="129">
        <f t="shared" ca="1" si="64"/>
        <v>4</v>
      </c>
      <c r="VH17" s="129">
        <f t="shared" ca="1" si="64"/>
        <v>5</v>
      </c>
      <c r="VI17" s="129">
        <f t="shared" ca="1" si="64"/>
        <v>5</v>
      </c>
      <c r="VJ17" s="129">
        <f t="shared" ca="1" si="64"/>
        <v>5</v>
      </c>
      <c r="VK17" s="129">
        <f t="shared" ca="1" si="64"/>
        <v>5</v>
      </c>
      <c r="VL17" s="129">
        <f t="shared" ca="1" si="64"/>
        <v>5</v>
      </c>
      <c r="VM17" s="129">
        <f t="shared" ca="1" si="64"/>
        <v>5</v>
      </c>
      <c r="VN17" s="129">
        <f t="shared" ca="1" si="64"/>
        <v>5</v>
      </c>
      <c r="VO17" s="129">
        <f t="shared" ca="1" si="65"/>
        <v>5</v>
      </c>
      <c r="VP17" s="129">
        <f t="shared" ca="1" si="65"/>
        <v>6</v>
      </c>
      <c r="VQ17" s="129">
        <f t="shared" ca="1" si="65"/>
        <v>6</v>
      </c>
      <c r="VR17" s="129">
        <f t="shared" ca="1" si="65"/>
        <v>6</v>
      </c>
      <c r="VS17" s="129">
        <f t="shared" ca="1" si="65"/>
        <v>6</v>
      </c>
      <c r="VT17" s="129">
        <f t="shared" ca="1" si="65"/>
        <v>6</v>
      </c>
      <c r="VU17" s="129">
        <f t="shared" ca="1" si="65"/>
        <v>6</v>
      </c>
      <c r="VV17" s="129">
        <f t="shared" ca="1" si="65"/>
        <v>6</v>
      </c>
      <c r="VW17" s="129">
        <f t="shared" ca="1" si="65"/>
        <v>6</v>
      </c>
      <c r="VX17" s="129">
        <f t="shared" ca="1" si="65"/>
        <v>6</v>
      </c>
      <c r="VY17" s="129">
        <f t="shared" ca="1" si="65"/>
        <v>6</v>
      </c>
      <c r="VZ17" s="129">
        <f t="shared" ca="1" si="65"/>
        <v>6</v>
      </c>
      <c r="WA17" s="129">
        <f t="shared" ca="1" si="65"/>
        <v>6</v>
      </c>
      <c r="WB17" s="129">
        <f t="shared" ca="1" si="65"/>
        <v>6</v>
      </c>
      <c r="WC17" s="129">
        <f t="shared" ca="1" si="65"/>
        <v>6</v>
      </c>
      <c r="WD17" s="129">
        <f t="shared" ca="1" si="65"/>
        <v>6</v>
      </c>
      <c r="WE17" s="129">
        <f t="shared" ca="1" si="66"/>
        <v>6</v>
      </c>
      <c r="WF17" s="129">
        <f t="shared" ca="1" si="66"/>
        <v>6</v>
      </c>
      <c r="WG17" s="129">
        <f t="shared" ca="1" si="66"/>
        <v>6</v>
      </c>
      <c r="WH17" s="129">
        <f t="shared" ca="1" si="66"/>
        <v>6</v>
      </c>
      <c r="WK17" s="87" t="str">
        <f t="shared" si="358"/>
        <v>San Jose</v>
      </c>
      <c r="WL17" s="87">
        <v>6</v>
      </c>
      <c r="WM17" s="87">
        <v>6</v>
      </c>
      <c r="WN17" s="87">
        <f>IF($WI$3&gt;=WN$3,UW17,NA())</f>
        <v>8</v>
      </c>
      <c r="WO17" s="87">
        <f ca="1">IF($WI$3&gt;=WO$3,UX17,NA())</f>
        <v>6</v>
      </c>
      <c r="WP17" s="87">
        <f ca="1">IF($WI$3&gt;=WP$3,UY17,NA())</f>
        <v>2</v>
      </c>
      <c r="WQ17" s="87">
        <f ca="1">IF($WI$3&gt;=WQ$3,UZ17,NA())</f>
        <v>5</v>
      </c>
      <c r="WR17" s="87">
        <f ca="1">IF($WI$3&gt;=WR$3,VA17,NA())</f>
        <v>3</v>
      </c>
      <c r="WS17" s="87">
        <f ca="1">IF($WI$3&gt;=WS$3,VB17,NA())</f>
        <v>2</v>
      </c>
      <c r="WT17" s="87">
        <f ca="1">IF($WI$3&gt;=WT$3,VC17,NA())</f>
        <v>2</v>
      </c>
      <c r="WU17" s="87">
        <f ca="1">IF($WI$3&gt;=WU$3,VD17,NA())</f>
        <v>2</v>
      </c>
      <c r="WV17" s="87">
        <f ca="1">IF($WI$3&gt;=WV$3,VE17,NA())</f>
        <v>3</v>
      </c>
      <c r="WW17" s="87">
        <f ca="1">IF($WI$3&gt;=WW$3,VF17,NA())</f>
        <v>4</v>
      </c>
      <c r="WX17" s="87">
        <f ca="1">IF($WI$3&gt;=WX$3,VG17,NA())</f>
        <v>4</v>
      </c>
      <c r="WY17" s="87">
        <f ca="1">IF($WI$3&gt;=WY$3,VH17,NA())</f>
        <v>5</v>
      </c>
      <c r="WZ17" s="87">
        <f ca="1">IF($WI$3&gt;=WZ$3,VI17,NA())</f>
        <v>5</v>
      </c>
      <c r="XA17" s="87">
        <f ca="1">IF($WI$3&gt;=XA$3,VJ17,NA())</f>
        <v>5</v>
      </c>
      <c r="XB17" s="87">
        <f ca="1">IF($WI$3&gt;=XB$3,VK17,NA())</f>
        <v>5</v>
      </c>
      <c r="XC17" s="87">
        <f ca="1">IF($WI$3&gt;=XC$3,VL17,NA())</f>
        <v>5</v>
      </c>
      <c r="XD17" s="87">
        <f ca="1">IF($WI$3&gt;=XD$3,VM17,NA())</f>
        <v>5</v>
      </c>
      <c r="XE17" s="87">
        <f ca="1">IF($WI$3&gt;=XE$3,VN17,NA())</f>
        <v>5</v>
      </c>
      <c r="XF17" s="87">
        <f ca="1">IF($WI$3&gt;=XF$3,VO17,NA())</f>
        <v>5</v>
      </c>
      <c r="XG17" s="87">
        <f ca="1">IF($WI$3&gt;=XG$3,VP17,NA())</f>
        <v>6</v>
      </c>
      <c r="XH17" s="87">
        <f ca="1">IF($WI$3&gt;=XH$3,VQ17,NA())</f>
        <v>6</v>
      </c>
      <c r="XI17" s="87" t="e">
        <f>IF($WI$3&gt;=XI$3,VR17,NA())</f>
        <v>#N/A</v>
      </c>
      <c r="XJ17" s="87" t="e">
        <f>IF($WI$3&gt;=XJ$3,VS17,NA())</f>
        <v>#N/A</v>
      </c>
      <c r="XK17" s="87" t="e">
        <f>IF($WI$3&gt;=XK$3,VT17,NA())</f>
        <v>#N/A</v>
      </c>
      <c r="XL17" s="87" t="e">
        <f>IF($WI$3&gt;=XL$3,VU17,NA())</f>
        <v>#N/A</v>
      </c>
      <c r="XM17" s="87" t="e">
        <f>IF($WI$3&gt;=XM$3,VV17,NA())</f>
        <v>#N/A</v>
      </c>
      <c r="XN17" s="87" t="e">
        <f>IF($WI$3&gt;=XN$3,VW17,NA())</f>
        <v>#N/A</v>
      </c>
      <c r="XO17" s="87" t="e">
        <f>IF($WI$3&gt;=XO$3,VX17,NA())</f>
        <v>#N/A</v>
      </c>
      <c r="XP17" s="87" t="e">
        <f>IF($WI$3&gt;=XP$3,VY17,NA())</f>
        <v>#N/A</v>
      </c>
      <c r="XQ17" s="87" t="e">
        <f>IF($WI$3&gt;=XQ$3,VZ17,NA())</f>
        <v>#N/A</v>
      </c>
      <c r="XR17" s="87" t="e">
        <f>IF($WI$3&gt;=XR$3,WA17,NA())</f>
        <v>#N/A</v>
      </c>
      <c r="XS17" s="87" t="e">
        <f>IF($WI$3&gt;=XS$3,WB17,NA())</f>
        <v>#N/A</v>
      </c>
      <c r="XT17" s="87" t="e">
        <f>IF($WI$3&gt;=XT$3,WC17,NA())</f>
        <v>#N/A</v>
      </c>
      <c r="XU17" s="87" t="e">
        <f>IF($WI$3&gt;=XU$3,WD17,NA())</f>
        <v>#N/A</v>
      </c>
      <c r="XV17" s="87" t="e">
        <f>IF($WI$3&gt;=XV$3,WE17,NA())</f>
        <v>#N/A</v>
      </c>
      <c r="XW17" s="87" t="e">
        <f>IF($WI$3&gt;=XW$3,WF17,NA())</f>
        <v>#N/A</v>
      </c>
      <c r="XX17" s="87" t="e">
        <f>IF($WI$3&gt;=XX$3,WG17,NA())</f>
        <v>#N/A</v>
      </c>
      <c r="XY17" s="87" t="e">
        <f>IF($WI$3&gt;=XY$3,WH17,NA())</f>
        <v>#N/A</v>
      </c>
      <c r="YB17" s="280"/>
      <c r="YC17" s="280"/>
      <c r="YD17" s="280"/>
      <c r="YE17" s="163"/>
      <c r="YF17" s="163"/>
      <c r="YG17" s="280"/>
      <c r="YH17" s="280"/>
      <c r="YI17" s="280"/>
      <c r="YJ17" s="280"/>
      <c r="YK17" s="280"/>
      <c r="YL17" s="280"/>
      <c r="YM17" s="280"/>
      <c r="YN17" s="280"/>
      <c r="YO17" s="280"/>
      <c r="YP17" s="280"/>
      <c r="YQ17" s="280"/>
      <c r="YR17" s="280"/>
      <c r="YS17" s="280"/>
      <c r="YT17" s="280"/>
      <c r="YU17" s="280"/>
      <c r="YV17" s="280"/>
      <c r="YW17" s="280"/>
      <c r="YX17" s="280"/>
      <c r="YY17" s="280"/>
      <c r="YZ17" s="280"/>
      <c r="ZA17" s="280"/>
      <c r="ZB17" s="280"/>
      <c r="ZC17" s="280"/>
      <c r="ZD17" s="280"/>
      <c r="ZE17" s="280"/>
      <c r="ZF17" s="280"/>
      <c r="ZG17" s="280"/>
      <c r="ZH17" s="280"/>
      <c r="ZI17" s="280"/>
      <c r="ZJ17" s="280"/>
      <c r="ZK17" s="280"/>
      <c r="ZL17" s="280"/>
      <c r="ZM17" s="280"/>
      <c r="ZN17" s="280"/>
      <c r="ZO17" s="280"/>
      <c r="ZP17" s="280"/>
      <c r="ZQ17" s="280"/>
      <c r="ZR17" s="280"/>
      <c r="ZS17" s="280"/>
      <c r="ZT17" s="280"/>
      <c r="ZU17" s="280"/>
      <c r="ZV17" s="280"/>
      <c r="ZW17" s="280"/>
      <c r="ZX17" s="280"/>
      <c r="ZY17" s="280"/>
      <c r="ZZ17" s="280"/>
      <c r="AAA17" s="280"/>
      <c r="AAB17" s="280"/>
      <c r="AAC17" s="280"/>
      <c r="AAD17" s="160"/>
      <c r="AAE17" s="160"/>
      <c r="AAF17" s="160"/>
      <c r="AAG17" s="160"/>
      <c r="AAH17" s="241"/>
      <c r="AAI17" s="241"/>
      <c r="AAJ17" s="241"/>
      <c r="AAK17" s="241"/>
      <c r="AAL17" s="241"/>
      <c r="AAM17" s="241"/>
      <c r="AAN17" s="241"/>
      <c r="AAO17" s="241"/>
      <c r="AAP17" s="241"/>
      <c r="AAQ17" s="241"/>
      <c r="AAR17" s="241"/>
      <c r="AAS17" s="241"/>
      <c r="AAT17" s="241"/>
      <c r="AAU17" s="241"/>
    </row>
    <row r="18" spans="4:723">
      <c r="D18" s="29">
        <v>15</v>
      </c>
      <c r="E18" s="31" t="s">
        <v>183</v>
      </c>
      <c r="F18" s="25">
        <f>SUMIF('ef-FT'!$C$2001:$C$3800,E18,'ef-FT'!$E$2001:$E$3800)</f>
        <v>20</v>
      </c>
      <c r="G18" s="25">
        <f>SUMIF('ef-FT'!$C$2001:$C$3800,E18,'ef-FT'!$F$2001:$F$3800)</f>
        <v>5</v>
      </c>
      <c r="H18" s="25">
        <f>SUMIF('ef-FT'!$C$2001:$C$3800,E18,'ef-FT'!$G$2001:$G$3800)</f>
        <v>5</v>
      </c>
      <c r="I18" s="25">
        <f>SUMIF('ef-FT'!$C$2001:$C$3800,E18,'ef-FT'!$H$2001:$H$3800)</f>
        <v>10</v>
      </c>
      <c r="J18" s="25">
        <f>SUMIF('ef-FT'!$C$2001:$C$3800,E18,'ef-FT'!$D$2001:$D$3800)</f>
        <v>20</v>
      </c>
      <c r="K18" s="25">
        <f>SUMIF('ef-FT'!$C$2001:$C$3800,E18,'ef-FT'!$I$2001:$I$3800)</f>
        <v>22</v>
      </c>
      <c r="L18" s="25">
        <f>SUMIF('ef-FT'!$C$2001:$C$3800,E18,'ef-FT'!$J$2001:$J$3800)</f>
        <v>30</v>
      </c>
      <c r="M18" s="25" t="str">
        <f>CONCATENATE(K18, " - ",L18)</f>
        <v>22 - 30</v>
      </c>
      <c r="N18" s="25">
        <f>K18-L18</f>
        <v>-8</v>
      </c>
      <c r="O18" s="25">
        <f>SUMIF('ef-FT'!$C$2001:$C$3800,$E18,'ef-FT'!$K$2001:$K$3800)</f>
        <v>7</v>
      </c>
      <c r="P18" s="25">
        <f>SUMIF('ef-FT'!$C$2001:$C$3800,$E18,'ef-FT'!$L$2001:$L$3800)</f>
        <v>5</v>
      </c>
      <c r="Q18" s="55"/>
      <c r="R18" s="25">
        <f>SUMIF('ef-FT'!$C$2001:$C$2999,$E18,'ef-FT'!$E$2001:$E$2999)</f>
        <v>10</v>
      </c>
      <c r="S18" s="25">
        <f>SUMIF('ef-FT'!$C$2001:$C$2999,$E18,'ef-FT'!$F$2001:$F$2999)</f>
        <v>4</v>
      </c>
      <c r="T18" s="25">
        <f>SUMIF('ef-FT'!$C$2001:$C$2999,$E18,'ef-FT'!$G$2001:$G$2999)</f>
        <v>3</v>
      </c>
      <c r="U18" s="25">
        <f>SUMIF('ef-FT'!$C$2001:$C$2999,$E18,'ef-FT'!$H$2001:$H$2999)</f>
        <v>3</v>
      </c>
      <c r="V18" s="25">
        <f>SUMIF('ef-FT'!$C$2001:$C$2999,$E18,'ef-FT'!$D$2001:$D$2999)</f>
        <v>15</v>
      </c>
      <c r="W18" s="25">
        <f>SUMIF('ef-FT'!$C$2001:$C$2999,$E18,'ef-FT'!$I$2001:$I$2999)</f>
        <v>15</v>
      </c>
      <c r="X18" s="25">
        <f>SUMIF('ef-FT'!$C$2001:$C$2999,$E18,'ef-FT'!$J$2001:$J$2999)</f>
        <v>11</v>
      </c>
      <c r="Y18" s="25" t="str">
        <f t="shared" si="375"/>
        <v>15 - 11</v>
      </c>
      <c r="Z18" s="25">
        <f t="shared" si="376"/>
        <v>4</v>
      </c>
      <c r="AA18" s="25">
        <f>SUMIF('ef-FT'!$C$2001:$C$2999,$E18,'ef-FT'!$K$2001:$K$2999)</f>
        <v>3</v>
      </c>
      <c r="AB18" s="25">
        <f>SUMIF('ef-FT'!$C$2001:$C$2999,$E18,'ef-FT'!$L$2001:$L$2999)</f>
        <v>4</v>
      </c>
      <c r="AC18" s="55"/>
      <c r="AD18" s="25">
        <f>SUMIF('ef-FT'!$C$3000:$C$3800,$E18,'ef-FT'!$E$3000:$E$3800)</f>
        <v>10</v>
      </c>
      <c r="AE18" s="25">
        <f>SUMIF('ef-FT'!$C$3000:$C$3800,$E18,'ef-FT'!$F$3000:$F$3800)</f>
        <v>1</v>
      </c>
      <c r="AF18" s="25">
        <f>SUMIF('ef-FT'!$C$3000:$C$3800,$E18,'ef-FT'!$G$3000:$G$3800)</f>
        <v>2</v>
      </c>
      <c r="AG18" s="25">
        <f>SUMIF('ef-FT'!$C$3000:$C$3800,$E18,'ef-FT'!$H$3000:$H$3800)</f>
        <v>7</v>
      </c>
      <c r="AH18" s="25">
        <f>SUMIF('ef-FT'!$C$3000:$C$3800,$E18,'ef-FT'!$D$3000:$D$3800)</f>
        <v>5</v>
      </c>
      <c r="AI18" s="25">
        <f>SUMIF('ef-FT'!$C$3000:$C$3800,$E18,'ef-FT'!$I$3000:$I$3800)</f>
        <v>7</v>
      </c>
      <c r="AJ18" s="25">
        <f>SUMIF('ef-FT'!$C$3000:$C$3800,$E18,'ef-FT'!$J$3000:$J$3800)</f>
        <v>19</v>
      </c>
      <c r="AK18" s="25" t="str">
        <f t="shared" si="377"/>
        <v>7 - 19</v>
      </c>
      <c r="AL18" s="25">
        <f t="shared" si="378"/>
        <v>-12</v>
      </c>
      <c r="AM18" s="25">
        <f>SUMIF('ef-FT'!$C$3000:$C$3800,$E18,'ef-FT'!$K$3000:$K$3800)</f>
        <v>4</v>
      </c>
      <c r="AN18" s="25">
        <f>SUMIF('ef-FT'!$C$3000:$C$3800,$E18,'ef-FT'!$L$3000:$L$3800)</f>
        <v>1</v>
      </c>
      <c r="AO18" s="26"/>
      <c r="AP18" s="27">
        <v>0.15</v>
      </c>
      <c r="AQ18" s="28">
        <f t="shared" si="379"/>
        <v>1001999920022.15</v>
      </c>
      <c r="AR18" s="29">
        <v>7</v>
      </c>
      <c r="AS18" s="28">
        <f>LARGE($AQ$12:$AQ$32,AR18)</f>
        <v>1001999920022.15</v>
      </c>
      <c r="AT18" s="29">
        <f t="shared" si="380"/>
        <v>7</v>
      </c>
      <c r="AU18" s="30" t="str">
        <f t="shared" si="381"/>
        <v>Houston</v>
      </c>
      <c r="AV18" s="29">
        <f t="shared" si="382"/>
        <v>20</v>
      </c>
      <c r="AW18" s="29">
        <f t="shared" si="383"/>
        <v>5</v>
      </c>
      <c r="AX18" s="29">
        <f t="shared" si="384"/>
        <v>5</v>
      </c>
      <c r="AY18" s="29">
        <f t="shared" si="385"/>
        <v>10</v>
      </c>
      <c r="AZ18" s="29">
        <f t="shared" si="386"/>
        <v>20</v>
      </c>
      <c r="BA18" s="29" t="str">
        <f t="shared" si="387"/>
        <v>22 - 30</v>
      </c>
      <c r="BB18" s="29">
        <f t="shared" si="388"/>
        <v>-8</v>
      </c>
      <c r="BC18" s="90">
        <f>VLOOKUP($AT18+$AT$11,$D$12:R$33,15,0)</f>
        <v>10</v>
      </c>
      <c r="BD18" s="90">
        <f>VLOOKUP($AT18+$AT$11,$D$12:S$33,16,0)</f>
        <v>4</v>
      </c>
      <c r="BE18" s="90">
        <f>VLOOKUP($AT18+$AT$11,$D$12:T$33,17,0)</f>
        <v>3</v>
      </c>
      <c r="BF18" s="90">
        <f>VLOOKUP($AT18+$AT$11,$D$12:U$33,18,0)</f>
        <v>3</v>
      </c>
      <c r="BG18" s="90">
        <f>VLOOKUP($AT18+$AT$11,$D$12:V$33,19,0)</f>
        <v>15</v>
      </c>
      <c r="BH18" s="90" t="str">
        <f>VLOOKUP($AT18+$AT$11,$D$12:Y$33,22,0)</f>
        <v>15 - 11</v>
      </c>
      <c r="BI18" s="90">
        <f>VLOOKUP($AT18+$AT$11,$D$12:Z$33,23,0)</f>
        <v>4</v>
      </c>
      <c r="BJ18" s="90">
        <f>VLOOKUP($AT18+$AT$11,$D$12:AD$33,27,0)</f>
        <v>10</v>
      </c>
      <c r="BK18" s="90">
        <f>VLOOKUP($AT18+$AT$11,$D$12:AE$33,28,0)</f>
        <v>1</v>
      </c>
      <c r="BL18" s="90">
        <f>VLOOKUP($AT18+$AT$11,$D$12:AF$33,29,0)</f>
        <v>2</v>
      </c>
      <c r="BM18" s="90">
        <f>VLOOKUP($AT18+$AT$11,$D$12:AG$33,30,0)</f>
        <v>7</v>
      </c>
      <c r="BN18" s="90">
        <f>VLOOKUP($AT18+$AT$11,$D$12:AH$33,31,0)</f>
        <v>5</v>
      </c>
      <c r="BO18" s="90" t="str">
        <f>VLOOKUP($AT18+$AT$11,$D$12:AK$35,34,0)</f>
        <v>7 - 19</v>
      </c>
      <c r="BP18" s="90">
        <f>VLOOKUP($AT18+$AT$11,$D$12:AL$35,35,0)</f>
        <v>-12</v>
      </c>
      <c r="BS18" s="10" t="s">
        <v>41</v>
      </c>
      <c r="BT18" s="123">
        <v>0</v>
      </c>
      <c r="BU18" s="123">
        <f t="shared" ref="BU4:BU38" si="405">BT18+$BU$2</f>
        <v>0.16666666666666666</v>
      </c>
      <c r="BV18" s="10" t="s">
        <v>64</v>
      </c>
      <c r="CA18" s="130">
        <f t="shared" si="119"/>
        <v>20.149999999999999</v>
      </c>
      <c r="CB18" s="130">
        <f t="shared" si="120"/>
        <v>19.850000000000001</v>
      </c>
      <c r="CC18" s="130">
        <f t="shared" si="121"/>
        <v>5.15</v>
      </c>
      <c r="CD18" s="130">
        <f t="shared" si="122"/>
        <v>4.8499999999999996</v>
      </c>
      <c r="CE18" s="130">
        <f t="shared" si="123"/>
        <v>10.15</v>
      </c>
      <c r="CF18" s="130">
        <f t="shared" si="124"/>
        <v>9.85</v>
      </c>
      <c r="CG18" s="130">
        <f t="shared" si="125"/>
        <v>22.15</v>
      </c>
      <c r="CH18" s="130">
        <f t="shared" si="126"/>
        <v>21.85</v>
      </c>
      <c r="CI18" s="130">
        <f t="shared" si="127"/>
        <v>30.15</v>
      </c>
      <c r="CJ18" s="130">
        <f t="shared" si="128"/>
        <v>29.85</v>
      </c>
      <c r="CK18" s="130">
        <f t="shared" si="129"/>
        <v>-7.85</v>
      </c>
      <c r="CL18" s="130">
        <f t="shared" si="130"/>
        <v>-8.15</v>
      </c>
      <c r="CM18" s="130">
        <f t="shared" si="131"/>
        <v>7.15</v>
      </c>
      <c r="CN18" s="130">
        <f t="shared" si="132"/>
        <v>6.85</v>
      </c>
      <c r="CO18" s="130">
        <f t="shared" si="133"/>
        <v>5.15</v>
      </c>
      <c r="CP18" s="130">
        <f t="shared" si="134"/>
        <v>4.8499999999999996</v>
      </c>
      <c r="CQ18" s="131"/>
      <c r="CR18" s="130">
        <f t="shared" si="360"/>
        <v>15.15</v>
      </c>
      <c r="CS18" s="130">
        <f t="shared" si="135"/>
        <v>14.85</v>
      </c>
      <c r="CT18" s="130">
        <f t="shared" si="361"/>
        <v>4.1500000000000004</v>
      </c>
      <c r="CU18" s="130">
        <f t="shared" si="362"/>
        <v>3.85</v>
      </c>
      <c r="CV18" s="130">
        <f t="shared" si="363"/>
        <v>3.15</v>
      </c>
      <c r="CW18" s="130">
        <f t="shared" si="364"/>
        <v>2.85</v>
      </c>
      <c r="CX18" s="130">
        <f t="shared" si="365"/>
        <v>15.15</v>
      </c>
      <c r="CY18" s="130">
        <f t="shared" si="366"/>
        <v>14.85</v>
      </c>
      <c r="CZ18" s="130">
        <f t="shared" si="367"/>
        <v>11.15</v>
      </c>
      <c r="DA18" s="130">
        <f t="shared" si="368"/>
        <v>10.85</v>
      </c>
      <c r="DB18" s="130">
        <f t="shared" si="369"/>
        <v>4.1500000000000004</v>
      </c>
      <c r="DC18" s="130">
        <f t="shared" si="370"/>
        <v>3.85</v>
      </c>
      <c r="DD18" s="130">
        <f t="shared" si="371"/>
        <v>3.15</v>
      </c>
      <c r="DE18" s="130">
        <f t="shared" si="372"/>
        <v>2.85</v>
      </c>
      <c r="DF18" s="130">
        <f t="shared" si="373"/>
        <v>4.1500000000000004</v>
      </c>
      <c r="DG18" s="130">
        <f t="shared" si="374"/>
        <v>3.85</v>
      </c>
      <c r="DH18" s="131"/>
      <c r="DI18" s="130">
        <f t="shared" si="389"/>
        <v>5.15</v>
      </c>
      <c r="DJ18" s="130">
        <f t="shared" si="136"/>
        <v>-0.15</v>
      </c>
      <c r="DK18" s="130">
        <f t="shared" si="390"/>
        <v>1.1499999999999999</v>
      </c>
      <c r="DL18" s="130">
        <f t="shared" si="391"/>
        <v>0.85</v>
      </c>
      <c r="DM18" s="130">
        <f t="shared" si="392"/>
        <v>7.15</v>
      </c>
      <c r="DN18" s="130">
        <f t="shared" si="393"/>
        <v>6.85</v>
      </c>
      <c r="DO18" s="130">
        <f t="shared" si="394"/>
        <v>7.15</v>
      </c>
      <c r="DP18" s="130">
        <f t="shared" si="395"/>
        <v>6.85</v>
      </c>
      <c r="DQ18" s="130">
        <f t="shared" si="396"/>
        <v>19.149999999999999</v>
      </c>
      <c r="DR18" s="130">
        <f t="shared" si="397"/>
        <v>18.850000000000001</v>
      </c>
      <c r="DS18" s="130">
        <f t="shared" si="398"/>
        <v>-11.85</v>
      </c>
      <c r="DT18" s="130">
        <f t="shared" si="399"/>
        <v>-12.15</v>
      </c>
      <c r="DU18" s="130">
        <f t="shared" si="400"/>
        <v>4.1500000000000004</v>
      </c>
      <c r="DV18" s="130">
        <f t="shared" si="401"/>
        <v>3.85</v>
      </c>
      <c r="DW18" s="130">
        <f t="shared" si="402"/>
        <v>1.1499999999999999</v>
      </c>
      <c r="DX18" s="130">
        <f t="shared" si="403"/>
        <v>0.85</v>
      </c>
      <c r="DY18" s="132"/>
      <c r="DZ18" s="115">
        <v>15</v>
      </c>
      <c r="EA18" s="115">
        <v>16</v>
      </c>
      <c r="EB18" s="10">
        <f t="shared" si="137"/>
        <v>7</v>
      </c>
      <c r="EC18" s="10">
        <f t="shared" si="138"/>
        <v>10</v>
      </c>
      <c r="ED18" s="10">
        <f t="shared" si="139"/>
        <v>7</v>
      </c>
      <c r="EE18" s="10">
        <f t="shared" si="140"/>
        <v>10</v>
      </c>
      <c r="EF18" s="10">
        <f t="shared" si="141"/>
        <v>9</v>
      </c>
      <c r="EG18" s="10">
        <f t="shared" si="142"/>
        <v>16</v>
      </c>
      <c r="EH18" s="10">
        <f t="shared" si="143"/>
        <v>6</v>
      </c>
      <c r="EI18" s="10">
        <f t="shared" si="144"/>
        <v>9</v>
      </c>
      <c r="EJ18" s="10">
        <f t="shared" si="145"/>
        <v>10</v>
      </c>
      <c r="EK18" s="10">
        <f t="shared" si="146"/>
        <v>7</v>
      </c>
      <c r="EL18" s="10">
        <f t="shared" si="147"/>
        <v>7</v>
      </c>
      <c r="EM18" s="10">
        <f t="shared" si="148"/>
        <v>9</v>
      </c>
      <c r="EN18" s="10">
        <f t="shared" si="149"/>
        <v>7</v>
      </c>
      <c r="EO18" s="10">
        <f t="shared" si="150"/>
        <v>6</v>
      </c>
      <c r="EP18" s="10">
        <f t="shared" si="151"/>
        <v>8</v>
      </c>
      <c r="EQ18" s="10">
        <f t="shared" si="152"/>
        <v>10</v>
      </c>
      <c r="ES18" s="10">
        <f t="shared" si="153"/>
        <v>5</v>
      </c>
      <c r="ET18" s="10">
        <f t="shared" si="154"/>
        <v>1</v>
      </c>
      <c r="EU18" s="10">
        <f t="shared" si="155"/>
        <v>5</v>
      </c>
      <c r="EV18" s="10">
        <f t="shared" si="154"/>
        <v>1</v>
      </c>
      <c r="EW18" s="10">
        <f t="shared" si="156"/>
        <v>3</v>
      </c>
      <c r="EX18" s="10">
        <f t="shared" si="157"/>
        <v>16</v>
      </c>
      <c r="EY18" s="10">
        <f t="shared" si="158"/>
        <v>5</v>
      </c>
      <c r="EZ18" s="10">
        <f t="shared" si="159"/>
        <v>9</v>
      </c>
      <c r="FA18" s="10">
        <f t="shared" si="160"/>
        <v>10</v>
      </c>
      <c r="FB18" s="10">
        <f t="shared" si="161"/>
        <v>12</v>
      </c>
      <c r="FC18" s="10">
        <f t="shared" si="162"/>
        <v>16</v>
      </c>
      <c r="FD18" s="10">
        <f t="shared" si="163"/>
        <v>9</v>
      </c>
      <c r="FE18" s="10">
        <f t="shared" si="164"/>
        <v>13</v>
      </c>
      <c r="FF18" s="10">
        <f t="shared" si="165"/>
        <v>6</v>
      </c>
      <c r="FG18" s="10">
        <f t="shared" si="166"/>
        <v>8</v>
      </c>
      <c r="FH18" s="10">
        <f t="shared" si="167"/>
        <v>1</v>
      </c>
      <c r="FJ18" s="10">
        <f t="shared" si="168"/>
        <v>4</v>
      </c>
      <c r="FK18" s="10">
        <f t="shared" si="169"/>
        <v>15</v>
      </c>
      <c r="FL18" s="10">
        <f t="shared" si="170"/>
        <v>8</v>
      </c>
      <c r="FM18" s="10">
        <f t="shared" si="171"/>
        <v>14</v>
      </c>
      <c r="FN18" s="10">
        <f t="shared" si="172"/>
        <v>9</v>
      </c>
      <c r="FO18" s="10">
        <f t="shared" si="173"/>
        <v>15</v>
      </c>
      <c r="FP18" s="10">
        <f t="shared" si="174"/>
        <v>4</v>
      </c>
      <c r="FQ18" s="10">
        <f t="shared" si="175"/>
        <v>9</v>
      </c>
      <c r="FR18" s="10">
        <f t="shared" si="176"/>
        <v>14</v>
      </c>
      <c r="FS18" s="10">
        <f t="shared" si="177"/>
        <v>15</v>
      </c>
      <c r="FT18" s="10">
        <f t="shared" si="178"/>
        <v>15</v>
      </c>
      <c r="FU18" s="10">
        <f t="shared" si="179"/>
        <v>11</v>
      </c>
      <c r="FV18" s="10">
        <f t="shared" si="180"/>
        <v>5</v>
      </c>
      <c r="FW18" s="10">
        <f t="shared" si="181"/>
        <v>6</v>
      </c>
      <c r="FX18" s="10">
        <f t="shared" si="182"/>
        <v>15</v>
      </c>
      <c r="FY18" s="10">
        <f t="shared" si="183"/>
        <v>12</v>
      </c>
      <c r="GA18" s="10">
        <f>IF(lg!$C$18=1,EB18,IF(lg!$C$18=2,ES18,FJ18))</f>
        <v>7</v>
      </c>
      <c r="GB18" s="10">
        <f>IF(lg!$C$18=1,EC18,IF(lg!$C$18=2,ET18,FK18))</f>
        <v>10</v>
      </c>
      <c r="GC18" s="10">
        <f>IF(lg!$C$18=1,ED18,IF(lg!$C$18=2,EU18,FL18))</f>
        <v>7</v>
      </c>
      <c r="GD18" s="10">
        <f>IF(lg!$C$18=1,EE18,IF(lg!$C$18=2,EV18,FM18))</f>
        <v>10</v>
      </c>
      <c r="GE18" s="10">
        <f>IF(lg!$C$18=1,EF18,IF(lg!$C$18=2,EW18,FN18))</f>
        <v>9</v>
      </c>
      <c r="GF18" s="10">
        <f>IF(lg!$C$18=1,EG18,IF(lg!$C$18=2,EX18,FO18))</f>
        <v>16</v>
      </c>
      <c r="GG18" s="10">
        <f>IF(lg!$C$18=1,EH18,IF(lg!$C$18=2,EY18,FP18))</f>
        <v>6</v>
      </c>
      <c r="GH18" s="10">
        <f>IF(lg!$C$18=1,EI18,IF(lg!$C$18=2,EZ18,FQ18))</f>
        <v>9</v>
      </c>
      <c r="GI18" s="10">
        <f>IF(lg!$C$18=1,EJ18,IF(lg!$C$18=2,FA18,FR18))</f>
        <v>10</v>
      </c>
      <c r="GJ18" s="10">
        <f>IF(lg!$C$18=1,EK18,IF(lg!$C$18=2,FB18,FS18))</f>
        <v>7</v>
      </c>
      <c r="GK18" s="10">
        <f>IF(lg!$C$18=1,EL18,IF(lg!$C$18=2,FC18,FT18))</f>
        <v>7</v>
      </c>
      <c r="GL18" s="10">
        <f>IF(lg!$C$18=1,EM18,IF(lg!$C$18=2,FD18,FU18))</f>
        <v>9</v>
      </c>
      <c r="GM18" s="10">
        <f>IF(lg!$C$18=1,EN18,IF(lg!$C$18=2,FE18,FV18))</f>
        <v>7</v>
      </c>
      <c r="GN18" s="10">
        <f>IF(lg!$C$18=1,EO18,IF(lg!$C$18=2,FF18,FW18))</f>
        <v>6</v>
      </c>
      <c r="GO18" s="10">
        <f>IF(lg!$C$18=1,EP18,IF(lg!$C$18=2,FG18,FX18))</f>
        <v>8</v>
      </c>
      <c r="GP18" s="10">
        <f>IF(lg!$C$18=1,EQ18,IF(lg!$C$18=2,FH18,FY18))</f>
        <v>10</v>
      </c>
      <c r="GR18" s="10" t="str">
        <f t="shared" si="184"/>
        <v>Philadelphia Union</v>
      </c>
      <c r="GS18" s="10" t="str">
        <f t="shared" si="31"/>
        <v>Real Salt Lake</v>
      </c>
      <c r="GT18" s="10" t="str">
        <f t="shared" si="32"/>
        <v>Philadelphia Union</v>
      </c>
      <c r="GU18" s="10" t="str">
        <f t="shared" si="33"/>
        <v>Real Salt Lake</v>
      </c>
      <c r="GV18" s="10" t="str">
        <f t="shared" si="34"/>
        <v>Los Angeles</v>
      </c>
      <c r="GW18" s="10" t="str">
        <f t="shared" si="35"/>
        <v>Chivas USA</v>
      </c>
      <c r="GX18" s="10" t="str">
        <f t="shared" si="36"/>
        <v>Kansas City</v>
      </c>
      <c r="GY18" s="10" t="str">
        <f t="shared" si="37"/>
        <v>Los Angeles</v>
      </c>
      <c r="GZ18" s="10" t="str">
        <f t="shared" si="38"/>
        <v>Real Salt Lake</v>
      </c>
      <c r="HA18" s="10" t="str">
        <f t="shared" si="39"/>
        <v>Philadelphia Union</v>
      </c>
      <c r="HB18" s="10" t="str">
        <f t="shared" si="40"/>
        <v>Philadelphia Union</v>
      </c>
      <c r="HC18" s="10" t="str">
        <f t="shared" si="41"/>
        <v>Los Angeles</v>
      </c>
      <c r="HD18" s="10" t="str">
        <f t="shared" si="42"/>
        <v>Philadelphia Union</v>
      </c>
      <c r="HE18" s="10" t="str">
        <f t="shared" si="43"/>
        <v>Kansas City</v>
      </c>
      <c r="HF18" s="10" t="str">
        <f t="shared" si="44"/>
        <v>DC United</v>
      </c>
      <c r="HG18" s="10" t="str">
        <f t="shared" si="45"/>
        <v>Real Salt Lake</v>
      </c>
      <c r="HI18" s="10">
        <v>15</v>
      </c>
      <c r="HJ18" s="115">
        <f>IF(lg!$C$18=1,F18,IF(lg!$C$18=2,R18,AD18))</f>
        <v>20</v>
      </c>
      <c r="HK18" s="115">
        <f>IF(lg!$C$18=1,G18,IF(lg!$C$18=2,S18,AE18))</f>
        <v>5</v>
      </c>
      <c r="HL18" s="115">
        <f>IF(lg!$C$18=1,H18,IF(lg!$C$18=2,T18,AF18))</f>
        <v>5</v>
      </c>
      <c r="HM18" s="115">
        <f>IF(lg!$C$18=1,I18,IF(lg!$C$18=2,U18,AG18))</f>
        <v>10</v>
      </c>
      <c r="HN18" s="115">
        <f>IF(lg!$C$18=1,J18,IF(lg!$C$18=2,V18,AH18))</f>
        <v>20</v>
      </c>
      <c r="HO18" s="115">
        <f>IF(lg!$C$18=1,K18,IF(lg!$C$18=2,W18,AI18))</f>
        <v>22</v>
      </c>
      <c r="HP18" s="115">
        <f>IF(lg!$C$18=1,L18,IF(lg!$C$18=2,X18,AJ18))</f>
        <v>30</v>
      </c>
      <c r="HQ18" s="115" t="str">
        <f>IF(lg!$C$18=1,M18,IF(lg!$C$18=2,Y18,AK18))</f>
        <v>22 - 30</v>
      </c>
      <c r="HR18" s="115">
        <f>IF(lg!$C$18=1,N18,IF(lg!$C$18=2,Z18,AL18))</f>
        <v>-8</v>
      </c>
      <c r="HS18" s="115">
        <f>IF(lg!$C$18=1,O18,IF(lg!$C$18=2,AA18,AM18))</f>
        <v>7</v>
      </c>
      <c r="HT18" s="115">
        <f>IF(lg!$C$18=1,P18,IF(lg!$C$18=2,AB18,AN18))</f>
        <v>5</v>
      </c>
      <c r="HV18" s="115">
        <f t="shared" si="185"/>
        <v>17</v>
      </c>
      <c r="HW18" s="115">
        <f t="shared" si="186"/>
        <v>39</v>
      </c>
      <c r="HX18" s="115">
        <f t="shared" si="187"/>
        <v>4</v>
      </c>
      <c r="HY18" s="115">
        <f t="shared" si="188"/>
        <v>11</v>
      </c>
      <c r="HZ18" s="115">
        <f t="shared" si="189"/>
        <v>3</v>
      </c>
      <c r="IA18" s="115">
        <f t="shared" si="190"/>
        <v>10</v>
      </c>
      <c r="IB18" s="115">
        <f t="shared" si="191"/>
        <v>15</v>
      </c>
      <c r="IC18" s="115">
        <f t="shared" si="192"/>
        <v>32</v>
      </c>
      <c r="ID18" s="115">
        <f t="shared" si="193"/>
        <v>16</v>
      </c>
      <c r="IE18" s="115">
        <f t="shared" si="194"/>
        <v>33</v>
      </c>
      <c r="IF18" s="115">
        <f t="shared" si="195"/>
        <v>-10</v>
      </c>
      <c r="IG18" s="115">
        <f t="shared" si="196"/>
        <v>19</v>
      </c>
      <c r="IH18" s="115">
        <f t="shared" si="197"/>
        <v>3</v>
      </c>
      <c r="II18" s="115">
        <f t="shared" si="198"/>
        <v>9</v>
      </c>
      <c r="IJ18" s="115">
        <f t="shared" si="199"/>
        <v>2</v>
      </c>
      <c r="IK18" s="115">
        <f t="shared" si="200"/>
        <v>9</v>
      </c>
      <c r="IN18" s="77" t="s">
        <v>138</v>
      </c>
      <c r="IO18" s="36" t="s">
        <v>8</v>
      </c>
      <c r="IP18" s="67">
        <f>VLOOKUP('ef-TeamStats'!B2,'ef-FT'!$E$4:$AN$23,23,0)</f>
        <v>1</v>
      </c>
      <c r="IQ18" s="133">
        <f>VLOOKUP('ef-TeamStats'!$B$2,Table!$B$4:$W$23,9,0)</f>
        <v>9</v>
      </c>
      <c r="IR18" s="134">
        <f t="shared" si="47"/>
        <v>0.1111111111111111</v>
      </c>
      <c r="IS18" s="133">
        <f>MATCH('ef-TeamStats'!$B$2,$KE$4:$KE$33,0)</f>
        <v>11</v>
      </c>
      <c r="IT18" s="67"/>
      <c r="IU18" s="36" t="s">
        <v>8</v>
      </c>
      <c r="IV18" s="67">
        <f>VLOOKUP('ef-TeamStats'!G2,'ef-FT'!$E$4:$AN$23,23,0)</f>
        <v>1</v>
      </c>
      <c r="IW18" s="133">
        <f>VLOOKUP('ef-TeamStats'!$G$2,Table!$B$4:$W$23,9,0)</f>
        <v>9</v>
      </c>
      <c r="IX18" s="134">
        <f t="shared" si="48"/>
        <v>0.1111111111111111</v>
      </c>
      <c r="IY18" s="133">
        <f>MATCH('ef-TeamStats'!$G$2,$KE$4:$KE$33,0)</f>
        <v>16</v>
      </c>
      <c r="JB18" s="10">
        <f>IF(lg!$F$18=1,EB18,IF(lg!$F$18=2,ES18,FJ18))</f>
        <v>7</v>
      </c>
      <c r="JC18" s="10">
        <f>IF(lg!$F$18=1,EC18,IF(lg!$F$18=2,ET18,FK18))</f>
        <v>10</v>
      </c>
      <c r="JD18" s="10">
        <f>IF(lg!$F$18=1,ED18,IF(lg!$F$18=2,EU18,FL18))</f>
        <v>7</v>
      </c>
      <c r="JE18" s="10">
        <f>IF(lg!$F$18=1,EE18,IF(lg!$F$18=2,EV18,FM18))</f>
        <v>10</v>
      </c>
      <c r="JF18" s="10">
        <f>IF(lg!$F$18=1,EF18,IF(lg!$F$18=2,EW18,FN18))</f>
        <v>9</v>
      </c>
      <c r="JG18" s="10">
        <f>IF(lg!$F$18=1,EG18,IF(lg!$F$18=2,EX18,FO18))</f>
        <v>16</v>
      </c>
      <c r="JH18" s="10">
        <f>IF(lg!$F$18=1,EH18,IF(lg!$F$18=2,EY18,FP18))</f>
        <v>6</v>
      </c>
      <c r="JI18" s="10">
        <f>IF(lg!$F$18=1,EI18,IF(lg!$F$18=2,EZ18,FQ18))</f>
        <v>9</v>
      </c>
      <c r="JJ18" s="10">
        <f>IF(lg!$F$18=1,EJ18,IF(lg!$F$18=2,FA18,FR18))</f>
        <v>10</v>
      </c>
      <c r="JK18" s="10">
        <f>IF(lg!$F$18=1,EK18,IF(lg!$F$18=2,FB18,FS18))</f>
        <v>7</v>
      </c>
      <c r="JL18" s="10">
        <f>IF(lg!$F$18=1,EL18,IF(lg!$F$18=2,FC18,FT18))</f>
        <v>7</v>
      </c>
      <c r="JM18" s="10">
        <f>IF(lg!$F$18=1,EM18,IF(lg!$F$18=2,FD18,FU18))</f>
        <v>9</v>
      </c>
      <c r="JN18" s="10">
        <f>IF(lg!$F$18=1,EN18,IF(lg!$F$18=2,FE18,FV18))</f>
        <v>7</v>
      </c>
      <c r="JO18" s="10">
        <f>IF(lg!$F$18=1,EO18,IF(lg!$F$18=2,FF18,FW18))</f>
        <v>6</v>
      </c>
      <c r="JP18" s="10">
        <f>IF(lg!$F$18=1,EP18,IF(lg!$F$18=2,FG18,FX18))</f>
        <v>8</v>
      </c>
      <c r="JQ18" s="10">
        <f>IF(lg!$F$18=1,EQ18,IF(lg!$F$18=2,FH18,FY18))</f>
        <v>10</v>
      </c>
      <c r="JS18" s="10" t="str">
        <f t="shared" si="201"/>
        <v>Philadelphia Union</v>
      </c>
      <c r="JT18" s="10" t="str">
        <f t="shared" si="49"/>
        <v>Real Salt Lake</v>
      </c>
      <c r="JU18" s="10" t="str">
        <f t="shared" si="50"/>
        <v>Philadelphia Union</v>
      </c>
      <c r="JV18" s="10" t="str">
        <f t="shared" si="51"/>
        <v>Real Salt Lake</v>
      </c>
      <c r="JW18" s="10" t="str">
        <f t="shared" si="52"/>
        <v>Los Angeles</v>
      </c>
      <c r="JX18" s="10" t="str">
        <f t="shared" si="53"/>
        <v>Chivas USA</v>
      </c>
      <c r="JY18" s="10" t="str">
        <f t="shared" si="54"/>
        <v>Kansas City</v>
      </c>
      <c r="JZ18" s="10" t="str">
        <f t="shared" si="55"/>
        <v>Los Angeles</v>
      </c>
      <c r="KA18" s="10" t="str">
        <f t="shared" si="56"/>
        <v>Real Salt Lake</v>
      </c>
      <c r="KB18" s="10" t="str">
        <f t="shared" si="57"/>
        <v>Philadelphia Union</v>
      </c>
      <c r="KC18" s="10" t="str">
        <f t="shared" si="58"/>
        <v>Philadelphia Union</v>
      </c>
      <c r="KD18" s="10" t="str">
        <f t="shared" si="59"/>
        <v>Los Angeles</v>
      </c>
      <c r="KE18" s="10" t="str">
        <f t="shared" si="60"/>
        <v>Philadelphia Union</v>
      </c>
      <c r="KF18" s="10" t="str">
        <f t="shared" si="61"/>
        <v>Kansas City</v>
      </c>
      <c r="KG18" s="10" t="str">
        <f t="shared" si="62"/>
        <v>DC United</v>
      </c>
      <c r="KH18" s="10" t="str">
        <f t="shared" si="63"/>
        <v>Real Salt Lake</v>
      </c>
      <c r="KL18" s="27">
        <v>0.16</v>
      </c>
      <c r="KM18" s="29">
        <v>15</v>
      </c>
      <c r="KN18" s="31" t="str">
        <f t="shared" si="202"/>
        <v>Houston</v>
      </c>
      <c r="KO18" s="152">
        <f t="shared" si="203"/>
        <v>1</v>
      </c>
      <c r="KP18" s="152">
        <f t="shared" si="204"/>
        <v>1</v>
      </c>
      <c r="KQ18" s="152">
        <f t="shared" si="205"/>
        <v>1</v>
      </c>
      <c r="KR18" s="28">
        <f t="shared" si="206"/>
        <v>1000100000001.16</v>
      </c>
      <c r="KS18" s="29"/>
      <c r="KT18" s="28"/>
      <c r="KU18" s="29">
        <f>RANK(KR18,KR$12:KR$19)</f>
        <v>6</v>
      </c>
      <c r="KV18" s="152">
        <f t="shared" si="207"/>
        <v>4</v>
      </c>
      <c r="KW18" s="152">
        <f t="shared" si="208"/>
        <v>3</v>
      </c>
      <c r="KX18" s="152">
        <f t="shared" si="209"/>
        <v>2</v>
      </c>
      <c r="KY18" s="28">
        <f t="shared" si="210"/>
        <v>1000400010003.16</v>
      </c>
      <c r="KZ18" s="29"/>
      <c r="LA18" s="28"/>
      <c r="LB18" s="29">
        <f>RANK(KY18,KY$12:KY$19)</f>
        <v>3</v>
      </c>
      <c r="LC18" s="152">
        <f t="shared" si="211"/>
        <v>4</v>
      </c>
      <c r="LD18" s="152">
        <f t="shared" si="212"/>
        <v>3</v>
      </c>
      <c r="LE18" s="152">
        <f t="shared" si="213"/>
        <v>4</v>
      </c>
      <c r="LF18" s="28">
        <f t="shared" si="214"/>
        <v>1000399990003.16</v>
      </c>
      <c r="LG18" s="29"/>
      <c r="LH18" s="28"/>
      <c r="LI18" s="29">
        <f>RANK(LF18,LF$12:LF$19)</f>
        <v>6</v>
      </c>
      <c r="LJ18" s="152">
        <f t="shared" si="215"/>
        <v>7</v>
      </c>
      <c r="LK18" s="152">
        <f t="shared" si="216"/>
        <v>6</v>
      </c>
      <c r="LL18" s="152">
        <f t="shared" si="217"/>
        <v>4</v>
      </c>
      <c r="LM18" s="28">
        <f t="shared" si="218"/>
        <v>1000700020006.16</v>
      </c>
      <c r="LN18" s="29"/>
      <c r="LO18" s="28"/>
      <c r="LP18" s="29">
        <f>RANK(LM18,LM$12:LM$19)</f>
        <v>3</v>
      </c>
      <c r="LQ18" s="152">
        <f t="shared" si="219"/>
        <v>7</v>
      </c>
      <c r="LR18" s="152">
        <f t="shared" si="220"/>
        <v>6</v>
      </c>
      <c r="LS18" s="152">
        <f t="shared" si="221"/>
        <v>6</v>
      </c>
      <c r="LT18" s="28">
        <f t="shared" si="222"/>
        <v>1000700000006.16</v>
      </c>
      <c r="LU18" s="29"/>
      <c r="LV18" s="28"/>
      <c r="LW18" s="29">
        <f>RANK(LT18,LT$12:LT$19)</f>
        <v>5</v>
      </c>
      <c r="LX18" s="152">
        <f t="shared" si="223"/>
        <v>10</v>
      </c>
      <c r="LY18" s="152">
        <f t="shared" si="224"/>
        <v>9</v>
      </c>
      <c r="LZ18" s="152">
        <f t="shared" si="225"/>
        <v>6</v>
      </c>
      <c r="MA18" s="28">
        <f t="shared" si="226"/>
        <v>1001000030009.16</v>
      </c>
      <c r="MB18" s="29"/>
      <c r="MC18" s="28"/>
      <c r="MD18" s="29">
        <f>RANK(MA18,MA$12:MA$19)</f>
        <v>3</v>
      </c>
      <c r="ME18" s="152">
        <f t="shared" si="227"/>
        <v>10</v>
      </c>
      <c r="MF18" s="152">
        <f t="shared" si="228"/>
        <v>9</v>
      </c>
      <c r="MG18" s="152">
        <f t="shared" si="229"/>
        <v>7</v>
      </c>
      <c r="MH18" s="28">
        <f t="shared" si="230"/>
        <v>1001000020009.16</v>
      </c>
      <c r="MI18" s="29"/>
      <c r="MJ18" s="28"/>
      <c r="MK18" s="29">
        <f>RANK(MH18,MH$12:MH$19)</f>
        <v>4</v>
      </c>
      <c r="ML18" s="152">
        <f t="shared" si="231"/>
        <v>13</v>
      </c>
      <c r="MM18" s="152">
        <f t="shared" si="232"/>
        <v>11</v>
      </c>
      <c r="MN18" s="152">
        <f t="shared" si="233"/>
        <v>7</v>
      </c>
      <c r="MO18" s="28">
        <f t="shared" si="234"/>
        <v>1001300040011.16</v>
      </c>
      <c r="MP18" s="29"/>
      <c r="MQ18" s="28"/>
      <c r="MR18" s="29">
        <f>RANK(MO18,MO$12:MO$19)</f>
        <v>4</v>
      </c>
      <c r="MS18" s="152">
        <f t="shared" si="235"/>
        <v>13</v>
      </c>
      <c r="MT18" s="152">
        <f t="shared" si="236"/>
        <v>12</v>
      </c>
      <c r="MU18" s="152">
        <f t="shared" si="237"/>
        <v>10</v>
      </c>
      <c r="MV18" s="28">
        <f t="shared" si="238"/>
        <v>1001300020012.16</v>
      </c>
      <c r="MW18" s="29"/>
      <c r="MX18" s="28"/>
      <c r="MY18" s="29">
        <f>RANK(MV18,MV$12:MV$19)</f>
        <v>5</v>
      </c>
      <c r="MZ18" s="152">
        <f t="shared" si="239"/>
        <v>16</v>
      </c>
      <c r="NA18" s="152">
        <f t="shared" si="240"/>
        <v>14</v>
      </c>
      <c r="NB18" s="152">
        <f t="shared" si="241"/>
        <v>10</v>
      </c>
      <c r="NC18" s="28">
        <f t="shared" si="242"/>
        <v>1001600040014.16</v>
      </c>
      <c r="ND18" s="29"/>
      <c r="NE18" s="28"/>
      <c r="NF18" s="29">
        <f>RANK(NC18,NC$12:NC$19)</f>
        <v>5</v>
      </c>
      <c r="NG18" s="152">
        <f t="shared" si="243"/>
        <v>16</v>
      </c>
      <c r="NH18" s="152">
        <f t="shared" si="244"/>
        <v>15</v>
      </c>
      <c r="NI18" s="152">
        <f t="shared" si="245"/>
        <v>13</v>
      </c>
      <c r="NJ18" s="28">
        <f t="shared" si="246"/>
        <v>1001600020015.16</v>
      </c>
      <c r="NK18" s="29"/>
      <c r="NL18" s="28"/>
      <c r="NM18" s="29">
        <f>RANK(NJ18,NJ$12:NJ$19)</f>
        <v>5</v>
      </c>
      <c r="NN18" s="152">
        <f t="shared" si="247"/>
        <v>16</v>
      </c>
      <c r="NO18" s="152">
        <f t="shared" si="248"/>
        <v>16</v>
      </c>
      <c r="NP18" s="152">
        <f t="shared" si="249"/>
        <v>15</v>
      </c>
      <c r="NQ18" s="28">
        <f t="shared" si="250"/>
        <v>1001600010016.16</v>
      </c>
      <c r="NR18" s="29"/>
      <c r="NS18" s="28"/>
      <c r="NT18" s="29">
        <f>RANK(NQ18,NQ$12:NQ$19)</f>
        <v>6</v>
      </c>
      <c r="NU18" s="152">
        <f t="shared" si="251"/>
        <v>16</v>
      </c>
      <c r="NV18" s="152">
        <f t="shared" si="252"/>
        <v>17</v>
      </c>
      <c r="NW18" s="152">
        <f t="shared" si="253"/>
        <v>19</v>
      </c>
      <c r="NX18" s="28">
        <f t="shared" si="254"/>
        <v>1001599980017.16</v>
      </c>
      <c r="NY18" s="29"/>
      <c r="NZ18" s="28"/>
      <c r="OA18" s="29">
        <f>RANK(NX18,NX$12:NX$19)</f>
        <v>6</v>
      </c>
      <c r="OB18" s="152">
        <f t="shared" si="255"/>
        <v>17</v>
      </c>
      <c r="OC18" s="152">
        <f t="shared" si="256"/>
        <v>19</v>
      </c>
      <c r="OD18" s="152">
        <f t="shared" si="257"/>
        <v>21</v>
      </c>
      <c r="OE18" s="28">
        <f t="shared" si="258"/>
        <v>1001699980019.16</v>
      </c>
      <c r="OF18" s="29"/>
      <c r="OG18" s="28"/>
      <c r="OH18" s="29">
        <f>RANK(OE18,OE$12:OE$19)</f>
        <v>6</v>
      </c>
      <c r="OI18" s="152">
        <f t="shared" si="259"/>
        <v>18</v>
      </c>
      <c r="OJ18" s="152">
        <f t="shared" si="260"/>
        <v>20</v>
      </c>
      <c r="OK18" s="152">
        <f t="shared" si="261"/>
        <v>22</v>
      </c>
      <c r="OL18" s="28">
        <f t="shared" si="262"/>
        <v>1001799980020.16</v>
      </c>
      <c r="OM18" s="29"/>
      <c r="ON18" s="28"/>
      <c r="OO18" s="29">
        <f>RANK(OL18,OL$12:OL$19)</f>
        <v>6</v>
      </c>
      <c r="OP18" s="152">
        <f t="shared" si="263"/>
        <v>19</v>
      </c>
      <c r="OQ18" s="152">
        <f t="shared" si="264"/>
        <v>20</v>
      </c>
      <c r="OR18" s="152">
        <f t="shared" si="265"/>
        <v>22</v>
      </c>
      <c r="OS18" s="28">
        <f t="shared" si="266"/>
        <v>1001899980020.16</v>
      </c>
      <c r="OT18" s="29"/>
      <c r="OU18" s="28"/>
      <c r="OV18" s="29">
        <f>RANK(OS18,OS$12:OS$19)</f>
        <v>6</v>
      </c>
      <c r="OW18" s="152">
        <f t="shared" si="267"/>
        <v>19</v>
      </c>
      <c r="OX18" s="152">
        <f t="shared" si="268"/>
        <v>20</v>
      </c>
      <c r="OY18" s="152">
        <f t="shared" si="269"/>
        <v>25</v>
      </c>
      <c r="OZ18" s="28">
        <f t="shared" si="270"/>
        <v>1001899950020.16</v>
      </c>
      <c r="PA18" s="29"/>
      <c r="PB18" s="28"/>
      <c r="PC18" s="29">
        <f>RANK(OZ18,OZ$12:OZ$19)</f>
        <v>6</v>
      </c>
      <c r="PD18" s="152">
        <f t="shared" si="271"/>
        <v>20</v>
      </c>
      <c r="PE18" s="152">
        <f t="shared" si="272"/>
        <v>22</v>
      </c>
      <c r="PF18" s="152">
        <f t="shared" si="273"/>
        <v>27</v>
      </c>
      <c r="PG18" s="28">
        <f t="shared" si="274"/>
        <v>1001999950022.16</v>
      </c>
      <c r="PH18" s="29"/>
      <c r="PI18" s="28"/>
      <c r="PJ18" s="29">
        <f>RANK(PG18,PG$12:PG$19)</f>
        <v>7</v>
      </c>
      <c r="PK18" s="152">
        <f t="shared" si="275"/>
        <v>20</v>
      </c>
      <c r="PL18" s="152">
        <f t="shared" si="276"/>
        <v>22</v>
      </c>
      <c r="PM18" s="152">
        <f t="shared" si="277"/>
        <v>29</v>
      </c>
      <c r="PN18" s="28">
        <f t="shared" si="278"/>
        <v>1001999930022.16</v>
      </c>
      <c r="PO18" s="29"/>
      <c r="PP18" s="28"/>
      <c r="PQ18" s="29">
        <f>RANK(PN18,PN$12:PN$19)</f>
        <v>7</v>
      </c>
      <c r="PR18" s="152">
        <f t="shared" si="279"/>
        <v>20</v>
      </c>
      <c r="PS18" s="152">
        <f t="shared" si="280"/>
        <v>22</v>
      </c>
      <c r="PT18" s="152">
        <f t="shared" si="281"/>
        <v>30</v>
      </c>
      <c r="PU18" s="28">
        <f t="shared" si="282"/>
        <v>1001999920022.16</v>
      </c>
      <c r="PV18" s="29"/>
      <c r="PW18" s="28"/>
      <c r="PX18" s="29">
        <f>RANK(PU18,PU$12:PU$19)</f>
        <v>7</v>
      </c>
      <c r="PY18" s="152">
        <f t="shared" si="283"/>
        <v>20</v>
      </c>
      <c r="PZ18" s="152">
        <f t="shared" si="284"/>
        <v>22</v>
      </c>
      <c r="QA18" s="152">
        <f t="shared" si="285"/>
        <v>30</v>
      </c>
      <c r="QB18" s="28">
        <f t="shared" si="286"/>
        <v>1001999920022.16</v>
      </c>
      <c r="QC18" s="29"/>
      <c r="QD18" s="28"/>
      <c r="QE18" s="29">
        <f>RANK(QB18,QB$12:QB$19)</f>
        <v>7</v>
      </c>
      <c r="QF18" s="152">
        <f t="shared" si="287"/>
        <v>20</v>
      </c>
      <c r="QG18" s="152">
        <f t="shared" si="288"/>
        <v>22</v>
      </c>
      <c r="QH18" s="152">
        <f t="shared" si="289"/>
        <v>30</v>
      </c>
      <c r="QI18" s="28">
        <f t="shared" si="290"/>
        <v>1001999920022.16</v>
      </c>
      <c r="QJ18" s="29"/>
      <c r="QK18" s="28"/>
      <c r="QL18" s="29">
        <f>RANK(QI18,QI$12:QI$19)</f>
        <v>7</v>
      </c>
      <c r="QM18" s="152">
        <f t="shared" si="291"/>
        <v>20</v>
      </c>
      <c r="QN18" s="152">
        <f t="shared" si="292"/>
        <v>22</v>
      </c>
      <c r="QO18" s="152">
        <f t="shared" si="293"/>
        <v>30</v>
      </c>
      <c r="QP18" s="28">
        <f t="shared" si="294"/>
        <v>1001999920022.16</v>
      </c>
      <c r="QQ18" s="29"/>
      <c r="QR18" s="28"/>
      <c r="QS18" s="29">
        <f>RANK(QP18,QP$12:QP$19)</f>
        <v>7</v>
      </c>
      <c r="QT18" s="152">
        <f t="shared" si="295"/>
        <v>20</v>
      </c>
      <c r="QU18" s="152">
        <f t="shared" si="296"/>
        <v>22</v>
      </c>
      <c r="QV18" s="152">
        <f t="shared" si="297"/>
        <v>30</v>
      </c>
      <c r="QW18" s="28">
        <f t="shared" si="298"/>
        <v>1001999920022.16</v>
      </c>
      <c r="QX18" s="29"/>
      <c r="QY18" s="28"/>
      <c r="QZ18" s="29">
        <f>RANK(QW18,QW$12:QW$19)</f>
        <v>7</v>
      </c>
      <c r="RA18" s="152">
        <f t="shared" si="299"/>
        <v>20</v>
      </c>
      <c r="RB18" s="152">
        <f t="shared" si="300"/>
        <v>22</v>
      </c>
      <c r="RC18" s="152">
        <f t="shared" si="301"/>
        <v>30</v>
      </c>
      <c r="RD18" s="28">
        <f t="shared" si="302"/>
        <v>1001999920022.16</v>
      </c>
      <c r="RE18" s="29"/>
      <c r="RF18" s="28"/>
      <c r="RG18" s="29">
        <f>RANK(RD18,RD$12:RD$19)</f>
        <v>7</v>
      </c>
      <c r="RH18" s="152">
        <f t="shared" si="303"/>
        <v>20</v>
      </c>
      <c r="RI18" s="152">
        <f t="shared" si="304"/>
        <v>22</v>
      </c>
      <c r="RJ18" s="152">
        <f t="shared" si="305"/>
        <v>30</v>
      </c>
      <c r="RK18" s="28">
        <f t="shared" si="306"/>
        <v>1001999920022.16</v>
      </c>
      <c r="RL18" s="29"/>
      <c r="RM18" s="28"/>
      <c r="RN18" s="29">
        <f>RANK(RK18,RK$12:RK$19)</f>
        <v>7</v>
      </c>
      <c r="RO18" s="152">
        <f t="shared" si="307"/>
        <v>20</v>
      </c>
      <c r="RP18" s="152">
        <f t="shared" si="308"/>
        <v>22</v>
      </c>
      <c r="RQ18" s="152">
        <f t="shared" si="309"/>
        <v>30</v>
      </c>
      <c r="RR18" s="28">
        <f t="shared" si="310"/>
        <v>1001999920022.16</v>
      </c>
      <c r="RS18" s="29"/>
      <c r="RT18" s="28"/>
      <c r="RU18" s="29">
        <f>RANK(RR18,RR$12:RR$19)</f>
        <v>7</v>
      </c>
      <c r="RV18" s="152">
        <f t="shared" si="311"/>
        <v>20</v>
      </c>
      <c r="RW18" s="152">
        <f t="shared" si="312"/>
        <v>22</v>
      </c>
      <c r="RX18" s="152">
        <f t="shared" si="313"/>
        <v>30</v>
      </c>
      <c r="RY18" s="28">
        <f t="shared" si="314"/>
        <v>1001999920022.16</v>
      </c>
      <c r="RZ18" s="29"/>
      <c r="SA18" s="28"/>
      <c r="SB18" s="29">
        <f>RANK(RY18,RY$12:RY$19)</f>
        <v>7</v>
      </c>
      <c r="SC18" s="152">
        <f t="shared" si="315"/>
        <v>20</v>
      </c>
      <c r="SD18" s="152">
        <f t="shared" si="316"/>
        <v>22</v>
      </c>
      <c r="SE18" s="152">
        <f t="shared" si="317"/>
        <v>30</v>
      </c>
      <c r="SF18" s="28">
        <f t="shared" si="318"/>
        <v>1001999920022.16</v>
      </c>
      <c r="SG18" s="29"/>
      <c r="SH18" s="28"/>
      <c r="SI18" s="29">
        <f>RANK(SF18,SF$12:SF$19)</f>
        <v>7</v>
      </c>
      <c r="SJ18" s="152">
        <f t="shared" si="319"/>
        <v>20</v>
      </c>
      <c r="SK18" s="152">
        <f t="shared" si="320"/>
        <v>22</v>
      </c>
      <c r="SL18" s="152">
        <f t="shared" si="321"/>
        <v>30</v>
      </c>
      <c r="SM18" s="28">
        <f t="shared" si="322"/>
        <v>1001999920022.16</v>
      </c>
      <c r="SN18" s="29"/>
      <c r="SO18" s="28"/>
      <c r="SP18" s="29">
        <f>RANK(SM18,SM$12:SM$19)</f>
        <v>7</v>
      </c>
      <c r="SQ18" s="152">
        <f t="shared" si="323"/>
        <v>20</v>
      </c>
      <c r="SR18" s="152">
        <f t="shared" si="324"/>
        <v>22</v>
      </c>
      <c r="SS18" s="152">
        <f t="shared" si="325"/>
        <v>30</v>
      </c>
      <c r="ST18" s="28">
        <f t="shared" si="326"/>
        <v>1001999920022.16</v>
      </c>
      <c r="SU18" s="29"/>
      <c r="SV18" s="28"/>
      <c r="SW18" s="29">
        <f>RANK(ST18,ST$12:ST$19)</f>
        <v>7</v>
      </c>
      <c r="SX18" s="152">
        <f t="shared" si="327"/>
        <v>20</v>
      </c>
      <c r="SY18" s="152">
        <f t="shared" si="328"/>
        <v>22</v>
      </c>
      <c r="SZ18" s="152">
        <f t="shared" si="329"/>
        <v>30</v>
      </c>
      <c r="TA18" s="28">
        <f t="shared" si="330"/>
        <v>1001999920022.16</v>
      </c>
      <c r="TB18" s="29"/>
      <c r="TC18" s="28"/>
      <c r="TD18" s="29">
        <f>RANK(TA18,TA$12:TA$19)</f>
        <v>7</v>
      </c>
      <c r="TE18" s="152">
        <f t="shared" si="331"/>
        <v>20</v>
      </c>
      <c r="TF18" s="152">
        <f t="shared" si="332"/>
        <v>22</v>
      </c>
      <c r="TG18" s="152">
        <f t="shared" si="333"/>
        <v>30</v>
      </c>
      <c r="TH18" s="28">
        <f t="shared" si="334"/>
        <v>1001999920022.16</v>
      </c>
      <c r="TI18" s="29"/>
      <c r="TJ18" s="28"/>
      <c r="TK18" s="29">
        <f>RANK(TH18,TH$12:TH$19)</f>
        <v>7</v>
      </c>
      <c r="TL18" s="152">
        <f t="shared" si="335"/>
        <v>20</v>
      </c>
      <c r="TM18" s="152">
        <f t="shared" si="336"/>
        <v>22</v>
      </c>
      <c r="TN18" s="152">
        <f t="shared" si="337"/>
        <v>30</v>
      </c>
      <c r="TO18" s="28">
        <f t="shared" si="338"/>
        <v>1001999920022.16</v>
      </c>
      <c r="TP18" s="29"/>
      <c r="TQ18" s="28"/>
      <c r="TR18" s="29">
        <f>RANK(TO18,TO$12:TO$19)</f>
        <v>7</v>
      </c>
      <c r="TS18" s="152">
        <f t="shared" si="339"/>
        <v>20</v>
      </c>
      <c r="TT18" s="152">
        <f t="shared" si="340"/>
        <v>22</v>
      </c>
      <c r="TU18" s="152">
        <f t="shared" si="341"/>
        <v>30</v>
      </c>
      <c r="TV18" s="28">
        <f t="shared" si="342"/>
        <v>1001999920022.16</v>
      </c>
      <c r="TW18" s="29"/>
      <c r="TX18" s="28"/>
      <c r="TY18" s="29">
        <f>RANK(TV18,TV$12:TV$19)</f>
        <v>7</v>
      </c>
      <c r="TZ18" s="152">
        <f t="shared" si="343"/>
        <v>20</v>
      </c>
      <c r="UA18" s="152">
        <f t="shared" si="344"/>
        <v>22</v>
      </c>
      <c r="UB18" s="152">
        <f t="shared" si="345"/>
        <v>30</v>
      </c>
      <c r="UC18" s="28">
        <f t="shared" si="346"/>
        <v>1001999920022.16</v>
      </c>
      <c r="UD18" s="29"/>
      <c r="UE18" s="28"/>
      <c r="UF18" s="29">
        <f>RANK(UC18,UC$12:UC$19)</f>
        <v>7</v>
      </c>
      <c r="UG18" s="152">
        <f t="shared" si="347"/>
        <v>20</v>
      </c>
      <c r="UH18" s="152">
        <f t="shared" si="348"/>
        <v>22</v>
      </c>
      <c r="UI18" s="152">
        <f t="shared" si="349"/>
        <v>30</v>
      </c>
      <c r="UJ18" s="28">
        <f t="shared" si="350"/>
        <v>1001999920022.16</v>
      </c>
      <c r="UK18" s="29"/>
      <c r="UL18" s="28"/>
      <c r="UM18" s="29">
        <f>RANK(UJ18,UJ$12:UJ$19)</f>
        <v>7</v>
      </c>
      <c r="UN18" s="152">
        <f t="shared" si="351"/>
        <v>20</v>
      </c>
      <c r="UO18" s="152">
        <f t="shared" si="352"/>
        <v>22</v>
      </c>
      <c r="UP18" s="152">
        <f t="shared" si="353"/>
        <v>30</v>
      </c>
      <c r="UQ18" s="28">
        <f t="shared" si="354"/>
        <v>1001999920022.16</v>
      </c>
      <c r="UR18" s="29"/>
      <c r="US18" s="28"/>
      <c r="UT18" s="29">
        <f>RANK(UQ18,UQ$12:UQ$19)</f>
        <v>7</v>
      </c>
      <c r="UU18" s="129"/>
      <c r="UV18" s="129" t="str">
        <f t="shared" si="355"/>
        <v>Houston</v>
      </c>
      <c r="UW18" s="129">
        <f t="shared" si="356"/>
        <v>6</v>
      </c>
      <c r="UX18" s="129">
        <f t="shared" ca="1" si="357"/>
        <v>3</v>
      </c>
      <c r="UY18" s="129">
        <f t="shared" ca="1" si="64"/>
        <v>6</v>
      </c>
      <c r="UZ18" s="129">
        <f t="shared" ca="1" si="64"/>
        <v>3</v>
      </c>
      <c r="VA18" s="129">
        <f t="shared" ca="1" si="64"/>
        <v>5</v>
      </c>
      <c r="VB18" s="129">
        <f t="shared" ca="1" si="64"/>
        <v>3</v>
      </c>
      <c r="VC18" s="129">
        <f t="shared" ca="1" si="64"/>
        <v>4</v>
      </c>
      <c r="VD18" s="129">
        <f t="shared" ca="1" si="64"/>
        <v>4</v>
      </c>
      <c r="VE18" s="129">
        <f t="shared" ca="1" si="64"/>
        <v>5</v>
      </c>
      <c r="VF18" s="129">
        <f t="shared" ca="1" si="64"/>
        <v>5</v>
      </c>
      <c r="VG18" s="129">
        <f t="shared" ca="1" si="64"/>
        <v>5</v>
      </c>
      <c r="VH18" s="129">
        <f t="shared" ca="1" si="64"/>
        <v>6</v>
      </c>
      <c r="VI18" s="129">
        <f t="shared" ca="1" si="64"/>
        <v>6</v>
      </c>
      <c r="VJ18" s="129">
        <f t="shared" ca="1" si="64"/>
        <v>6</v>
      </c>
      <c r="VK18" s="129">
        <f t="shared" ca="1" si="64"/>
        <v>6</v>
      </c>
      <c r="VL18" s="129">
        <f t="shared" ca="1" si="64"/>
        <v>6</v>
      </c>
      <c r="VM18" s="129">
        <f t="shared" ca="1" si="64"/>
        <v>6</v>
      </c>
      <c r="VN18" s="129">
        <f t="shared" ca="1" si="64"/>
        <v>7</v>
      </c>
      <c r="VO18" s="129">
        <f t="shared" ca="1" si="65"/>
        <v>7</v>
      </c>
      <c r="VP18" s="129">
        <f t="shared" ca="1" si="65"/>
        <v>7</v>
      </c>
      <c r="VQ18" s="129">
        <f t="shared" ca="1" si="65"/>
        <v>7</v>
      </c>
      <c r="VR18" s="129">
        <f t="shared" ca="1" si="65"/>
        <v>7</v>
      </c>
      <c r="VS18" s="129">
        <f t="shared" ca="1" si="65"/>
        <v>7</v>
      </c>
      <c r="VT18" s="129">
        <f t="shared" ca="1" si="65"/>
        <v>7</v>
      </c>
      <c r="VU18" s="129">
        <f t="shared" ca="1" si="65"/>
        <v>7</v>
      </c>
      <c r="VV18" s="129">
        <f t="shared" ca="1" si="65"/>
        <v>7</v>
      </c>
      <c r="VW18" s="129">
        <f t="shared" ca="1" si="65"/>
        <v>7</v>
      </c>
      <c r="VX18" s="129">
        <f t="shared" ca="1" si="65"/>
        <v>7</v>
      </c>
      <c r="VY18" s="129">
        <f t="shared" ca="1" si="65"/>
        <v>7</v>
      </c>
      <c r="VZ18" s="129">
        <f t="shared" ca="1" si="65"/>
        <v>7</v>
      </c>
      <c r="WA18" s="129">
        <f t="shared" ca="1" si="65"/>
        <v>7</v>
      </c>
      <c r="WB18" s="129">
        <f t="shared" ca="1" si="65"/>
        <v>7</v>
      </c>
      <c r="WC18" s="129">
        <f t="shared" ca="1" si="65"/>
        <v>7</v>
      </c>
      <c r="WD18" s="129">
        <f t="shared" ca="1" si="65"/>
        <v>7</v>
      </c>
      <c r="WE18" s="129">
        <f t="shared" ca="1" si="66"/>
        <v>7</v>
      </c>
      <c r="WF18" s="129">
        <f t="shared" ca="1" si="66"/>
        <v>7</v>
      </c>
      <c r="WG18" s="129">
        <f t="shared" ca="1" si="66"/>
        <v>7</v>
      </c>
      <c r="WH18" s="129">
        <f t="shared" ca="1" si="66"/>
        <v>7</v>
      </c>
      <c r="WJ18" s="87"/>
      <c r="WK18" s="87" t="str">
        <f t="shared" si="358"/>
        <v>Houston</v>
      </c>
      <c r="WL18" s="87">
        <v>7</v>
      </c>
      <c r="WM18" s="87">
        <v>7</v>
      </c>
      <c r="WN18" s="87">
        <f>IF($WI$3&gt;=WN$3,UW18,NA())</f>
        <v>6</v>
      </c>
      <c r="WO18" s="87">
        <f ca="1">IF($WI$3&gt;=WO$3,UX18,NA())</f>
        <v>3</v>
      </c>
      <c r="WP18" s="87">
        <f ca="1">IF($WI$3&gt;=WP$3,UY18,NA())</f>
        <v>6</v>
      </c>
      <c r="WQ18" s="87">
        <f ca="1">IF($WI$3&gt;=WQ$3,UZ18,NA())</f>
        <v>3</v>
      </c>
      <c r="WR18" s="87">
        <f ca="1">IF($WI$3&gt;=WR$3,VA18,NA())</f>
        <v>5</v>
      </c>
      <c r="WS18" s="87">
        <f ca="1">IF($WI$3&gt;=WS$3,VB18,NA())</f>
        <v>3</v>
      </c>
      <c r="WT18" s="87">
        <f ca="1">IF($WI$3&gt;=WT$3,VC18,NA())</f>
        <v>4</v>
      </c>
      <c r="WU18" s="87">
        <f ca="1">IF($WI$3&gt;=WU$3,VD18,NA())</f>
        <v>4</v>
      </c>
      <c r="WV18" s="87">
        <f ca="1">IF($WI$3&gt;=WV$3,VE18,NA())</f>
        <v>5</v>
      </c>
      <c r="WW18" s="87">
        <f ca="1">IF($WI$3&gt;=WW$3,VF18,NA())</f>
        <v>5</v>
      </c>
      <c r="WX18" s="87">
        <f ca="1">IF($WI$3&gt;=WX$3,VG18,NA())</f>
        <v>5</v>
      </c>
      <c r="WY18" s="87">
        <f ca="1">IF($WI$3&gt;=WY$3,VH18,NA())</f>
        <v>6</v>
      </c>
      <c r="WZ18" s="87">
        <f ca="1">IF($WI$3&gt;=WZ$3,VI18,NA())</f>
        <v>6</v>
      </c>
      <c r="XA18" s="87">
        <f ca="1">IF($WI$3&gt;=XA$3,VJ18,NA())</f>
        <v>6</v>
      </c>
      <c r="XB18" s="87">
        <f ca="1">IF($WI$3&gt;=XB$3,VK18,NA())</f>
        <v>6</v>
      </c>
      <c r="XC18" s="87">
        <f ca="1">IF($WI$3&gt;=XC$3,VL18,NA())</f>
        <v>6</v>
      </c>
      <c r="XD18" s="87">
        <f ca="1">IF($WI$3&gt;=XD$3,VM18,NA())</f>
        <v>6</v>
      </c>
      <c r="XE18" s="87">
        <f ca="1">IF($WI$3&gt;=XE$3,VN18,NA())</f>
        <v>7</v>
      </c>
      <c r="XF18" s="87">
        <f ca="1">IF($WI$3&gt;=XF$3,VO18,NA())</f>
        <v>7</v>
      </c>
      <c r="XG18" s="87">
        <f ca="1">IF($WI$3&gt;=XG$3,VP18,NA())</f>
        <v>7</v>
      </c>
      <c r="XH18" s="87">
        <f ca="1">IF($WI$3&gt;=XH$3,VQ18,NA())</f>
        <v>7</v>
      </c>
      <c r="XI18" s="87" t="e">
        <f>IF($WI$3&gt;=XI$3,VR18,NA())</f>
        <v>#N/A</v>
      </c>
      <c r="XJ18" s="87" t="e">
        <f>IF($WI$3&gt;=XJ$3,VS18,NA())</f>
        <v>#N/A</v>
      </c>
      <c r="XK18" s="87" t="e">
        <f>IF($WI$3&gt;=XK$3,VT18,NA())</f>
        <v>#N/A</v>
      </c>
      <c r="XL18" s="87" t="e">
        <f>IF($WI$3&gt;=XL$3,VU18,NA())</f>
        <v>#N/A</v>
      </c>
      <c r="XM18" s="87" t="e">
        <f>IF($WI$3&gt;=XM$3,VV18,NA())</f>
        <v>#N/A</v>
      </c>
      <c r="XN18" s="87" t="e">
        <f>IF($WI$3&gt;=XN$3,VW18,NA())</f>
        <v>#N/A</v>
      </c>
      <c r="XO18" s="87" t="e">
        <f>IF($WI$3&gt;=XO$3,VX18,NA())</f>
        <v>#N/A</v>
      </c>
      <c r="XP18" s="87" t="e">
        <f>IF($WI$3&gt;=XP$3,VY18,NA())</f>
        <v>#N/A</v>
      </c>
      <c r="XQ18" s="87" t="e">
        <f>IF($WI$3&gt;=XQ$3,VZ18,NA())</f>
        <v>#N/A</v>
      </c>
      <c r="XR18" s="87" t="e">
        <f>IF($WI$3&gt;=XR$3,WA18,NA())</f>
        <v>#N/A</v>
      </c>
      <c r="XS18" s="87" t="e">
        <f>IF($WI$3&gt;=XS$3,WB18,NA())</f>
        <v>#N/A</v>
      </c>
      <c r="XT18" s="87" t="e">
        <f>IF($WI$3&gt;=XT$3,WC18,NA())</f>
        <v>#N/A</v>
      </c>
      <c r="XU18" s="87" t="e">
        <f>IF($WI$3&gt;=XU$3,WD18,NA())</f>
        <v>#N/A</v>
      </c>
      <c r="XV18" s="87" t="e">
        <f>IF($WI$3&gt;=XV$3,WE18,NA())</f>
        <v>#N/A</v>
      </c>
      <c r="XW18" s="87" t="e">
        <f>IF($WI$3&gt;=XW$3,WF18,NA())</f>
        <v>#N/A</v>
      </c>
      <c r="XX18" s="87" t="e">
        <f>IF($WI$3&gt;=XX$3,WG18,NA())</f>
        <v>#N/A</v>
      </c>
      <c r="XY18" s="87" t="e">
        <f>IF($WI$3&gt;=XY$3,WH18,NA())</f>
        <v>#N/A</v>
      </c>
      <c r="YB18" s="280"/>
      <c r="YC18" s="280"/>
      <c r="YD18" s="280"/>
      <c r="YE18" s="163"/>
      <c r="YF18" s="163"/>
      <c r="YG18" s="280"/>
      <c r="YH18" s="280"/>
      <c r="YI18" s="280"/>
      <c r="YJ18" s="280"/>
      <c r="YK18" s="280"/>
      <c r="YL18" s="280"/>
      <c r="YM18" s="280"/>
      <c r="YN18" s="280"/>
      <c r="YO18" s="280"/>
      <c r="YP18" s="280"/>
      <c r="YQ18" s="280"/>
      <c r="YR18" s="280"/>
      <c r="YS18" s="280"/>
      <c r="YT18" s="280"/>
      <c r="YU18" s="280"/>
      <c r="YV18" s="280"/>
      <c r="YW18" s="280"/>
      <c r="YX18" s="280"/>
      <c r="YY18" s="280"/>
      <c r="YZ18" s="280"/>
      <c r="ZA18" s="280"/>
      <c r="ZB18" s="280"/>
      <c r="ZC18" s="280"/>
      <c r="ZD18" s="280"/>
      <c r="ZE18" s="280"/>
      <c r="ZF18" s="280"/>
      <c r="ZG18" s="280"/>
      <c r="ZH18" s="280"/>
      <c r="ZI18" s="280"/>
      <c r="ZJ18" s="280"/>
      <c r="ZK18" s="280"/>
      <c r="ZL18" s="280"/>
      <c r="ZM18" s="280"/>
      <c r="ZN18" s="280"/>
      <c r="ZO18" s="280"/>
      <c r="ZP18" s="280"/>
      <c r="ZQ18" s="280"/>
      <c r="ZR18" s="280"/>
      <c r="ZS18" s="280"/>
      <c r="ZT18" s="280"/>
      <c r="ZU18" s="280"/>
      <c r="ZV18" s="280"/>
      <c r="ZW18" s="280"/>
      <c r="ZX18" s="280"/>
      <c r="ZY18" s="280"/>
      <c r="ZZ18" s="280"/>
      <c r="AAA18" s="280"/>
      <c r="AAB18" s="280"/>
      <c r="AAC18" s="280"/>
      <c r="AAD18" s="160"/>
      <c r="AAE18" s="160"/>
      <c r="AAF18" s="160"/>
      <c r="AAG18" s="160"/>
    </row>
    <row r="19" spans="4:723">
      <c r="D19" s="29">
        <v>16</v>
      </c>
      <c r="E19" s="31" t="s">
        <v>180</v>
      </c>
      <c r="F19" s="25">
        <f>SUMIF('ef-FT'!$C$2001:$C$3800,E19,'ef-FT'!$E$2001:$E$3800)</f>
        <v>19</v>
      </c>
      <c r="G19" s="25">
        <f>SUMIF('ef-FT'!$C$2001:$C$3800,E19,'ef-FT'!$F$2001:$F$3800)</f>
        <v>5</v>
      </c>
      <c r="H19" s="25">
        <f>SUMIF('ef-FT'!$C$2001:$C$3800,E19,'ef-FT'!$G$2001:$G$3800)</f>
        <v>4</v>
      </c>
      <c r="I19" s="25">
        <f>SUMIF('ef-FT'!$C$2001:$C$3800,E19,'ef-FT'!$H$2001:$H$3800)</f>
        <v>10</v>
      </c>
      <c r="J19" s="25">
        <f>SUMIF('ef-FT'!$C$2001:$C$3800,E19,'ef-FT'!$D$2001:$D$3800)</f>
        <v>19</v>
      </c>
      <c r="K19" s="25">
        <f>SUMIF('ef-FT'!$C$2001:$C$3800,E19,'ef-FT'!$I$2001:$I$3800)</f>
        <v>22</v>
      </c>
      <c r="L19" s="25">
        <f>SUMIF('ef-FT'!$C$2001:$C$3800,E19,'ef-FT'!$J$2001:$J$3800)</f>
        <v>25</v>
      </c>
      <c r="M19" s="25" t="str">
        <f>CONCATENATE(K19, " - ",L19)</f>
        <v>22 - 25</v>
      </c>
      <c r="N19" s="25">
        <f>K19-L19</f>
        <v>-3</v>
      </c>
      <c r="O19" s="25">
        <f>SUMIF('ef-FT'!$C$2001:$C$3800,$E19,'ef-FT'!$K$2001:$K$3800)</f>
        <v>7</v>
      </c>
      <c r="P19" s="25">
        <f>SUMIF('ef-FT'!$C$2001:$C$3800,$E19,'ef-FT'!$L$2001:$L$3800)</f>
        <v>4</v>
      </c>
      <c r="Q19" s="55"/>
      <c r="R19" s="25">
        <f>SUMIF('ef-FT'!$C$2001:$C$2999,$E19,'ef-FT'!$E$2001:$E$2999)</f>
        <v>9</v>
      </c>
      <c r="S19" s="25">
        <f>SUMIF('ef-FT'!$C$2001:$C$2999,$E19,'ef-FT'!$F$2001:$F$2999)</f>
        <v>3</v>
      </c>
      <c r="T19" s="25">
        <f>SUMIF('ef-FT'!$C$2001:$C$2999,$E19,'ef-FT'!$G$2001:$G$2999)</f>
        <v>2</v>
      </c>
      <c r="U19" s="25">
        <f>SUMIF('ef-FT'!$C$2001:$C$2999,$E19,'ef-FT'!$H$2001:$H$2999)</f>
        <v>4</v>
      </c>
      <c r="V19" s="25">
        <f>SUMIF('ef-FT'!$C$2001:$C$2999,$E19,'ef-FT'!$D$2001:$D$2999)</f>
        <v>11</v>
      </c>
      <c r="W19" s="25">
        <f>SUMIF('ef-FT'!$C$2001:$C$2999,$E19,'ef-FT'!$I$2001:$I$2999)</f>
        <v>11</v>
      </c>
      <c r="X19" s="25">
        <f>SUMIF('ef-FT'!$C$2001:$C$2999,$E19,'ef-FT'!$J$2001:$J$2999)</f>
        <v>11</v>
      </c>
      <c r="Y19" s="25" t="str">
        <f t="shared" si="375"/>
        <v>11 - 11</v>
      </c>
      <c r="Z19" s="25">
        <f t="shared" si="376"/>
        <v>0</v>
      </c>
      <c r="AA19" s="25">
        <f>SUMIF('ef-FT'!$C$2001:$C$2999,$E19,'ef-FT'!$K$2001:$K$2999)</f>
        <v>3</v>
      </c>
      <c r="AB19" s="25">
        <f>SUMIF('ef-FT'!$C$2001:$C$2999,$E19,'ef-FT'!$L$2001:$L$2999)</f>
        <v>2</v>
      </c>
      <c r="AC19" s="55"/>
      <c r="AD19" s="25">
        <f>SUMIF('ef-FT'!$C$3000:$C$3800,$E19,'ef-FT'!$E$3000:$E$3800)</f>
        <v>10</v>
      </c>
      <c r="AE19" s="25">
        <f>SUMIF('ef-FT'!$C$3000:$C$3800,$E19,'ef-FT'!$F$3000:$F$3800)</f>
        <v>2</v>
      </c>
      <c r="AF19" s="25">
        <f>SUMIF('ef-FT'!$C$3000:$C$3800,$E19,'ef-FT'!$G$3000:$G$3800)</f>
        <v>2</v>
      </c>
      <c r="AG19" s="25">
        <f>SUMIF('ef-FT'!$C$3000:$C$3800,$E19,'ef-FT'!$H$3000:$H$3800)</f>
        <v>6</v>
      </c>
      <c r="AH19" s="25">
        <f>SUMIF('ef-FT'!$C$3000:$C$3800,$E19,'ef-FT'!$D$3000:$D$3800)</f>
        <v>8</v>
      </c>
      <c r="AI19" s="25">
        <f>SUMIF('ef-FT'!$C$3000:$C$3800,$E19,'ef-FT'!$I$3000:$I$3800)</f>
        <v>11</v>
      </c>
      <c r="AJ19" s="25">
        <f>SUMIF('ef-FT'!$C$3000:$C$3800,$E19,'ef-FT'!$J$3000:$J$3800)</f>
        <v>14</v>
      </c>
      <c r="AK19" s="25" t="str">
        <f t="shared" si="377"/>
        <v>11 - 14</v>
      </c>
      <c r="AL19" s="25">
        <f t="shared" si="378"/>
        <v>-3</v>
      </c>
      <c r="AM19" s="25">
        <f>SUMIF('ef-FT'!$C$3000:$C$3800,$E19,'ef-FT'!$K$3000:$K$3800)</f>
        <v>4</v>
      </c>
      <c r="AN19" s="25">
        <f>SUMIF('ef-FT'!$C$3000:$C$3800,$E19,'ef-FT'!$L$3000:$L$3800)</f>
        <v>2</v>
      </c>
      <c r="AO19" s="26"/>
      <c r="AP19" s="27">
        <v>0.14000000000000001</v>
      </c>
      <c r="AQ19" s="28">
        <f t="shared" si="379"/>
        <v>1001899970022.14</v>
      </c>
      <c r="AR19" s="29">
        <v>8</v>
      </c>
      <c r="AS19" s="28">
        <f>LARGE($AQ$12:$AQ$32,AR19)</f>
        <v>1001899970022.14</v>
      </c>
      <c r="AT19" s="29">
        <f t="shared" si="380"/>
        <v>8</v>
      </c>
      <c r="AU19" s="30" t="str">
        <f t="shared" si="381"/>
        <v>Chivas USA</v>
      </c>
      <c r="AV19" s="29">
        <f t="shared" si="382"/>
        <v>19</v>
      </c>
      <c r="AW19" s="29">
        <f t="shared" si="383"/>
        <v>5</v>
      </c>
      <c r="AX19" s="29">
        <f t="shared" si="384"/>
        <v>4</v>
      </c>
      <c r="AY19" s="29">
        <f t="shared" si="385"/>
        <v>10</v>
      </c>
      <c r="AZ19" s="29">
        <f t="shared" si="386"/>
        <v>19</v>
      </c>
      <c r="BA19" s="29" t="str">
        <f t="shared" si="387"/>
        <v>22 - 25</v>
      </c>
      <c r="BB19" s="29">
        <f t="shared" si="388"/>
        <v>-3</v>
      </c>
      <c r="BC19" s="90">
        <f>VLOOKUP($AT19+$AT$11,$D$12:R$33,15,0)</f>
        <v>9</v>
      </c>
      <c r="BD19" s="90">
        <f>VLOOKUP($AT19+$AT$11,$D$12:S$33,16,0)</f>
        <v>3</v>
      </c>
      <c r="BE19" s="90">
        <f>VLOOKUP($AT19+$AT$11,$D$12:T$33,17,0)</f>
        <v>2</v>
      </c>
      <c r="BF19" s="90">
        <f>VLOOKUP($AT19+$AT$11,$D$12:U$33,18,0)</f>
        <v>4</v>
      </c>
      <c r="BG19" s="90">
        <f>VLOOKUP($AT19+$AT$11,$D$12:V$33,19,0)</f>
        <v>11</v>
      </c>
      <c r="BH19" s="90" t="str">
        <f>VLOOKUP($AT19+$AT$11,$D$12:Y$33,22,0)</f>
        <v>11 - 11</v>
      </c>
      <c r="BI19" s="90">
        <f>VLOOKUP($AT19+$AT$11,$D$12:Z$33,23,0)</f>
        <v>0</v>
      </c>
      <c r="BJ19" s="90">
        <f>VLOOKUP($AT19+$AT$11,$D$12:AD$33,27,0)</f>
        <v>10</v>
      </c>
      <c r="BK19" s="90">
        <f>VLOOKUP($AT19+$AT$11,$D$12:AE$33,28,0)</f>
        <v>2</v>
      </c>
      <c r="BL19" s="90">
        <f>VLOOKUP($AT19+$AT$11,$D$12:AF$33,29,0)</f>
        <v>2</v>
      </c>
      <c r="BM19" s="90">
        <f>VLOOKUP($AT19+$AT$11,$D$12:AG$33,30,0)</f>
        <v>6</v>
      </c>
      <c r="BN19" s="90">
        <f>VLOOKUP($AT19+$AT$11,$D$12:AH$33,31,0)</f>
        <v>8</v>
      </c>
      <c r="BO19" s="90" t="str">
        <f>VLOOKUP($AT19+$AT$11,$D$12:AK$35,34,0)</f>
        <v>11 - 14</v>
      </c>
      <c r="BP19" s="90">
        <f>VLOOKUP($AT19+$AT$11,$D$12:AL$35,35,0)</f>
        <v>-3</v>
      </c>
      <c r="BS19" s="10" t="s">
        <v>42</v>
      </c>
      <c r="BT19" s="123">
        <v>4.1666666666665998E-2</v>
      </c>
      <c r="BU19" s="123">
        <f t="shared" si="405"/>
        <v>0.20833333333333265</v>
      </c>
      <c r="BV19" s="10" t="s">
        <v>64</v>
      </c>
      <c r="CA19" s="130">
        <f t="shared" si="119"/>
        <v>19.14</v>
      </c>
      <c r="CB19" s="130">
        <f t="shared" si="120"/>
        <v>18.86</v>
      </c>
      <c r="CC19" s="130">
        <f t="shared" si="121"/>
        <v>5.14</v>
      </c>
      <c r="CD19" s="130">
        <f t="shared" si="122"/>
        <v>4.8600000000000003</v>
      </c>
      <c r="CE19" s="130">
        <f t="shared" si="123"/>
        <v>10.14</v>
      </c>
      <c r="CF19" s="130">
        <f t="shared" si="124"/>
        <v>9.86</v>
      </c>
      <c r="CG19" s="130">
        <f t="shared" si="125"/>
        <v>22.14</v>
      </c>
      <c r="CH19" s="130">
        <f t="shared" si="126"/>
        <v>21.86</v>
      </c>
      <c r="CI19" s="130">
        <f t="shared" si="127"/>
        <v>25.14</v>
      </c>
      <c r="CJ19" s="130">
        <f t="shared" si="128"/>
        <v>24.86</v>
      </c>
      <c r="CK19" s="130">
        <f t="shared" si="129"/>
        <v>-2.86</v>
      </c>
      <c r="CL19" s="130">
        <f t="shared" si="130"/>
        <v>-3.14</v>
      </c>
      <c r="CM19" s="130">
        <f t="shared" si="131"/>
        <v>7.14</v>
      </c>
      <c r="CN19" s="130">
        <f t="shared" si="132"/>
        <v>6.86</v>
      </c>
      <c r="CO19" s="130">
        <f t="shared" si="133"/>
        <v>4.1399999999999997</v>
      </c>
      <c r="CP19" s="130">
        <f t="shared" si="134"/>
        <v>3.86</v>
      </c>
      <c r="CQ19" s="131"/>
      <c r="CR19" s="130">
        <f t="shared" si="360"/>
        <v>11.14</v>
      </c>
      <c r="CS19" s="130">
        <f t="shared" si="135"/>
        <v>10.86</v>
      </c>
      <c r="CT19" s="130">
        <f t="shared" si="361"/>
        <v>3.14</v>
      </c>
      <c r="CU19" s="130">
        <f t="shared" si="362"/>
        <v>2.86</v>
      </c>
      <c r="CV19" s="130">
        <f t="shared" si="363"/>
        <v>4.1399999999999997</v>
      </c>
      <c r="CW19" s="130">
        <f t="shared" si="364"/>
        <v>3.86</v>
      </c>
      <c r="CX19" s="130">
        <f t="shared" si="365"/>
        <v>11.14</v>
      </c>
      <c r="CY19" s="130">
        <f t="shared" si="366"/>
        <v>10.86</v>
      </c>
      <c r="CZ19" s="130">
        <f t="shared" si="367"/>
        <v>11.14</v>
      </c>
      <c r="DA19" s="130">
        <f t="shared" si="368"/>
        <v>10.86</v>
      </c>
      <c r="DB19" s="130">
        <f t="shared" si="369"/>
        <v>0.14000000000000001</v>
      </c>
      <c r="DC19" s="130">
        <f t="shared" si="370"/>
        <v>-0.14000000000000001</v>
      </c>
      <c r="DD19" s="130">
        <f t="shared" si="371"/>
        <v>3.14</v>
      </c>
      <c r="DE19" s="130">
        <f t="shared" si="372"/>
        <v>2.86</v>
      </c>
      <c r="DF19" s="130">
        <f t="shared" si="373"/>
        <v>2.14</v>
      </c>
      <c r="DG19" s="130">
        <f t="shared" si="374"/>
        <v>1.8599999999999999</v>
      </c>
      <c r="DH19" s="131"/>
      <c r="DI19" s="130">
        <f t="shared" si="389"/>
        <v>8.14</v>
      </c>
      <c r="DJ19" s="130">
        <f t="shared" si="136"/>
        <v>-0.14000000000000001</v>
      </c>
      <c r="DK19" s="130">
        <f t="shared" si="390"/>
        <v>2.14</v>
      </c>
      <c r="DL19" s="130">
        <f t="shared" si="391"/>
        <v>1.8599999999999999</v>
      </c>
      <c r="DM19" s="130">
        <f t="shared" si="392"/>
        <v>6.14</v>
      </c>
      <c r="DN19" s="130">
        <f t="shared" si="393"/>
        <v>5.86</v>
      </c>
      <c r="DO19" s="130">
        <f t="shared" si="394"/>
        <v>11.14</v>
      </c>
      <c r="DP19" s="130">
        <f t="shared" si="395"/>
        <v>10.86</v>
      </c>
      <c r="DQ19" s="130">
        <f t="shared" si="396"/>
        <v>14.14</v>
      </c>
      <c r="DR19" s="130">
        <f t="shared" si="397"/>
        <v>13.86</v>
      </c>
      <c r="DS19" s="130">
        <f t="shared" si="398"/>
        <v>-2.86</v>
      </c>
      <c r="DT19" s="130">
        <f t="shared" si="399"/>
        <v>-3.14</v>
      </c>
      <c r="DU19" s="130">
        <f t="shared" si="400"/>
        <v>4.1399999999999997</v>
      </c>
      <c r="DV19" s="130">
        <f t="shared" si="401"/>
        <v>3.86</v>
      </c>
      <c r="DW19" s="130">
        <f t="shared" si="402"/>
        <v>2.14</v>
      </c>
      <c r="DX19" s="130">
        <f t="shared" si="403"/>
        <v>1.8599999999999999</v>
      </c>
      <c r="DY19" s="132"/>
      <c r="DZ19" s="115">
        <v>16</v>
      </c>
      <c r="EA19" s="115">
        <v>15</v>
      </c>
      <c r="EB19" s="10">
        <f t="shared" si="137"/>
        <v>8</v>
      </c>
      <c r="EC19" s="10">
        <f t="shared" si="138"/>
        <v>9</v>
      </c>
      <c r="ED19" s="10">
        <f t="shared" si="139"/>
        <v>8</v>
      </c>
      <c r="EE19" s="10">
        <f t="shared" si="140"/>
        <v>9</v>
      </c>
      <c r="EF19" s="10">
        <f t="shared" si="141"/>
        <v>11</v>
      </c>
      <c r="EG19" s="10">
        <f t="shared" si="142"/>
        <v>8</v>
      </c>
      <c r="EH19" s="10">
        <f t="shared" si="143"/>
        <v>8</v>
      </c>
      <c r="EI19" s="10">
        <f t="shared" si="144"/>
        <v>10</v>
      </c>
      <c r="EJ19" s="10">
        <f t="shared" si="145"/>
        <v>9</v>
      </c>
      <c r="EK19" s="10">
        <f t="shared" si="146"/>
        <v>8</v>
      </c>
      <c r="EL19" s="10">
        <f t="shared" si="147"/>
        <v>8</v>
      </c>
      <c r="EM19" s="10">
        <f t="shared" si="148"/>
        <v>10</v>
      </c>
      <c r="EN19" s="10">
        <f t="shared" si="149"/>
        <v>11</v>
      </c>
      <c r="EO19" s="10">
        <f t="shared" si="150"/>
        <v>8</v>
      </c>
      <c r="EP19" s="10">
        <f t="shared" si="151"/>
        <v>7</v>
      </c>
      <c r="EQ19" s="10">
        <f t="shared" si="152"/>
        <v>9</v>
      </c>
      <c r="ES19" s="10">
        <f t="shared" si="153"/>
        <v>8</v>
      </c>
      <c r="ET19" s="10">
        <f t="shared" si="154"/>
        <v>10</v>
      </c>
      <c r="EU19" s="10">
        <f t="shared" si="155"/>
        <v>8</v>
      </c>
      <c r="EV19" s="10">
        <f t="shared" si="154"/>
        <v>10</v>
      </c>
      <c r="EW19" s="10">
        <f t="shared" si="156"/>
        <v>10</v>
      </c>
      <c r="EX19" s="10">
        <f t="shared" si="157"/>
        <v>8</v>
      </c>
      <c r="EY19" s="10">
        <f t="shared" si="158"/>
        <v>8</v>
      </c>
      <c r="EZ19" s="10">
        <f t="shared" si="159"/>
        <v>10</v>
      </c>
      <c r="FA19" s="10">
        <f t="shared" si="160"/>
        <v>3</v>
      </c>
      <c r="FB19" s="10">
        <f t="shared" si="161"/>
        <v>8</v>
      </c>
      <c r="FC19" s="10">
        <f t="shared" si="162"/>
        <v>8</v>
      </c>
      <c r="FD19" s="10">
        <f t="shared" si="163"/>
        <v>10</v>
      </c>
      <c r="FE19" s="10">
        <f t="shared" si="164"/>
        <v>7</v>
      </c>
      <c r="FF19" s="10">
        <f t="shared" si="165"/>
        <v>8</v>
      </c>
      <c r="FG19" s="10">
        <f t="shared" si="166"/>
        <v>7</v>
      </c>
      <c r="FH19" s="10">
        <f t="shared" si="167"/>
        <v>10</v>
      </c>
      <c r="FJ19" s="10">
        <f t="shared" si="168"/>
        <v>7</v>
      </c>
      <c r="FK19" s="10">
        <f t="shared" si="169"/>
        <v>16</v>
      </c>
      <c r="FL19" s="10">
        <f t="shared" si="170"/>
        <v>15</v>
      </c>
      <c r="FM19" s="10">
        <f t="shared" si="171"/>
        <v>9</v>
      </c>
      <c r="FN19" s="10">
        <f t="shared" si="172"/>
        <v>11</v>
      </c>
      <c r="FO19" s="10">
        <f t="shared" si="173"/>
        <v>7</v>
      </c>
      <c r="FP19" s="10">
        <f t="shared" si="174"/>
        <v>6</v>
      </c>
      <c r="FQ19" s="10">
        <f t="shared" si="175"/>
        <v>11</v>
      </c>
      <c r="FR19" s="10">
        <f t="shared" si="176"/>
        <v>9</v>
      </c>
      <c r="FS19" s="10">
        <f t="shared" si="177"/>
        <v>7</v>
      </c>
      <c r="FT19" s="10">
        <f t="shared" si="178"/>
        <v>8</v>
      </c>
      <c r="FU19" s="10">
        <f t="shared" si="179"/>
        <v>9</v>
      </c>
      <c r="FV19" s="10">
        <f t="shared" si="180"/>
        <v>11</v>
      </c>
      <c r="FW19" s="10">
        <f t="shared" si="181"/>
        <v>8</v>
      </c>
      <c r="FX19" s="10">
        <f t="shared" si="182"/>
        <v>7</v>
      </c>
      <c r="FY19" s="10">
        <f t="shared" si="183"/>
        <v>9</v>
      </c>
      <c r="GA19" s="10">
        <f>IF(lg!$C$18=1,EB19,IF(lg!$C$18=2,ES19,FJ19))</f>
        <v>8</v>
      </c>
      <c r="GB19" s="10">
        <f>IF(lg!$C$18=1,EC19,IF(lg!$C$18=2,ET19,FK19))</f>
        <v>9</v>
      </c>
      <c r="GC19" s="10">
        <f>IF(lg!$C$18=1,ED19,IF(lg!$C$18=2,EU19,FL19))</f>
        <v>8</v>
      </c>
      <c r="GD19" s="10">
        <f>IF(lg!$C$18=1,EE19,IF(lg!$C$18=2,EV19,FM19))</f>
        <v>9</v>
      </c>
      <c r="GE19" s="10">
        <f>IF(lg!$C$18=1,EF19,IF(lg!$C$18=2,EW19,FN19))</f>
        <v>11</v>
      </c>
      <c r="GF19" s="10">
        <f>IF(lg!$C$18=1,EG19,IF(lg!$C$18=2,EX19,FO19))</f>
        <v>8</v>
      </c>
      <c r="GG19" s="10">
        <f>IF(lg!$C$18=1,EH19,IF(lg!$C$18=2,EY19,FP19))</f>
        <v>8</v>
      </c>
      <c r="GH19" s="10">
        <f>IF(lg!$C$18=1,EI19,IF(lg!$C$18=2,EZ19,FQ19))</f>
        <v>10</v>
      </c>
      <c r="GI19" s="10">
        <f>IF(lg!$C$18=1,EJ19,IF(lg!$C$18=2,FA19,FR19))</f>
        <v>9</v>
      </c>
      <c r="GJ19" s="10">
        <f>IF(lg!$C$18=1,EK19,IF(lg!$C$18=2,FB19,FS19))</f>
        <v>8</v>
      </c>
      <c r="GK19" s="10">
        <f>IF(lg!$C$18=1,EL19,IF(lg!$C$18=2,FC19,FT19))</f>
        <v>8</v>
      </c>
      <c r="GL19" s="10">
        <f>IF(lg!$C$18=1,EM19,IF(lg!$C$18=2,FD19,FU19))</f>
        <v>10</v>
      </c>
      <c r="GM19" s="10">
        <f>IF(lg!$C$18=1,EN19,IF(lg!$C$18=2,FE19,FV19))</f>
        <v>11</v>
      </c>
      <c r="GN19" s="10">
        <f>IF(lg!$C$18=1,EO19,IF(lg!$C$18=2,FF19,FW19))</f>
        <v>8</v>
      </c>
      <c r="GO19" s="10">
        <f>IF(lg!$C$18=1,EP19,IF(lg!$C$18=2,FG19,FX19))</f>
        <v>7</v>
      </c>
      <c r="GP19" s="10">
        <f>IF(lg!$C$18=1,EQ19,IF(lg!$C$18=2,FH19,FY19))</f>
        <v>9</v>
      </c>
      <c r="GR19" s="10" t="str">
        <f t="shared" si="184"/>
        <v>DC United</v>
      </c>
      <c r="GS19" s="10" t="str">
        <f t="shared" si="31"/>
        <v>Los Angeles</v>
      </c>
      <c r="GT19" s="10" t="str">
        <f t="shared" si="32"/>
        <v>DC United</v>
      </c>
      <c r="GU19" s="10" t="str">
        <f t="shared" si="33"/>
        <v>Los Angeles</v>
      </c>
      <c r="GV19" s="10" t="str">
        <f t="shared" si="34"/>
        <v>Dallas</v>
      </c>
      <c r="GW19" s="10" t="str">
        <f t="shared" si="35"/>
        <v>DC United</v>
      </c>
      <c r="GX19" s="10" t="str">
        <f t="shared" si="36"/>
        <v>DC United</v>
      </c>
      <c r="GY19" s="10" t="str">
        <f t="shared" si="37"/>
        <v>Real Salt Lake</v>
      </c>
      <c r="GZ19" s="10" t="str">
        <f t="shared" si="38"/>
        <v>Los Angeles</v>
      </c>
      <c r="HA19" s="10" t="str">
        <f t="shared" si="39"/>
        <v>DC United</v>
      </c>
      <c r="HB19" s="10" t="str">
        <f t="shared" si="40"/>
        <v>DC United</v>
      </c>
      <c r="HC19" s="10" t="str">
        <f t="shared" si="41"/>
        <v>Real Salt Lake</v>
      </c>
      <c r="HD19" s="10" t="str">
        <f t="shared" si="42"/>
        <v>Dallas</v>
      </c>
      <c r="HE19" s="10" t="str">
        <f t="shared" si="43"/>
        <v>DC United</v>
      </c>
      <c r="HF19" s="10" t="str">
        <f t="shared" si="44"/>
        <v>Philadelphia Union</v>
      </c>
      <c r="HG19" s="10" t="str">
        <f t="shared" si="45"/>
        <v>Los Angeles</v>
      </c>
      <c r="HI19" s="10">
        <v>16</v>
      </c>
      <c r="HJ19" s="115">
        <f>IF(lg!$C$18=1,F19,IF(lg!$C$18=2,R19,AD19))</f>
        <v>19</v>
      </c>
      <c r="HK19" s="115">
        <f>IF(lg!$C$18=1,G19,IF(lg!$C$18=2,S19,AE19))</f>
        <v>5</v>
      </c>
      <c r="HL19" s="115">
        <f>IF(lg!$C$18=1,H19,IF(lg!$C$18=2,T19,AF19))</f>
        <v>4</v>
      </c>
      <c r="HM19" s="115">
        <f>IF(lg!$C$18=1,I19,IF(lg!$C$18=2,U19,AG19))</f>
        <v>10</v>
      </c>
      <c r="HN19" s="115">
        <f>IF(lg!$C$18=1,J19,IF(lg!$C$18=2,V19,AH19))</f>
        <v>19</v>
      </c>
      <c r="HO19" s="115">
        <f>IF(lg!$C$18=1,K19,IF(lg!$C$18=2,W19,AI19))</f>
        <v>22</v>
      </c>
      <c r="HP19" s="115">
        <f>IF(lg!$C$18=1,L19,IF(lg!$C$18=2,X19,AJ19))</f>
        <v>25</v>
      </c>
      <c r="HQ19" s="115" t="str">
        <f>IF(lg!$C$18=1,M19,IF(lg!$C$18=2,Y19,AK19))</f>
        <v>22 - 25</v>
      </c>
      <c r="HR19" s="115">
        <f>IF(lg!$C$18=1,N19,IF(lg!$C$18=2,Z19,AL19))</f>
        <v>-3</v>
      </c>
      <c r="HS19" s="115">
        <f>IF(lg!$C$18=1,O19,IF(lg!$C$18=2,AA19,AM19))</f>
        <v>7</v>
      </c>
      <c r="HT19" s="115">
        <f>IF(lg!$C$18=1,P19,IF(lg!$C$18=2,AB19,AN19))</f>
        <v>4</v>
      </c>
      <c r="HV19" s="115">
        <f t="shared" si="185"/>
        <v>12</v>
      </c>
      <c r="HW19" s="115">
        <f t="shared" si="186"/>
        <v>43</v>
      </c>
      <c r="HX19" s="115">
        <f t="shared" si="187"/>
        <v>3</v>
      </c>
      <c r="HY19" s="115">
        <f t="shared" si="188"/>
        <v>13</v>
      </c>
      <c r="HZ19" s="115">
        <f t="shared" si="189"/>
        <v>2</v>
      </c>
      <c r="IA19" s="115">
        <f t="shared" si="190"/>
        <v>14</v>
      </c>
      <c r="IB19" s="115">
        <f t="shared" si="191"/>
        <v>13</v>
      </c>
      <c r="IC19" s="115">
        <f t="shared" si="192"/>
        <v>36</v>
      </c>
      <c r="ID19" s="115">
        <f t="shared" si="193"/>
        <v>13</v>
      </c>
      <c r="IE19" s="115">
        <f t="shared" si="194"/>
        <v>35</v>
      </c>
      <c r="IF19" s="115">
        <f t="shared" si="195"/>
        <v>-22</v>
      </c>
      <c r="IG19" s="115">
        <f t="shared" si="196"/>
        <v>20</v>
      </c>
      <c r="IH19" s="115">
        <f t="shared" si="197"/>
        <v>1</v>
      </c>
      <c r="II19" s="115">
        <f t="shared" si="198"/>
        <v>13</v>
      </c>
      <c r="IJ19" s="115">
        <f t="shared" si="199"/>
        <v>0</v>
      </c>
      <c r="IK19" s="115">
        <f t="shared" si="200"/>
        <v>11</v>
      </c>
      <c r="IN19" s="77" t="s">
        <v>77</v>
      </c>
      <c r="IO19" s="36" t="s">
        <v>8</v>
      </c>
      <c r="IP19" s="67">
        <f>VLOOKUP('ef-TeamStats'!B2,'ef-FT'!$E$4:$AN$23,24,0)</f>
        <v>3</v>
      </c>
      <c r="IQ19" s="133">
        <f>VLOOKUP('ef-TeamStats'!$B$2,Table!$B$4:$W$23,9,0)</f>
        <v>9</v>
      </c>
      <c r="IR19" s="134">
        <f t="shared" si="47"/>
        <v>0.33333333333333331</v>
      </c>
      <c r="IS19" s="133">
        <f>MATCH('ef-TeamStats'!$B$2,$KG$4:$KG$33,0)</f>
        <v>1</v>
      </c>
      <c r="IT19" s="67"/>
      <c r="IU19" s="36" t="s">
        <v>8</v>
      </c>
      <c r="IV19" s="67">
        <f>VLOOKUP('ef-TeamStats'!G2,'ef-FT'!$E$4:$AN$23,24,0)</f>
        <v>4</v>
      </c>
      <c r="IW19" s="133">
        <f>VLOOKUP('ef-TeamStats'!$G$2,Table!$B$4:$W$23,9,0)</f>
        <v>9</v>
      </c>
      <c r="IX19" s="134">
        <f t="shared" si="48"/>
        <v>0.44444444444444442</v>
      </c>
      <c r="IY19" s="133">
        <f>MATCH('ef-TeamStats'!$G$2,$KG$4:$KG$33,0)</f>
        <v>10</v>
      </c>
      <c r="JB19" s="10">
        <f>IF(lg!$F$18=1,EB19,IF(lg!$F$18=2,ES19,FJ19))</f>
        <v>8</v>
      </c>
      <c r="JC19" s="10">
        <f>IF(lg!$F$18=1,EC19,IF(lg!$F$18=2,ET19,FK19))</f>
        <v>9</v>
      </c>
      <c r="JD19" s="10">
        <f>IF(lg!$F$18=1,ED19,IF(lg!$F$18=2,EU19,FL19))</f>
        <v>8</v>
      </c>
      <c r="JE19" s="10">
        <f>IF(lg!$F$18=1,EE19,IF(lg!$F$18=2,EV19,FM19))</f>
        <v>9</v>
      </c>
      <c r="JF19" s="10">
        <f>IF(lg!$F$18=1,EF19,IF(lg!$F$18=2,EW19,FN19))</f>
        <v>11</v>
      </c>
      <c r="JG19" s="10">
        <f>IF(lg!$F$18=1,EG19,IF(lg!$F$18=2,EX19,FO19))</f>
        <v>8</v>
      </c>
      <c r="JH19" s="10">
        <f>IF(lg!$F$18=1,EH19,IF(lg!$F$18=2,EY19,FP19))</f>
        <v>8</v>
      </c>
      <c r="JI19" s="10">
        <f>IF(lg!$F$18=1,EI19,IF(lg!$F$18=2,EZ19,FQ19))</f>
        <v>10</v>
      </c>
      <c r="JJ19" s="10">
        <f>IF(lg!$F$18=1,EJ19,IF(lg!$F$18=2,FA19,FR19))</f>
        <v>9</v>
      </c>
      <c r="JK19" s="10">
        <f>IF(lg!$F$18=1,EK19,IF(lg!$F$18=2,FB19,FS19))</f>
        <v>8</v>
      </c>
      <c r="JL19" s="10">
        <f>IF(lg!$F$18=1,EL19,IF(lg!$F$18=2,FC19,FT19))</f>
        <v>8</v>
      </c>
      <c r="JM19" s="10">
        <f>IF(lg!$F$18=1,EM19,IF(lg!$F$18=2,FD19,FU19))</f>
        <v>10</v>
      </c>
      <c r="JN19" s="10">
        <f>IF(lg!$F$18=1,EN19,IF(lg!$F$18=2,FE19,FV19))</f>
        <v>11</v>
      </c>
      <c r="JO19" s="10">
        <f>IF(lg!$F$18=1,EO19,IF(lg!$F$18=2,FF19,FW19))</f>
        <v>8</v>
      </c>
      <c r="JP19" s="10">
        <f>IF(lg!$F$18=1,EP19,IF(lg!$F$18=2,FG19,FX19))</f>
        <v>7</v>
      </c>
      <c r="JQ19" s="10">
        <f>IF(lg!$F$18=1,EQ19,IF(lg!$F$18=2,FH19,FY19))</f>
        <v>9</v>
      </c>
      <c r="JS19" s="10" t="str">
        <f t="shared" si="201"/>
        <v>DC United</v>
      </c>
      <c r="JT19" s="10" t="str">
        <f t="shared" si="49"/>
        <v>Los Angeles</v>
      </c>
      <c r="JU19" s="10" t="str">
        <f t="shared" si="50"/>
        <v>DC United</v>
      </c>
      <c r="JV19" s="10" t="str">
        <f t="shared" si="51"/>
        <v>Los Angeles</v>
      </c>
      <c r="JW19" s="10" t="str">
        <f t="shared" si="52"/>
        <v>Dallas</v>
      </c>
      <c r="JX19" s="10" t="str">
        <f t="shared" si="53"/>
        <v>DC United</v>
      </c>
      <c r="JY19" s="10" t="str">
        <f t="shared" si="54"/>
        <v>DC United</v>
      </c>
      <c r="JZ19" s="10" t="str">
        <f t="shared" si="55"/>
        <v>Real Salt Lake</v>
      </c>
      <c r="KA19" s="10" t="str">
        <f t="shared" si="56"/>
        <v>Los Angeles</v>
      </c>
      <c r="KB19" s="10" t="str">
        <f t="shared" si="57"/>
        <v>DC United</v>
      </c>
      <c r="KC19" s="10" t="str">
        <f t="shared" si="58"/>
        <v>DC United</v>
      </c>
      <c r="KD19" s="10" t="str">
        <f t="shared" si="59"/>
        <v>Real Salt Lake</v>
      </c>
      <c r="KE19" s="10" t="str">
        <f t="shared" si="60"/>
        <v>Dallas</v>
      </c>
      <c r="KF19" s="10" t="str">
        <f t="shared" si="61"/>
        <v>DC United</v>
      </c>
      <c r="KG19" s="10" t="str">
        <f t="shared" si="62"/>
        <v>Philadelphia Union</v>
      </c>
      <c r="KH19" s="10" t="str">
        <f t="shared" si="63"/>
        <v>Los Angeles</v>
      </c>
      <c r="KL19" s="27">
        <v>0.15</v>
      </c>
      <c r="KM19" s="29">
        <v>16</v>
      </c>
      <c r="KN19" s="31" t="str">
        <f t="shared" si="202"/>
        <v>Chivas USA</v>
      </c>
      <c r="KO19" s="152">
        <f t="shared" si="203"/>
        <v>0</v>
      </c>
      <c r="KP19" s="152">
        <f t="shared" si="204"/>
        <v>0</v>
      </c>
      <c r="KQ19" s="152">
        <f t="shared" si="205"/>
        <v>1</v>
      </c>
      <c r="KR19" s="28">
        <f t="shared" si="206"/>
        <v>999999990000.15002</v>
      </c>
      <c r="KS19" s="29"/>
      <c r="KT19" s="28"/>
      <c r="KU19" s="29">
        <f>RANK(KR19,KR$12:KR$19)</f>
        <v>7</v>
      </c>
      <c r="KV19" s="152">
        <f t="shared" si="207"/>
        <v>0</v>
      </c>
      <c r="KW19" s="152">
        <f t="shared" si="208"/>
        <v>0</v>
      </c>
      <c r="KX19" s="152">
        <f t="shared" si="209"/>
        <v>3</v>
      </c>
      <c r="KY19" s="28">
        <f t="shared" si="210"/>
        <v>999999970000.15002</v>
      </c>
      <c r="KZ19" s="29"/>
      <c r="LA19" s="28"/>
      <c r="LB19" s="29">
        <f>RANK(KY19,KY$12:KY$19)</f>
        <v>8</v>
      </c>
      <c r="LC19" s="152">
        <f t="shared" si="211"/>
        <v>3</v>
      </c>
      <c r="LD19" s="152">
        <f t="shared" si="212"/>
        <v>2</v>
      </c>
      <c r="LE19" s="152">
        <f t="shared" si="213"/>
        <v>3</v>
      </c>
      <c r="LF19" s="28">
        <f t="shared" si="214"/>
        <v>1000299990002.15</v>
      </c>
      <c r="LG19" s="29"/>
      <c r="LH19" s="28"/>
      <c r="LI19" s="29">
        <f>RANK(LF19,LF$12:LF$19)</f>
        <v>7</v>
      </c>
      <c r="LJ19" s="152">
        <f t="shared" si="215"/>
        <v>3</v>
      </c>
      <c r="LK19" s="152">
        <f t="shared" si="216"/>
        <v>2</v>
      </c>
      <c r="LL19" s="152">
        <f t="shared" si="217"/>
        <v>6</v>
      </c>
      <c r="LM19" s="28">
        <f t="shared" si="218"/>
        <v>1000299960002.15</v>
      </c>
      <c r="LN19" s="29"/>
      <c r="LO19" s="28"/>
      <c r="LP19" s="29">
        <f>RANK(LM19,LM$12:LM$19)</f>
        <v>8</v>
      </c>
      <c r="LQ19" s="152">
        <f t="shared" si="219"/>
        <v>6</v>
      </c>
      <c r="LR19" s="152">
        <f t="shared" si="220"/>
        <v>5</v>
      </c>
      <c r="LS19" s="152">
        <f t="shared" si="221"/>
        <v>8</v>
      </c>
      <c r="LT19" s="28">
        <f t="shared" si="222"/>
        <v>1000599970005.15</v>
      </c>
      <c r="LU19" s="29"/>
      <c r="LV19" s="28"/>
      <c r="LW19" s="29">
        <f>RANK(LT19,LT$12:LT$19)</f>
        <v>6</v>
      </c>
      <c r="LX19" s="152">
        <f t="shared" si="223"/>
        <v>7</v>
      </c>
      <c r="LY19" s="152">
        <f t="shared" si="224"/>
        <v>6</v>
      </c>
      <c r="LZ19" s="152">
        <f t="shared" si="225"/>
        <v>9</v>
      </c>
      <c r="MA19" s="28">
        <f t="shared" si="226"/>
        <v>1000699970006.15</v>
      </c>
      <c r="MB19" s="29"/>
      <c r="MC19" s="28"/>
      <c r="MD19" s="29">
        <f>RANK(MA19,MA$12:MA$19)</f>
        <v>8</v>
      </c>
      <c r="ME19" s="152">
        <f t="shared" si="227"/>
        <v>10</v>
      </c>
      <c r="MF19" s="152">
        <f t="shared" si="228"/>
        <v>10</v>
      </c>
      <c r="MG19" s="152">
        <f t="shared" si="229"/>
        <v>9</v>
      </c>
      <c r="MH19" s="28">
        <f t="shared" si="230"/>
        <v>1001000010010.15</v>
      </c>
      <c r="MI19" s="29"/>
      <c r="MJ19" s="28"/>
      <c r="MK19" s="29">
        <f>RANK(MH19,MH$12:MH$19)</f>
        <v>5</v>
      </c>
      <c r="ML19" s="152">
        <f t="shared" si="231"/>
        <v>10</v>
      </c>
      <c r="MM19" s="152">
        <f t="shared" si="232"/>
        <v>10</v>
      </c>
      <c r="MN19" s="152">
        <f t="shared" si="233"/>
        <v>11</v>
      </c>
      <c r="MO19" s="28">
        <f t="shared" si="234"/>
        <v>1000999990010.15</v>
      </c>
      <c r="MP19" s="29"/>
      <c r="MQ19" s="28"/>
      <c r="MR19" s="29">
        <f>RANK(MO19,MO$12:MO$19)</f>
        <v>7</v>
      </c>
      <c r="MS19" s="152">
        <f t="shared" si="235"/>
        <v>10</v>
      </c>
      <c r="MT19" s="152">
        <f t="shared" si="236"/>
        <v>10</v>
      </c>
      <c r="MU19" s="152">
        <f t="shared" si="237"/>
        <v>12</v>
      </c>
      <c r="MV19" s="28">
        <f t="shared" si="238"/>
        <v>1000999980010.15</v>
      </c>
      <c r="MW19" s="29"/>
      <c r="MX19" s="28"/>
      <c r="MY19" s="29">
        <f>RANK(MV19,MV$12:MV$19)</f>
        <v>8</v>
      </c>
      <c r="MZ19" s="152">
        <f t="shared" si="239"/>
        <v>10</v>
      </c>
      <c r="NA19" s="152">
        <f t="shared" si="240"/>
        <v>11</v>
      </c>
      <c r="NB19" s="152">
        <f t="shared" si="241"/>
        <v>14</v>
      </c>
      <c r="NC19" s="28">
        <f t="shared" si="242"/>
        <v>1000999970011.15</v>
      </c>
      <c r="ND19" s="29"/>
      <c r="NE19" s="28"/>
      <c r="NF19" s="29">
        <f>RANK(NC19,NC$12:NC$19)</f>
        <v>8</v>
      </c>
      <c r="NG19" s="152">
        <f t="shared" si="243"/>
        <v>10</v>
      </c>
      <c r="NH19" s="152">
        <f t="shared" si="244"/>
        <v>13</v>
      </c>
      <c r="NI19" s="152">
        <f t="shared" si="245"/>
        <v>17</v>
      </c>
      <c r="NJ19" s="28">
        <f t="shared" si="246"/>
        <v>1000999960013.15</v>
      </c>
      <c r="NK19" s="29"/>
      <c r="NL19" s="28"/>
      <c r="NM19" s="29">
        <f>RANK(NJ19,NJ$12:NJ$19)</f>
        <v>8</v>
      </c>
      <c r="NN19" s="152">
        <f t="shared" si="247"/>
        <v>10</v>
      </c>
      <c r="NO19" s="152">
        <f t="shared" si="248"/>
        <v>13</v>
      </c>
      <c r="NP19" s="152">
        <f t="shared" si="249"/>
        <v>18</v>
      </c>
      <c r="NQ19" s="28">
        <f t="shared" si="250"/>
        <v>1000999950013.15</v>
      </c>
      <c r="NR19" s="29"/>
      <c r="NS19" s="28"/>
      <c r="NT19" s="29">
        <f>RANK(NQ19,NQ$12:NQ$19)</f>
        <v>8</v>
      </c>
      <c r="NU19" s="152">
        <f t="shared" si="251"/>
        <v>10</v>
      </c>
      <c r="NV19" s="152">
        <f t="shared" si="252"/>
        <v>14</v>
      </c>
      <c r="NW19" s="152">
        <f t="shared" si="253"/>
        <v>20</v>
      </c>
      <c r="NX19" s="28">
        <f t="shared" si="254"/>
        <v>1000999940014.15</v>
      </c>
      <c r="NY19" s="29"/>
      <c r="NZ19" s="28"/>
      <c r="OA19" s="29">
        <f>RANK(NX19,NX$12:NX$19)</f>
        <v>8</v>
      </c>
      <c r="OB19" s="152">
        <f t="shared" si="255"/>
        <v>11</v>
      </c>
      <c r="OC19" s="152">
        <f t="shared" si="256"/>
        <v>15</v>
      </c>
      <c r="OD19" s="152">
        <f t="shared" si="257"/>
        <v>21</v>
      </c>
      <c r="OE19" s="28">
        <f t="shared" si="258"/>
        <v>1001099940015.15</v>
      </c>
      <c r="OF19" s="29"/>
      <c r="OG19" s="28"/>
      <c r="OH19" s="29">
        <f>RANK(OE19,OE$12:OE$19)</f>
        <v>8</v>
      </c>
      <c r="OI19" s="152">
        <f t="shared" si="259"/>
        <v>14</v>
      </c>
      <c r="OJ19" s="152">
        <f t="shared" si="260"/>
        <v>17</v>
      </c>
      <c r="OK19" s="152">
        <f t="shared" si="261"/>
        <v>21</v>
      </c>
      <c r="OL19" s="28">
        <f t="shared" si="262"/>
        <v>1001399960017.15</v>
      </c>
      <c r="OM19" s="29"/>
      <c r="ON19" s="28"/>
      <c r="OO19" s="29">
        <f>RANK(OL19,OL$12:OL$19)</f>
        <v>8</v>
      </c>
      <c r="OP19" s="152">
        <f t="shared" si="263"/>
        <v>15</v>
      </c>
      <c r="OQ19" s="152">
        <f t="shared" si="264"/>
        <v>18</v>
      </c>
      <c r="OR19" s="152">
        <f t="shared" si="265"/>
        <v>22</v>
      </c>
      <c r="OS19" s="28">
        <f t="shared" si="266"/>
        <v>1001499960018.15</v>
      </c>
      <c r="OT19" s="29"/>
      <c r="OU19" s="28"/>
      <c r="OV19" s="29">
        <f>RANK(OS19,OS$12:OS$19)</f>
        <v>8</v>
      </c>
      <c r="OW19" s="152">
        <f t="shared" si="267"/>
        <v>18</v>
      </c>
      <c r="OX19" s="152">
        <f t="shared" si="268"/>
        <v>21</v>
      </c>
      <c r="OY19" s="152">
        <f t="shared" si="269"/>
        <v>23</v>
      </c>
      <c r="OZ19" s="28">
        <f t="shared" si="270"/>
        <v>1001799980021.15</v>
      </c>
      <c r="PA19" s="29"/>
      <c r="PB19" s="28"/>
      <c r="PC19" s="29">
        <f>RANK(OZ19,OZ$12:OZ$19)</f>
        <v>8</v>
      </c>
      <c r="PD19" s="152">
        <f t="shared" si="271"/>
        <v>18</v>
      </c>
      <c r="PE19" s="152">
        <f t="shared" si="272"/>
        <v>22</v>
      </c>
      <c r="PF19" s="152">
        <f t="shared" si="273"/>
        <v>25</v>
      </c>
      <c r="PG19" s="28">
        <f t="shared" si="274"/>
        <v>1001799970022.15</v>
      </c>
      <c r="PH19" s="29"/>
      <c r="PI19" s="28"/>
      <c r="PJ19" s="29">
        <f>RANK(PG19,PG$12:PG$19)</f>
        <v>8</v>
      </c>
      <c r="PK19" s="152">
        <f t="shared" si="275"/>
        <v>19</v>
      </c>
      <c r="PL19" s="152">
        <f t="shared" si="276"/>
        <v>22</v>
      </c>
      <c r="PM19" s="152">
        <f t="shared" si="277"/>
        <v>25</v>
      </c>
      <c r="PN19" s="28">
        <f t="shared" si="278"/>
        <v>1001899970022.15</v>
      </c>
      <c r="PO19" s="29"/>
      <c r="PP19" s="28"/>
      <c r="PQ19" s="29">
        <f>RANK(PN19,PN$12:PN$19)</f>
        <v>8</v>
      </c>
      <c r="PR19" s="152">
        <f t="shared" si="279"/>
        <v>19</v>
      </c>
      <c r="PS19" s="152">
        <f t="shared" si="280"/>
        <v>22</v>
      </c>
      <c r="PT19" s="152">
        <f t="shared" si="281"/>
        <v>25</v>
      </c>
      <c r="PU19" s="28">
        <f t="shared" si="282"/>
        <v>1001899970022.15</v>
      </c>
      <c r="PV19" s="29"/>
      <c r="PW19" s="28"/>
      <c r="PX19" s="29">
        <f>RANK(PU19,PU$12:PU$19)</f>
        <v>8</v>
      </c>
      <c r="PY19" s="152">
        <f t="shared" si="283"/>
        <v>19</v>
      </c>
      <c r="PZ19" s="152">
        <f t="shared" si="284"/>
        <v>22</v>
      </c>
      <c r="QA19" s="152">
        <f t="shared" si="285"/>
        <v>25</v>
      </c>
      <c r="QB19" s="28">
        <f t="shared" si="286"/>
        <v>1001899970022.15</v>
      </c>
      <c r="QC19" s="29"/>
      <c r="QD19" s="28"/>
      <c r="QE19" s="29">
        <f>RANK(QB19,QB$12:QB$19)</f>
        <v>8</v>
      </c>
      <c r="QF19" s="152">
        <f t="shared" si="287"/>
        <v>19</v>
      </c>
      <c r="QG19" s="152">
        <f t="shared" si="288"/>
        <v>22</v>
      </c>
      <c r="QH19" s="152">
        <f t="shared" si="289"/>
        <v>25</v>
      </c>
      <c r="QI19" s="28">
        <f t="shared" si="290"/>
        <v>1001899970022.15</v>
      </c>
      <c r="QJ19" s="29"/>
      <c r="QK19" s="28"/>
      <c r="QL19" s="29">
        <f>RANK(QI19,QI$12:QI$19)</f>
        <v>8</v>
      </c>
      <c r="QM19" s="152">
        <f t="shared" si="291"/>
        <v>19</v>
      </c>
      <c r="QN19" s="152">
        <f t="shared" si="292"/>
        <v>22</v>
      </c>
      <c r="QO19" s="152">
        <f t="shared" si="293"/>
        <v>25</v>
      </c>
      <c r="QP19" s="28">
        <f t="shared" si="294"/>
        <v>1001899970022.15</v>
      </c>
      <c r="QQ19" s="29"/>
      <c r="QR19" s="28"/>
      <c r="QS19" s="29">
        <f>RANK(QP19,QP$12:QP$19)</f>
        <v>8</v>
      </c>
      <c r="QT19" s="152">
        <f t="shared" si="295"/>
        <v>19</v>
      </c>
      <c r="QU19" s="152">
        <f t="shared" si="296"/>
        <v>22</v>
      </c>
      <c r="QV19" s="152">
        <f t="shared" si="297"/>
        <v>25</v>
      </c>
      <c r="QW19" s="28">
        <f t="shared" si="298"/>
        <v>1001899970022.15</v>
      </c>
      <c r="QX19" s="29"/>
      <c r="QY19" s="28"/>
      <c r="QZ19" s="29">
        <f>RANK(QW19,QW$12:QW$19)</f>
        <v>8</v>
      </c>
      <c r="RA19" s="152">
        <f t="shared" si="299"/>
        <v>19</v>
      </c>
      <c r="RB19" s="152">
        <f t="shared" si="300"/>
        <v>22</v>
      </c>
      <c r="RC19" s="152">
        <f t="shared" si="301"/>
        <v>25</v>
      </c>
      <c r="RD19" s="28">
        <f t="shared" si="302"/>
        <v>1001899970022.15</v>
      </c>
      <c r="RE19" s="29"/>
      <c r="RF19" s="28"/>
      <c r="RG19" s="29">
        <f>RANK(RD19,RD$12:RD$19)</f>
        <v>8</v>
      </c>
      <c r="RH19" s="152">
        <f t="shared" si="303"/>
        <v>19</v>
      </c>
      <c r="RI19" s="152">
        <f t="shared" si="304"/>
        <v>22</v>
      </c>
      <c r="RJ19" s="152">
        <f t="shared" si="305"/>
        <v>25</v>
      </c>
      <c r="RK19" s="28">
        <f t="shared" si="306"/>
        <v>1001899970022.15</v>
      </c>
      <c r="RL19" s="29"/>
      <c r="RM19" s="28"/>
      <c r="RN19" s="29">
        <f>RANK(RK19,RK$12:RK$19)</f>
        <v>8</v>
      </c>
      <c r="RO19" s="152">
        <f t="shared" si="307"/>
        <v>19</v>
      </c>
      <c r="RP19" s="152">
        <f t="shared" si="308"/>
        <v>22</v>
      </c>
      <c r="RQ19" s="152">
        <f t="shared" si="309"/>
        <v>25</v>
      </c>
      <c r="RR19" s="28">
        <f t="shared" si="310"/>
        <v>1001899970022.15</v>
      </c>
      <c r="RS19" s="29"/>
      <c r="RT19" s="28"/>
      <c r="RU19" s="29">
        <f>RANK(RR19,RR$12:RR$19)</f>
        <v>8</v>
      </c>
      <c r="RV19" s="152">
        <f t="shared" si="311"/>
        <v>19</v>
      </c>
      <c r="RW19" s="152">
        <f t="shared" si="312"/>
        <v>22</v>
      </c>
      <c r="RX19" s="152">
        <f t="shared" si="313"/>
        <v>25</v>
      </c>
      <c r="RY19" s="28">
        <f t="shared" si="314"/>
        <v>1001899970022.15</v>
      </c>
      <c r="RZ19" s="29"/>
      <c r="SA19" s="28"/>
      <c r="SB19" s="29">
        <f>RANK(RY19,RY$12:RY$19)</f>
        <v>8</v>
      </c>
      <c r="SC19" s="152">
        <f t="shared" si="315"/>
        <v>19</v>
      </c>
      <c r="SD19" s="152">
        <f t="shared" si="316"/>
        <v>22</v>
      </c>
      <c r="SE19" s="152">
        <f t="shared" si="317"/>
        <v>25</v>
      </c>
      <c r="SF19" s="28">
        <f t="shared" si="318"/>
        <v>1001899970022.15</v>
      </c>
      <c r="SG19" s="29"/>
      <c r="SH19" s="28"/>
      <c r="SI19" s="29">
        <f>RANK(SF19,SF$12:SF$19)</f>
        <v>8</v>
      </c>
      <c r="SJ19" s="152">
        <f t="shared" si="319"/>
        <v>19</v>
      </c>
      <c r="SK19" s="152">
        <f t="shared" si="320"/>
        <v>22</v>
      </c>
      <c r="SL19" s="152">
        <f t="shared" si="321"/>
        <v>25</v>
      </c>
      <c r="SM19" s="28">
        <f t="shared" si="322"/>
        <v>1001899970022.15</v>
      </c>
      <c r="SN19" s="29"/>
      <c r="SO19" s="28"/>
      <c r="SP19" s="29">
        <f>RANK(SM19,SM$12:SM$19)</f>
        <v>8</v>
      </c>
      <c r="SQ19" s="152">
        <f t="shared" si="323"/>
        <v>19</v>
      </c>
      <c r="SR19" s="152">
        <f t="shared" si="324"/>
        <v>22</v>
      </c>
      <c r="SS19" s="152">
        <f t="shared" si="325"/>
        <v>25</v>
      </c>
      <c r="ST19" s="28">
        <f t="shared" si="326"/>
        <v>1001899970022.15</v>
      </c>
      <c r="SU19" s="29"/>
      <c r="SV19" s="28"/>
      <c r="SW19" s="29">
        <f>RANK(ST19,ST$12:ST$19)</f>
        <v>8</v>
      </c>
      <c r="SX19" s="152">
        <f t="shared" si="327"/>
        <v>19</v>
      </c>
      <c r="SY19" s="152">
        <f t="shared" si="328"/>
        <v>22</v>
      </c>
      <c r="SZ19" s="152">
        <f t="shared" si="329"/>
        <v>25</v>
      </c>
      <c r="TA19" s="28">
        <f t="shared" si="330"/>
        <v>1001899970022.15</v>
      </c>
      <c r="TB19" s="29"/>
      <c r="TC19" s="28"/>
      <c r="TD19" s="29">
        <f>RANK(TA19,TA$12:TA$19)</f>
        <v>8</v>
      </c>
      <c r="TE19" s="152">
        <f t="shared" si="331"/>
        <v>19</v>
      </c>
      <c r="TF19" s="152">
        <f t="shared" si="332"/>
        <v>22</v>
      </c>
      <c r="TG19" s="152">
        <f t="shared" si="333"/>
        <v>25</v>
      </c>
      <c r="TH19" s="28">
        <f t="shared" si="334"/>
        <v>1001899970022.15</v>
      </c>
      <c r="TI19" s="29"/>
      <c r="TJ19" s="28"/>
      <c r="TK19" s="29">
        <f>RANK(TH19,TH$12:TH$19)</f>
        <v>8</v>
      </c>
      <c r="TL19" s="152">
        <f t="shared" si="335"/>
        <v>19</v>
      </c>
      <c r="TM19" s="152">
        <f t="shared" si="336"/>
        <v>22</v>
      </c>
      <c r="TN19" s="152">
        <f t="shared" si="337"/>
        <v>25</v>
      </c>
      <c r="TO19" s="28">
        <f t="shared" si="338"/>
        <v>1001899970022.15</v>
      </c>
      <c r="TP19" s="29"/>
      <c r="TQ19" s="28"/>
      <c r="TR19" s="29">
        <f>RANK(TO19,TO$12:TO$19)</f>
        <v>8</v>
      </c>
      <c r="TS19" s="152">
        <f t="shared" si="339"/>
        <v>19</v>
      </c>
      <c r="TT19" s="152">
        <f t="shared" si="340"/>
        <v>22</v>
      </c>
      <c r="TU19" s="152">
        <f t="shared" si="341"/>
        <v>25</v>
      </c>
      <c r="TV19" s="28">
        <f t="shared" si="342"/>
        <v>1001899970022.15</v>
      </c>
      <c r="TW19" s="29"/>
      <c r="TX19" s="28"/>
      <c r="TY19" s="29">
        <f>RANK(TV19,TV$12:TV$19)</f>
        <v>8</v>
      </c>
      <c r="TZ19" s="152">
        <f t="shared" si="343"/>
        <v>19</v>
      </c>
      <c r="UA19" s="152">
        <f t="shared" si="344"/>
        <v>22</v>
      </c>
      <c r="UB19" s="152">
        <f t="shared" si="345"/>
        <v>25</v>
      </c>
      <c r="UC19" s="28">
        <f t="shared" si="346"/>
        <v>1001899970022.15</v>
      </c>
      <c r="UD19" s="29"/>
      <c r="UE19" s="28"/>
      <c r="UF19" s="29">
        <f>RANK(UC19,UC$12:UC$19)</f>
        <v>8</v>
      </c>
      <c r="UG19" s="152">
        <f t="shared" si="347"/>
        <v>19</v>
      </c>
      <c r="UH19" s="152">
        <f t="shared" si="348"/>
        <v>22</v>
      </c>
      <c r="UI19" s="152">
        <f t="shared" si="349"/>
        <v>25</v>
      </c>
      <c r="UJ19" s="28">
        <f t="shared" si="350"/>
        <v>1001899970022.15</v>
      </c>
      <c r="UK19" s="29"/>
      <c r="UL19" s="28"/>
      <c r="UM19" s="29">
        <f>RANK(UJ19,UJ$12:UJ$19)</f>
        <v>8</v>
      </c>
      <c r="UN19" s="152">
        <f t="shared" si="351"/>
        <v>19</v>
      </c>
      <c r="UO19" s="152">
        <f t="shared" si="352"/>
        <v>22</v>
      </c>
      <c r="UP19" s="152">
        <f t="shared" si="353"/>
        <v>25</v>
      </c>
      <c r="UQ19" s="28">
        <f t="shared" si="354"/>
        <v>1001899970022.15</v>
      </c>
      <c r="UR19" s="29"/>
      <c r="US19" s="28"/>
      <c r="UT19" s="29">
        <f>RANK(UQ19,UQ$12:UQ$19)</f>
        <v>8</v>
      </c>
      <c r="UU19" s="129"/>
      <c r="UV19" s="129" t="str">
        <f t="shared" si="355"/>
        <v>Chivas USA</v>
      </c>
      <c r="UW19" s="129">
        <f t="shared" si="356"/>
        <v>7</v>
      </c>
      <c r="UX19" s="129">
        <f t="shared" ca="1" si="357"/>
        <v>8</v>
      </c>
      <c r="UY19" s="129">
        <f t="shared" ca="1" si="64"/>
        <v>7</v>
      </c>
      <c r="UZ19" s="129">
        <f t="shared" ca="1" si="64"/>
        <v>8</v>
      </c>
      <c r="VA19" s="129">
        <f t="shared" ca="1" si="64"/>
        <v>6</v>
      </c>
      <c r="VB19" s="129">
        <f t="shared" ca="1" si="64"/>
        <v>8</v>
      </c>
      <c r="VC19" s="129">
        <f t="shared" ca="1" si="64"/>
        <v>5</v>
      </c>
      <c r="VD19" s="129">
        <f t="shared" ca="1" si="64"/>
        <v>7</v>
      </c>
      <c r="VE19" s="129">
        <f t="shared" ca="1" si="64"/>
        <v>8</v>
      </c>
      <c r="VF19" s="129">
        <f t="shared" ca="1" si="64"/>
        <v>8</v>
      </c>
      <c r="VG19" s="129">
        <f t="shared" ca="1" si="64"/>
        <v>8</v>
      </c>
      <c r="VH19" s="129">
        <f t="shared" ca="1" si="64"/>
        <v>8</v>
      </c>
      <c r="VI19" s="129">
        <f t="shared" ca="1" si="64"/>
        <v>8</v>
      </c>
      <c r="VJ19" s="129">
        <f t="shared" ca="1" si="64"/>
        <v>8</v>
      </c>
      <c r="VK19" s="129">
        <f t="shared" ca="1" si="64"/>
        <v>8</v>
      </c>
      <c r="VL19" s="129">
        <f t="shared" ca="1" si="64"/>
        <v>8</v>
      </c>
      <c r="VM19" s="129">
        <f t="shared" ca="1" si="64"/>
        <v>8</v>
      </c>
      <c r="VN19" s="129">
        <f t="shared" ref="VN19:WC33" ca="1" si="406">OFFSET($KU19,0,VN$3)</f>
        <v>8</v>
      </c>
      <c r="VO19" s="129">
        <f t="shared" ca="1" si="65"/>
        <v>8</v>
      </c>
      <c r="VP19" s="129">
        <f t="shared" ca="1" si="65"/>
        <v>8</v>
      </c>
      <c r="VQ19" s="129">
        <f t="shared" ca="1" si="65"/>
        <v>8</v>
      </c>
      <c r="VR19" s="129">
        <f t="shared" ca="1" si="65"/>
        <v>8</v>
      </c>
      <c r="VS19" s="129">
        <f t="shared" ca="1" si="65"/>
        <v>8</v>
      </c>
      <c r="VT19" s="129">
        <f t="shared" ca="1" si="65"/>
        <v>8</v>
      </c>
      <c r="VU19" s="129">
        <f t="shared" ca="1" si="65"/>
        <v>8</v>
      </c>
      <c r="VV19" s="129">
        <f t="shared" ca="1" si="65"/>
        <v>8</v>
      </c>
      <c r="VW19" s="129">
        <f t="shared" ca="1" si="65"/>
        <v>8</v>
      </c>
      <c r="VX19" s="129">
        <f t="shared" ca="1" si="65"/>
        <v>8</v>
      </c>
      <c r="VY19" s="129">
        <f t="shared" ca="1" si="65"/>
        <v>8</v>
      </c>
      <c r="VZ19" s="129">
        <f t="shared" ca="1" si="65"/>
        <v>8</v>
      </c>
      <c r="WA19" s="129">
        <f t="shared" ca="1" si="65"/>
        <v>8</v>
      </c>
      <c r="WB19" s="129">
        <f t="shared" ca="1" si="65"/>
        <v>8</v>
      </c>
      <c r="WC19" s="129">
        <f t="shared" ca="1" si="65"/>
        <v>8</v>
      </c>
      <c r="WD19" s="129">
        <f t="shared" ref="WD19:WD33" ca="1" si="407">OFFSET($KU19,0,WD$3)</f>
        <v>8</v>
      </c>
      <c r="WE19" s="129">
        <f t="shared" ca="1" si="66"/>
        <v>8</v>
      </c>
      <c r="WF19" s="129">
        <f t="shared" ca="1" si="66"/>
        <v>8</v>
      </c>
      <c r="WG19" s="129">
        <f t="shared" ca="1" si="66"/>
        <v>8</v>
      </c>
      <c r="WH19" s="129">
        <f t="shared" ca="1" si="66"/>
        <v>8</v>
      </c>
      <c r="WK19" s="87" t="str">
        <f t="shared" si="358"/>
        <v>Chivas USA</v>
      </c>
      <c r="WL19" s="87">
        <v>8</v>
      </c>
      <c r="WM19" s="87">
        <v>8</v>
      </c>
      <c r="WN19" s="87">
        <f>IF($WI$3&gt;=WN$3,UW19,NA())</f>
        <v>7</v>
      </c>
      <c r="WO19" s="87">
        <f ca="1">IF($WI$3&gt;=WO$3,UX19,NA())</f>
        <v>8</v>
      </c>
      <c r="WP19" s="87">
        <f ca="1">IF($WI$3&gt;=WP$3,UY19,NA())</f>
        <v>7</v>
      </c>
      <c r="WQ19" s="87">
        <f ca="1">IF($WI$3&gt;=WQ$3,UZ19,NA())</f>
        <v>8</v>
      </c>
      <c r="WR19" s="87">
        <f ca="1">IF($WI$3&gt;=WR$3,VA19,NA())</f>
        <v>6</v>
      </c>
      <c r="WS19" s="87">
        <f ca="1">IF($WI$3&gt;=WS$3,VB19,NA())</f>
        <v>8</v>
      </c>
      <c r="WT19" s="87">
        <f ca="1">IF($WI$3&gt;=WT$3,VC19,NA())</f>
        <v>5</v>
      </c>
      <c r="WU19" s="87">
        <f ca="1">IF($WI$3&gt;=WU$3,VD19,NA())</f>
        <v>7</v>
      </c>
      <c r="WV19" s="87">
        <f ca="1">IF($WI$3&gt;=WV$3,VE19,NA())</f>
        <v>8</v>
      </c>
      <c r="WW19" s="87">
        <f ca="1">IF($WI$3&gt;=WW$3,VF19,NA())</f>
        <v>8</v>
      </c>
      <c r="WX19" s="87">
        <f ca="1">IF($WI$3&gt;=WX$3,VG19,NA())</f>
        <v>8</v>
      </c>
      <c r="WY19" s="87">
        <f ca="1">IF($WI$3&gt;=WY$3,VH19,NA())</f>
        <v>8</v>
      </c>
      <c r="WZ19" s="87">
        <f ca="1">IF($WI$3&gt;=WZ$3,VI19,NA())</f>
        <v>8</v>
      </c>
      <c r="XA19" s="87">
        <f ca="1">IF($WI$3&gt;=XA$3,VJ19,NA())</f>
        <v>8</v>
      </c>
      <c r="XB19" s="87">
        <f ca="1">IF($WI$3&gt;=XB$3,VK19,NA())</f>
        <v>8</v>
      </c>
      <c r="XC19" s="87">
        <f ca="1">IF($WI$3&gt;=XC$3,VL19,NA())</f>
        <v>8</v>
      </c>
      <c r="XD19" s="87">
        <f ca="1">IF($WI$3&gt;=XD$3,VM19,NA())</f>
        <v>8</v>
      </c>
      <c r="XE19" s="87">
        <f ca="1">IF($WI$3&gt;=XE$3,VN19,NA())</f>
        <v>8</v>
      </c>
      <c r="XF19" s="87">
        <f ca="1">IF($WI$3&gt;=XF$3,VO19,NA())</f>
        <v>8</v>
      </c>
      <c r="XG19" s="87">
        <f ca="1">IF($WI$3&gt;=XG$3,VP19,NA())</f>
        <v>8</v>
      </c>
      <c r="XH19" s="87">
        <f ca="1">IF($WI$3&gt;=XH$3,VQ19,NA())</f>
        <v>8</v>
      </c>
      <c r="XI19" s="87" t="e">
        <f>IF($WI$3&gt;=XI$3,VR19,NA())</f>
        <v>#N/A</v>
      </c>
      <c r="XJ19" s="87" t="e">
        <f>IF($WI$3&gt;=XJ$3,VS19,NA())</f>
        <v>#N/A</v>
      </c>
      <c r="XK19" s="87" t="e">
        <f>IF($WI$3&gt;=XK$3,VT19,NA())</f>
        <v>#N/A</v>
      </c>
      <c r="XL19" s="87" t="e">
        <f>IF($WI$3&gt;=XL$3,VU19,NA())</f>
        <v>#N/A</v>
      </c>
      <c r="XM19" s="87" t="e">
        <f>IF($WI$3&gt;=XM$3,VV19,NA())</f>
        <v>#N/A</v>
      </c>
      <c r="XN19" s="87" t="e">
        <f>IF($WI$3&gt;=XN$3,VW19,NA())</f>
        <v>#N/A</v>
      </c>
      <c r="XO19" s="87" t="e">
        <f>IF($WI$3&gt;=XO$3,VX19,NA())</f>
        <v>#N/A</v>
      </c>
      <c r="XP19" s="87" t="e">
        <f>IF($WI$3&gt;=XP$3,VY19,NA())</f>
        <v>#N/A</v>
      </c>
      <c r="XQ19" s="87" t="e">
        <f>IF($WI$3&gt;=XQ$3,VZ19,NA())</f>
        <v>#N/A</v>
      </c>
      <c r="XR19" s="87" t="e">
        <f>IF($WI$3&gt;=XR$3,WA19,NA())</f>
        <v>#N/A</v>
      </c>
      <c r="XS19" s="87" t="e">
        <f>IF($WI$3&gt;=XS$3,WB19,NA())</f>
        <v>#N/A</v>
      </c>
      <c r="XT19" s="87" t="e">
        <f>IF($WI$3&gt;=XT$3,WC19,NA())</f>
        <v>#N/A</v>
      </c>
      <c r="XU19" s="87" t="e">
        <f>IF($WI$3&gt;=XU$3,WD19,NA())</f>
        <v>#N/A</v>
      </c>
      <c r="XV19" s="87" t="e">
        <f>IF($WI$3&gt;=XV$3,WE19,NA())</f>
        <v>#N/A</v>
      </c>
      <c r="XW19" s="87" t="e">
        <f>IF($WI$3&gt;=XW$3,WF19,NA())</f>
        <v>#N/A</v>
      </c>
      <c r="XX19" s="87" t="e">
        <f>IF($WI$3&gt;=XX$3,WG19,NA())</f>
        <v>#N/A</v>
      </c>
      <c r="XY19" s="87" t="e">
        <f>IF($WI$3&gt;=XY$3,WH19,NA())</f>
        <v>#N/A</v>
      </c>
      <c r="YB19" s="280"/>
      <c r="YC19" s="280"/>
      <c r="YD19" s="280"/>
      <c r="YE19" s="163"/>
      <c r="YF19" s="163"/>
      <c r="YG19" s="280"/>
      <c r="YH19" s="280"/>
      <c r="YI19" s="280"/>
      <c r="YJ19" s="280"/>
      <c r="YK19" s="280"/>
      <c r="YL19" s="280"/>
      <c r="YM19" s="280"/>
      <c r="YN19" s="280"/>
      <c r="YO19" s="280"/>
      <c r="YP19" s="280"/>
      <c r="YQ19" s="280"/>
      <c r="YR19" s="280"/>
      <c r="YS19" s="280"/>
      <c r="YT19" s="280"/>
      <c r="YU19" s="280"/>
      <c r="YV19" s="280"/>
      <c r="YW19" s="280"/>
      <c r="YX19" s="280"/>
      <c r="YY19" s="280"/>
      <c r="YZ19" s="280"/>
      <c r="ZA19" s="280"/>
      <c r="ZB19" s="280"/>
      <c r="ZC19" s="280"/>
      <c r="ZD19" s="280"/>
      <c r="ZE19" s="280"/>
      <c r="ZF19" s="280"/>
      <c r="ZG19" s="280"/>
      <c r="ZH19" s="280"/>
      <c r="ZI19" s="280"/>
      <c r="ZJ19" s="280"/>
      <c r="ZK19" s="280"/>
      <c r="ZL19" s="280"/>
      <c r="ZM19" s="280"/>
      <c r="ZN19" s="280"/>
      <c r="ZO19" s="280"/>
      <c r="ZP19" s="280"/>
      <c r="ZQ19" s="280"/>
      <c r="ZR19" s="280"/>
      <c r="ZS19" s="280"/>
      <c r="ZT19" s="280"/>
      <c r="ZU19" s="280"/>
      <c r="ZV19" s="280"/>
      <c r="ZW19" s="280"/>
      <c r="ZX19" s="280"/>
      <c r="ZY19" s="280"/>
      <c r="ZZ19" s="280"/>
      <c r="AAA19" s="280"/>
      <c r="AAB19" s="280"/>
      <c r="AAC19" s="280"/>
      <c r="AAD19" s="160"/>
      <c r="AAE19" s="160"/>
      <c r="AAF19" s="160"/>
      <c r="AAG19" s="160"/>
    </row>
    <row r="20" spans="4:723">
      <c r="D20" s="29"/>
      <c r="E20" s="31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5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5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6"/>
      <c r="AP20" s="27"/>
      <c r="AQ20" s="28"/>
      <c r="AR20" s="29"/>
      <c r="AS20" s="28"/>
      <c r="AT20" s="29"/>
      <c r="AU20" s="30"/>
      <c r="AV20" s="29"/>
      <c r="AW20" s="29"/>
      <c r="AX20" s="29"/>
      <c r="AY20" s="29"/>
      <c r="AZ20" s="29"/>
      <c r="BA20" s="29"/>
      <c r="BB20" s="29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S20" s="10" t="s">
        <v>43</v>
      </c>
      <c r="BT20" s="123">
        <v>8.3333333333332996E-2</v>
      </c>
      <c r="BU20" s="123">
        <f t="shared" si="405"/>
        <v>0.24999999999999967</v>
      </c>
      <c r="BV20" s="10" t="s">
        <v>64</v>
      </c>
      <c r="CA20" s="130">
        <f t="shared" si="119"/>
        <v>-1</v>
      </c>
      <c r="CB20" s="130">
        <f t="shared" si="120"/>
        <v>100000</v>
      </c>
      <c r="CC20" s="130">
        <f t="shared" si="121"/>
        <v>-1</v>
      </c>
      <c r="CD20" s="130">
        <f t="shared" si="122"/>
        <v>100000</v>
      </c>
      <c r="CE20" s="130">
        <f t="shared" si="123"/>
        <v>-1</v>
      </c>
      <c r="CF20" s="130">
        <f t="shared" si="124"/>
        <v>100000</v>
      </c>
      <c r="CG20" s="130">
        <f t="shared" si="125"/>
        <v>-1</v>
      </c>
      <c r="CH20" s="130">
        <f t="shared" si="126"/>
        <v>100000</v>
      </c>
      <c r="CI20" s="130">
        <f t="shared" si="127"/>
        <v>-1</v>
      </c>
      <c r="CJ20" s="130">
        <f t="shared" si="128"/>
        <v>100000</v>
      </c>
      <c r="CK20" s="130">
        <f t="shared" si="129"/>
        <v>-100000</v>
      </c>
      <c r="CL20" s="130">
        <f t="shared" si="130"/>
        <v>100000</v>
      </c>
      <c r="CM20" s="130">
        <f t="shared" si="131"/>
        <v>-1</v>
      </c>
      <c r="CN20" s="130">
        <f t="shared" si="132"/>
        <v>100000</v>
      </c>
      <c r="CO20" s="130">
        <f t="shared" si="133"/>
        <v>-1</v>
      </c>
      <c r="CP20" s="130">
        <f t="shared" si="134"/>
        <v>100000</v>
      </c>
      <c r="CQ20" s="131"/>
      <c r="CR20" s="130">
        <f t="shared" si="360"/>
        <v>-1</v>
      </c>
      <c r="CS20" s="130">
        <f t="shared" si="135"/>
        <v>100000</v>
      </c>
      <c r="CT20" s="130">
        <f t="shared" si="361"/>
        <v>-1</v>
      </c>
      <c r="CU20" s="130">
        <f t="shared" si="362"/>
        <v>100000</v>
      </c>
      <c r="CV20" s="130">
        <f t="shared" si="363"/>
        <v>-1</v>
      </c>
      <c r="CW20" s="130">
        <f t="shared" si="364"/>
        <v>100000</v>
      </c>
      <c r="CX20" s="130">
        <f t="shared" si="365"/>
        <v>-1</v>
      </c>
      <c r="CY20" s="130">
        <f t="shared" si="366"/>
        <v>100000</v>
      </c>
      <c r="CZ20" s="130">
        <f t="shared" si="367"/>
        <v>-1</v>
      </c>
      <c r="DA20" s="130">
        <f t="shared" si="368"/>
        <v>100000</v>
      </c>
      <c r="DB20" s="130">
        <f t="shared" si="369"/>
        <v>-100000</v>
      </c>
      <c r="DC20" s="130">
        <f t="shared" si="370"/>
        <v>100000</v>
      </c>
      <c r="DD20" s="130">
        <f t="shared" si="371"/>
        <v>-1</v>
      </c>
      <c r="DE20" s="130">
        <f t="shared" si="372"/>
        <v>100000</v>
      </c>
      <c r="DF20" s="130">
        <f t="shared" si="373"/>
        <v>-1</v>
      </c>
      <c r="DG20" s="130">
        <f t="shared" si="374"/>
        <v>100000</v>
      </c>
      <c r="DH20" s="131"/>
      <c r="DI20" s="130">
        <f t="shared" si="389"/>
        <v>-1</v>
      </c>
      <c r="DJ20" s="130">
        <f t="shared" si="136"/>
        <v>100000</v>
      </c>
      <c r="DK20" s="130">
        <f t="shared" si="390"/>
        <v>-1</v>
      </c>
      <c r="DL20" s="130">
        <f t="shared" si="391"/>
        <v>100000</v>
      </c>
      <c r="DM20" s="130">
        <f t="shared" si="392"/>
        <v>-1</v>
      </c>
      <c r="DN20" s="130">
        <f t="shared" si="393"/>
        <v>100000</v>
      </c>
      <c r="DO20" s="130">
        <f t="shared" si="394"/>
        <v>-1</v>
      </c>
      <c r="DP20" s="130">
        <f t="shared" si="395"/>
        <v>100000</v>
      </c>
      <c r="DQ20" s="130">
        <f t="shared" si="396"/>
        <v>-1</v>
      </c>
      <c r="DR20" s="130">
        <f t="shared" si="397"/>
        <v>100000</v>
      </c>
      <c r="DS20" s="130">
        <f t="shared" si="398"/>
        <v>-100000</v>
      </c>
      <c r="DT20" s="130">
        <f t="shared" si="399"/>
        <v>100000</v>
      </c>
      <c r="DU20" s="130">
        <f t="shared" si="400"/>
        <v>-1</v>
      </c>
      <c r="DV20" s="130">
        <f t="shared" si="401"/>
        <v>100000</v>
      </c>
      <c r="DW20" s="130">
        <f t="shared" si="402"/>
        <v>-1</v>
      </c>
      <c r="DX20" s="130">
        <f t="shared" si="403"/>
        <v>100000</v>
      </c>
      <c r="DY20" s="132"/>
      <c r="DZ20" s="115">
        <v>17</v>
      </c>
      <c r="EA20" s="115">
        <v>14</v>
      </c>
      <c r="EB20" s="10">
        <f t="shared" si="137"/>
        <v>17</v>
      </c>
      <c r="EC20" s="10">
        <f t="shared" si="138"/>
        <v>17</v>
      </c>
      <c r="ED20" s="10">
        <f t="shared" si="139"/>
        <v>17</v>
      </c>
      <c r="EE20" s="10">
        <f t="shared" si="140"/>
        <v>17</v>
      </c>
      <c r="EF20" s="10">
        <f t="shared" si="141"/>
        <v>17</v>
      </c>
      <c r="EG20" s="10">
        <f t="shared" si="142"/>
        <v>17</v>
      </c>
      <c r="EH20" s="10">
        <f t="shared" si="143"/>
        <v>17</v>
      </c>
      <c r="EI20" s="10">
        <f t="shared" si="144"/>
        <v>17</v>
      </c>
      <c r="EJ20" s="10">
        <f t="shared" si="145"/>
        <v>17</v>
      </c>
      <c r="EK20" s="10">
        <f t="shared" si="146"/>
        <v>17</v>
      </c>
      <c r="EL20" s="10">
        <f t="shared" si="147"/>
        <v>17</v>
      </c>
      <c r="EM20" s="10">
        <f t="shared" si="148"/>
        <v>17</v>
      </c>
      <c r="EN20" s="10">
        <f t="shared" si="149"/>
        <v>17</v>
      </c>
      <c r="EO20" s="10">
        <f t="shared" si="150"/>
        <v>17</v>
      </c>
      <c r="EP20" s="10">
        <f t="shared" si="151"/>
        <v>17</v>
      </c>
      <c r="EQ20" s="10">
        <f t="shared" si="152"/>
        <v>17</v>
      </c>
      <c r="ES20" s="10">
        <f t="shared" si="153"/>
        <v>17</v>
      </c>
      <c r="ET20" s="10">
        <f t="shared" si="154"/>
        <v>17</v>
      </c>
      <c r="EU20" s="10">
        <f t="shared" si="155"/>
        <v>17</v>
      </c>
      <c r="EV20" s="10">
        <f t="shared" si="154"/>
        <v>17</v>
      </c>
      <c r="EW20" s="10">
        <f t="shared" si="156"/>
        <v>17</v>
      </c>
      <c r="EX20" s="10">
        <f t="shared" si="157"/>
        <v>17</v>
      </c>
      <c r="EY20" s="10">
        <f t="shared" si="158"/>
        <v>17</v>
      </c>
      <c r="EZ20" s="10">
        <f t="shared" si="159"/>
        <v>17</v>
      </c>
      <c r="FA20" s="10">
        <f t="shared" si="160"/>
        <v>17</v>
      </c>
      <c r="FB20" s="10">
        <f t="shared" si="161"/>
        <v>17</v>
      </c>
      <c r="FC20" s="10">
        <f t="shared" si="162"/>
        <v>17</v>
      </c>
      <c r="FD20" s="10">
        <f t="shared" si="163"/>
        <v>17</v>
      </c>
      <c r="FE20" s="10">
        <f t="shared" si="164"/>
        <v>17</v>
      </c>
      <c r="FF20" s="10">
        <f t="shared" si="165"/>
        <v>17</v>
      </c>
      <c r="FG20" s="10">
        <f t="shared" si="166"/>
        <v>17</v>
      </c>
      <c r="FH20" s="10">
        <f t="shared" si="167"/>
        <v>17</v>
      </c>
      <c r="FJ20" s="10">
        <f t="shared" si="168"/>
        <v>17</v>
      </c>
      <c r="FK20" s="10">
        <f t="shared" si="169"/>
        <v>17</v>
      </c>
      <c r="FL20" s="10">
        <f t="shared" si="170"/>
        <v>17</v>
      </c>
      <c r="FM20" s="10">
        <f t="shared" si="171"/>
        <v>17</v>
      </c>
      <c r="FN20" s="10">
        <f t="shared" si="172"/>
        <v>17</v>
      </c>
      <c r="FO20" s="10">
        <f t="shared" si="173"/>
        <v>17</v>
      </c>
      <c r="FP20" s="10">
        <f t="shared" si="174"/>
        <v>17</v>
      </c>
      <c r="FQ20" s="10">
        <f t="shared" si="175"/>
        <v>17</v>
      </c>
      <c r="FR20" s="10">
        <f t="shared" si="176"/>
        <v>17</v>
      </c>
      <c r="FS20" s="10">
        <f t="shared" si="177"/>
        <v>17</v>
      </c>
      <c r="FT20" s="10">
        <f t="shared" si="178"/>
        <v>17</v>
      </c>
      <c r="FU20" s="10">
        <f t="shared" si="179"/>
        <v>17</v>
      </c>
      <c r="FV20" s="10">
        <f t="shared" si="180"/>
        <v>17</v>
      </c>
      <c r="FW20" s="10">
        <f t="shared" si="181"/>
        <v>17</v>
      </c>
      <c r="FX20" s="10">
        <f t="shared" si="182"/>
        <v>17</v>
      </c>
      <c r="FY20" s="10">
        <f t="shared" si="183"/>
        <v>17</v>
      </c>
      <c r="GA20" s="10">
        <f>IF(lg!$C$18=1,EB20,IF(lg!$C$18=2,ES20,FJ20))</f>
        <v>17</v>
      </c>
      <c r="GB20" s="10">
        <f>IF(lg!$C$18=1,EC20,IF(lg!$C$18=2,ET20,FK20))</f>
        <v>17</v>
      </c>
      <c r="GC20" s="10">
        <f>IF(lg!$C$18=1,ED20,IF(lg!$C$18=2,EU20,FL20))</f>
        <v>17</v>
      </c>
      <c r="GD20" s="10">
        <f>IF(lg!$C$18=1,EE20,IF(lg!$C$18=2,EV20,FM20))</f>
        <v>17</v>
      </c>
      <c r="GE20" s="10">
        <f>IF(lg!$C$18=1,EF20,IF(lg!$C$18=2,EW20,FN20))</f>
        <v>17</v>
      </c>
      <c r="GF20" s="10">
        <f>IF(lg!$C$18=1,EG20,IF(lg!$C$18=2,EX20,FO20))</f>
        <v>17</v>
      </c>
      <c r="GG20" s="10">
        <f>IF(lg!$C$18=1,EH20,IF(lg!$C$18=2,EY20,FP20))</f>
        <v>17</v>
      </c>
      <c r="GH20" s="10">
        <f>IF(lg!$C$18=1,EI20,IF(lg!$C$18=2,EZ20,FQ20))</f>
        <v>17</v>
      </c>
      <c r="GI20" s="10">
        <f>IF(lg!$C$18=1,EJ20,IF(lg!$C$18=2,FA20,FR20))</f>
        <v>17</v>
      </c>
      <c r="GJ20" s="10">
        <f>IF(lg!$C$18=1,EK20,IF(lg!$C$18=2,FB20,FS20))</f>
        <v>17</v>
      </c>
      <c r="GK20" s="10">
        <f>IF(lg!$C$18=1,EL20,IF(lg!$C$18=2,FC20,FT20))</f>
        <v>17</v>
      </c>
      <c r="GL20" s="10">
        <f>IF(lg!$C$18=1,EM20,IF(lg!$C$18=2,FD20,FU20))</f>
        <v>17</v>
      </c>
      <c r="GM20" s="10">
        <f>IF(lg!$C$18=1,EN20,IF(lg!$C$18=2,FE20,FV20))</f>
        <v>17</v>
      </c>
      <c r="GN20" s="10">
        <f>IF(lg!$C$18=1,EO20,IF(lg!$C$18=2,FF20,FW20))</f>
        <v>17</v>
      </c>
      <c r="GO20" s="10">
        <f>IF(lg!$C$18=1,EP20,IF(lg!$C$18=2,FG20,FX20))</f>
        <v>17</v>
      </c>
      <c r="GP20" s="10">
        <f>IF(lg!$C$18=1,EQ20,IF(lg!$C$18=2,FH20,FY20))</f>
        <v>17</v>
      </c>
      <c r="GR20" s="10" t="e">
        <f t="shared" si="184"/>
        <v>#N/A</v>
      </c>
      <c r="GS20" s="10" t="e">
        <f t="shared" si="31"/>
        <v>#N/A</v>
      </c>
      <c r="GT20" s="10" t="e">
        <f t="shared" si="32"/>
        <v>#N/A</v>
      </c>
      <c r="GU20" s="10" t="e">
        <f t="shared" si="33"/>
        <v>#N/A</v>
      </c>
      <c r="GV20" s="10" t="e">
        <f t="shared" si="34"/>
        <v>#N/A</v>
      </c>
      <c r="GW20" s="10" t="e">
        <f t="shared" si="35"/>
        <v>#N/A</v>
      </c>
      <c r="GX20" s="10" t="e">
        <f t="shared" si="36"/>
        <v>#N/A</v>
      </c>
      <c r="GY20" s="10" t="e">
        <f t="shared" si="37"/>
        <v>#N/A</v>
      </c>
      <c r="GZ20" s="10" t="e">
        <f t="shared" si="38"/>
        <v>#N/A</v>
      </c>
      <c r="HA20" s="10" t="e">
        <f t="shared" si="39"/>
        <v>#N/A</v>
      </c>
      <c r="HB20" s="10" t="e">
        <f t="shared" si="40"/>
        <v>#N/A</v>
      </c>
      <c r="HC20" s="10" t="e">
        <f t="shared" si="41"/>
        <v>#N/A</v>
      </c>
      <c r="HD20" s="10" t="e">
        <f t="shared" si="42"/>
        <v>#N/A</v>
      </c>
      <c r="HE20" s="10" t="e">
        <f t="shared" si="43"/>
        <v>#N/A</v>
      </c>
      <c r="HF20" s="10" t="e">
        <f t="shared" si="44"/>
        <v>#N/A</v>
      </c>
      <c r="HG20" s="10" t="e">
        <f t="shared" si="45"/>
        <v>#N/A</v>
      </c>
      <c r="HI20" s="10">
        <v>17</v>
      </c>
      <c r="HJ20" s="115">
        <f>IF(lg!$C$18=1,F20,IF(lg!$C$18=2,R20,AD20))</f>
        <v>0</v>
      </c>
      <c r="HK20" s="115">
        <f>IF(lg!$C$18=1,G20,IF(lg!$C$18=2,S20,AE20))</f>
        <v>0</v>
      </c>
      <c r="HL20" s="115">
        <f>IF(lg!$C$18=1,H20,IF(lg!$C$18=2,T20,AF20))</f>
        <v>0</v>
      </c>
      <c r="HM20" s="115">
        <f>IF(lg!$C$18=1,I20,IF(lg!$C$18=2,U20,AG20))</f>
        <v>0</v>
      </c>
      <c r="HN20" s="115">
        <f>IF(lg!$C$18=1,J20,IF(lg!$C$18=2,V20,AH20))</f>
        <v>0</v>
      </c>
      <c r="HO20" s="115">
        <f>IF(lg!$C$18=1,K20,IF(lg!$C$18=2,W20,AI20))</f>
        <v>0</v>
      </c>
      <c r="HP20" s="115">
        <f>IF(lg!$C$18=1,L20,IF(lg!$C$18=2,X20,AJ20))</f>
        <v>0</v>
      </c>
      <c r="HQ20" s="115">
        <f>IF(lg!$C$18=1,M20,IF(lg!$C$18=2,Y20,AK20))</f>
        <v>0</v>
      </c>
      <c r="HR20" s="115">
        <f>IF(lg!$C$18=1,N20,IF(lg!$C$18=2,Z20,AL20))</f>
        <v>0</v>
      </c>
      <c r="HS20" s="115">
        <f>IF(lg!$C$18=1,O20,IF(lg!$C$18=2,AA20,AM20))</f>
        <v>0</v>
      </c>
      <c r="HT20" s="115">
        <f>IF(lg!$C$18=1,P20,IF(lg!$C$18=2,AB20,AN20))</f>
        <v>0</v>
      </c>
      <c r="HV20" s="115">
        <f t="shared" si="185"/>
        <v>0</v>
      </c>
      <c r="HW20" s="115">
        <f t="shared" si="186"/>
        <v>0</v>
      </c>
      <c r="HX20" s="115">
        <f t="shared" si="187"/>
        <v>0</v>
      </c>
      <c r="HY20" s="115">
        <f t="shared" si="188"/>
        <v>0</v>
      </c>
      <c r="HZ20" s="115">
        <f t="shared" si="189"/>
        <v>0</v>
      </c>
      <c r="IA20" s="115">
        <f t="shared" si="190"/>
        <v>0</v>
      </c>
      <c r="IB20" s="115">
        <f t="shared" si="191"/>
        <v>0</v>
      </c>
      <c r="IC20" s="115">
        <f t="shared" si="192"/>
        <v>0</v>
      </c>
      <c r="ID20" s="115">
        <f t="shared" si="193"/>
        <v>0</v>
      </c>
      <c r="IE20" s="115">
        <f t="shared" si="194"/>
        <v>0</v>
      </c>
      <c r="IF20" s="115">
        <f t="shared" si="195"/>
        <v>0</v>
      </c>
      <c r="IG20" s="115">
        <f t="shared" si="196"/>
        <v>0</v>
      </c>
      <c r="IH20" s="115">
        <f t="shared" si="197"/>
        <v>0</v>
      </c>
      <c r="II20" s="115">
        <f t="shared" si="198"/>
        <v>0</v>
      </c>
      <c r="IJ20" s="115">
        <f t="shared" si="199"/>
        <v>0</v>
      </c>
      <c r="IK20" s="115">
        <f t="shared" si="200"/>
        <v>0</v>
      </c>
      <c r="IN20" s="77" t="s">
        <v>127</v>
      </c>
      <c r="IO20" s="36" t="s">
        <v>10</v>
      </c>
      <c r="IP20" s="67">
        <f>VLOOKUP('ef-TeamStats'!B2,Table!$B$4:$W$23,20,0)</f>
        <v>23</v>
      </c>
      <c r="IQ20" s="67">
        <f>VLOOKUP('ef-TeamStats'!$B$2,Table!$B$4:$W$23,16,0)</f>
        <v>11</v>
      </c>
      <c r="IR20" s="134">
        <f t="shared" si="47"/>
        <v>2.0909090909090908</v>
      </c>
      <c r="IS20" s="133">
        <f>MATCH('ef-TeamStats'!$B$2,$JS$4:$JS$33,0)</f>
        <v>1</v>
      </c>
      <c r="IT20" s="67"/>
      <c r="IU20" s="36" t="s">
        <v>10</v>
      </c>
      <c r="IV20" s="67">
        <f>VLOOKUP('ef-TeamStats'!G2,Table!$B$4:$W$23,20,0)</f>
        <v>15</v>
      </c>
      <c r="IW20" s="67">
        <f>VLOOKUP('ef-TeamStats'!$G$2,Table!$B$4:$W$23,16,0)</f>
        <v>10</v>
      </c>
      <c r="IX20" s="134">
        <f t="shared" si="48"/>
        <v>1.5</v>
      </c>
      <c r="IY20" s="133">
        <f>MATCH('ef-TeamStats'!$G$2,$JS$4:$JS$33,0)</f>
        <v>4</v>
      </c>
      <c r="JB20" s="10">
        <f>IF(lg!$F$18=1,EB20,IF(lg!$F$18=2,ES20,FJ20))</f>
        <v>17</v>
      </c>
      <c r="JC20" s="10">
        <f>IF(lg!$F$18=1,EC20,IF(lg!$F$18=2,ET20,FK20))</f>
        <v>17</v>
      </c>
      <c r="JD20" s="10">
        <f>IF(lg!$F$18=1,ED20,IF(lg!$F$18=2,EU20,FL20))</f>
        <v>17</v>
      </c>
      <c r="JE20" s="10">
        <f>IF(lg!$F$18=1,EE20,IF(lg!$F$18=2,EV20,FM20))</f>
        <v>17</v>
      </c>
      <c r="JF20" s="10">
        <f>IF(lg!$F$18=1,EF20,IF(lg!$F$18=2,EW20,FN20))</f>
        <v>17</v>
      </c>
      <c r="JG20" s="10">
        <f>IF(lg!$F$18=1,EG20,IF(lg!$F$18=2,EX20,FO20))</f>
        <v>17</v>
      </c>
      <c r="JH20" s="10">
        <f>IF(lg!$F$18=1,EH20,IF(lg!$F$18=2,EY20,FP20))</f>
        <v>17</v>
      </c>
      <c r="JI20" s="10">
        <f>IF(lg!$F$18=1,EI20,IF(lg!$F$18=2,EZ20,FQ20))</f>
        <v>17</v>
      </c>
      <c r="JJ20" s="10">
        <f>IF(lg!$F$18=1,EJ20,IF(lg!$F$18=2,FA20,FR20))</f>
        <v>17</v>
      </c>
      <c r="JK20" s="10">
        <f>IF(lg!$F$18=1,EK20,IF(lg!$F$18=2,FB20,FS20))</f>
        <v>17</v>
      </c>
      <c r="JL20" s="10">
        <f>IF(lg!$F$18=1,EL20,IF(lg!$F$18=2,FC20,FT20))</f>
        <v>17</v>
      </c>
      <c r="JM20" s="10">
        <f>IF(lg!$F$18=1,EM20,IF(lg!$F$18=2,FD20,FU20))</f>
        <v>17</v>
      </c>
      <c r="JN20" s="10">
        <f>IF(lg!$F$18=1,EN20,IF(lg!$F$18=2,FE20,FV20))</f>
        <v>17</v>
      </c>
      <c r="JO20" s="10">
        <f>IF(lg!$F$18=1,EO20,IF(lg!$F$18=2,FF20,FW20))</f>
        <v>17</v>
      </c>
      <c r="JP20" s="10">
        <f>IF(lg!$F$18=1,EP20,IF(lg!$F$18=2,FG20,FX20))</f>
        <v>17</v>
      </c>
      <c r="JQ20" s="10">
        <f>IF(lg!$F$18=1,EQ20,IF(lg!$F$18=2,FH20,FY20))</f>
        <v>17</v>
      </c>
      <c r="JS20" s="10" t="e">
        <f t="shared" si="201"/>
        <v>#N/A</v>
      </c>
      <c r="JT20" s="10" t="e">
        <f t="shared" si="49"/>
        <v>#N/A</v>
      </c>
      <c r="JU20" s="10" t="e">
        <f t="shared" si="50"/>
        <v>#N/A</v>
      </c>
      <c r="JV20" s="10" t="e">
        <f t="shared" si="51"/>
        <v>#N/A</v>
      </c>
      <c r="JW20" s="10" t="e">
        <f t="shared" si="52"/>
        <v>#N/A</v>
      </c>
      <c r="JX20" s="10" t="e">
        <f t="shared" si="53"/>
        <v>#N/A</v>
      </c>
      <c r="JY20" s="10" t="e">
        <f t="shared" si="54"/>
        <v>#N/A</v>
      </c>
      <c r="JZ20" s="10" t="e">
        <f t="shared" si="55"/>
        <v>#N/A</v>
      </c>
      <c r="KA20" s="10" t="e">
        <f t="shared" si="56"/>
        <v>#N/A</v>
      </c>
      <c r="KB20" s="10" t="e">
        <f t="shared" si="57"/>
        <v>#N/A</v>
      </c>
      <c r="KC20" s="10" t="e">
        <f t="shared" si="58"/>
        <v>#N/A</v>
      </c>
      <c r="KD20" s="10" t="e">
        <f t="shared" si="59"/>
        <v>#N/A</v>
      </c>
      <c r="KE20" s="10" t="e">
        <f t="shared" si="60"/>
        <v>#N/A</v>
      </c>
      <c r="KF20" s="10" t="e">
        <f t="shared" si="61"/>
        <v>#N/A</v>
      </c>
      <c r="KG20" s="10" t="e">
        <f t="shared" si="62"/>
        <v>#N/A</v>
      </c>
      <c r="KH20" s="10" t="e">
        <f t="shared" si="63"/>
        <v>#N/A</v>
      </c>
      <c r="KL20" s="27">
        <v>0.14000000000000001</v>
      </c>
      <c r="KM20" s="29">
        <v>17</v>
      </c>
      <c r="KN20" s="31">
        <f t="shared" si="202"/>
        <v>0</v>
      </c>
      <c r="KO20" s="152">
        <f t="shared" si="203"/>
        <v>0</v>
      </c>
      <c r="KP20" s="152">
        <f t="shared" si="204"/>
        <v>0</v>
      </c>
      <c r="KQ20" s="152">
        <f t="shared" si="205"/>
        <v>0</v>
      </c>
      <c r="KR20" s="28">
        <f t="shared" si="206"/>
        <v>-10000000000</v>
      </c>
      <c r="KS20" s="29"/>
      <c r="KT20" s="28"/>
      <c r="KU20" s="29">
        <f t="shared" ref="KU5:KU33" si="408">RANK(KR20,KR$4:KR$33)</f>
        <v>17</v>
      </c>
      <c r="KV20" s="152">
        <f t="shared" si="207"/>
        <v>0</v>
      </c>
      <c r="KW20" s="152">
        <f t="shared" si="208"/>
        <v>0</v>
      </c>
      <c r="KX20" s="152">
        <f t="shared" si="209"/>
        <v>0</v>
      </c>
      <c r="KY20" s="28">
        <f t="shared" si="210"/>
        <v>-10000000000</v>
      </c>
      <c r="KZ20" s="29"/>
      <c r="LA20" s="28"/>
      <c r="LB20" s="29">
        <f t="shared" ref="LB20:LB33" si="409">RANK(KY20,KY$4:KY$33)</f>
        <v>17</v>
      </c>
      <c r="LC20" s="152">
        <f t="shared" si="211"/>
        <v>0</v>
      </c>
      <c r="LD20" s="152">
        <f t="shared" si="212"/>
        <v>0</v>
      </c>
      <c r="LE20" s="152">
        <f t="shared" si="213"/>
        <v>0</v>
      </c>
      <c r="LF20" s="28">
        <f t="shared" si="214"/>
        <v>-10000000000</v>
      </c>
      <c r="LG20" s="29"/>
      <c r="LH20" s="28"/>
      <c r="LI20" s="29">
        <f t="shared" ref="LI20:LI33" si="410">RANK(LF20,LF$4:LF$33)</f>
        <v>17</v>
      </c>
      <c r="LJ20" s="152">
        <f t="shared" si="215"/>
        <v>0</v>
      </c>
      <c r="LK20" s="152">
        <f t="shared" si="216"/>
        <v>0</v>
      </c>
      <c r="LL20" s="152">
        <f t="shared" si="217"/>
        <v>0</v>
      </c>
      <c r="LM20" s="28">
        <f t="shared" si="218"/>
        <v>-10000000000</v>
      </c>
      <c r="LN20" s="29"/>
      <c r="LO20" s="28"/>
      <c r="LP20" s="29">
        <f t="shared" ref="LP20:LP33" si="411">RANK(LM20,LM$4:LM$33)</f>
        <v>17</v>
      </c>
      <c r="LQ20" s="152">
        <f t="shared" si="219"/>
        <v>0</v>
      </c>
      <c r="LR20" s="152">
        <f t="shared" si="220"/>
        <v>0</v>
      </c>
      <c r="LS20" s="152">
        <f t="shared" si="221"/>
        <v>0</v>
      </c>
      <c r="LT20" s="28">
        <f t="shared" si="222"/>
        <v>-10000000000</v>
      </c>
      <c r="LU20" s="29"/>
      <c r="LV20" s="28"/>
      <c r="LW20" s="29">
        <f t="shared" ref="LW20:LW33" si="412">RANK(LT20,LT$4:LT$33)</f>
        <v>17</v>
      </c>
      <c r="LX20" s="152">
        <f t="shared" si="223"/>
        <v>0</v>
      </c>
      <c r="LY20" s="152">
        <f t="shared" si="224"/>
        <v>0</v>
      </c>
      <c r="LZ20" s="152">
        <f t="shared" si="225"/>
        <v>0</v>
      </c>
      <c r="MA20" s="28">
        <f t="shared" si="226"/>
        <v>-10000000000</v>
      </c>
      <c r="MB20" s="29"/>
      <c r="MC20" s="28"/>
      <c r="MD20" s="29">
        <f t="shared" ref="MD20:MD33" si="413">RANK(MA20,MA$4:MA$33)</f>
        <v>17</v>
      </c>
      <c r="ME20" s="152">
        <f t="shared" si="227"/>
        <v>0</v>
      </c>
      <c r="MF20" s="152">
        <f t="shared" si="228"/>
        <v>0</v>
      </c>
      <c r="MG20" s="152">
        <f t="shared" si="229"/>
        <v>0</v>
      </c>
      <c r="MH20" s="28">
        <f t="shared" si="230"/>
        <v>-10000000000</v>
      </c>
      <c r="MI20" s="29"/>
      <c r="MJ20" s="28"/>
      <c r="MK20" s="29">
        <f t="shared" ref="MK20:MK33" si="414">RANK(MH20,MH$4:MH$33)</f>
        <v>17</v>
      </c>
      <c r="ML20" s="152">
        <f t="shared" si="231"/>
        <v>0</v>
      </c>
      <c r="MM20" s="152">
        <f t="shared" si="232"/>
        <v>0</v>
      </c>
      <c r="MN20" s="152">
        <f t="shared" si="233"/>
        <v>0</v>
      </c>
      <c r="MO20" s="28">
        <f t="shared" si="234"/>
        <v>-10000000000</v>
      </c>
      <c r="MP20" s="29"/>
      <c r="MQ20" s="28"/>
      <c r="MR20" s="29">
        <f t="shared" ref="MR20:MR33" si="415">RANK(MO20,MO$4:MO$33)</f>
        <v>17</v>
      </c>
      <c r="MS20" s="152">
        <f t="shared" si="235"/>
        <v>0</v>
      </c>
      <c r="MT20" s="152">
        <f t="shared" si="236"/>
        <v>0</v>
      </c>
      <c r="MU20" s="152">
        <f t="shared" si="237"/>
        <v>0</v>
      </c>
      <c r="MV20" s="28">
        <f t="shared" si="238"/>
        <v>-10000000000</v>
      </c>
      <c r="MW20" s="29"/>
      <c r="MX20" s="28"/>
      <c r="MY20" s="29">
        <f t="shared" ref="MY20:MY33" si="416">RANK(MV20,MV$4:MV$33)</f>
        <v>17</v>
      </c>
      <c r="MZ20" s="152">
        <f t="shared" si="239"/>
        <v>0</v>
      </c>
      <c r="NA20" s="152">
        <f t="shared" si="240"/>
        <v>0</v>
      </c>
      <c r="NB20" s="152">
        <f t="shared" si="241"/>
        <v>0</v>
      </c>
      <c r="NC20" s="28">
        <f t="shared" si="242"/>
        <v>-10000000000</v>
      </c>
      <c r="ND20" s="29"/>
      <c r="NE20" s="28"/>
      <c r="NF20" s="29">
        <f t="shared" ref="NF20:NF33" si="417">RANK(NC20,NC$4:NC$33)</f>
        <v>17</v>
      </c>
      <c r="NG20" s="152">
        <f t="shared" si="243"/>
        <v>0</v>
      </c>
      <c r="NH20" s="152">
        <f t="shared" si="244"/>
        <v>0</v>
      </c>
      <c r="NI20" s="152">
        <f t="shared" si="245"/>
        <v>0</v>
      </c>
      <c r="NJ20" s="28">
        <f t="shared" si="246"/>
        <v>-10000000000</v>
      </c>
      <c r="NK20" s="29"/>
      <c r="NL20" s="28"/>
      <c r="NM20" s="29">
        <f t="shared" ref="NM20:NM33" si="418">RANK(NJ20,NJ$4:NJ$33)</f>
        <v>17</v>
      </c>
      <c r="NN20" s="152">
        <f t="shared" si="247"/>
        <v>0</v>
      </c>
      <c r="NO20" s="152">
        <f t="shared" si="248"/>
        <v>0</v>
      </c>
      <c r="NP20" s="152">
        <f t="shared" si="249"/>
        <v>0</v>
      </c>
      <c r="NQ20" s="28">
        <f t="shared" si="250"/>
        <v>-10000000000</v>
      </c>
      <c r="NR20" s="29"/>
      <c r="NS20" s="28"/>
      <c r="NT20" s="29">
        <f t="shared" ref="NT20:NT33" si="419">RANK(NQ20,NQ$4:NQ$33)</f>
        <v>17</v>
      </c>
      <c r="NU20" s="152">
        <f t="shared" si="251"/>
        <v>0</v>
      </c>
      <c r="NV20" s="152">
        <f t="shared" si="252"/>
        <v>0</v>
      </c>
      <c r="NW20" s="152">
        <f t="shared" si="253"/>
        <v>0</v>
      </c>
      <c r="NX20" s="28">
        <f t="shared" si="254"/>
        <v>-10000000000</v>
      </c>
      <c r="NY20" s="29"/>
      <c r="NZ20" s="28"/>
      <c r="OA20" s="29">
        <f t="shared" ref="OA20:OA33" si="420">RANK(NX20,NX$4:NX$33)</f>
        <v>17</v>
      </c>
      <c r="OB20" s="152">
        <f t="shared" si="255"/>
        <v>0</v>
      </c>
      <c r="OC20" s="152">
        <f t="shared" si="256"/>
        <v>0</v>
      </c>
      <c r="OD20" s="152">
        <f t="shared" si="257"/>
        <v>0</v>
      </c>
      <c r="OE20" s="28">
        <f t="shared" si="258"/>
        <v>-10000000000</v>
      </c>
      <c r="OF20" s="29"/>
      <c r="OG20" s="28"/>
      <c r="OH20" s="29">
        <f t="shared" ref="OH20:OH33" si="421">RANK(OE20,OE$4:OE$33)</f>
        <v>17</v>
      </c>
      <c r="OI20" s="152">
        <f t="shared" si="259"/>
        <v>0</v>
      </c>
      <c r="OJ20" s="152">
        <f t="shared" si="260"/>
        <v>0</v>
      </c>
      <c r="OK20" s="152">
        <f t="shared" si="261"/>
        <v>0</v>
      </c>
      <c r="OL20" s="28">
        <f t="shared" si="262"/>
        <v>-10000000000</v>
      </c>
      <c r="OM20" s="29"/>
      <c r="ON20" s="28"/>
      <c r="OO20" s="29">
        <f t="shared" ref="OO20:OO33" si="422">RANK(OL20,OL$4:OL$33)</f>
        <v>17</v>
      </c>
      <c r="OP20" s="152">
        <f t="shared" si="263"/>
        <v>0</v>
      </c>
      <c r="OQ20" s="152">
        <f t="shared" si="264"/>
        <v>0</v>
      </c>
      <c r="OR20" s="152">
        <f t="shared" si="265"/>
        <v>0</v>
      </c>
      <c r="OS20" s="28">
        <f t="shared" si="266"/>
        <v>-10000000000</v>
      </c>
      <c r="OT20" s="29"/>
      <c r="OU20" s="28"/>
      <c r="OV20" s="29">
        <f t="shared" ref="OV20:OV33" si="423">RANK(OS20,OS$4:OS$33)</f>
        <v>17</v>
      </c>
      <c r="OW20" s="152">
        <f t="shared" si="267"/>
        <v>0</v>
      </c>
      <c r="OX20" s="152">
        <f t="shared" si="268"/>
        <v>0</v>
      </c>
      <c r="OY20" s="152">
        <f t="shared" si="269"/>
        <v>0</v>
      </c>
      <c r="OZ20" s="28">
        <f t="shared" si="270"/>
        <v>-10000000000</v>
      </c>
      <c r="PA20" s="29"/>
      <c r="PB20" s="28"/>
      <c r="PC20" s="29">
        <f t="shared" ref="PC20:PC33" si="424">RANK(OZ20,OZ$4:OZ$33)</f>
        <v>17</v>
      </c>
      <c r="PD20" s="152">
        <f t="shared" si="271"/>
        <v>0</v>
      </c>
      <c r="PE20" s="152">
        <f t="shared" si="272"/>
        <v>0</v>
      </c>
      <c r="PF20" s="152">
        <f t="shared" si="273"/>
        <v>0</v>
      </c>
      <c r="PG20" s="28">
        <f t="shared" si="274"/>
        <v>-10000000000</v>
      </c>
      <c r="PH20" s="29"/>
      <c r="PI20" s="28"/>
      <c r="PJ20" s="29">
        <f t="shared" ref="PJ20:PJ33" si="425">RANK(PG20,PG$4:PG$33)</f>
        <v>17</v>
      </c>
      <c r="PK20" s="152">
        <f t="shared" si="275"/>
        <v>0</v>
      </c>
      <c r="PL20" s="152">
        <f t="shared" si="276"/>
        <v>0</v>
      </c>
      <c r="PM20" s="152">
        <f t="shared" si="277"/>
        <v>0</v>
      </c>
      <c r="PN20" s="28">
        <f t="shared" si="278"/>
        <v>-10000000000</v>
      </c>
      <c r="PO20" s="29"/>
      <c r="PP20" s="28"/>
      <c r="PQ20" s="29">
        <f t="shared" ref="PQ20:PQ33" si="426">RANK(PN20,PN$4:PN$33)</f>
        <v>17</v>
      </c>
      <c r="PR20" s="152">
        <f t="shared" si="279"/>
        <v>0</v>
      </c>
      <c r="PS20" s="152">
        <f t="shared" si="280"/>
        <v>0</v>
      </c>
      <c r="PT20" s="152">
        <f t="shared" si="281"/>
        <v>0</v>
      </c>
      <c r="PU20" s="28">
        <f t="shared" si="282"/>
        <v>-10000000000</v>
      </c>
      <c r="PV20" s="29"/>
      <c r="PW20" s="28"/>
      <c r="PX20" s="29">
        <f t="shared" ref="PX20:PX33" si="427">RANK(PU20,PU$4:PU$33)</f>
        <v>17</v>
      </c>
      <c r="PY20" s="152">
        <f t="shared" si="283"/>
        <v>0</v>
      </c>
      <c r="PZ20" s="152">
        <f t="shared" si="284"/>
        <v>0</v>
      </c>
      <c r="QA20" s="152">
        <f t="shared" si="285"/>
        <v>0</v>
      </c>
      <c r="QB20" s="28">
        <f t="shared" si="286"/>
        <v>-10000000000</v>
      </c>
      <c r="QC20" s="29"/>
      <c r="QD20" s="28"/>
      <c r="QE20" s="29">
        <f t="shared" ref="QE20:QE33" si="428">RANK(QB20,QB$4:QB$33)</f>
        <v>17</v>
      </c>
      <c r="QF20" s="152">
        <f t="shared" si="287"/>
        <v>0</v>
      </c>
      <c r="QG20" s="152">
        <f t="shared" si="288"/>
        <v>0</v>
      </c>
      <c r="QH20" s="152">
        <f t="shared" si="289"/>
        <v>0</v>
      </c>
      <c r="QI20" s="28">
        <f t="shared" si="290"/>
        <v>-10000000000</v>
      </c>
      <c r="QJ20" s="29"/>
      <c r="QK20" s="28"/>
      <c r="QL20" s="29">
        <f t="shared" ref="QL20:QL33" si="429">RANK(QI20,QI$4:QI$33)</f>
        <v>17</v>
      </c>
      <c r="QM20" s="152">
        <f t="shared" si="291"/>
        <v>0</v>
      </c>
      <c r="QN20" s="152">
        <f t="shared" si="292"/>
        <v>0</v>
      </c>
      <c r="QO20" s="152">
        <f t="shared" si="293"/>
        <v>0</v>
      </c>
      <c r="QP20" s="28">
        <f t="shared" si="294"/>
        <v>-10000000000</v>
      </c>
      <c r="QQ20" s="29"/>
      <c r="QR20" s="28"/>
      <c r="QS20" s="29">
        <f t="shared" ref="QS20:QS33" si="430">RANK(QP20,QP$4:QP$33)</f>
        <v>17</v>
      </c>
      <c r="QT20" s="152">
        <f t="shared" si="295"/>
        <v>0</v>
      </c>
      <c r="QU20" s="152">
        <f t="shared" si="296"/>
        <v>0</v>
      </c>
      <c r="QV20" s="152">
        <f t="shared" si="297"/>
        <v>0</v>
      </c>
      <c r="QW20" s="28">
        <f t="shared" si="298"/>
        <v>-10000000000</v>
      </c>
      <c r="QX20" s="29"/>
      <c r="QY20" s="28"/>
      <c r="QZ20" s="29">
        <f t="shared" ref="QZ20:QZ33" si="431">RANK(QW20,QW$4:QW$33)</f>
        <v>17</v>
      </c>
      <c r="RA20" s="152">
        <f t="shared" si="299"/>
        <v>0</v>
      </c>
      <c r="RB20" s="152">
        <f t="shared" si="300"/>
        <v>0</v>
      </c>
      <c r="RC20" s="152">
        <f t="shared" si="301"/>
        <v>0</v>
      </c>
      <c r="RD20" s="28">
        <f t="shared" si="302"/>
        <v>-10000000000</v>
      </c>
      <c r="RE20" s="29"/>
      <c r="RF20" s="28"/>
      <c r="RG20" s="29">
        <f t="shared" ref="RG20:RG33" si="432">RANK(RD20,RD$4:RD$33)</f>
        <v>17</v>
      </c>
      <c r="RH20" s="152">
        <f t="shared" si="303"/>
        <v>0</v>
      </c>
      <c r="RI20" s="152">
        <f t="shared" si="304"/>
        <v>0</v>
      </c>
      <c r="RJ20" s="152">
        <f t="shared" si="305"/>
        <v>0</v>
      </c>
      <c r="RK20" s="28">
        <f t="shared" si="306"/>
        <v>-10000000000</v>
      </c>
      <c r="RL20" s="29"/>
      <c r="RM20" s="28"/>
      <c r="RN20" s="29">
        <f t="shared" ref="RN20:RN33" si="433">RANK(RK20,RK$4:RK$33)</f>
        <v>17</v>
      </c>
      <c r="RO20" s="152">
        <f t="shared" si="307"/>
        <v>0</v>
      </c>
      <c r="RP20" s="152">
        <f t="shared" si="308"/>
        <v>0</v>
      </c>
      <c r="RQ20" s="152">
        <f t="shared" si="309"/>
        <v>0</v>
      </c>
      <c r="RR20" s="28">
        <f t="shared" si="310"/>
        <v>-10000000000</v>
      </c>
      <c r="RS20" s="29"/>
      <c r="RT20" s="28"/>
      <c r="RU20" s="29">
        <f t="shared" ref="RU20:RU33" si="434">RANK(RR20,RR$4:RR$33)</f>
        <v>17</v>
      </c>
      <c r="RV20" s="152">
        <f t="shared" si="311"/>
        <v>0</v>
      </c>
      <c r="RW20" s="152">
        <f t="shared" si="312"/>
        <v>0</v>
      </c>
      <c r="RX20" s="152">
        <f t="shared" si="313"/>
        <v>0</v>
      </c>
      <c r="RY20" s="28">
        <f t="shared" si="314"/>
        <v>-10000000000</v>
      </c>
      <c r="RZ20" s="29"/>
      <c r="SA20" s="28"/>
      <c r="SB20" s="29">
        <f t="shared" ref="SB20:SB33" si="435">RANK(RY20,RY$4:RY$33)</f>
        <v>17</v>
      </c>
      <c r="SC20" s="152">
        <f t="shared" si="315"/>
        <v>0</v>
      </c>
      <c r="SD20" s="152">
        <f t="shared" si="316"/>
        <v>0</v>
      </c>
      <c r="SE20" s="152">
        <f t="shared" si="317"/>
        <v>0</v>
      </c>
      <c r="SF20" s="28">
        <f t="shared" si="318"/>
        <v>-10000000000</v>
      </c>
      <c r="SG20" s="29"/>
      <c r="SH20" s="28"/>
      <c r="SI20" s="29">
        <f t="shared" ref="SI20:SI33" si="436">RANK(SF20,SF$4:SF$33)</f>
        <v>17</v>
      </c>
      <c r="SJ20" s="152">
        <f t="shared" si="319"/>
        <v>0</v>
      </c>
      <c r="SK20" s="152">
        <f t="shared" si="320"/>
        <v>0</v>
      </c>
      <c r="SL20" s="152">
        <f t="shared" si="321"/>
        <v>0</v>
      </c>
      <c r="SM20" s="28">
        <f t="shared" si="322"/>
        <v>-10000000000</v>
      </c>
      <c r="SN20" s="29"/>
      <c r="SO20" s="28"/>
      <c r="SP20" s="29">
        <f t="shared" ref="SP20:SP33" si="437">RANK(SM20,SM$4:SM$33)</f>
        <v>17</v>
      </c>
      <c r="SQ20" s="152">
        <f t="shared" si="323"/>
        <v>0</v>
      </c>
      <c r="SR20" s="152">
        <f t="shared" si="324"/>
        <v>0</v>
      </c>
      <c r="SS20" s="152">
        <f t="shared" si="325"/>
        <v>0</v>
      </c>
      <c r="ST20" s="28">
        <f t="shared" si="326"/>
        <v>-10000000000</v>
      </c>
      <c r="SU20" s="29"/>
      <c r="SV20" s="28"/>
      <c r="SW20" s="29">
        <f t="shared" ref="SW20:SW33" si="438">RANK(ST20,ST$4:ST$33)</f>
        <v>17</v>
      </c>
      <c r="SX20" s="152">
        <f t="shared" si="327"/>
        <v>0</v>
      </c>
      <c r="SY20" s="152">
        <f t="shared" si="328"/>
        <v>0</v>
      </c>
      <c r="SZ20" s="152">
        <f t="shared" si="329"/>
        <v>0</v>
      </c>
      <c r="TA20" s="28">
        <f t="shared" si="330"/>
        <v>-10000000000</v>
      </c>
      <c r="TB20" s="29"/>
      <c r="TC20" s="28"/>
      <c r="TD20" s="29">
        <f t="shared" ref="TD20:TD33" si="439">RANK(TA20,TA$4:TA$33)</f>
        <v>17</v>
      </c>
      <c r="TE20" s="152">
        <f t="shared" si="331"/>
        <v>0</v>
      </c>
      <c r="TF20" s="152">
        <f t="shared" si="332"/>
        <v>0</v>
      </c>
      <c r="TG20" s="152">
        <f t="shared" si="333"/>
        <v>0</v>
      </c>
      <c r="TH20" s="28">
        <f t="shared" si="334"/>
        <v>-10000000000</v>
      </c>
      <c r="TI20" s="29"/>
      <c r="TJ20" s="28"/>
      <c r="TK20" s="29">
        <f t="shared" ref="TK20:TK33" si="440">RANK(TH20,TH$4:TH$33)</f>
        <v>17</v>
      </c>
      <c r="TL20" s="152">
        <f t="shared" si="335"/>
        <v>0</v>
      </c>
      <c r="TM20" s="152">
        <f t="shared" si="336"/>
        <v>0</v>
      </c>
      <c r="TN20" s="152">
        <f t="shared" si="337"/>
        <v>0</v>
      </c>
      <c r="TO20" s="28">
        <f t="shared" si="338"/>
        <v>-10000000000</v>
      </c>
      <c r="TP20" s="29"/>
      <c r="TQ20" s="28"/>
      <c r="TR20" s="29">
        <f t="shared" ref="TR20:TR33" si="441">RANK(TO20,TO$4:TO$33)</f>
        <v>17</v>
      </c>
      <c r="TS20" s="152">
        <f t="shared" si="339"/>
        <v>0</v>
      </c>
      <c r="TT20" s="152">
        <f t="shared" si="340"/>
        <v>0</v>
      </c>
      <c r="TU20" s="152">
        <f t="shared" si="341"/>
        <v>0</v>
      </c>
      <c r="TV20" s="28">
        <f t="shared" si="342"/>
        <v>-10000000000</v>
      </c>
      <c r="TW20" s="29"/>
      <c r="TX20" s="28"/>
      <c r="TY20" s="29">
        <f t="shared" ref="TY20:TY33" si="442">RANK(TV20,TV$4:TV$33)</f>
        <v>17</v>
      </c>
      <c r="TZ20" s="152">
        <f t="shared" si="343"/>
        <v>0</v>
      </c>
      <c r="UA20" s="152">
        <f t="shared" si="344"/>
        <v>0</v>
      </c>
      <c r="UB20" s="152">
        <f t="shared" si="345"/>
        <v>0</v>
      </c>
      <c r="UC20" s="28">
        <f t="shared" si="346"/>
        <v>-10000000000</v>
      </c>
      <c r="UD20" s="29"/>
      <c r="UE20" s="28"/>
      <c r="UF20" s="29">
        <f t="shared" ref="UF20:UF33" si="443">RANK(UC20,UC$4:UC$33)</f>
        <v>17</v>
      </c>
      <c r="UG20" s="152">
        <f t="shared" si="347"/>
        <v>0</v>
      </c>
      <c r="UH20" s="152">
        <f t="shared" si="348"/>
        <v>0</v>
      </c>
      <c r="UI20" s="152">
        <f t="shared" si="349"/>
        <v>0</v>
      </c>
      <c r="UJ20" s="28">
        <f t="shared" si="350"/>
        <v>-10000000000</v>
      </c>
      <c r="UK20" s="29"/>
      <c r="UL20" s="28"/>
      <c r="UM20" s="29">
        <f t="shared" ref="UM20:UM33" si="444">RANK(UJ20,UJ$4:UJ$33)</f>
        <v>17</v>
      </c>
      <c r="UN20" s="152">
        <f t="shared" si="351"/>
        <v>0</v>
      </c>
      <c r="UO20" s="152">
        <f t="shared" si="352"/>
        <v>0</v>
      </c>
      <c r="UP20" s="152">
        <f t="shared" si="353"/>
        <v>0</v>
      </c>
      <c r="UQ20" s="28">
        <f t="shared" si="354"/>
        <v>-10000000000</v>
      </c>
      <c r="UR20" s="29"/>
      <c r="US20" s="28"/>
      <c r="UT20" s="29">
        <f t="shared" ref="UT20:UT33" si="445">RANK(UQ20,UQ$4:UQ$33)</f>
        <v>17</v>
      </c>
      <c r="UU20" s="129"/>
      <c r="UV20" s="129">
        <f t="shared" si="355"/>
        <v>0</v>
      </c>
      <c r="UW20" s="129">
        <f t="shared" si="356"/>
        <v>17</v>
      </c>
      <c r="UX20" s="129">
        <f t="shared" ca="1" si="357"/>
        <v>17</v>
      </c>
      <c r="UY20" s="129">
        <f t="shared" ca="1" si="357"/>
        <v>17</v>
      </c>
      <c r="UZ20" s="129">
        <f t="shared" ca="1" si="357"/>
        <v>17</v>
      </c>
      <c r="VA20" s="129">
        <f t="shared" ca="1" si="357"/>
        <v>17</v>
      </c>
      <c r="VB20" s="129">
        <f t="shared" ca="1" si="357"/>
        <v>17</v>
      </c>
      <c r="VC20" s="129">
        <f t="shared" ca="1" si="357"/>
        <v>17</v>
      </c>
      <c r="VD20" s="129">
        <f t="shared" ca="1" si="357"/>
        <v>17</v>
      </c>
      <c r="VE20" s="129">
        <f t="shared" ca="1" si="357"/>
        <v>17</v>
      </c>
      <c r="VF20" s="129">
        <f t="shared" ca="1" si="357"/>
        <v>17</v>
      </c>
      <c r="VG20" s="129">
        <f t="shared" ca="1" si="357"/>
        <v>17</v>
      </c>
      <c r="VH20" s="129">
        <f t="shared" ca="1" si="357"/>
        <v>17</v>
      </c>
      <c r="VI20" s="129">
        <f t="shared" ca="1" si="357"/>
        <v>17</v>
      </c>
      <c r="VJ20" s="129">
        <f t="shared" ca="1" si="357"/>
        <v>17</v>
      </c>
      <c r="VK20" s="129">
        <f t="shared" ca="1" si="357"/>
        <v>17</v>
      </c>
      <c r="VL20" s="129">
        <f t="shared" ca="1" si="357"/>
        <v>17</v>
      </c>
      <c r="VM20" s="129">
        <f t="shared" ca="1" si="357"/>
        <v>17</v>
      </c>
      <c r="VN20" s="129">
        <f t="shared" ca="1" si="406"/>
        <v>17</v>
      </c>
      <c r="VO20" s="129">
        <f t="shared" ca="1" si="406"/>
        <v>17</v>
      </c>
      <c r="VP20" s="129">
        <f t="shared" ca="1" si="406"/>
        <v>17</v>
      </c>
      <c r="VQ20" s="129">
        <f t="shared" ca="1" si="406"/>
        <v>17</v>
      </c>
      <c r="VR20" s="129">
        <f t="shared" ca="1" si="406"/>
        <v>17</v>
      </c>
      <c r="VS20" s="129">
        <f t="shared" ca="1" si="406"/>
        <v>17</v>
      </c>
      <c r="VT20" s="129">
        <f t="shared" ca="1" si="406"/>
        <v>17</v>
      </c>
      <c r="VU20" s="129">
        <f t="shared" ca="1" si="406"/>
        <v>17</v>
      </c>
      <c r="VV20" s="129">
        <f t="shared" ca="1" si="406"/>
        <v>17</v>
      </c>
      <c r="VW20" s="129">
        <f t="shared" ca="1" si="406"/>
        <v>17</v>
      </c>
      <c r="VX20" s="129">
        <f t="shared" ca="1" si="406"/>
        <v>17</v>
      </c>
      <c r="VY20" s="129">
        <f t="shared" ca="1" si="406"/>
        <v>17</v>
      </c>
      <c r="VZ20" s="129">
        <f t="shared" ca="1" si="406"/>
        <v>17</v>
      </c>
      <c r="WA20" s="129">
        <f t="shared" ca="1" si="406"/>
        <v>17</v>
      </c>
      <c r="WB20" s="129">
        <f t="shared" ca="1" si="406"/>
        <v>17</v>
      </c>
      <c r="WC20" s="129">
        <f t="shared" ca="1" si="406"/>
        <v>17</v>
      </c>
      <c r="WD20" s="129">
        <f t="shared" ca="1" si="407"/>
        <v>17</v>
      </c>
      <c r="WE20" s="129">
        <f t="shared" ca="1" si="66"/>
        <v>17</v>
      </c>
      <c r="WF20" s="129">
        <f t="shared" ca="1" si="66"/>
        <v>17</v>
      </c>
      <c r="WG20" s="129">
        <f t="shared" ca="1" si="66"/>
        <v>17</v>
      </c>
      <c r="WH20" s="129">
        <f t="shared" ca="1" si="66"/>
        <v>17</v>
      </c>
      <c r="WJ20" s="87"/>
      <c r="WK20" s="87">
        <f t="shared" si="358"/>
        <v>0</v>
      </c>
      <c r="WL20" s="87">
        <v>17</v>
      </c>
      <c r="WM20" s="87">
        <v>17</v>
      </c>
      <c r="WN20" s="87">
        <f>IF($WI$3&gt;=WN$3,UW20,NA())</f>
        <v>17</v>
      </c>
      <c r="WO20" s="87">
        <f ca="1">IF($WI$3&gt;=WO$3,UX20,NA())</f>
        <v>17</v>
      </c>
      <c r="WP20" s="87">
        <f ca="1">IF($WI$3&gt;=WP$3,UY20,NA())</f>
        <v>17</v>
      </c>
      <c r="WQ20" s="87">
        <f ca="1">IF($WI$3&gt;=WQ$3,UZ20,NA())</f>
        <v>17</v>
      </c>
      <c r="WR20" s="87">
        <f ca="1">IF($WI$3&gt;=WR$3,VA20,NA())</f>
        <v>17</v>
      </c>
      <c r="WS20" s="87">
        <f ca="1">IF($WI$3&gt;=WS$3,VB20,NA())</f>
        <v>17</v>
      </c>
      <c r="WT20" s="87">
        <f ca="1">IF($WI$3&gt;=WT$3,VC20,NA())</f>
        <v>17</v>
      </c>
      <c r="WU20" s="87">
        <f ca="1">IF($WI$3&gt;=WU$3,VD20,NA())</f>
        <v>17</v>
      </c>
      <c r="WV20" s="87">
        <f ca="1">IF($WI$3&gt;=WV$3,VE20,NA())</f>
        <v>17</v>
      </c>
      <c r="WW20" s="87">
        <f ca="1">IF($WI$3&gt;=WW$3,VF20,NA())</f>
        <v>17</v>
      </c>
      <c r="WX20" s="87">
        <f ca="1">IF($WI$3&gt;=WX$3,VG20,NA())</f>
        <v>17</v>
      </c>
      <c r="WY20" s="87">
        <f ca="1">IF($WI$3&gt;=WY$3,VH20,NA())</f>
        <v>17</v>
      </c>
      <c r="WZ20" s="87">
        <f ca="1">IF($WI$3&gt;=WZ$3,VI20,NA())</f>
        <v>17</v>
      </c>
      <c r="XA20" s="87">
        <f ca="1">IF($WI$3&gt;=XA$3,VJ20,NA())</f>
        <v>17</v>
      </c>
      <c r="XB20" s="87">
        <f ca="1">IF($WI$3&gt;=XB$3,VK20,NA())</f>
        <v>17</v>
      </c>
      <c r="XC20" s="87">
        <f ca="1">IF($WI$3&gt;=XC$3,VL20,NA())</f>
        <v>17</v>
      </c>
      <c r="XD20" s="87">
        <f ca="1">IF($WI$3&gt;=XD$3,VM20,NA())</f>
        <v>17</v>
      </c>
      <c r="XE20" s="87">
        <f ca="1">IF($WI$3&gt;=XE$3,VN20,NA())</f>
        <v>17</v>
      </c>
      <c r="XF20" s="87">
        <f ca="1">IF($WI$3&gt;=XF$3,VO20,NA())</f>
        <v>17</v>
      </c>
      <c r="XG20" s="87">
        <f ca="1">IF($WI$3&gt;=XG$3,VP20,NA())</f>
        <v>17</v>
      </c>
      <c r="XH20" s="87">
        <f ca="1">IF($WI$3&gt;=XH$3,VQ20,NA())</f>
        <v>17</v>
      </c>
      <c r="XI20" s="87" t="e">
        <f>IF($WI$3&gt;=XI$3,VR20,NA())</f>
        <v>#N/A</v>
      </c>
      <c r="XJ20" s="87" t="e">
        <f>IF($WI$3&gt;=XJ$3,VS20,NA())</f>
        <v>#N/A</v>
      </c>
      <c r="XK20" s="87" t="e">
        <f>IF($WI$3&gt;=XK$3,VT20,NA())</f>
        <v>#N/A</v>
      </c>
      <c r="XL20" s="87" t="e">
        <f>IF($WI$3&gt;=XL$3,VU20,NA())</f>
        <v>#N/A</v>
      </c>
      <c r="XM20" s="87" t="e">
        <f>IF($WI$3&gt;=XM$3,VV20,NA())</f>
        <v>#N/A</v>
      </c>
      <c r="XN20" s="87" t="e">
        <f>IF($WI$3&gt;=XN$3,VW20,NA())</f>
        <v>#N/A</v>
      </c>
      <c r="XO20" s="87" t="e">
        <f>IF($WI$3&gt;=XO$3,VX20,NA())</f>
        <v>#N/A</v>
      </c>
      <c r="XP20" s="87" t="e">
        <f>IF($WI$3&gt;=XP$3,VY20,NA())</f>
        <v>#N/A</v>
      </c>
      <c r="XQ20" s="87" t="e">
        <f>IF($WI$3&gt;=XQ$3,VZ20,NA())</f>
        <v>#N/A</v>
      </c>
      <c r="XR20" s="87" t="e">
        <f>IF($WI$3&gt;=XR$3,WA20,NA())</f>
        <v>#N/A</v>
      </c>
      <c r="XS20" s="87" t="e">
        <f>IF($WI$3&gt;=XS$3,WB20,NA())</f>
        <v>#N/A</v>
      </c>
      <c r="XT20" s="87" t="e">
        <f>IF($WI$3&gt;=XT$3,WC20,NA())</f>
        <v>#N/A</v>
      </c>
      <c r="XU20" s="87" t="e">
        <f>IF($WI$3&gt;=XU$3,WD20,NA())</f>
        <v>#N/A</v>
      </c>
      <c r="XV20" s="87" t="e">
        <f>IF($WI$3&gt;=XV$3,WE20,NA())</f>
        <v>#N/A</v>
      </c>
      <c r="XW20" s="87" t="e">
        <f>IF($WI$3&gt;=XW$3,WF20,NA())</f>
        <v>#N/A</v>
      </c>
      <c r="XX20" s="87" t="e">
        <f>IF($WI$3&gt;=XX$3,WG20,NA())</f>
        <v>#N/A</v>
      </c>
      <c r="XY20" s="87" t="e">
        <f>IF($WI$3&gt;=XY$3,WH20,NA())</f>
        <v>#N/A</v>
      </c>
      <c r="YB20" s="280"/>
      <c r="YC20" s="280"/>
      <c r="YD20" s="280"/>
      <c r="YE20" s="163"/>
      <c r="YF20" s="163"/>
      <c r="YG20" s="280"/>
      <c r="YH20" s="280"/>
      <c r="YI20" s="280"/>
      <c r="YJ20" s="280"/>
      <c r="YK20" s="280"/>
      <c r="YL20" s="280"/>
      <c r="YM20" s="280"/>
      <c r="YN20" s="280"/>
      <c r="YO20" s="280"/>
      <c r="YP20" s="280"/>
      <c r="YQ20" s="280"/>
      <c r="YR20" s="280"/>
      <c r="YS20" s="280"/>
      <c r="YT20" s="280"/>
      <c r="YU20" s="280"/>
      <c r="YV20" s="280"/>
      <c r="YW20" s="280"/>
      <c r="YX20" s="280"/>
      <c r="YY20" s="280"/>
      <c r="YZ20" s="280"/>
      <c r="ZA20" s="280"/>
      <c r="ZB20" s="280"/>
      <c r="ZC20" s="280"/>
      <c r="ZD20" s="280"/>
      <c r="ZE20" s="280"/>
      <c r="ZF20" s="280"/>
      <c r="ZG20" s="280"/>
      <c r="ZH20" s="280"/>
      <c r="ZI20" s="280"/>
      <c r="ZJ20" s="280"/>
      <c r="ZK20" s="280"/>
      <c r="ZL20" s="280"/>
      <c r="ZM20" s="280"/>
      <c r="ZN20" s="280"/>
      <c r="ZO20" s="280"/>
      <c r="ZP20" s="280"/>
      <c r="ZQ20" s="280"/>
      <c r="ZR20" s="280"/>
      <c r="ZS20" s="280"/>
      <c r="ZT20" s="280"/>
      <c r="ZU20" s="280"/>
      <c r="ZV20" s="280"/>
      <c r="ZW20" s="280"/>
      <c r="ZX20" s="280"/>
      <c r="ZY20" s="280"/>
      <c r="ZZ20" s="280"/>
      <c r="AAA20" s="280"/>
      <c r="AAB20" s="280"/>
      <c r="AAC20" s="280"/>
      <c r="AAD20" s="160"/>
      <c r="AAE20" s="160"/>
      <c r="AAF20" s="160"/>
      <c r="AAG20" s="160"/>
    </row>
    <row r="21" spans="4:723">
      <c r="D21" s="29"/>
      <c r="E21" s="31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5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5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6"/>
      <c r="AP21" s="27"/>
      <c r="AQ21" s="28"/>
      <c r="AR21" s="29"/>
      <c r="AS21" s="28"/>
      <c r="AT21" s="29"/>
      <c r="AU21" s="30"/>
      <c r="AV21" s="29"/>
      <c r="AW21" s="29"/>
      <c r="AX21" s="29"/>
      <c r="AY21" s="29"/>
      <c r="AZ21" s="29"/>
      <c r="BA21" s="29"/>
      <c r="BB21" s="29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S21" s="10" t="s">
        <v>44</v>
      </c>
      <c r="BT21" s="123">
        <v>0.125</v>
      </c>
      <c r="BU21" s="123">
        <f t="shared" si="405"/>
        <v>0.29166666666666663</v>
      </c>
      <c r="BV21" s="10" t="s">
        <v>64</v>
      </c>
      <c r="CA21" s="130">
        <f t="shared" si="119"/>
        <v>-1</v>
      </c>
      <c r="CB21" s="130">
        <f t="shared" si="120"/>
        <v>100000</v>
      </c>
      <c r="CC21" s="130">
        <f t="shared" si="121"/>
        <v>-1</v>
      </c>
      <c r="CD21" s="130">
        <f t="shared" si="122"/>
        <v>100000</v>
      </c>
      <c r="CE21" s="130">
        <f t="shared" si="123"/>
        <v>-1</v>
      </c>
      <c r="CF21" s="130">
        <f t="shared" si="124"/>
        <v>100000</v>
      </c>
      <c r="CG21" s="130">
        <f t="shared" si="125"/>
        <v>-1</v>
      </c>
      <c r="CH21" s="130">
        <f t="shared" si="126"/>
        <v>100000</v>
      </c>
      <c r="CI21" s="130">
        <f t="shared" si="127"/>
        <v>-1</v>
      </c>
      <c r="CJ21" s="130">
        <f t="shared" si="128"/>
        <v>100000</v>
      </c>
      <c r="CK21" s="130">
        <f t="shared" si="129"/>
        <v>-100000</v>
      </c>
      <c r="CL21" s="130">
        <f t="shared" si="130"/>
        <v>100000</v>
      </c>
      <c r="CM21" s="130">
        <f t="shared" si="131"/>
        <v>-1</v>
      </c>
      <c r="CN21" s="130">
        <f t="shared" si="132"/>
        <v>100000</v>
      </c>
      <c r="CO21" s="130">
        <f t="shared" si="133"/>
        <v>-1</v>
      </c>
      <c r="CP21" s="130">
        <f t="shared" si="134"/>
        <v>100000</v>
      </c>
      <c r="CQ21" s="131"/>
      <c r="CR21" s="130">
        <f t="shared" si="360"/>
        <v>-1</v>
      </c>
      <c r="CS21" s="130">
        <f t="shared" si="135"/>
        <v>100000</v>
      </c>
      <c r="CT21" s="130">
        <f t="shared" si="361"/>
        <v>-1</v>
      </c>
      <c r="CU21" s="130">
        <f t="shared" si="362"/>
        <v>100000</v>
      </c>
      <c r="CV21" s="130">
        <f t="shared" si="363"/>
        <v>-1</v>
      </c>
      <c r="CW21" s="130">
        <f t="shared" si="364"/>
        <v>100000</v>
      </c>
      <c r="CX21" s="130">
        <f t="shared" si="365"/>
        <v>-1</v>
      </c>
      <c r="CY21" s="130">
        <f t="shared" si="366"/>
        <v>100000</v>
      </c>
      <c r="CZ21" s="130">
        <f t="shared" si="367"/>
        <v>-1</v>
      </c>
      <c r="DA21" s="130">
        <f t="shared" si="368"/>
        <v>100000</v>
      </c>
      <c r="DB21" s="130">
        <f t="shared" si="369"/>
        <v>-100000</v>
      </c>
      <c r="DC21" s="130">
        <f t="shared" si="370"/>
        <v>100000</v>
      </c>
      <c r="DD21" s="130">
        <f t="shared" si="371"/>
        <v>-1</v>
      </c>
      <c r="DE21" s="130">
        <f t="shared" si="372"/>
        <v>100000</v>
      </c>
      <c r="DF21" s="130">
        <f t="shared" si="373"/>
        <v>-1</v>
      </c>
      <c r="DG21" s="130">
        <f t="shared" si="374"/>
        <v>100000</v>
      </c>
      <c r="DH21" s="131"/>
      <c r="DI21" s="130">
        <f t="shared" si="389"/>
        <v>-1</v>
      </c>
      <c r="DJ21" s="130">
        <f t="shared" si="136"/>
        <v>100000</v>
      </c>
      <c r="DK21" s="130">
        <f t="shared" si="390"/>
        <v>-1</v>
      </c>
      <c r="DL21" s="130">
        <f t="shared" si="391"/>
        <v>100000</v>
      </c>
      <c r="DM21" s="130">
        <f t="shared" si="392"/>
        <v>-1</v>
      </c>
      <c r="DN21" s="130">
        <f t="shared" si="393"/>
        <v>100000</v>
      </c>
      <c r="DO21" s="130">
        <f t="shared" si="394"/>
        <v>-1</v>
      </c>
      <c r="DP21" s="130">
        <f t="shared" si="395"/>
        <v>100000</v>
      </c>
      <c r="DQ21" s="130">
        <f t="shared" si="396"/>
        <v>-1</v>
      </c>
      <c r="DR21" s="130">
        <f t="shared" si="397"/>
        <v>100000</v>
      </c>
      <c r="DS21" s="130">
        <f t="shared" si="398"/>
        <v>-100000</v>
      </c>
      <c r="DT21" s="130">
        <f t="shared" si="399"/>
        <v>100000</v>
      </c>
      <c r="DU21" s="130">
        <f t="shared" si="400"/>
        <v>-1</v>
      </c>
      <c r="DV21" s="130">
        <f t="shared" si="401"/>
        <v>100000</v>
      </c>
      <c r="DW21" s="130">
        <f t="shared" si="402"/>
        <v>-1</v>
      </c>
      <c r="DX21" s="130">
        <f t="shared" si="403"/>
        <v>100000</v>
      </c>
      <c r="DY21" s="132"/>
      <c r="DZ21" s="115">
        <v>18</v>
      </c>
      <c r="EA21" s="115">
        <v>13</v>
      </c>
      <c r="EB21" s="10">
        <f t="shared" si="137"/>
        <v>17</v>
      </c>
      <c r="EC21" s="10">
        <f t="shared" si="138"/>
        <v>17</v>
      </c>
      <c r="ED21" s="10">
        <f t="shared" si="139"/>
        <v>17</v>
      </c>
      <c r="EE21" s="10">
        <f t="shared" si="140"/>
        <v>17</v>
      </c>
      <c r="EF21" s="10">
        <f t="shared" si="141"/>
        <v>17</v>
      </c>
      <c r="EG21" s="10">
        <f t="shared" si="142"/>
        <v>17</v>
      </c>
      <c r="EH21" s="10">
        <f t="shared" si="143"/>
        <v>17</v>
      </c>
      <c r="EI21" s="10">
        <f t="shared" si="144"/>
        <v>17</v>
      </c>
      <c r="EJ21" s="10">
        <f t="shared" si="145"/>
        <v>17</v>
      </c>
      <c r="EK21" s="10">
        <f t="shared" si="146"/>
        <v>17</v>
      </c>
      <c r="EL21" s="10">
        <f t="shared" si="147"/>
        <v>17</v>
      </c>
      <c r="EM21" s="10">
        <f t="shared" si="148"/>
        <v>17</v>
      </c>
      <c r="EN21" s="10">
        <f t="shared" si="149"/>
        <v>17</v>
      </c>
      <c r="EO21" s="10">
        <f t="shared" si="150"/>
        <v>17</v>
      </c>
      <c r="EP21" s="10">
        <f t="shared" si="151"/>
        <v>17</v>
      </c>
      <c r="EQ21" s="10">
        <f t="shared" si="152"/>
        <v>17</v>
      </c>
      <c r="ES21" s="10">
        <f t="shared" si="153"/>
        <v>17</v>
      </c>
      <c r="ET21" s="10">
        <f t="shared" si="154"/>
        <v>17</v>
      </c>
      <c r="EU21" s="10">
        <f t="shared" si="155"/>
        <v>17</v>
      </c>
      <c r="EV21" s="10">
        <f t="shared" si="154"/>
        <v>17</v>
      </c>
      <c r="EW21" s="10">
        <f t="shared" si="156"/>
        <v>17</v>
      </c>
      <c r="EX21" s="10">
        <f t="shared" si="157"/>
        <v>17</v>
      </c>
      <c r="EY21" s="10">
        <f t="shared" si="158"/>
        <v>17</v>
      </c>
      <c r="EZ21" s="10">
        <f t="shared" si="159"/>
        <v>17</v>
      </c>
      <c r="FA21" s="10">
        <f t="shared" si="160"/>
        <v>17</v>
      </c>
      <c r="FB21" s="10">
        <f t="shared" si="161"/>
        <v>17</v>
      </c>
      <c r="FC21" s="10">
        <f t="shared" si="162"/>
        <v>17</v>
      </c>
      <c r="FD21" s="10">
        <f t="shared" si="163"/>
        <v>17</v>
      </c>
      <c r="FE21" s="10">
        <f t="shared" si="164"/>
        <v>17</v>
      </c>
      <c r="FF21" s="10">
        <f t="shared" si="165"/>
        <v>17</v>
      </c>
      <c r="FG21" s="10">
        <f t="shared" si="166"/>
        <v>17</v>
      </c>
      <c r="FH21" s="10">
        <f t="shared" si="167"/>
        <v>17</v>
      </c>
      <c r="FJ21" s="10">
        <f t="shared" si="168"/>
        <v>17</v>
      </c>
      <c r="FK21" s="10">
        <f t="shared" si="169"/>
        <v>17</v>
      </c>
      <c r="FL21" s="10">
        <f t="shared" si="170"/>
        <v>17</v>
      </c>
      <c r="FM21" s="10">
        <f t="shared" si="171"/>
        <v>17</v>
      </c>
      <c r="FN21" s="10">
        <f t="shared" si="172"/>
        <v>17</v>
      </c>
      <c r="FO21" s="10">
        <f t="shared" si="173"/>
        <v>17</v>
      </c>
      <c r="FP21" s="10">
        <f t="shared" si="174"/>
        <v>17</v>
      </c>
      <c r="FQ21" s="10">
        <f t="shared" si="175"/>
        <v>17</v>
      </c>
      <c r="FR21" s="10">
        <f t="shared" si="176"/>
        <v>17</v>
      </c>
      <c r="FS21" s="10">
        <f t="shared" si="177"/>
        <v>17</v>
      </c>
      <c r="FT21" s="10">
        <f t="shared" si="178"/>
        <v>17</v>
      </c>
      <c r="FU21" s="10">
        <f t="shared" si="179"/>
        <v>17</v>
      </c>
      <c r="FV21" s="10">
        <f t="shared" si="180"/>
        <v>17</v>
      </c>
      <c r="FW21" s="10">
        <f t="shared" si="181"/>
        <v>17</v>
      </c>
      <c r="FX21" s="10">
        <f t="shared" si="182"/>
        <v>17</v>
      </c>
      <c r="FY21" s="10">
        <f t="shared" si="183"/>
        <v>17</v>
      </c>
      <c r="GA21" s="10">
        <f>IF(lg!$C$18=1,EB21,IF(lg!$C$18=2,ES21,FJ21))</f>
        <v>17</v>
      </c>
      <c r="GB21" s="10">
        <f>IF(lg!$C$18=1,EC21,IF(lg!$C$18=2,ET21,FK21))</f>
        <v>17</v>
      </c>
      <c r="GC21" s="10">
        <f>IF(lg!$C$18=1,ED21,IF(lg!$C$18=2,EU21,FL21))</f>
        <v>17</v>
      </c>
      <c r="GD21" s="10">
        <f>IF(lg!$C$18=1,EE21,IF(lg!$C$18=2,EV21,FM21))</f>
        <v>17</v>
      </c>
      <c r="GE21" s="10">
        <f>IF(lg!$C$18=1,EF21,IF(lg!$C$18=2,EW21,FN21))</f>
        <v>17</v>
      </c>
      <c r="GF21" s="10">
        <f>IF(lg!$C$18=1,EG21,IF(lg!$C$18=2,EX21,FO21))</f>
        <v>17</v>
      </c>
      <c r="GG21" s="10">
        <f>IF(lg!$C$18=1,EH21,IF(lg!$C$18=2,EY21,FP21))</f>
        <v>17</v>
      </c>
      <c r="GH21" s="10">
        <f>IF(lg!$C$18=1,EI21,IF(lg!$C$18=2,EZ21,FQ21))</f>
        <v>17</v>
      </c>
      <c r="GI21" s="10">
        <f>IF(lg!$C$18=1,EJ21,IF(lg!$C$18=2,FA21,FR21))</f>
        <v>17</v>
      </c>
      <c r="GJ21" s="10">
        <f>IF(lg!$C$18=1,EK21,IF(lg!$C$18=2,FB21,FS21))</f>
        <v>17</v>
      </c>
      <c r="GK21" s="10">
        <f>IF(lg!$C$18=1,EL21,IF(lg!$C$18=2,FC21,FT21))</f>
        <v>17</v>
      </c>
      <c r="GL21" s="10">
        <f>IF(lg!$C$18=1,EM21,IF(lg!$C$18=2,FD21,FU21))</f>
        <v>17</v>
      </c>
      <c r="GM21" s="10">
        <f>IF(lg!$C$18=1,EN21,IF(lg!$C$18=2,FE21,FV21))</f>
        <v>17</v>
      </c>
      <c r="GN21" s="10">
        <f>IF(lg!$C$18=1,EO21,IF(lg!$C$18=2,FF21,FW21))</f>
        <v>17</v>
      </c>
      <c r="GO21" s="10">
        <f>IF(lg!$C$18=1,EP21,IF(lg!$C$18=2,FG21,FX21))</f>
        <v>17</v>
      </c>
      <c r="GP21" s="10">
        <f>IF(lg!$C$18=1,EQ21,IF(lg!$C$18=2,FH21,FY21))</f>
        <v>17</v>
      </c>
      <c r="GR21" s="10" t="e">
        <f t="shared" si="184"/>
        <v>#N/A</v>
      </c>
      <c r="GS21" s="10" t="e">
        <f t="shared" si="31"/>
        <v>#N/A</v>
      </c>
      <c r="GT21" s="10" t="e">
        <f t="shared" si="32"/>
        <v>#N/A</v>
      </c>
      <c r="GU21" s="10" t="e">
        <f t="shared" si="33"/>
        <v>#N/A</v>
      </c>
      <c r="GV21" s="10" t="e">
        <f t="shared" si="34"/>
        <v>#N/A</v>
      </c>
      <c r="GW21" s="10" t="e">
        <f t="shared" si="35"/>
        <v>#N/A</v>
      </c>
      <c r="GX21" s="10" t="e">
        <f t="shared" si="36"/>
        <v>#N/A</v>
      </c>
      <c r="GY21" s="10" t="e">
        <f t="shared" si="37"/>
        <v>#N/A</v>
      </c>
      <c r="GZ21" s="10" t="e">
        <f t="shared" si="38"/>
        <v>#N/A</v>
      </c>
      <c r="HA21" s="10" t="e">
        <f t="shared" si="39"/>
        <v>#N/A</v>
      </c>
      <c r="HB21" s="10" t="e">
        <f t="shared" si="40"/>
        <v>#N/A</v>
      </c>
      <c r="HC21" s="10" t="e">
        <f t="shared" si="41"/>
        <v>#N/A</v>
      </c>
      <c r="HD21" s="10" t="e">
        <f t="shared" si="42"/>
        <v>#N/A</v>
      </c>
      <c r="HE21" s="10" t="e">
        <f t="shared" si="43"/>
        <v>#N/A</v>
      </c>
      <c r="HF21" s="10" t="e">
        <f t="shared" si="44"/>
        <v>#N/A</v>
      </c>
      <c r="HG21" s="10" t="e">
        <f t="shared" si="45"/>
        <v>#N/A</v>
      </c>
      <c r="HI21" s="10">
        <v>18</v>
      </c>
      <c r="HJ21" s="115">
        <f>IF(lg!$C$18=1,F21,IF(lg!$C$18=2,R21,AD21))</f>
        <v>0</v>
      </c>
      <c r="HK21" s="115">
        <f>IF(lg!$C$18=1,G21,IF(lg!$C$18=2,S21,AE21))</f>
        <v>0</v>
      </c>
      <c r="HL21" s="115">
        <f>IF(lg!$C$18=1,H21,IF(lg!$C$18=2,T21,AF21))</f>
        <v>0</v>
      </c>
      <c r="HM21" s="115">
        <f>IF(lg!$C$18=1,I21,IF(lg!$C$18=2,U21,AG21))</f>
        <v>0</v>
      </c>
      <c r="HN21" s="115">
        <f>IF(lg!$C$18=1,J21,IF(lg!$C$18=2,V21,AH21))</f>
        <v>0</v>
      </c>
      <c r="HO21" s="115">
        <f>IF(lg!$C$18=1,K21,IF(lg!$C$18=2,W21,AI21))</f>
        <v>0</v>
      </c>
      <c r="HP21" s="115">
        <f>IF(lg!$C$18=1,L21,IF(lg!$C$18=2,X21,AJ21))</f>
        <v>0</v>
      </c>
      <c r="HQ21" s="115">
        <f>IF(lg!$C$18=1,M21,IF(lg!$C$18=2,Y21,AK21))</f>
        <v>0</v>
      </c>
      <c r="HR21" s="115">
        <f>IF(lg!$C$18=1,N21,IF(lg!$C$18=2,Z21,AL21))</f>
        <v>0</v>
      </c>
      <c r="HS21" s="115">
        <f>IF(lg!$C$18=1,O21,IF(lg!$C$18=2,AA21,AM21))</f>
        <v>0</v>
      </c>
      <c r="HT21" s="115">
        <f>IF(lg!$C$18=1,P21,IF(lg!$C$18=2,AB21,AN21))</f>
        <v>0</v>
      </c>
      <c r="HV21" s="115">
        <f t="shared" si="185"/>
        <v>0</v>
      </c>
      <c r="HW21" s="115">
        <f t="shared" si="186"/>
        <v>0</v>
      </c>
      <c r="HX21" s="115">
        <f t="shared" si="187"/>
        <v>0</v>
      </c>
      <c r="HY21" s="115">
        <f t="shared" si="188"/>
        <v>0</v>
      </c>
      <c r="HZ21" s="115">
        <f t="shared" si="189"/>
        <v>0</v>
      </c>
      <c r="IA21" s="115">
        <f t="shared" si="190"/>
        <v>0</v>
      </c>
      <c r="IB21" s="115">
        <f t="shared" si="191"/>
        <v>0</v>
      </c>
      <c r="IC21" s="115">
        <f t="shared" si="192"/>
        <v>0</v>
      </c>
      <c r="ID21" s="115">
        <f t="shared" si="193"/>
        <v>0</v>
      </c>
      <c r="IE21" s="115">
        <f t="shared" si="194"/>
        <v>0</v>
      </c>
      <c r="IF21" s="115">
        <f t="shared" si="195"/>
        <v>0</v>
      </c>
      <c r="IG21" s="115">
        <f t="shared" si="196"/>
        <v>0</v>
      </c>
      <c r="IH21" s="115">
        <f t="shared" si="197"/>
        <v>0</v>
      </c>
      <c r="II21" s="115">
        <f t="shared" si="198"/>
        <v>0</v>
      </c>
      <c r="IJ21" s="115">
        <f t="shared" si="199"/>
        <v>0</v>
      </c>
      <c r="IK21" s="115">
        <f t="shared" si="200"/>
        <v>0</v>
      </c>
      <c r="IN21" s="77" t="s">
        <v>69</v>
      </c>
      <c r="IO21" s="36" t="s">
        <v>10</v>
      </c>
      <c r="IP21" s="67">
        <f>VLOOKUP('ef-TeamStats'!B2,Table!$B$4:$W$23,17,0)</f>
        <v>7</v>
      </c>
      <c r="IQ21" s="67">
        <f>VLOOKUP('ef-TeamStats'!$B$2,Table!$B$4:$W$23,16,0)</f>
        <v>11</v>
      </c>
      <c r="IR21" s="134">
        <f t="shared" si="47"/>
        <v>0.63636363636363635</v>
      </c>
      <c r="IS21" s="133">
        <f>MATCH('ef-TeamStats'!$B$2,$JU$4:$JU$33,0)</f>
        <v>1</v>
      </c>
      <c r="IT21" s="67"/>
      <c r="IU21" s="36" t="s">
        <v>10</v>
      </c>
      <c r="IV21" s="67">
        <f>VLOOKUP('ef-TeamStats'!G2,Table!$B$4:$W$23,17,0)</f>
        <v>3</v>
      </c>
      <c r="IW21" s="67">
        <f>VLOOKUP('ef-TeamStats'!$G$2,Table!$B$4:$W$23,16,0)</f>
        <v>10</v>
      </c>
      <c r="IX21" s="134">
        <f t="shared" si="48"/>
        <v>0.3</v>
      </c>
      <c r="IY21" s="133">
        <f>MATCH('ef-TeamStats'!$G$2,$JU$4:$JU$33,0)</f>
        <v>5</v>
      </c>
      <c r="JB21" s="10">
        <f>IF(lg!$F$18=1,EB21,IF(lg!$F$18=2,ES21,FJ21))</f>
        <v>17</v>
      </c>
      <c r="JC21" s="10">
        <f>IF(lg!$F$18=1,EC21,IF(lg!$F$18=2,ET21,FK21))</f>
        <v>17</v>
      </c>
      <c r="JD21" s="10">
        <f>IF(lg!$F$18=1,ED21,IF(lg!$F$18=2,EU21,FL21))</f>
        <v>17</v>
      </c>
      <c r="JE21" s="10">
        <f>IF(lg!$F$18=1,EE21,IF(lg!$F$18=2,EV21,FM21))</f>
        <v>17</v>
      </c>
      <c r="JF21" s="10">
        <f>IF(lg!$F$18=1,EF21,IF(lg!$F$18=2,EW21,FN21))</f>
        <v>17</v>
      </c>
      <c r="JG21" s="10">
        <f>IF(lg!$F$18=1,EG21,IF(lg!$F$18=2,EX21,FO21))</f>
        <v>17</v>
      </c>
      <c r="JH21" s="10">
        <f>IF(lg!$F$18=1,EH21,IF(lg!$F$18=2,EY21,FP21))</f>
        <v>17</v>
      </c>
      <c r="JI21" s="10">
        <f>IF(lg!$F$18=1,EI21,IF(lg!$F$18=2,EZ21,FQ21))</f>
        <v>17</v>
      </c>
      <c r="JJ21" s="10">
        <f>IF(lg!$F$18=1,EJ21,IF(lg!$F$18=2,FA21,FR21))</f>
        <v>17</v>
      </c>
      <c r="JK21" s="10">
        <f>IF(lg!$F$18=1,EK21,IF(lg!$F$18=2,FB21,FS21))</f>
        <v>17</v>
      </c>
      <c r="JL21" s="10">
        <f>IF(lg!$F$18=1,EL21,IF(lg!$F$18=2,FC21,FT21))</f>
        <v>17</v>
      </c>
      <c r="JM21" s="10">
        <f>IF(lg!$F$18=1,EM21,IF(lg!$F$18=2,FD21,FU21))</f>
        <v>17</v>
      </c>
      <c r="JN21" s="10">
        <f>IF(lg!$F$18=1,EN21,IF(lg!$F$18=2,FE21,FV21))</f>
        <v>17</v>
      </c>
      <c r="JO21" s="10">
        <f>IF(lg!$F$18=1,EO21,IF(lg!$F$18=2,FF21,FW21))</f>
        <v>17</v>
      </c>
      <c r="JP21" s="10">
        <f>IF(lg!$F$18=1,EP21,IF(lg!$F$18=2,FG21,FX21))</f>
        <v>17</v>
      </c>
      <c r="JQ21" s="10">
        <f>IF(lg!$F$18=1,EQ21,IF(lg!$F$18=2,FH21,FY21))</f>
        <v>17</v>
      </c>
      <c r="JS21" s="10" t="e">
        <f t="shared" si="201"/>
        <v>#N/A</v>
      </c>
      <c r="JT21" s="10" t="e">
        <f t="shared" si="49"/>
        <v>#N/A</v>
      </c>
      <c r="JU21" s="10" t="e">
        <f t="shared" si="50"/>
        <v>#N/A</v>
      </c>
      <c r="JV21" s="10" t="e">
        <f t="shared" si="51"/>
        <v>#N/A</v>
      </c>
      <c r="JW21" s="10" t="e">
        <f t="shared" si="52"/>
        <v>#N/A</v>
      </c>
      <c r="JX21" s="10" t="e">
        <f t="shared" si="53"/>
        <v>#N/A</v>
      </c>
      <c r="JY21" s="10" t="e">
        <f t="shared" si="54"/>
        <v>#N/A</v>
      </c>
      <c r="JZ21" s="10" t="e">
        <f t="shared" si="55"/>
        <v>#N/A</v>
      </c>
      <c r="KA21" s="10" t="e">
        <f t="shared" si="56"/>
        <v>#N/A</v>
      </c>
      <c r="KB21" s="10" t="e">
        <f t="shared" si="57"/>
        <v>#N/A</v>
      </c>
      <c r="KC21" s="10" t="e">
        <f t="shared" si="58"/>
        <v>#N/A</v>
      </c>
      <c r="KD21" s="10" t="e">
        <f t="shared" si="59"/>
        <v>#N/A</v>
      </c>
      <c r="KE21" s="10" t="e">
        <f t="shared" si="60"/>
        <v>#N/A</v>
      </c>
      <c r="KF21" s="10" t="e">
        <f t="shared" si="61"/>
        <v>#N/A</v>
      </c>
      <c r="KG21" s="10" t="e">
        <f t="shared" si="62"/>
        <v>#N/A</v>
      </c>
      <c r="KH21" s="10" t="e">
        <f t="shared" si="63"/>
        <v>#N/A</v>
      </c>
      <c r="KL21" s="27">
        <v>0.13</v>
      </c>
      <c r="KM21" s="29">
        <v>18</v>
      </c>
      <c r="KN21" s="31">
        <f t="shared" si="202"/>
        <v>0</v>
      </c>
      <c r="KO21" s="152">
        <f t="shared" si="203"/>
        <v>0</v>
      </c>
      <c r="KP21" s="152">
        <f t="shared" si="204"/>
        <v>0</v>
      </c>
      <c r="KQ21" s="152">
        <f t="shared" si="205"/>
        <v>0</v>
      </c>
      <c r="KR21" s="28">
        <f t="shared" si="206"/>
        <v>-10000000000</v>
      </c>
      <c r="KS21" s="29"/>
      <c r="KT21" s="28"/>
      <c r="KU21" s="29">
        <f t="shared" si="408"/>
        <v>17</v>
      </c>
      <c r="KV21" s="152">
        <f t="shared" si="207"/>
        <v>0</v>
      </c>
      <c r="KW21" s="152">
        <f t="shared" si="208"/>
        <v>0</v>
      </c>
      <c r="KX21" s="152">
        <f t="shared" si="209"/>
        <v>0</v>
      </c>
      <c r="KY21" s="28">
        <f t="shared" si="210"/>
        <v>-10000000000</v>
      </c>
      <c r="KZ21" s="29"/>
      <c r="LA21" s="28"/>
      <c r="LB21" s="29">
        <f t="shared" si="409"/>
        <v>17</v>
      </c>
      <c r="LC21" s="152">
        <f t="shared" si="211"/>
        <v>0</v>
      </c>
      <c r="LD21" s="152">
        <f t="shared" si="212"/>
        <v>0</v>
      </c>
      <c r="LE21" s="152">
        <f t="shared" si="213"/>
        <v>0</v>
      </c>
      <c r="LF21" s="28">
        <f t="shared" si="214"/>
        <v>-10000000000</v>
      </c>
      <c r="LG21" s="29"/>
      <c r="LH21" s="28"/>
      <c r="LI21" s="29">
        <f t="shared" si="410"/>
        <v>17</v>
      </c>
      <c r="LJ21" s="152">
        <f t="shared" si="215"/>
        <v>0</v>
      </c>
      <c r="LK21" s="152">
        <f t="shared" si="216"/>
        <v>0</v>
      </c>
      <c r="LL21" s="152">
        <f t="shared" si="217"/>
        <v>0</v>
      </c>
      <c r="LM21" s="28">
        <f t="shared" si="218"/>
        <v>-10000000000</v>
      </c>
      <c r="LN21" s="29"/>
      <c r="LO21" s="28"/>
      <c r="LP21" s="29">
        <f t="shared" si="411"/>
        <v>17</v>
      </c>
      <c r="LQ21" s="152">
        <f t="shared" si="219"/>
        <v>0</v>
      </c>
      <c r="LR21" s="152">
        <f t="shared" si="220"/>
        <v>0</v>
      </c>
      <c r="LS21" s="152">
        <f t="shared" si="221"/>
        <v>0</v>
      </c>
      <c r="LT21" s="28">
        <f t="shared" si="222"/>
        <v>-10000000000</v>
      </c>
      <c r="LU21" s="29"/>
      <c r="LV21" s="28"/>
      <c r="LW21" s="29">
        <f t="shared" si="412"/>
        <v>17</v>
      </c>
      <c r="LX21" s="152">
        <f t="shared" si="223"/>
        <v>0</v>
      </c>
      <c r="LY21" s="152">
        <f t="shared" si="224"/>
        <v>0</v>
      </c>
      <c r="LZ21" s="152">
        <f t="shared" si="225"/>
        <v>0</v>
      </c>
      <c r="MA21" s="28">
        <f t="shared" si="226"/>
        <v>-10000000000</v>
      </c>
      <c r="MB21" s="29"/>
      <c r="MC21" s="28"/>
      <c r="MD21" s="29">
        <f t="shared" si="413"/>
        <v>17</v>
      </c>
      <c r="ME21" s="152">
        <f t="shared" si="227"/>
        <v>0</v>
      </c>
      <c r="MF21" s="152">
        <f t="shared" si="228"/>
        <v>0</v>
      </c>
      <c r="MG21" s="152">
        <f t="shared" si="229"/>
        <v>0</v>
      </c>
      <c r="MH21" s="28">
        <f t="shared" si="230"/>
        <v>-10000000000</v>
      </c>
      <c r="MI21" s="29"/>
      <c r="MJ21" s="28"/>
      <c r="MK21" s="29">
        <f t="shared" si="414"/>
        <v>17</v>
      </c>
      <c r="ML21" s="152">
        <f t="shared" si="231"/>
        <v>0</v>
      </c>
      <c r="MM21" s="152">
        <f t="shared" si="232"/>
        <v>0</v>
      </c>
      <c r="MN21" s="152">
        <f t="shared" si="233"/>
        <v>0</v>
      </c>
      <c r="MO21" s="28">
        <f t="shared" si="234"/>
        <v>-10000000000</v>
      </c>
      <c r="MP21" s="29"/>
      <c r="MQ21" s="28"/>
      <c r="MR21" s="29">
        <f t="shared" si="415"/>
        <v>17</v>
      </c>
      <c r="MS21" s="152">
        <f t="shared" si="235"/>
        <v>0</v>
      </c>
      <c r="MT21" s="152">
        <f t="shared" si="236"/>
        <v>0</v>
      </c>
      <c r="MU21" s="152">
        <f t="shared" si="237"/>
        <v>0</v>
      </c>
      <c r="MV21" s="28">
        <f t="shared" si="238"/>
        <v>-10000000000</v>
      </c>
      <c r="MW21" s="29"/>
      <c r="MX21" s="28"/>
      <c r="MY21" s="29">
        <f t="shared" si="416"/>
        <v>17</v>
      </c>
      <c r="MZ21" s="152">
        <f t="shared" si="239"/>
        <v>0</v>
      </c>
      <c r="NA21" s="152">
        <f t="shared" si="240"/>
        <v>0</v>
      </c>
      <c r="NB21" s="152">
        <f t="shared" si="241"/>
        <v>0</v>
      </c>
      <c r="NC21" s="28">
        <f t="shared" si="242"/>
        <v>-10000000000</v>
      </c>
      <c r="ND21" s="29"/>
      <c r="NE21" s="28"/>
      <c r="NF21" s="29">
        <f t="shared" si="417"/>
        <v>17</v>
      </c>
      <c r="NG21" s="152">
        <f t="shared" si="243"/>
        <v>0</v>
      </c>
      <c r="NH21" s="152">
        <f t="shared" si="244"/>
        <v>0</v>
      </c>
      <c r="NI21" s="152">
        <f t="shared" si="245"/>
        <v>0</v>
      </c>
      <c r="NJ21" s="28">
        <f t="shared" si="246"/>
        <v>-10000000000</v>
      </c>
      <c r="NK21" s="29"/>
      <c r="NL21" s="28"/>
      <c r="NM21" s="29">
        <f t="shared" si="418"/>
        <v>17</v>
      </c>
      <c r="NN21" s="152">
        <f t="shared" si="247"/>
        <v>0</v>
      </c>
      <c r="NO21" s="152">
        <f t="shared" si="248"/>
        <v>0</v>
      </c>
      <c r="NP21" s="152">
        <f t="shared" si="249"/>
        <v>0</v>
      </c>
      <c r="NQ21" s="28">
        <f t="shared" si="250"/>
        <v>-10000000000</v>
      </c>
      <c r="NR21" s="29"/>
      <c r="NS21" s="28"/>
      <c r="NT21" s="29">
        <f t="shared" si="419"/>
        <v>17</v>
      </c>
      <c r="NU21" s="152">
        <f t="shared" si="251"/>
        <v>0</v>
      </c>
      <c r="NV21" s="152">
        <f t="shared" si="252"/>
        <v>0</v>
      </c>
      <c r="NW21" s="152">
        <f t="shared" si="253"/>
        <v>0</v>
      </c>
      <c r="NX21" s="28">
        <f t="shared" si="254"/>
        <v>-10000000000</v>
      </c>
      <c r="NY21" s="29"/>
      <c r="NZ21" s="28"/>
      <c r="OA21" s="29">
        <f t="shared" si="420"/>
        <v>17</v>
      </c>
      <c r="OB21" s="152">
        <f t="shared" si="255"/>
        <v>0</v>
      </c>
      <c r="OC21" s="152">
        <f t="shared" si="256"/>
        <v>0</v>
      </c>
      <c r="OD21" s="152">
        <f t="shared" si="257"/>
        <v>0</v>
      </c>
      <c r="OE21" s="28">
        <f t="shared" si="258"/>
        <v>-10000000000</v>
      </c>
      <c r="OF21" s="29"/>
      <c r="OG21" s="28"/>
      <c r="OH21" s="29">
        <f t="shared" si="421"/>
        <v>17</v>
      </c>
      <c r="OI21" s="152">
        <f t="shared" si="259"/>
        <v>0</v>
      </c>
      <c r="OJ21" s="152">
        <f t="shared" si="260"/>
        <v>0</v>
      </c>
      <c r="OK21" s="152">
        <f t="shared" si="261"/>
        <v>0</v>
      </c>
      <c r="OL21" s="28">
        <f t="shared" si="262"/>
        <v>-10000000000</v>
      </c>
      <c r="OM21" s="29"/>
      <c r="ON21" s="28"/>
      <c r="OO21" s="29">
        <f t="shared" si="422"/>
        <v>17</v>
      </c>
      <c r="OP21" s="152">
        <f t="shared" si="263"/>
        <v>0</v>
      </c>
      <c r="OQ21" s="152">
        <f t="shared" si="264"/>
        <v>0</v>
      </c>
      <c r="OR21" s="152">
        <f t="shared" si="265"/>
        <v>0</v>
      </c>
      <c r="OS21" s="28">
        <f t="shared" si="266"/>
        <v>-10000000000</v>
      </c>
      <c r="OT21" s="29"/>
      <c r="OU21" s="28"/>
      <c r="OV21" s="29">
        <f t="shared" si="423"/>
        <v>17</v>
      </c>
      <c r="OW21" s="152">
        <f t="shared" si="267"/>
        <v>0</v>
      </c>
      <c r="OX21" s="152">
        <f t="shared" si="268"/>
        <v>0</v>
      </c>
      <c r="OY21" s="152">
        <f t="shared" si="269"/>
        <v>0</v>
      </c>
      <c r="OZ21" s="28">
        <f t="shared" si="270"/>
        <v>-10000000000</v>
      </c>
      <c r="PA21" s="29"/>
      <c r="PB21" s="28"/>
      <c r="PC21" s="29">
        <f t="shared" si="424"/>
        <v>17</v>
      </c>
      <c r="PD21" s="152">
        <f t="shared" si="271"/>
        <v>0</v>
      </c>
      <c r="PE21" s="152">
        <f t="shared" si="272"/>
        <v>0</v>
      </c>
      <c r="PF21" s="152">
        <f t="shared" si="273"/>
        <v>0</v>
      </c>
      <c r="PG21" s="28">
        <f t="shared" si="274"/>
        <v>-10000000000</v>
      </c>
      <c r="PH21" s="29"/>
      <c r="PI21" s="28"/>
      <c r="PJ21" s="29">
        <f t="shared" si="425"/>
        <v>17</v>
      </c>
      <c r="PK21" s="152">
        <f t="shared" si="275"/>
        <v>0</v>
      </c>
      <c r="PL21" s="152">
        <f t="shared" si="276"/>
        <v>0</v>
      </c>
      <c r="PM21" s="152">
        <f t="shared" si="277"/>
        <v>0</v>
      </c>
      <c r="PN21" s="28">
        <f t="shared" si="278"/>
        <v>-10000000000</v>
      </c>
      <c r="PO21" s="29"/>
      <c r="PP21" s="28"/>
      <c r="PQ21" s="29">
        <f t="shared" si="426"/>
        <v>17</v>
      </c>
      <c r="PR21" s="152">
        <f t="shared" si="279"/>
        <v>0</v>
      </c>
      <c r="PS21" s="152">
        <f t="shared" si="280"/>
        <v>0</v>
      </c>
      <c r="PT21" s="152">
        <f t="shared" si="281"/>
        <v>0</v>
      </c>
      <c r="PU21" s="28">
        <f t="shared" si="282"/>
        <v>-10000000000</v>
      </c>
      <c r="PV21" s="29"/>
      <c r="PW21" s="28"/>
      <c r="PX21" s="29">
        <f t="shared" si="427"/>
        <v>17</v>
      </c>
      <c r="PY21" s="152">
        <f t="shared" si="283"/>
        <v>0</v>
      </c>
      <c r="PZ21" s="152">
        <f t="shared" si="284"/>
        <v>0</v>
      </c>
      <c r="QA21" s="152">
        <f t="shared" si="285"/>
        <v>0</v>
      </c>
      <c r="QB21" s="28">
        <f t="shared" si="286"/>
        <v>-10000000000</v>
      </c>
      <c r="QC21" s="29"/>
      <c r="QD21" s="28"/>
      <c r="QE21" s="29">
        <f t="shared" si="428"/>
        <v>17</v>
      </c>
      <c r="QF21" s="152">
        <f t="shared" si="287"/>
        <v>0</v>
      </c>
      <c r="QG21" s="152">
        <f t="shared" si="288"/>
        <v>0</v>
      </c>
      <c r="QH21" s="152">
        <f t="shared" si="289"/>
        <v>0</v>
      </c>
      <c r="QI21" s="28">
        <f t="shared" si="290"/>
        <v>-10000000000</v>
      </c>
      <c r="QJ21" s="29"/>
      <c r="QK21" s="28"/>
      <c r="QL21" s="29">
        <f t="shared" si="429"/>
        <v>17</v>
      </c>
      <c r="QM21" s="152">
        <f t="shared" si="291"/>
        <v>0</v>
      </c>
      <c r="QN21" s="152">
        <f t="shared" si="292"/>
        <v>0</v>
      </c>
      <c r="QO21" s="152">
        <f t="shared" si="293"/>
        <v>0</v>
      </c>
      <c r="QP21" s="28">
        <f t="shared" si="294"/>
        <v>-10000000000</v>
      </c>
      <c r="QQ21" s="29"/>
      <c r="QR21" s="28"/>
      <c r="QS21" s="29">
        <f t="shared" si="430"/>
        <v>17</v>
      </c>
      <c r="QT21" s="152">
        <f t="shared" si="295"/>
        <v>0</v>
      </c>
      <c r="QU21" s="152">
        <f t="shared" si="296"/>
        <v>0</v>
      </c>
      <c r="QV21" s="152">
        <f t="shared" si="297"/>
        <v>0</v>
      </c>
      <c r="QW21" s="28">
        <f t="shared" si="298"/>
        <v>-10000000000</v>
      </c>
      <c r="QX21" s="29"/>
      <c r="QY21" s="28"/>
      <c r="QZ21" s="29">
        <f t="shared" si="431"/>
        <v>17</v>
      </c>
      <c r="RA21" s="152">
        <f t="shared" si="299"/>
        <v>0</v>
      </c>
      <c r="RB21" s="152">
        <f t="shared" si="300"/>
        <v>0</v>
      </c>
      <c r="RC21" s="152">
        <f t="shared" si="301"/>
        <v>0</v>
      </c>
      <c r="RD21" s="28">
        <f t="shared" si="302"/>
        <v>-10000000000</v>
      </c>
      <c r="RE21" s="29"/>
      <c r="RF21" s="28"/>
      <c r="RG21" s="29">
        <f t="shared" si="432"/>
        <v>17</v>
      </c>
      <c r="RH21" s="152">
        <f t="shared" si="303"/>
        <v>0</v>
      </c>
      <c r="RI21" s="152">
        <f t="shared" si="304"/>
        <v>0</v>
      </c>
      <c r="RJ21" s="152">
        <f t="shared" si="305"/>
        <v>0</v>
      </c>
      <c r="RK21" s="28">
        <f t="shared" si="306"/>
        <v>-10000000000</v>
      </c>
      <c r="RL21" s="29"/>
      <c r="RM21" s="28"/>
      <c r="RN21" s="29">
        <f t="shared" si="433"/>
        <v>17</v>
      </c>
      <c r="RO21" s="152">
        <f t="shared" si="307"/>
        <v>0</v>
      </c>
      <c r="RP21" s="152">
        <f t="shared" si="308"/>
        <v>0</v>
      </c>
      <c r="RQ21" s="152">
        <f t="shared" si="309"/>
        <v>0</v>
      </c>
      <c r="RR21" s="28">
        <f t="shared" si="310"/>
        <v>-10000000000</v>
      </c>
      <c r="RS21" s="29"/>
      <c r="RT21" s="28"/>
      <c r="RU21" s="29">
        <f t="shared" si="434"/>
        <v>17</v>
      </c>
      <c r="RV21" s="152">
        <f t="shared" si="311"/>
        <v>0</v>
      </c>
      <c r="RW21" s="152">
        <f t="shared" si="312"/>
        <v>0</v>
      </c>
      <c r="RX21" s="152">
        <f t="shared" si="313"/>
        <v>0</v>
      </c>
      <c r="RY21" s="28">
        <f t="shared" si="314"/>
        <v>-10000000000</v>
      </c>
      <c r="RZ21" s="29"/>
      <c r="SA21" s="28"/>
      <c r="SB21" s="29">
        <f t="shared" si="435"/>
        <v>17</v>
      </c>
      <c r="SC21" s="152">
        <f t="shared" si="315"/>
        <v>0</v>
      </c>
      <c r="SD21" s="152">
        <f t="shared" si="316"/>
        <v>0</v>
      </c>
      <c r="SE21" s="152">
        <f t="shared" si="317"/>
        <v>0</v>
      </c>
      <c r="SF21" s="28">
        <f t="shared" si="318"/>
        <v>-10000000000</v>
      </c>
      <c r="SG21" s="29"/>
      <c r="SH21" s="28"/>
      <c r="SI21" s="29">
        <f t="shared" si="436"/>
        <v>17</v>
      </c>
      <c r="SJ21" s="152">
        <f t="shared" si="319"/>
        <v>0</v>
      </c>
      <c r="SK21" s="152">
        <f t="shared" si="320"/>
        <v>0</v>
      </c>
      <c r="SL21" s="152">
        <f t="shared" si="321"/>
        <v>0</v>
      </c>
      <c r="SM21" s="28">
        <f t="shared" si="322"/>
        <v>-10000000000</v>
      </c>
      <c r="SN21" s="29"/>
      <c r="SO21" s="28"/>
      <c r="SP21" s="29">
        <f t="shared" si="437"/>
        <v>17</v>
      </c>
      <c r="SQ21" s="152">
        <f t="shared" si="323"/>
        <v>0</v>
      </c>
      <c r="SR21" s="152">
        <f t="shared" si="324"/>
        <v>0</v>
      </c>
      <c r="SS21" s="152">
        <f t="shared" si="325"/>
        <v>0</v>
      </c>
      <c r="ST21" s="28">
        <f t="shared" si="326"/>
        <v>-10000000000</v>
      </c>
      <c r="SU21" s="29"/>
      <c r="SV21" s="28"/>
      <c r="SW21" s="29">
        <f t="shared" si="438"/>
        <v>17</v>
      </c>
      <c r="SX21" s="152">
        <f t="shared" si="327"/>
        <v>0</v>
      </c>
      <c r="SY21" s="152">
        <f t="shared" si="328"/>
        <v>0</v>
      </c>
      <c r="SZ21" s="152">
        <f t="shared" si="329"/>
        <v>0</v>
      </c>
      <c r="TA21" s="28">
        <f t="shared" si="330"/>
        <v>-10000000000</v>
      </c>
      <c r="TB21" s="29"/>
      <c r="TC21" s="28"/>
      <c r="TD21" s="29">
        <f t="shared" si="439"/>
        <v>17</v>
      </c>
      <c r="TE21" s="152">
        <f t="shared" si="331"/>
        <v>0</v>
      </c>
      <c r="TF21" s="152">
        <f t="shared" si="332"/>
        <v>0</v>
      </c>
      <c r="TG21" s="152">
        <f t="shared" si="333"/>
        <v>0</v>
      </c>
      <c r="TH21" s="28">
        <f t="shared" si="334"/>
        <v>-10000000000</v>
      </c>
      <c r="TI21" s="29"/>
      <c r="TJ21" s="28"/>
      <c r="TK21" s="29">
        <f t="shared" si="440"/>
        <v>17</v>
      </c>
      <c r="TL21" s="152">
        <f t="shared" si="335"/>
        <v>0</v>
      </c>
      <c r="TM21" s="152">
        <f t="shared" si="336"/>
        <v>0</v>
      </c>
      <c r="TN21" s="152">
        <f t="shared" si="337"/>
        <v>0</v>
      </c>
      <c r="TO21" s="28">
        <f t="shared" si="338"/>
        <v>-10000000000</v>
      </c>
      <c r="TP21" s="29"/>
      <c r="TQ21" s="28"/>
      <c r="TR21" s="29">
        <f t="shared" si="441"/>
        <v>17</v>
      </c>
      <c r="TS21" s="152">
        <f t="shared" si="339"/>
        <v>0</v>
      </c>
      <c r="TT21" s="152">
        <f t="shared" si="340"/>
        <v>0</v>
      </c>
      <c r="TU21" s="152">
        <f t="shared" si="341"/>
        <v>0</v>
      </c>
      <c r="TV21" s="28">
        <f t="shared" si="342"/>
        <v>-10000000000</v>
      </c>
      <c r="TW21" s="29"/>
      <c r="TX21" s="28"/>
      <c r="TY21" s="29">
        <f t="shared" si="442"/>
        <v>17</v>
      </c>
      <c r="TZ21" s="152">
        <f t="shared" si="343"/>
        <v>0</v>
      </c>
      <c r="UA21" s="152">
        <f t="shared" si="344"/>
        <v>0</v>
      </c>
      <c r="UB21" s="152">
        <f t="shared" si="345"/>
        <v>0</v>
      </c>
      <c r="UC21" s="28">
        <f t="shared" si="346"/>
        <v>-10000000000</v>
      </c>
      <c r="UD21" s="29"/>
      <c r="UE21" s="28"/>
      <c r="UF21" s="29">
        <f t="shared" si="443"/>
        <v>17</v>
      </c>
      <c r="UG21" s="152">
        <f t="shared" si="347"/>
        <v>0</v>
      </c>
      <c r="UH21" s="152">
        <f t="shared" si="348"/>
        <v>0</v>
      </c>
      <c r="UI21" s="152">
        <f t="shared" si="349"/>
        <v>0</v>
      </c>
      <c r="UJ21" s="28">
        <f t="shared" si="350"/>
        <v>-10000000000</v>
      </c>
      <c r="UK21" s="29"/>
      <c r="UL21" s="28"/>
      <c r="UM21" s="29">
        <f t="shared" si="444"/>
        <v>17</v>
      </c>
      <c r="UN21" s="152">
        <f t="shared" si="351"/>
        <v>0</v>
      </c>
      <c r="UO21" s="152">
        <f t="shared" si="352"/>
        <v>0</v>
      </c>
      <c r="UP21" s="152">
        <f t="shared" si="353"/>
        <v>0</v>
      </c>
      <c r="UQ21" s="28">
        <f t="shared" si="354"/>
        <v>-10000000000</v>
      </c>
      <c r="UR21" s="29"/>
      <c r="US21" s="28"/>
      <c r="UT21" s="29">
        <f t="shared" si="445"/>
        <v>17</v>
      </c>
      <c r="UU21" s="129"/>
      <c r="UV21" s="129">
        <f t="shared" si="355"/>
        <v>0</v>
      </c>
      <c r="UW21" s="129">
        <f t="shared" si="356"/>
        <v>17</v>
      </c>
      <c r="UX21" s="129">
        <f t="shared" ref="UX21:VM33" ca="1" si="446">OFFSET($KU21,0,UX$3)</f>
        <v>17</v>
      </c>
      <c r="UY21" s="129">
        <f t="shared" ca="1" si="446"/>
        <v>17</v>
      </c>
      <c r="UZ21" s="129">
        <f t="shared" ca="1" si="446"/>
        <v>17</v>
      </c>
      <c r="VA21" s="129">
        <f t="shared" ca="1" si="446"/>
        <v>17</v>
      </c>
      <c r="VB21" s="129">
        <f t="shared" ca="1" si="446"/>
        <v>17</v>
      </c>
      <c r="VC21" s="129">
        <f t="shared" ca="1" si="446"/>
        <v>17</v>
      </c>
      <c r="VD21" s="129">
        <f t="shared" ca="1" si="446"/>
        <v>17</v>
      </c>
      <c r="VE21" s="129">
        <f t="shared" ca="1" si="446"/>
        <v>17</v>
      </c>
      <c r="VF21" s="129">
        <f t="shared" ca="1" si="446"/>
        <v>17</v>
      </c>
      <c r="VG21" s="129">
        <f t="shared" ca="1" si="446"/>
        <v>17</v>
      </c>
      <c r="VH21" s="129">
        <f t="shared" ca="1" si="446"/>
        <v>17</v>
      </c>
      <c r="VI21" s="129">
        <f t="shared" ca="1" si="446"/>
        <v>17</v>
      </c>
      <c r="VJ21" s="129">
        <f t="shared" ca="1" si="446"/>
        <v>17</v>
      </c>
      <c r="VK21" s="129">
        <f t="shared" ca="1" si="446"/>
        <v>17</v>
      </c>
      <c r="VL21" s="129">
        <f t="shared" ca="1" si="446"/>
        <v>17</v>
      </c>
      <c r="VM21" s="129">
        <f t="shared" ca="1" si="446"/>
        <v>17</v>
      </c>
      <c r="VN21" s="129">
        <f t="shared" ca="1" si="406"/>
        <v>17</v>
      </c>
      <c r="VO21" s="129">
        <f t="shared" ca="1" si="406"/>
        <v>17</v>
      </c>
      <c r="VP21" s="129">
        <f t="shared" ca="1" si="406"/>
        <v>17</v>
      </c>
      <c r="VQ21" s="129">
        <f t="shared" ca="1" si="406"/>
        <v>17</v>
      </c>
      <c r="VR21" s="129">
        <f t="shared" ca="1" si="406"/>
        <v>17</v>
      </c>
      <c r="VS21" s="129">
        <f t="shared" ca="1" si="406"/>
        <v>17</v>
      </c>
      <c r="VT21" s="129">
        <f t="shared" ca="1" si="406"/>
        <v>17</v>
      </c>
      <c r="VU21" s="129">
        <f t="shared" ca="1" si="406"/>
        <v>17</v>
      </c>
      <c r="VV21" s="129">
        <f t="shared" ca="1" si="406"/>
        <v>17</v>
      </c>
      <c r="VW21" s="129">
        <f t="shared" ca="1" si="406"/>
        <v>17</v>
      </c>
      <c r="VX21" s="129">
        <f t="shared" ca="1" si="406"/>
        <v>17</v>
      </c>
      <c r="VY21" s="129">
        <f t="shared" ca="1" si="406"/>
        <v>17</v>
      </c>
      <c r="VZ21" s="129">
        <f t="shared" ca="1" si="406"/>
        <v>17</v>
      </c>
      <c r="WA21" s="129">
        <f t="shared" ca="1" si="406"/>
        <v>17</v>
      </c>
      <c r="WB21" s="129">
        <f t="shared" ca="1" si="406"/>
        <v>17</v>
      </c>
      <c r="WC21" s="129">
        <f t="shared" ca="1" si="406"/>
        <v>17</v>
      </c>
      <c r="WD21" s="129">
        <f t="shared" ca="1" si="407"/>
        <v>17</v>
      </c>
      <c r="WE21" s="129">
        <f t="shared" ca="1" si="66"/>
        <v>17</v>
      </c>
      <c r="WF21" s="129">
        <f t="shared" ca="1" si="66"/>
        <v>17</v>
      </c>
      <c r="WG21" s="129">
        <f t="shared" ca="1" si="66"/>
        <v>17</v>
      </c>
      <c r="WH21" s="129">
        <f t="shared" ca="1" si="66"/>
        <v>17</v>
      </c>
      <c r="WK21" s="87">
        <f t="shared" si="358"/>
        <v>0</v>
      </c>
      <c r="WL21" s="87">
        <v>18</v>
      </c>
      <c r="WM21" s="87">
        <v>18</v>
      </c>
      <c r="WN21" s="87">
        <f>IF($WI$3&gt;=WN$3,UW21,NA())</f>
        <v>17</v>
      </c>
      <c r="WO21" s="87">
        <f ca="1">IF($WI$3&gt;=WO$3,UX21,NA())</f>
        <v>17</v>
      </c>
      <c r="WP21" s="87">
        <f ca="1">IF($WI$3&gt;=WP$3,UY21,NA())</f>
        <v>17</v>
      </c>
      <c r="WQ21" s="87">
        <f ca="1">IF($WI$3&gt;=WQ$3,UZ21,NA())</f>
        <v>17</v>
      </c>
      <c r="WR21" s="87">
        <f ca="1">IF($WI$3&gt;=WR$3,VA21,NA())</f>
        <v>17</v>
      </c>
      <c r="WS21" s="87">
        <f ca="1">IF($WI$3&gt;=WS$3,VB21,NA())</f>
        <v>17</v>
      </c>
      <c r="WT21" s="87">
        <f ca="1">IF($WI$3&gt;=WT$3,VC21,NA())</f>
        <v>17</v>
      </c>
      <c r="WU21" s="87">
        <f ca="1">IF($WI$3&gt;=WU$3,VD21,NA())</f>
        <v>17</v>
      </c>
      <c r="WV21" s="87">
        <f ca="1">IF($WI$3&gt;=WV$3,VE21,NA())</f>
        <v>17</v>
      </c>
      <c r="WW21" s="87">
        <f ca="1">IF($WI$3&gt;=WW$3,VF21,NA())</f>
        <v>17</v>
      </c>
      <c r="WX21" s="87">
        <f ca="1">IF($WI$3&gt;=WX$3,VG21,NA())</f>
        <v>17</v>
      </c>
      <c r="WY21" s="87">
        <f ca="1">IF($WI$3&gt;=WY$3,VH21,NA())</f>
        <v>17</v>
      </c>
      <c r="WZ21" s="87">
        <f ca="1">IF($WI$3&gt;=WZ$3,VI21,NA())</f>
        <v>17</v>
      </c>
      <c r="XA21" s="87">
        <f ca="1">IF($WI$3&gt;=XA$3,VJ21,NA())</f>
        <v>17</v>
      </c>
      <c r="XB21" s="87">
        <f ca="1">IF($WI$3&gt;=XB$3,VK21,NA())</f>
        <v>17</v>
      </c>
      <c r="XC21" s="87">
        <f ca="1">IF($WI$3&gt;=XC$3,VL21,NA())</f>
        <v>17</v>
      </c>
      <c r="XD21" s="87">
        <f ca="1">IF($WI$3&gt;=XD$3,VM21,NA())</f>
        <v>17</v>
      </c>
      <c r="XE21" s="87">
        <f ca="1">IF($WI$3&gt;=XE$3,VN21,NA())</f>
        <v>17</v>
      </c>
      <c r="XF21" s="87">
        <f ca="1">IF($WI$3&gt;=XF$3,VO21,NA())</f>
        <v>17</v>
      </c>
      <c r="XG21" s="87">
        <f ca="1">IF($WI$3&gt;=XG$3,VP21,NA())</f>
        <v>17</v>
      </c>
      <c r="XH21" s="87">
        <f ca="1">IF($WI$3&gt;=XH$3,VQ21,NA())</f>
        <v>17</v>
      </c>
      <c r="XI21" s="87" t="e">
        <f>IF($WI$3&gt;=XI$3,VR21,NA())</f>
        <v>#N/A</v>
      </c>
      <c r="XJ21" s="87" t="e">
        <f>IF($WI$3&gt;=XJ$3,VS21,NA())</f>
        <v>#N/A</v>
      </c>
      <c r="XK21" s="87" t="e">
        <f>IF($WI$3&gt;=XK$3,VT21,NA())</f>
        <v>#N/A</v>
      </c>
      <c r="XL21" s="87" t="e">
        <f>IF($WI$3&gt;=XL$3,VU21,NA())</f>
        <v>#N/A</v>
      </c>
      <c r="XM21" s="87" t="e">
        <f>IF($WI$3&gt;=XM$3,VV21,NA())</f>
        <v>#N/A</v>
      </c>
      <c r="XN21" s="87" t="e">
        <f>IF($WI$3&gt;=XN$3,VW21,NA())</f>
        <v>#N/A</v>
      </c>
      <c r="XO21" s="87" t="e">
        <f>IF($WI$3&gt;=XO$3,VX21,NA())</f>
        <v>#N/A</v>
      </c>
      <c r="XP21" s="87" t="e">
        <f>IF($WI$3&gt;=XP$3,VY21,NA())</f>
        <v>#N/A</v>
      </c>
      <c r="XQ21" s="87" t="e">
        <f>IF($WI$3&gt;=XQ$3,VZ21,NA())</f>
        <v>#N/A</v>
      </c>
      <c r="XR21" s="87" t="e">
        <f>IF($WI$3&gt;=XR$3,WA21,NA())</f>
        <v>#N/A</v>
      </c>
      <c r="XS21" s="87" t="e">
        <f>IF($WI$3&gt;=XS$3,WB21,NA())</f>
        <v>#N/A</v>
      </c>
      <c r="XT21" s="87" t="e">
        <f>IF($WI$3&gt;=XT$3,WC21,NA())</f>
        <v>#N/A</v>
      </c>
      <c r="XU21" s="87" t="e">
        <f>IF($WI$3&gt;=XU$3,WD21,NA())</f>
        <v>#N/A</v>
      </c>
      <c r="XV21" s="87" t="e">
        <f>IF($WI$3&gt;=XV$3,WE21,NA())</f>
        <v>#N/A</v>
      </c>
      <c r="XW21" s="87" t="e">
        <f>IF($WI$3&gt;=XW$3,WF21,NA())</f>
        <v>#N/A</v>
      </c>
      <c r="XX21" s="87" t="e">
        <f>IF($WI$3&gt;=XX$3,WG21,NA())</f>
        <v>#N/A</v>
      </c>
      <c r="XY21" s="87" t="e">
        <f>IF($WI$3&gt;=XY$3,WH21,NA())</f>
        <v>#N/A</v>
      </c>
      <c r="YB21" s="160"/>
      <c r="YC21" s="160"/>
      <c r="YD21" s="160"/>
      <c r="YE21" s="163"/>
      <c r="YF21" s="163"/>
      <c r="YG21" s="160"/>
      <c r="YH21" s="160"/>
      <c r="YI21" s="160"/>
      <c r="YJ21" s="160"/>
      <c r="YK21" s="160"/>
      <c r="YL21" s="160"/>
      <c r="YM21" s="160"/>
      <c r="YN21" s="160"/>
      <c r="YO21" s="160"/>
      <c r="YP21" s="160"/>
      <c r="YQ21" s="160"/>
      <c r="YR21" s="160"/>
      <c r="YS21" s="160"/>
      <c r="YT21" s="160"/>
      <c r="YU21" s="160"/>
      <c r="YV21" s="160"/>
      <c r="YW21" s="160"/>
      <c r="YX21" s="160"/>
      <c r="YY21" s="160"/>
      <c r="YZ21" s="160"/>
      <c r="ZA21" s="160"/>
      <c r="ZB21" s="160"/>
      <c r="ZC21" s="160"/>
      <c r="ZD21" s="160"/>
      <c r="ZE21" s="160"/>
      <c r="ZF21" s="160"/>
      <c r="ZG21" s="160"/>
      <c r="ZH21" s="160"/>
      <c r="ZI21" s="160"/>
      <c r="ZJ21" s="160"/>
      <c r="ZK21" s="160"/>
      <c r="ZL21" s="160"/>
      <c r="ZM21" s="160"/>
      <c r="ZN21" s="160"/>
      <c r="ZO21" s="160"/>
      <c r="ZP21" s="160"/>
      <c r="ZQ21" s="160"/>
      <c r="ZR21" s="160"/>
      <c r="ZS21" s="160"/>
      <c r="ZT21" s="160"/>
      <c r="ZU21" s="160"/>
      <c r="ZV21" s="160"/>
      <c r="ZW21" s="160"/>
      <c r="ZX21" s="160"/>
      <c r="ZY21" s="160"/>
      <c r="ZZ21" s="160"/>
      <c r="AAA21" s="160"/>
      <c r="AAB21" s="160"/>
      <c r="AAC21" s="160"/>
      <c r="AAD21" s="160"/>
      <c r="AAE21" s="160"/>
      <c r="AAF21" s="160"/>
      <c r="AAG21" s="160"/>
    </row>
    <row r="22" spans="4:723">
      <c r="D22" s="29"/>
      <c r="E22" s="31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5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5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6"/>
      <c r="AP22" s="27"/>
      <c r="AQ22" s="28"/>
      <c r="AR22" s="29"/>
      <c r="AS22" s="28"/>
      <c r="AT22" s="29"/>
      <c r="AU22" s="30"/>
      <c r="AV22" s="29"/>
      <c r="AW22" s="29"/>
      <c r="AX22" s="29"/>
      <c r="AY22" s="29"/>
      <c r="AZ22" s="29"/>
      <c r="BA22" s="29"/>
      <c r="BB22" s="29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S22" s="10" t="s">
        <v>45</v>
      </c>
      <c r="BT22" s="123">
        <v>0.14583333333333334</v>
      </c>
      <c r="BU22" s="123">
        <f t="shared" si="405"/>
        <v>0.3125</v>
      </c>
      <c r="BV22" s="10" t="s">
        <v>64</v>
      </c>
      <c r="CA22" s="130">
        <f t="shared" si="119"/>
        <v>-1</v>
      </c>
      <c r="CB22" s="130">
        <f t="shared" si="120"/>
        <v>100000</v>
      </c>
      <c r="CC22" s="130">
        <f t="shared" si="121"/>
        <v>-1</v>
      </c>
      <c r="CD22" s="130">
        <f t="shared" si="122"/>
        <v>100000</v>
      </c>
      <c r="CE22" s="130">
        <f t="shared" si="123"/>
        <v>-1</v>
      </c>
      <c r="CF22" s="130">
        <f t="shared" si="124"/>
        <v>100000</v>
      </c>
      <c r="CG22" s="130">
        <f t="shared" si="125"/>
        <v>-1</v>
      </c>
      <c r="CH22" s="130">
        <f t="shared" si="126"/>
        <v>100000</v>
      </c>
      <c r="CI22" s="130">
        <f t="shared" si="127"/>
        <v>-1</v>
      </c>
      <c r="CJ22" s="130">
        <f t="shared" si="128"/>
        <v>100000</v>
      </c>
      <c r="CK22" s="130">
        <f t="shared" si="129"/>
        <v>-100000</v>
      </c>
      <c r="CL22" s="130">
        <f t="shared" si="130"/>
        <v>100000</v>
      </c>
      <c r="CM22" s="130">
        <f t="shared" si="131"/>
        <v>-1</v>
      </c>
      <c r="CN22" s="130">
        <f t="shared" si="132"/>
        <v>100000</v>
      </c>
      <c r="CO22" s="130">
        <f t="shared" si="133"/>
        <v>-1</v>
      </c>
      <c r="CP22" s="130">
        <f t="shared" si="134"/>
        <v>100000</v>
      </c>
      <c r="CQ22" s="131"/>
      <c r="CR22" s="130">
        <f t="shared" si="360"/>
        <v>-1</v>
      </c>
      <c r="CS22" s="130">
        <f t="shared" si="135"/>
        <v>100000</v>
      </c>
      <c r="CT22" s="130">
        <f t="shared" si="361"/>
        <v>-1</v>
      </c>
      <c r="CU22" s="130">
        <f t="shared" si="362"/>
        <v>100000</v>
      </c>
      <c r="CV22" s="130">
        <f t="shared" si="363"/>
        <v>-1</v>
      </c>
      <c r="CW22" s="130">
        <f t="shared" si="364"/>
        <v>100000</v>
      </c>
      <c r="CX22" s="130">
        <f t="shared" si="365"/>
        <v>-1</v>
      </c>
      <c r="CY22" s="130">
        <f t="shared" si="366"/>
        <v>100000</v>
      </c>
      <c r="CZ22" s="130">
        <f t="shared" si="367"/>
        <v>-1</v>
      </c>
      <c r="DA22" s="130">
        <f t="shared" si="368"/>
        <v>100000</v>
      </c>
      <c r="DB22" s="130">
        <f t="shared" si="369"/>
        <v>-100000</v>
      </c>
      <c r="DC22" s="130">
        <f t="shared" si="370"/>
        <v>100000</v>
      </c>
      <c r="DD22" s="130">
        <f t="shared" si="371"/>
        <v>-1</v>
      </c>
      <c r="DE22" s="130">
        <f t="shared" si="372"/>
        <v>100000</v>
      </c>
      <c r="DF22" s="130">
        <f t="shared" si="373"/>
        <v>-1</v>
      </c>
      <c r="DG22" s="130">
        <f t="shared" si="374"/>
        <v>100000</v>
      </c>
      <c r="DH22" s="131"/>
      <c r="DI22" s="130">
        <f t="shared" si="389"/>
        <v>-1</v>
      </c>
      <c r="DJ22" s="130">
        <f t="shared" si="136"/>
        <v>100000</v>
      </c>
      <c r="DK22" s="130">
        <f t="shared" si="390"/>
        <v>-1</v>
      </c>
      <c r="DL22" s="130">
        <f t="shared" si="391"/>
        <v>100000</v>
      </c>
      <c r="DM22" s="130">
        <f t="shared" si="392"/>
        <v>-1</v>
      </c>
      <c r="DN22" s="130">
        <f t="shared" si="393"/>
        <v>100000</v>
      </c>
      <c r="DO22" s="130">
        <f t="shared" si="394"/>
        <v>-1</v>
      </c>
      <c r="DP22" s="130">
        <f t="shared" si="395"/>
        <v>100000</v>
      </c>
      <c r="DQ22" s="130">
        <f t="shared" si="396"/>
        <v>-1</v>
      </c>
      <c r="DR22" s="130">
        <f t="shared" si="397"/>
        <v>100000</v>
      </c>
      <c r="DS22" s="130">
        <f t="shared" si="398"/>
        <v>-100000</v>
      </c>
      <c r="DT22" s="130">
        <f t="shared" si="399"/>
        <v>100000</v>
      </c>
      <c r="DU22" s="130">
        <f t="shared" si="400"/>
        <v>-1</v>
      </c>
      <c r="DV22" s="130">
        <f t="shared" si="401"/>
        <v>100000</v>
      </c>
      <c r="DW22" s="130">
        <f t="shared" si="402"/>
        <v>-1</v>
      </c>
      <c r="DX22" s="130">
        <f t="shared" si="403"/>
        <v>100000</v>
      </c>
      <c r="DY22" s="132"/>
      <c r="DZ22" s="115">
        <v>19</v>
      </c>
      <c r="EA22" s="115">
        <v>12</v>
      </c>
      <c r="EB22" s="10">
        <f t="shared" si="137"/>
        <v>17</v>
      </c>
      <c r="EC22" s="10">
        <f t="shared" si="138"/>
        <v>17</v>
      </c>
      <c r="ED22" s="10">
        <f t="shared" si="139"/>
        <v>17</v>
      </c>
      <c r="EE22" s="10">
        <f t="shared" si="140"/>
        <v>17</v>
      </c>
      <c r="EF22" s="10">
        <f t="shared" si="141"/>
        <v>17</v>
      </c>
      <c r="EG22" s="10">
        <f t="shared" si="142"/>
        <v>17</v>
      </c>
      <c r="EH22" s="10">
        <f t="shared" si="143"/>
        <v>17</v>
      </c>
      <c r="EI22" s="10">
        <f t="shared" si="144"/>
        <v>17</v>
      </c>
      <c r="EJ22" s="10">
        <f t="shared" si="145"/>
        <v>17</v>
      </c>
      <c r="EK22" s="10">
        <f t="shared" si="146"/>
        <v>17</v>
      </c>
      <c r="EL22" s="10">
        <f t="shared" si="147"/>
        <v>17</v>
      </c>
      <c r="EM22" s="10">
        <f t="shared" si="148"/>
        <v>17</v>
      </c>
      <c r="EN22" s="10">
        <f t="shared" si="149"/>
        <v>17</v>
      </c>
      <c r="EO22" s="10">
        <f t="shared" si="150"/>
        <v>17</v>
      </c>
      <c r="EP22" s="10">
        <f t="shared" si="151"/>
        <v>17</v>
      </c>
      <c r="EQ22" s="10">
        <f t="shared" si="152"/>
        <v>17</v>
      </c>
      <c r="ES22" s="10">
        <f t="shared" si="153"/>
        <v>17</v>
      </c>
      <c r="ET22" s="10">
        <f t="shared" si="154"/>
        <v>17</v>
      </c>
      <c r="EU22" s="10">
        <f t="shared" si="155"/>
        <v>17</v>
      </c>
      <c r="EV22" s="10">
        <f t="shared" si="154"/>
        <v>17</v>
      </c>
      <c r="EW22" s="10">
        <f t="shared" si="156"/>
        <v>17</v>
      </c>
      <c r="EX22" s="10">
        <f t="shared" si="157"/>
        <v>17</v>
      </c>
      <c r="EY22" s="10">
        <f t="shared" si="158"/>
        <v>17</v>
      </c>
      <c r="EZ22" s="10">
        <f t="shared" si="159"/>
        <v>17</v>
      </c>
      <c r="FA22" s="10">
        <f t="shared" si="160"/>
        <v>17</v>
      </c>
      <c r="FB22" s="10">
        <f t="shared" si="161"/>
        <v>17</v>
      </c>
      <c r="FC22" s="10">
        <f t="shared" si="162"/>
        <v>17</v>
      </c>
      <c r="FD22" s="10">
        <f t="shared" si="163"/>
        <v>17</v>
      </c>
      <c r="FE22" s="10">
        <f t="shared" si="164"/>
        <v>17</v>
      </c>
      <c r="FF22" s="10">
        <f t="shared" si="165"/>
        <v>17</v>
      </c>
      <c r="FG22" s="10">
        <f t="shared" si="166"/>
        <v>17</v>
      </c>
      <c r="FH22" s="10">
        <f t="shared" si="167"/>
        <v>17</v>
      </c>
      <c r="FJ22" s="10">
        <f t="shared" si="168"/>
        <v>17</v>
      </c>
      <c r="FK22" s="10">
        <f t="shared" si="169"/>
        <v>17</v>
      </c>
      <c r="FL22" s="10">
        <f t="shared" si="170"/>
        <v>17</v>
      </c>
      <c r="FM22" s="10">
        <f t="shared" si="171"/>
        <v>17</v>
      </c>
      <c r="FN22" s="10">
        <f t="shared" si="172"/>
        <v>17</v>
      </c>
      <c r="FO22" s="10">
        <f t="shared" si="173"/>
        <v>17</v>
      </c>
      <c r="FP22" s="10">
        <f t="shared" si="174"/>
        <v>17</v>
      </c>
      <c r="FQ22" s="10">
        <f t="shared" si="175"/>
        <v>17</v>
      </c>
      <c r="FR22" s="10">
        <f t="shared" si="176"/>
        <v>17</v>
      </c>
      <c r="FS22" s="10">
        <f t="shared" si="177"/>
        <v>17</v>
      </c>
      <c r="FT22" s="10">
        <f t="shared" si="178"/>
        <v>17</v>
      </c>
      <c r="FU22" s="10">
        <f t="shared" si="179"/>
        <v>17</v>
      </c>
      <c r="FV22" s="10">
        <f t="shared" si="180"/>
        <v>17</v>
      </c>
      <c r="FW22" s="10">
        <f t="shared" si="181"/>
        <v>17</v>
      </c>
      <c r="FX22" s="10">
        <f t="shared" si="182"/>
        <v>17</v>
      </c>
      <c r="FY22" s="10">
        <f t="shared" si="183"/>
        <v>17</v>
      </c>
      <c r="GA22" s="10">
        <f>IF(lg!$C$18=1,EB22,IF(lg!$C$18=2,ES22,FJ22))</f>
        <v>17</v>
      </c>
      <c r="GB22" s="10">
        <f>IF(lg!$C$18=1,EC22,IF(lg!$C$18=2,ET22,FK22))</f>
        <v>17</v>
      </c>
      <c r="GC22" s="10">
        <f>IF(lg!$C$18=1,ED22,IF(lg!$C$18=2,EU22,FL22))</f>
        <v>17</v>
      </c>
      <c r="GD22" s="10">
        <f>IF(lg!$C$18=1,EE22,IF(lg!$C$18=2,EV22,FM22))</f>
        <v>17</v>
      </c>
      <c r="GE22" s="10">
        <f>IF(lg!$C$18=1,EF22,IF(lg!$C$18=2,EW22,FN22))</f>
        <v>17</v>
      </c>
      <c r="GF22" s="10">
        <f>IF(lg!$C$18=1,EG22,IF(lg!$C$18=2,EX22,FO22))</f>
        <v>17</v>
      </c>
      <c r="GG22" s="10">
        <f>IF(lg!$C$18=1,EH22,IF(lg!$C$18=2,EY22,FP22))</f>
        <v>17</v>
      </c>
      <c r="GH22" s="10">
        <f>IF(lg!$C$18=1,EI22,IF(lg!$C$18=2,EZ22,FQ22))</f>
        <v>17</v>
      </c>
      <c r="GI22" s="10">
        <f>IF(lg!$C$18=1,EJ22,IF(lg!$C$18=2,FA22,FR22))</f>
        <v>17</v>
      </c>
      <c r="GJ22" s="10">
        <f>IF(lg!$C$18=1,EK22,IF(lg!$C$18=2,FB22,FS22))</f>
        <v>17</v>
      </c>
      <c r="GK22" s="10">
        <f>IF(lg!$C$18=1,EL22,IF(lg!$C$18=2,FC22,FT22))</f>
        <v>17</v>
      </c>
      <c r="GL22" s="10">
        <f>IF(lg!$C$18=1,EM22,IF(lg!$C$18=2,FD22,FU22))</f>
        <v>17</v>
      </c>
      <c r="GM22" s="10">
        <f>IF(lg!$C$18=1,EN22,IF(lg!$C$18=2,FE22,FV22))</f>
        <v>17</v>
      </c>
      <c r="GN22" s="10">
        <f>IF(lg!$C$18=1,EO22,IF(lg!$C$18=2,FF22,FW22))</f>
        <v>17</v>
      </c>
      <c r="GO22" s="10">
        <f>IF(lg!$C$18=1,EP22,IF(lg!$C$18=2,FG22,FX22))</f>
        <v>17</v>
      </c>
      <c r="GP22" s="10">
        <f>IF(lg!$C$18=1,EQ22,IF(lg!$C$18=2,FH22,FY22))</f>
        <v>17</v>
      </c>
      <c r="GR22" s="10" t="e">
        <f t="shared" si="184"/>
        <v>#N/A</v>
      </c>
      <c r="GS22" s="10" t="e">
        <f t="shared" si="31"/>
        <v>#N/A</v>
      </c>
      <c r="GT22" s="10" t="e">
        <f t="shared" si="32"/>
        <v>#N/A</v>
      </c>
      <c r="GU22" s="10" t="e">
        <f t="shared" si="33"/>
        <v>#N/A</v>
      </c>
      <c r="GV22" s="10" t="e">
        <f t="shared" si="34"/>
        <v>#N/A</v>
      </c>
      <c r="GW22" s="10" t="e">
        <f t="shared" si="35"/>
        <v>#N/A</v>
      </c>
      <c r="GX22" s="10" t="e">
        <f t="shared" si="36"/>
        <v>#N/A</v>
      </c>
      <c r="GY22" s="10" t="e">
        <f t="shared" si="37"/>
        <v>#N/A</v>
      </c>
      <c r="GZ22" s="10" t="e">
        <f t="shared" si="38"/>
        <v>#N/A</v>
      </c>
      <c r="HA22" s="10" t="e">
        <f t="shared" si="39"/>
        <v>#N/A</v>
      </c>
      <c r="HB22" s="10" t="e">
        <f t="shared" si="40"/>
        <v>#N/A</v>
      </c>
      <c r="HC22" s="10" t="e">
        <f t="shared" si="41"/>
        <v>#N/A</v>
      </c>
      <c r="HD22" s="10" t="e">
        <f t="shared" si="42"/>
        <v>#N/A</v>
      </c>
      <c r="HE22" s="10" t="e">
        <f t="shared" si="43"/>
        <v>#N/A</v>
      </c>
      <c r="HF22" s="10" t="e">
        <f t="shared" si="44"/>
        <v>#N/A</v>
      </c>
      <c r="HG22" s="10" t="e">
        <f t="shared" si="45"/>
        <v>#N/A</v>
      </c>
      <c r="HI22" s="10">
        <v>19</v>
      </c>
      <c r="HJ22" s="115">
        <f>IF(lg!$C$18=1,F22,IF(lg!$C$18=2,R22,AD22))</f>
        <v>0</v>
      </c>
      <c r="HK22" s="115">
        <f>IF(lg!$C$18=1,G22,IF(lg!$C$18=2,S22,AE22))</f>
        <v>0</v>
      </c>
      <c r="HL22" s="115">
        <f>IF(lg!$C$18=1,H22,IF(lg!$C$18=2,T22,AF22))</f>
        <v>0</v>
      </c>
      <c r="HM22" s="115">
        <f>IF(lg!$C$18=1,I22,IF(lg!$C$18=2,U22,AG22))</f>
        <v>0</v>
      </c>
      <c r="HN22" s="115">
        <f>IF(lg!$C$18=1,J22,IF(lg!$C$18=2,V22,AH22))</f>
        <v>0</v>
      </c>
      <c r="HO22" s="115">
        <f>IF(lg!$C$18=1,K22,IF(lg!$C$18=2,W22,AI22))</f>
        <v>0</v>
      </c>
      <c r="HP22" s="115">
        <f>IF(lg!$C$18=1,L22,IF(lg!$C$18=2,X22,AJ22))</f>
        <v>0</v>
      </c>
      <c r="HQ22" s="115">
        <f>IF(lg!$C$18=1,M22,IF(lg!$C$18=2,Y22,AK22))</f>
        <v>0</v>
      </c>
      <c r="HR22" s="115">
        <f>IF(lg!$C$18=1,N22,IF(lg!$C$18=2,Z22,AL22))</f>
        <v>0</v>
      </c>
      <c r="HS22" s="115">
        <f>IF(lg!$C$18=1,O22,IF(lg!$C$18=2,AA22,AM22))</f>
        <v>0</v>
      </c>
      <c r="HT22" s="115">
        <f>IF(lg!$C$18=1,P22,IF(lg!$C$18=2,AB22,AN22))</f>
        <v>0</v>
      </c>
      <c r="HV22" s="115">
        <f t="shared" si="185"/>
        <v>0</v>
      </c>
      <c r="HW22" s="115">
        <f t="shared" si="186"/>
        <v>0</v>
      </c>
      <c r="HX22" s="115">
        <f t="shared" si="187"/>
        <v>0</v>
      </c>
      <c r="HY22" s="115">
        <f t="shared" si="188"/>
        <v>0</v>
      </c>
      <c r="HZ22" s="115">
        <f t="shared" si="189"/>
        <v>0</v>
      </c>
      <c r="IA22" s="115">
        <f t="shared" si="190"/>
        <v>0</v>
      </c>
      <c r="IB22" s="115">
        <f t="shared" si="191"/>
        <v>0</v>
      </c>
      <c r="IC22" s="115">
        <f t="shared" si="192"/>
        <v>0</v>
      </c>
      <c r="ID22" s="115">
        <f t="shared" si="193"/>
        <v>0</v>
      </c>
      <c r="IE22" s="115">
        <f t="shared" si="194"/>
        <v>0</v>
      </c>
      <c r="IF22" s="115">
        <f t="shared" si="195"/>
        <v>0</v>
      </c>
      <c r="IG22" s="115">
        <f t="shared" si="196"/>
        <v>0</v>
      </c>
      <c r="IH22" s="115">
        <f t="shared" si="197"/>
        <v>0</v>
      </c>
      <c r="II22" s="115">
        <f t="shared" si="198"/>
        <v>0</v>
      </c>
      <c r="IJ22" s="115">
        <f t="shared" si="199"/>
        <v>0</v>
      </c>
      <c r="IK22" s="115">
        <f t="shared" si="200"/>
        <v>0</v>
      </c>
      <c r="IN22" s="77" t="s">
        <v>72</v>
      </c>
      <c r="IO22" s="36" t="s">
        <v>10</v>
      </c>
      <c r="IP22" s="67">
        <f>VLOOKUP('ef-TeamStats'!B2,Table!$B$4:$W$23,19,0)</f>
        <v>2</v>
      </c>
      <c r="IQ22" s="67">
        <f>VLOOKUP('ef-TeamStats'!$B$2,Table!$B$4:$W$23,16,0)</f>
        <v>11</v>
      </c>
      <c r="IR22" s="134">
        <f t="shared" si="47"/>
        <v>0.18181818181818182</v>
      </c>
      <c r="IS22" s="133">
        <f>MATCH('ef-TeamStats'!$B$2,$JW$4:$JW$33,0)</f>
        <v>15</v>
      </c>
      <c r="IT22" s="67"/>
      <c r="IU22" s="36" t="s">
        <v>10</v>
      </c>
      <c r="IV22" s="67">
        <f>VLOOKUP('ef-TeamStats'!G2,Table!$B$4:$W$23,19,0)</f>
        <v>1</v>
      </c>
      <c r="IW22" s="67">
        <f>VLOOKUP('ef-TeamStats'!$G$2,Table!$B$4:$W$23,16,0)</f>
        <v>10</v>
      </c>
      <c r="IX22" s="134">
        <f t="shared" si="48"/>
        <v>0.1</v>
      </c>
      <c r="IY22" s="133">
        <f>MATCH('ef-TeamStats'!$G$2,$JW$4:$JW$33,0)</f>
        <v>16</v>
      </c>
      <c r="JB22" s="10">
        <f>IF(lg!$F$18=1,EB22,IF(lg!$F$18=2,ES22,FJ22))</f>
        <v>17</v>
      </c>
      <c r="JC22" s="10">
        <f>IF(lg!$F$18=1,EC22,IF(lg!$F$18=2,ET22,FK22))</f>
        <v>17</v>
      </c>
      <c r="JD22" s="10">
        <f>IF(lg!$F$18=1,ED22,IF(lg!$F$18=2,EU22,FL22))</f>
        <v>17</v>
      </c>
      <c r="JE22" s="10">
        <f>IF(lg!$F$18=1,EE22,IF(lg!$F$18=2,EV22,FM22))</f>
        <v>17</v>
      </c>
      <c r="JF22" s="10">
        <f>IF(lg!$F$18=1,EF22,IF(lg!$F$18=2,EW22,FN22))</f>
        <v>17</v>
      </c>
      <c r="JG22" s="10">
        <f>IF(lg!$F$18=1,EG22,IF(lg!$F$18=2,EX22,FO22))</f>
        <v>17</v>
      </c>
      <c r="JH22" s="10">
        <f>IF(lg!$F$18=1,EH22,IF(lg!$F$18=2,EY22,FP22))</f>
        <v>17</v>
      </c>
      <c r="JI22" s="10">
        <f>IF(lg!$F$18=1,EI22,IF(lg!$F$18=2,EZ22,FQ22))</f>
        <v>17</v>
      </c>
      <c r="JJ22" s="10">
        <f>IF(lg!$F$18=1,EJ22,IF(lg!$F$18=2,FA22,FR22))</f>
        <v>17</v>
      </c>
      <c r="JK22" s="10">
        <f>IF(lg!$F$18=1,EK22,IF(lg!$F$18=2,FB22,FS22))</f>
        <v>17</v>
      </c>
      <c r="JL22" s="10">
        <f>IF(lg!$F$18=1,EL22,IF(lg!$F$18=2,FC22,FT22))</f>
        <v>17</v>
      </c>
      <c r="JM22" s="10">
        <f>IF(lg!$F$18=1,EM22,IF(lg!$F$18=2,FD22,FU22))</f>
        <v>17</v>
      </c>
      <c r="JN22" s="10">
        <f>IF(lg!$F$18=1,EN22,IF(lg!$F$18=2,FE22,FV22))</f>
        <v>17</v>
      </c>
      <c r="JO22" s="10">
        <f>IF(lg!$F$18=1,EO22,IF(lg!$F$18=2,FF22,FW22))</f>
        <v>17</v>
      </c>
      <c r="JP22" s="10">
        <f>IF(lg!$F$18=1,EP22,IF(lg!$F$18=2,FG22,FX22))</f>
        <v>17</v>
      </c>
      <c r="JQ22" s="10">
        <f>IF(lg!$F$18=1,EQ22,IF(lg!$F$18=2,FH22,FY22))</f>
        <v>17</v>
      </c>
      <c r="JS22" s="10" t="e">
        <f t="shared" si="201"/>
        <v>#N/A</v>
      </c>
      <c r="JT22" s="10" t="e">
        <f t="shared" si="49"/>
        <v>#N/A</v>
      </c>
      <c r="JU22" s="10" t="e">
        <f t="shared" si="50"/>
        <v>#N/A</v>
      </c>
      <c r="JV22" s="10" t="e">
        <f t="shared" si="51"/>
        <v>#N/A</v>
      </c>
      <c r="JW22" s="10" t="e">
        <f t="shared" si="52"/>
        <v>#N/A</v>
      </c>
      <c r="JX22" s="10" t="e">
        <f t="shared" si="53"/>
        <v>#N/A</v>
      </c>
      <c r="JY22" s="10" t="e">
        <f t="shared" si="54"/>
        <v>#N/A</v>
      </c>
      <c r="JZ22" s="10" t="e">
        <f t="shared" si="55"/>
        <v>#N/A</v>
      </c>
      <c r="KA22" s="10" t="e">
        <f t="shared" si="56"/>
        <v>#N/A</v>
      </c>
      <c r="KB22" s="10" t="e">
        <f t="shared" si="57"/>
        <v>#N/A</v>
      </c>
      <c r="KC22" s="10" t="e">
        <f t="shared" si="58"/>
        <v>#N/A</v>
      </c>
      <c r="KD22" s="10" t="e">
        <f t="shared" si="59"/>
        <v>#N/A</v>
      </c>
      <c r="KE22" s="10" t="e">
        <f t="shared" si="60"/>
        <v>#N/A</v>
      </c>
      <c r="KF22" s="10" t="e">
        <f t="shared" si="61"/>
        <v>#N/A</v>
      </c>
      <c r="KG22" s="10" t="e">
        <f t="shared" si="62"/>
        <v>#N/A</v>
      </c>
      <c r="KH22" s="10" t="e">
        <f t="shared" si="63"/>
        <v>#N/A</v>
      </c>
      <c r="KL22" s="27">
        <v>0.12</v>
      </c>
      <c r="KM22" s="29">
        <v>19</v>
      </c>
      <c r="KN22" s="31">
        <f t="shared" si="202"/>
        <v>0</v>
      </c>
      <c r="KO22" s="152">
        <f t="shared" si="203"/>
        <v>0</v>
      </c>
      <c r="KP22" s="152">
        <f t="shared" si="204"/>
        <v>0</v>
      </c>
      <c r="KQ22" s="152">
        <f t="shared" si="205"/>
        <v>0</v>
      </c>
      <c r="KR22" s="28">
        <f t="shared" si="206"/>
        <v>-10000000000</v>
      </c>
      <c r="KS22" s="29"/>
      <c r="KT22" s="28"/>
      <c r="KU22" s="29">
        <f t="shared" si="408"/>
        <v>17</v>
      </c>
      <c r="KV22" s="152">
        <f t="shared" si="207"/>
        <v>0</v>
      </c>
      <c r="KW22" s="152">
        <f t="shared" si="208"/>
        <v>0</v>
      </c>
      <c r="KX22" s="152">
        <f t="shared" si="209"/>
        <v>0</v>
      </c>
      <c r="KY22" s="28">
        <f t="shared" si="210"/>
        <v>-10000000000</v>
      </c>
      <c r="KZ22" s="29"/>
      <c r="LA22" s="28"/>
      <c r="LB22" s="29">
        <f t="shared" si="409"/>
        <v>17</v>
      </c>
      <c r="LC22" s="152">
        <f t="shared" si="211"/>
        <v>0</v>
      </c>
      <c r="LD22" s="152">
        <f t="shared" si="212"/>
        <v>0</v>
      </c>
      <c r="LE22" s="152">
        <f t="shared" si="213"/>
        <v>0</v>
      </c>
      <c r="LF22" s="28">
        <f t="shared" si="214"/>
        <v>-10000000000</v>
      </c>
      <c r="LG22" s="29"/>
      <c r="LH22" s="28"/>
      <c r="LI22" s="29">
        <f t="shared" si="410"/>
        <v>17</v>
      </c>
      <c r="LJ22" s="152">
        <f t="shared" si="215"/>
        <v>0</v>
      </c>
      <c r="LK22" s="152">
        <f t="shared" si="216"/>
        <v>0</v>
      </c>
      <c r="LL22" s="152">
        <f t="shared" si="217"/>
        <v>0</v>
      </c>
      <c r="LM22" s="28">
        <f t="shared" si="218"/>
        <v>-10000000000</v>
      </c>
      <c r="LN22" s="29"/>
      <c r="LO22" s="28"/>
      <c r="LP22" s="29">
        <f t="shared" si="411"/>
        <v>17</v>
      </c>
      <c r="LQ22" s="152">
        <f t="shared" si="219"/>
        <v>0</v>
      </c>
      <c r="LR22" s="152">
        <f t="shared" si="220"/>
        <v>0</v>
      </c>
      <c r="LS22" s="152">
        <f t="shared" si="221"/>
        <v>0</v>
      </c>
      <c r="LT22" s="28">
        <f t="shared" si="222"/>
        <v>-10000000000</v>
      </c>
      <c r="LU22" s="29"/>
      <c r="LV22" s="28"/>
      <c r="LW22" s="29">
        <f t="shared" si="412"/>
        <v>17</v>
      </c>
      <c r="LX22" s="152">
        <f t="shared" si="223"/>
        <v>0</v>
      </c>
      <c r="LY22" s="152">
        <f t="shared" si="224"/>
        <v>0</v>
      </c>
      <c r="LZ22" s="152">
        <f t="shared" si="225"/>
        <v>0</v>
      </c>
      <c r="MA22" s="28">
        <f t="shared" si="226"/>
        <v>-10000000000</v>
      </c>
      <c r="MB22" s="29"/>
      <c r="MC22" s="28"/>
      <c r="MD22" s="29">
        <f t="shared" si="413"/>
        <v>17</v>
      </c>
      <c r="ME22" s="152">
        <f t="shared" si="227"/>
        <v>0</v>
      </c>
      <c r="MF22" s="152">
        <f t="shared" si="228"/>
        <v>0</v>
      </c>
      <c r="MG22" s="152">
        <f t="shared" si="229"/>
        <v>0</v>
      </c>
      <c r="MH22" s="28">
        <f t="shared" si="230"/>
        <v>-10000000000</v>
      </c>
      <c r="MI22" s="29"/>
      <c r="MJ22" s="28"/>
      <c r="MK22" s="29">
        <f t="shared" si="414"/>
        <v>17</v>
      </c>
      <c r="ML22" s="152">
        <f t="shared" si="231"/>
        <v>0</v>
      </c>
      <c r="MM22" s="152">
        <f t="shared" si="232"/>
        <v>0</v>
      </c>
      <c r="MN22" s="152">
        <f t="shared" si="233"/>
        <v>0</v>
      </c>
      <c r="MO22" s="28">
        <f t="shared" si="234"/>
        <v>-10000000000</v>
      </c>
      <c r="MP22" s="29"/>
      <c r="MQ22" s="28"/>
      <c r="MR22" s="29">
        <f t="shared" si="415"/>
        <v>17</v>
      </c>
      <c r="MS22" s="152">
        <f t="shared" si="235"/>
        <v>0</v>
      </c>
      <c r="MT22" s="152">
        <f t="shared" si="236"/>
        <v>0</v>
      </c>
      <c r="MU22" s="152">
        <f t="shared" si="237"/>
        <v>0</v>
      </c>
      <c r="MV22" s="28">
        <f t="shared" si="238"/>
        <v>-10000000000</v>
      </c>
      <c r="MW22" s="29"/>
      <c r="MX22" s="28"/>
      <c r="MY22" s="29">
        <f t="shared" si="416"/>
        <v>17</v>
      </c>
      <c r="MZ22" s="152">
        <f t="shared" si="239"/>
        <v>0</v>
      </c>
      <c r="NA22" s="152">
        <f t="shared" si="240"/>
        <v>0</v>
      </c>
      <c r="NB22" s="152">
        <f t="shared" si="241"/>
        <v>0</v>
      </c>
      <c r="NC22" s="28">
        <f t="shared" si="242"/>
        <v>-10000000000</v>
      </c>
      <c r="ND22" s="29"/>
      <c r="NE22" s="28"/>
      <c r="NF22" s="29">
        <f t="shared" si="417"/>
        <v>17</v>
      </c>
      <c r="NG22" s="152">
        <f t="shared" si="243"/>
        <v>0</v>
      </c>
      <c r="NH22" s="152">
        <f t="shared" si="244"/>
        <v>0</v>
      </c>
      <c r="NI22" s="152">
        <f t="shared" si="245"/>
        <v>0</v>
      </c>
      <c r="NJ22" s="28">
        <f t="shared" si="246"/>
        <v>-10000000000</v>
      </c>
      <c r="NK22" s="29"/>
      <c r="NL22" s="28"/>
      <c r="NM22" s="29">
        <f t="shared" si="418"/>
        <v>17</v>
      </c>
      <c r="NN22" s="152">
        <f t="shared" si="247"/>
        <v>0</v>
      </c>
      <c r="NO22" s="152">
        <f t="shared" si="248"/>
        <v>0</v>
      </c>
      <c r="NP22" s="152">
        <f t="shared" si="249"/>
        <v>0</v>
      </c>
      <c r="NQ22" s="28">
        <f t="shared" si="250"/>
        <v>-10000000000</v>
      </c>
      <c r="NR22" s="29"/>
      <c r="NS22" s="28"/>
      <c r="NT22" s="29">
        <f t="shared" si="419"/>
        <v>17</v>
      </c>
      <c r="NU22" s="152">
        <f t="shared" si="251"/>
        <v>0</v>
      </c>
      <c r="NV22" s="152">
        <f t="shared" si="252"/>
        <v>0</v>
      </c>
      <c r="NW22" s="152">
        <f t="shared" si="253"/>
        <v>0</v>
      </c>
      <c r="NX22" s="28">
        <f t="shared" si="254"/>
        <v>-10000000000</v>
      </c>
      <c r="NY22" s="29"/>
      <c r="NZ22" s="28"/>
      <c r="OA22" s="29">
        <f t="shared" si="420"/>
        <v>17</v>
      </c>
      <c r="OB22" s="152">
        <f t="shared" si="255"/>
        <v>0</v>
      </c>
      <c r="OC22" s="152">
        <f t="shared" si="256"/>
        <v>0</v>
      </c>
      <c r="OD22" s="152">
        <f t="shared" si="257"/>
        <v>0</v>
      </c>
      <c r="OE22" s="28">
        <f t="shared" si="258"/>
        <v>-10000000000</v>
      </c>
      <c r="OF22" s="29"/>
      <c r="OG22" s="28"/>
      <c r="OH22" s="29">
        <f t="shared" si="421"/>
        <v>17</v>
      </c>
      <c r="OI22" s="152">
        <f t="shared" si="259"/>
        <v>0</v>
      </c>
      <c r="OJ22" s="152">
        <f t="shared" si="260"/>
        <v>0</v>
      </c>
      <c r="OK22" s="152">
        <f t="shared" si="261"/>
        <v>0</v>
      </c>
      <c r="OL22" s="28">
        <f t="shared" si="262"/>
        <v>-10000000000</v>
      </c>
      <c r="OM22" s="29"/>
      <c r="ON22" s="28"/>
      <c r="OO22" s="29">
        <f t="shared" si="422"/>
        <v>17</v>
      </c>
      <c r="OP22" s="152">
        <f t="shared" si="263"/>
        <v>0</v>
      </c>
      <c r="OQ22" s="152">
        <f t="shared" si="264"/>
        <v>0</v>
      </c>
      <c r="OR22" s="152">
        <f t="shared" si="265"/>
        <v>0</v>
      </c>
      <c r="OS22" s="28">
        <f t="shared" si="266"/>
        <v>-10000000000</v>
      </c>
      <c r="OT22" s="29"/>
      <c r="OU22" s="28"/>
      <c r="OV22" s="29">
        <f t="shared" si="423"/>
        <v>17</v>
      </c>
      <c r="OW22" s="152">
        <f t="shared" si="267"/>
        <v>0</v>
      </c>
      <c r="OX22" s="152">
        <f t="shared" si="268"/>
        <v>0</v>
      </c>
      <c r="OY22" s="152">
        <f t="shared" si="269"/>
        <v>0</v>
      </c>
      <c r="OZ22" s="28">
        <f t="shared" si="270"/>
        <v>-10000000000</v>
      </c>
      <c r="PA22" s="29"/>
      <c r="PB22" s="28"/>
      <c r="PC22" s="29">
        <f t="shared" si="424"/>
        <v>17</v>
      </c>
      <c r="PD22" s="152">
        <f t="shared" si="271"/>
        <v>0</v>
      </c>
      <c r="PE22" s="152">
        <f t="shared" si="272"/>
        <v>0</v>
      </c>
      <c r="PF22" s="152">
        <f t="shared" si="273"/>
        <v>0</v>
      </c>
      <c r="PG22" s="28">
        <f t="shared" si="274"/>
        <v>-10000000000</v>
      </c>
      <c r="PH22" s="29"/>
      <c r="PI22" s="28"/>
      <c r="PJ22" s="29">
        <f t="shared" si="425"/>
        <v>17</v>
      </c>
      <c r="PK22" s="152">
        <f t="shared" si="275"/>
        <v>0</v>
      </c>
      <c r="PL22" s="152">
        <f t="shared" si="276"/>
        <v>0</v>
      </c>
      <c r="PM22" s="152">
        <f t="shared" si="277"/>
        <v>0</v>
      </c>
      <c r="PN22" s="28">
        <f t="shared" si="278"/>
        <v>-10000000000</v>
      </c>
      <c r="PO22" s="29"/>
      <c r="PP22" s="28"/>
      <c r="PQ22" s="29">
        <f t="shared" si="426"/>
        <v>17</v>
      </c>
      <c r="PR22" s="152">
        <f t="shared" si="279"/>
        <v>0</v>
      </c>
      <c r="PS22" s="152">
        <f t="shared" si="280"/>
        <v>0</v>
      </c>
      <c r="PT22" s="152">
        <f t="shared" si="281"/>
        <v>0</v>
      </c>
      <c r="PU22" s="28">
        <f t="shared" si="282"/>
        <v>-10000000000</v>
      </c>
      <c r="PV22" s="29"/>
      <c r="PW22" s="28"/>
      <c r="PX22" s="29">
        <f t="shared" si="427"/>
        <v>17</v>
      </c>
      <c r="PY22" s="152">
        <f t="shared" si="283"/>
        <v>0</v>
      </c>
      <c r="PZ22" s="152">
        <f t="shared" si="284"/>
        <v>0</v>
      </c>
      <c r="QA22" s="152">
        <f t="shared" si="285"/>
        <v>0</v>
      </c>
      <c r="QB22" s="28">
        <f t="shared" si="286"/>
        <v>-10000000000</v>
      </c>
      <c r="QC22" s="29"/>
      <c r="QD22" s="28"/>
      <c r="QE22" s="29">
        <f t="shared" si="428"/>
        <v>17</v>
      </c>
      <c r="QF22" s="152">
        <f t="shared" si="287"/>
        <v>0</v>
      </c>
      <c r="QG22" s="152">
        <f t="shared" si="288"/>
        <v>0</v>
      </c>
      <c r="QH22" s="152">
        <f t="shared" si="289"/>
        <v>0</v>
      </c>
      <c r="QI22" s="28">
        <f t="shared" si="290"/>
        <v>-10000000000</v>
      </c>
      <c r="QJ22" s="29"/>
      <c r="QK22" s="28"/>
      <c r="QL22" s="29">
        <f t="shared" si="429"/>
        <v>17</v>
      </c>
      <c r="QM22" s="152">
        <f t="shared" si="291"/>
        <v>0</v>
      </c>
      <c r="QN22" s="152">
        <f t="shared" si="292"/>
        <v>0</v>
      </c>
      <c r="QO22" s="152">
        <f t="shared" si="293"/>
        <v>0</v>
      </c>
      <c r="QP22" s="28">
        <f t="shared" si="294"/>
        <v>-10000000000</v>
      </c>
      <c r="QQ22" s="29"/>
      <c r="QR22" s="28"/>
      <c r="QS22" s="29">
        <f t="shared" si="430"/>
        <v>17</v>
      </c>
      <c r="QT22" s="152">
        <f t="shared" si="295"/>
        <v>0</v>
      </c>
      <c r="QU22" s="152">
        <f t="shared" si="296"/>
        <v>0</v>
      </c>
      <c r="QV22" s="152">
        <f t="shared" si="297"/>
        <v>0</v>
      </c>
      <c r="QW22" s="28">
        <f t="shared" si="298"/>
        <v>-10000000000</v>
      </c>
      <c r="QX22" s="29"/>
      <c r="QY22" s="28"/>
      <c r="QZ22" s="29">
        <f t="shared" si="431"/>
        <v>17</v>
      </c>
      <c r="RA22" s="152">
        <f t="shared" si="299"/>
        <v>0</v>
      </c>
      <c r="RB22" s="152">
        <f t="shared" si="300"/>
        <v>0</v>
      </c>
      <c r="RC22" s="152">
        <f t="shared" si="301"/>
        <v>0</v>
      </c>
      <c r="RD22" s="28">
        <f t="shared" si="302"/>
        <v>-10000000000</v>
      </c>
      <c r="RE22" s="29"/>
      <c r="RF22" s="28"/>
      <c r="RG22" s="29">
        <f t="shared" si="432"/>
        <v>17</v>
      </c>
      <c r="RH22" s="152">
        <f t="shared" si="303"/>
        <v>0</v>
      </c>
      <c r="RI22" s="152">
        <f t="shared" si="304"/>
        <v>0</v>
      </c>
      <c r="RJ22" s="152">
        <f t="shared" si="305"/>
        <v>0</v>
      </c>
      <c r="RK22" s="28">
        <f t="shared" si="306"/>
        <v>-10000000000</v>
      </c>
      <c r="RL22" s="29"/>
      <c r="RM22" s="28"/>
      <c r="RN22" s="29">
        <f t="shared" si="433"/>
        <v>17</v>
      </c>
      <c r="RO22" s="152">
        <f t="shared" si="307"/>
        <v>0</v>
      </c>
      <c r="RP22" s="152">
        <f t="shared" si="308"/>
        <v>0</v>
      </c>
      <c r="RQ22" s="152">
        <f t="shared" si="309"/>
        <v>0</v>
      </c>
      <c r="RR22" s="28">
        <f t="shared" si="310"/>
        <v>-10000000000</v>
      </c>
      <c r="RS22" s="29"/>
      <c r="RT22" s="28"/>
      <c r="RU22" s="29">
        <f t="shared" si="434"/>
        <v>17</v>
      </c>
      <c r="RV22" s="152">
        <f t="shared" si="311"/>
        <v>0</v>
      </c>
      <c r="RW22" s="152">
        <f t="shared" si="312"/>
        <v>0</v>
      </c>
      <c r="RX22" s="152">
        <f t="shared" si="313"/>
        <v>0</v>
      </c>
      <c r="RY22" s="28">
        <f t="shared" si="314"/>
        <v>-10000000000</v>
      </c>
      <c r="RZ22" s="29"/>
      <c r="SA22" s="28"/>
      <c r="SB22" s="29">
        <f t="shared" si="435"/>
        <v>17</v>
      </c>
      <c r="SC22" s="152">
        <f t="shared" si="315"/>
        <v>0</v>
      </c>
      <c r="SD22" s="152">
        <f t="shared" si="316"/>
        <v>0</v>
      </c>
      <c r="SE22" s="152">
        <f t="shared" si="317"/>
        <v>0</v>
      </c>
      <c r="SF22" s="28">
        <f t="shared" si="318"/>
        <v>-10000000000</v>
      </c>
      <c r="SG22" s="29"/>
      <c r="SH22" s="28"/>
      <c r="SI22" s="29">
        <f t="shared" si="436"/>
        <v>17</v>
      </c>
      <c r="SJ22" s="152">
        <f t="shared" si="319"/>
        <v>0</v>
      </c>
      <c r="SK22" s="152">
        <f t="shared" si="320"/>
        <v>0</v>
      </c>
      <c r="SL22" s="152">
        <f t="shared" si="321"/>
        <v>0</v>
      </c>
      <c r="SM22" s="28">
        <f t="shared" si="322"/>
        <v>-10000000000</v>
      </c>
      <c r="SN22" s="29"/>
      <c r="SO22" s="28"/>
      <c r="SP22" s="29">
        <f t="shared" si="437"/>
        <v>17</v>
      </c>
      <c r="SQ22" s="152">
        <f t="shared" si="323"/>
        <v>0</v>
      </c>
      <c r="SR22" s="152">
        <f t="shared" si="324"/>
        <v>0</v>
      </c>
      <c r="SS22" s="152">
        <f t="shared" si="325"/>
        <v>0</v>
      </c>
      <c r="ST22" s="28">
        <f t="shared" si="326"/>
        <v>-10000000000</v>
      </c>
      <c r="SU22" s="29"/>
      <c r="SV22" s="28"/>
      <c r="SW22" s="29">
        <f t="shared" si="438"/>
        <v>17</v>
      </c>
      <c r="SX22" s="152">
        <f t="shared" si="327"/>
        <v>0</v>
      </c>
      <c r="SY22" s="152">
        <f t="shared" si="328"/>
        <v>0</v>
      </c>
      <c r="SZ22" s="152">
        <f t="shared" si="329"/>
        <v>0</v>
      </c>
      <c r="TA22" s="28">
        <f t="shared" si="330"/>
        <v>-10000000000</v>
      </c>
      <c r="TB22" s="29"/>
      <c r="TC22" s="28"/>
      <c r="TD22" s="29">
        <f t="shared" si="439"/>
        <v>17</v>
      </c>
      <c r="TE22" s="152">
        <f t="shared" si="331"/>
        <v>0</v>
      </c>
      <c r="TF22" s="152">
        <f t="shared" si="332"/>
        <v>0</v>
      </c>
      <c r="TG22" s="152">
        <f t="shared" si="333"/>
        <v>0</v>
      </c>
      <c r="TH22" s="28">
        <f t="shared" si="334"/>
        <v>-10000000000</v>
      </c>
      <c r="TI22" s="29"/>
      <c r="TJ22" s="28"/>
      <c r="TK22" s="29">
        <f t="shared" si="440"/>
        <v>17</v>
      </c>
      <c r="TL22" s="152">
        <f t="shared" si="335"/>
        <v>0</v>
      </c>
      <c r="TM22" s="152">
        <f t="shared" si="336"/>
        <v>0</v>
      </c>
      <c r="TN22" s="152">
        <f t="shared" si="337"/>
        <v>0</v>
      </c>
      <c r="TO22" s="28">
        <f t="shared" si="338"/>
        <v>-10000000000</v>
      </c>
      <c r="TP22" s="29"/>
      <c r="TQ22" s="28"/>
      <c r="TR22" s="29">
        <f t="shared" si="441"/>
        <v>17</v>
      </c>
      <c r="TS22" s="152">
        <f t="shared" si="339"/>
        <v>0</v>
      </c>
      <c r="TT22" s="152">
        <f t="shared" si="340"/>
        <v>0</v>
      </c>
      <c r="TU22" s="152">
        <f t="shared" si="341"/>
        <v>0</v>
      </c>
      <c r="TV22" s="28">
        <f t="shared" si="342"/>
        <v>-10000000000</v>
      </c>
      <c r="TW22" s="29"/>
      <c r="TX22" s="28"/>
      <c r="TY22" s="29">
        <f t="shared" si="442"/>
        <v>17</v>
      </c>
      <c r="TZ22" s="152">
        <f t="shared" si="343"/>
        <v>0</v>
      </c>
      <c r="UA22" s="152">
        <f t="shared" si="344"/>
        <v>0</v>
      </c>
      <c r="UB22" s="152">
        <f t="shared" si="345"/>
        <v>0</v>
      </c>
      <c r="UC22" s="28">
        <f t="shared" si="346"/>
        <v>-10000000000</v>
      </c>
      <c r="UD22" s="29"/>
      <c r="UE22" s="28"/>
      <c r="UF22" s="29">
        <f t="shared" si="443"/>
        <v>17</v>
      </c>
      <c r="UG22" s="152">
        <f t="shared" si="347"/>
        <v>0</v>
      </c>
      <c r="UH22" s="152">
        <f t="shared" si="348"/>
        <v>0</v>
      </c>
      <c r="UI22" s="152">
        <f t="shared" si="349"/>
        <v>0</v>
      </c>
      <c r="UJ22" s="28">
        <f t="shared" si="350"/>
        <v>-10000000000</v>
      </c>
      <c r="UK22" s="29"/>
      <c r="UL22" s="28"/>
      <c r="UM22" s="29">
        <f t="shared" si="444"/>
        <v>17</v>
      </c>
      <c r="UN22" s="152">
        <f t="shared" si="351"/>
        <v>0</v>
      </c>
      <c r="UO22" s="152">
        <f t="shared" si="352"/>
        <v>0</v>
      </c>
      <c r="UP22" s="152">
        <f t="shared" si="353"/>
        <v>0</v>
      </c>
      <c r="UQ22" s="28">
        <f t="shared" si="354"/>
        <v>-10000000000</v>
      </c>
      <c r="UR22" s="29"/>
      <c r="US22" s="28"/>
      <c r="UT22" s="29">
        <f t="shared" si="445"/>
        <v>17</v>
      </c>
      <c r="UU22" s="129"/>
      <c r="UV22" s="129">
        <f t="shared" si="355"/>
        <v>0</v>
      </c>
      <c r="UW22" s="129">
        <f t="shared" si="356"/>
        <v>17</v>
      </c>
      <c r="UX22" s="129">
        <f t="shared" ca="1" si="446"/>
        <v>17</v>
      </c>
      <c r="UY22" s="129">
        <f t="shared" ca="1" si="446"/>
        <v>17</v>
      </c>
      <c r="UZ22" s="129">
        <f t="shared" ca="1" si="446"/>
        <v>17</v>
      </c>
      <c r="VA22" s="129">
        <f t="shared" ca="1" si="446"/>
        <v>17</v>
      </c>
      <c r="VB22" s="129">
        <f t="shared" ca="1" si="446"/>
        <v>17</v>
      </c>
      <c r="VC22" s="129">
        <f t="shared" ca="1" si="446"/>
        <v>17</v>
      </c>
      <c r="VD22" s="129">
        <f t="shared" ca="1" si="446"/>
        <v>17</v>
      </c>
      <c r="VE22" s="129">
        <f t="shared" ca="1" si="446"/>
        <v>17</v>
      </c>
      <c r="VF22" s="129">
        <f t="shared" ca="1" si="446"/>
        <v>17</v>
      </c>
      <c r="VG22" s="129">
        <f t="shared" ca="1" si="446"/>
        <v>17</v>
      </c>
      <c r="VH22" s="129">
        <f t="shared" ca="1" si="446"/>
        <v>17</v>
      </c>
      <c r="VI22" s="129">
        <f t="shared" ca="1" si="446"/>
        <v>17</v>
      </c>
      <c r="VJ22" s="129">
        <f t="shared" ca="1" si="446"/>
        <v>17</v>
      </c>
      <c r="VK22" s="129">
        <f t="shared" ca="1" si="446"/>
        <v>17</v>
      </c>
      <c r="VL22" s="129">
        <f t="shared" ca="1" si="446"/>
        <v>17</v>
      </c>
      <c r="VM22" s="129">
        <f t="shared" ca="1" si="446"/>
        <v>17</v>
      </c>
      <c r="VN22" s="129">
        <f t="shared" ca="1" si="406"/>
        <v>17</v>
      </c>
      <c r="VO22" s="129">
        <f t="shared" ca="1" si="406"/>
        <v>17</v>
      </c>
      <c r="VP22" s="129">
        <f t="shared" ca="1" si="406"/>
        <v>17</v>
      </c>
      <c r="VQ22" s="129">
        <f t="shared" ca="1" si="406"/>
        <v>17</v>
      </c>
      <c r="VR22" s="129">
        <f t="shared" ca="1" si="406"/>
        <v>17</v>
      </c>
      <c r="VS22" s="129">
        <f t="shared" ca="1" si="406"/>
        <v>17</v>
      </c>
      <c r="VT22" s="129">
        <f t="shared" ca="1" si="406"/>
        <v>17</v>
      </c>
      <c r="VU22" s="129">
        <f t="shared" ca="1" si="406"/>
        <v>17</v>
      </c>
      <c r="VV22" s="129">
        <f t="shared" ca="1" si="406"/>
        <v>17</v>
      </c>
      <c r="VW22" s="129">
        <f t="shared" ca="1" si="406"/>
        <v>17</v>
      </c>
      <c r="VX22" s="129">
        <f t="shared" ca="1" si="406"/>
        <v>17</v>
      </c>
      <c r="VY22" s="129">
        <f t="shared" ca="1" si="406"/>
        <v>17</v>
      </c>
      <c r="VZ22" s="129">
        <f t="shared" ca="1" si="406"/>
        <v>17</v>
      </c>
      <c r="WA22" s="129">
        <f t="shared" ca="1" si="406"/>
        <v>17</v>
      </c>
      <c r="WB22" s="129">
        <f t="shared" ca="1" si="406"/>
        <v>17</v>
      </c>
      <c r="WC22" s="129">
        <f t="shared" ca="1" si="406"/>
        <v>17</v>
      </c>
      <c r="WD22" s="129">
        <f t="shared" ca="1" si="407"/>
        <v>17</v>
      </c>
      <c r="WE22" s="129">
        <f t="shared" ca="1" si="66"/>
        <v>17</v>
      </c>
      <c r="WF22" s="129">
        <f t="shared" ca="1" si="66"/>
        <v>17</v>
      </c>
      <c r="WG22" s="129">
        <f t="shared" ca="1" si="66"/>
        <v>17</v>
      </c>
      <c r="WH22" s="129">
        <f t="shared" ca="1" si="66"/>
        <v>17</v>
      </c>
      <c r="WJ22" s="87"/>
      <c r="WK22" s="87">
        <f t="shared" si="358"/>
        <v>0</v>
      </c>
      <c r="WL22" s="87">
        <v>19</v>
      </c>
      <c r="WM22" s="87">
        <v>19</v>
      </c>
      <c r="WN22" s="87">
        <f>IF($WI$3&gt;=WN$3,UW22,NA())</f>
        <v>17</v>
      </c>
      <c r="WO22" s="87">
        <f ca="1">IF($WI$3&gt;=WO$3,UX22,NA())</f>
        <v>17</v>
      </c>
      <c r="WP22" s="87">
        <f ca="1">IF($WI$3&gt;=WP$3,UY22,NA())</f>
        <v>17</v>
      </c>
      <c r="WQ22" s="87">
        <f ca="1">IF($WI$3&gt;=WQ$3,UZ22,NA())</f>
        <v>17</v>
      </c>
      <c r="WR22" s="87">
        <f ca="1">IF($WI$3&gt;=WR$3,VA22,NA())</f>
        <v>17</v>
      </c>
      <c r="WS22" s="87">
        <f ca="1">IF($WI$3&gt;=WS$3,VB22,NA())</f>
        <v>17</v>
      </c>
      <c r="WT22" s="87">
        <f ca="1">IF($WI$3&gt;=WT$3,VC22,NA())</f>
        <v>17</v>
      </c>
      <c r="WU22" s="87">
        <f ca="1">IF($WI$3&gt;=WU$3,VD22,NA())</f>
        <v>17</v>
      </c>
      <c r="WV22" s="87">
        <f ca="1">IF($WI$3&gt;=WV$3,VE22,NA())</f>
        <v>17</v>
      </c>
      <c r="WW22" s="87">
        <f ca="1">IF($WI$3&gt;=WW$3,VF22,NA())</f>
        <v>17</v>
      </c>
      <c r="WX22" s="87">
        <f ca="1">IF($WI$3&gt;=WX$3,VG22,NA())</f>
        <v>17</v>
      </c>
      <c r="WY22" s="87">
        <f ca="1">IF($WI$3&gt;=WY$3,VH22,NA())</f>
        <v>17</v>
      </c>
      <c r="WZ22" s="87">
        <f ca="1">IF($WI$3&gt;=WZ$3,VI22,NA())</f>
        <v>17</v>
      </c>
      <c r="XA22" s="87">
        <f ca="1">IF($WI$3&gt;=XA$3,VJ22,NA())</f>
        <v>17</v>
      </c>
      <c r="XB22" s="87">
        <f ca="1">IF($WI$3&gt;=XB$3,VK22,NA())</f>
        <v>17</v>
      </c>
      <c r="XC22" s="87">
        <f ca="1">IF($WI$3&gt;=XC$3,VL22,NA())</f>
        <v>17</v>
      </c>
      <c r="XD22" s="87">
        <f ca="1">IF($WI$3&gt;=XD$3,VM22,NA())</f>
        <v>17</v>
      </c>
      <c r="XE22" s="87">
        <f ca="1">IF($WI$3&gt;=XE$3,VN22,NA())</f>
        <v>17</v>
      </c>
      <c r="XF22" s="87">
        <f ca="1">IF($WI$3&gt;=XF$3,VO22,NA())</f>
        <v>17</v>
      </c>
      <c r="XG22" s="87">
        <f ca="1">IF($WI$3&gt;=XG$3,VP22,NA())</f>
        <v>17</v>
      </c>
      <c r="XH22" s="87">
        <f ca="1">IF($WI$3&gt;=XH$3,VQ22,NA())</f>
        <v>17</v>
      </c>
      <c r="XI22" s="87" t="e">
        <f>IF($WI$3&gt;=XI$3,VR22,NA())</f>
        <v>#N/A</v>
      </c>
      <c r="XJ22" s="87" t="e">
        <f>IF($WI$3&gt;=XJ$3,VS22,NA())</f>
        <v>#N/A</v>
      </c>
      <c r="XK22" s="87" t="e">
        <f>IF($WI$3&gt;=XK$3,VT22,NA())</f>
        <v>#N/A</v>
      </c>
      <c r="XL22" s="87" t="e">
        <f>IF($WI$3&gt;=XL$3,VU22,NA())</f>
        <v>#N/A</v>
      </c>
      <c r="XM22" s="87" t="e">
        <f>IF($WI$3&gt;=XM$3,VV22,NA())</f>
        <v>#N/A</v>
      </c>
      <c r="XN22" s="87" t="e">
        <f>IF($WI$3&gt;=XN$3,VW22,NA())</f>
        <v>#N/A</v>
      </c>
      <c r="XO22" s="87" t="e">
        <f>IF($WI$3&gt;=XO$3,VX22,NA())</f>
        <v>#N/A</v>
      </c>
      <c r="XP22" s="87" t="e">
        <f>IF($WI$3&gt;=XP$3,VY22,NA())</f>
        <v>#N/A</v>
      </c>
      <c r="XQ22" s="87" t="e">
        <f>IF($WI$3&gt;=XQ$3,VZ22,NA())</f>
        <v>#N/A</v>
      </c>
      <c r="XR22" s="87" t="e">
        <f>IF($WI$3&gt;=XR$3,WA22,NA())</f>
        <v>#N/A</v>
      </c>
      <c r="XS22" s="87" t="e">
        <f>IF($WI$3&gt;=XS$3,WB22,NA())</f>
        <v>#N/A</v>
      </c>
      <c r="XT22" s="87" t="e">
        <f>IF($WI$3&gt;=XT$3,WC22,NA())</f>
        <v>#N/A</v>
      </c>
      <c r="XU22" s="87" t="e">
        <f>IF($WI$3&gt;=XU$3,WD22,NA())</f>
        <v>#N/A</v>
      </c>
      <c r="XV22" s="87" t="e">
        <f>IF($WI$3&gt;=XV$3,WE22,NA())</f>
        <v>#N/A</v>
      </c>
      <c r="XW22" s="87" t="e">
        <f>IF($WI$3&gt;=XW$3,WF22,NA())</f>
        <v>#N/A</v>
      </c>
      <c r="XX22" s="87" t="e">
        <f>IF($WI$3&gt;=XX$3,WG22,NA())</f>
        <v>#N/A</v>
      </c>
      <c r="XY22" s="87" t="e">
        <f>IF($WI$3&gt;=XY$3,WH22,NA())</f>
        <v>#N/A</v>
      </c>
      <c r="YB22" s="160"/>
      <c r="YC22" s="160"/>
      <c r="YD22" s="160"/>
      <c r="YE22" s="163"/>
      <c r="YF22" s="163"/>
      <c r="YG22" s="160"/>
      <c r="YH22" s="160"/>
      <c r="YI22" s="160"/>
      <c r="YJ22" s="160"/>
      <c r="YK22" s="160"/>
      <c r="YL22" s="160"/>
      <c r="YM22" s="160"/>
      <c r="YN22" s="160"/>
      <c r="YO22" s="160"/>
      <c r="YP22" s="160"/>
      <c r="YQ22" s="160"/>
      <c r="YR22" s="160"/>
      <c r="YS22" s="160"/>
      <c r="YT22" s="160"/>
      <c r="YU22" s="160"/>
      <c r="YV22" s="160"/>
      <c r="YW22" s="160"/>
      <c r="YX22" s="160"/>
      <c r="YY22" s="160"/>
      <c r="YZ22" s="160"/>
      <c r="ZA22" s="160"/>
      <c r="ZB22" s="160"/>
      <c r="ZC22" s="160"/>
      <c r="ZD22" s="160"/>
      <c r="ZE22" s="160"/>
      <c r="ZF22" s="160"/>
      <c r="ZG22" s="160"/>
      <c r="ZH22" s="160"/>
      <c r="ZI22" s="160"/>
      <c r="ZJ22" s="160"/>
      <c r="ZK22" s="160"/>
      <c r="ZL22" s="160"/>
      <c r="ZM22" s="160"/>
      <c r="ZN22" s="160"/>
      <c r="ZO22" s="160"/>
      <c r="ZP22" s="160"/>
      <c r="ZQ22" s="160"/>
      <c r="ZR22" s="160"/>
      <c r="ZS22" s="160"/>
      <c r="ZT22" s="160"/>
      <c r="ZU22" s="160"/>
      <c r="ZV22" s="160"/>
      <c r="ZW22" s="160"/>
      <c r="ZX22" s="160"/>
      <c r="ZY22" s="160"/>
      <c r="ZZ22" s="160"/>
      <c r="AAA22" s="160"/>
      <c r="AAB22" s="160"/>
      <c r="AAC22" s="160"/>
      <c r="AAD22" s="160"/>
      <c r="AAE22" s="160"/>
      <c r="AAF22" s="160"/>
      <c r="AAG22" s="160"/>
    </row>
    <row r="23" spans="4:723">
      <c r="D23" s="29"/>
      <c r="E23" s="31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5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5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6"/>
      <c r="AP23" s="27"/>
      <c r="AQ23" s="28"/>
      <c r="AR23" s="29"/>
      <c r="AS23" s="28"/>
      <c r="AT23" s="29"/>
      <c r="AU23" s="30"/>
      <c r="AV23" s="29"/>
      <c r="AW23" s="29"/>
      <c r="AX23" s="29"/>
      <c r="AY23" s="29"/>
      <c r="AZ23" s="29"/>
      <c r="BA23" s="29"/>
      <c r="BB23" s="29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S23" s="10" t="s">
        <v>46</v>
      </c>
      <c r="BT23" s="123">
        <v>0.16666666666666699</v>
      </c>
      <c r="BU23" s="123">
        <f t="shared" si="405"/>
        <v>0.33333333333333365</v>
      </c>
      <c r="BV23" s="10" t="s">
        <v>64</v>
      </c>
      <c r="CA23" s="130">
        <f t="shared" si="119"/>
        <v>-1</v>
      </c>
      <c r="CB23" s="130">
        <f t="shared" si="120"/>
        <v>100000</v>
      </c>
      <c r="CC23" s="130">
        <f t="shared" si="121"/>
        <v>-1</v>
      </c>
      <c r="CD23" s="130">
        <f t="shared" si="122"/>
        <v>100000</v>
      </c>
      <c r="CE23" s="130">
        <f t="shared" si="123"/>
        <v>-1</v>
      </c>
      <c r="CF23" s="130">
        <f t="shared" si="124"/>
        <v>100000</v>
      </c>
      <c r="CG23" s="130">
        <f t="shared" si="125"/>
        <v>-1</v>
      </c>
      <c r="CH23" s="130">
        <f t="shared" si="126"/>
        <v>100000</v>
      </c>
      <c r="CI23" s="130">
        <f t="shared" si="127"/>
        <v>-1</v>
      </c>
      <c r="CJ23" s="130">
        <f t="shared" si="128"/>
        <v>100000</v>
      </c>
      <c r="CK23" s="130">
        <f t="shared" si="129"/>
        <v>-100000</v>
      </c>
      <c r="CL23" s="130">
        <f t="shared" si="130"/>
        <v>100000</v>
      </c>
      <c r="CM23" s="130">
        <f t="shared" si="131"/>
        <v>-1</v>
      </c>
      <c r="CN23" s="130">
        <f t="shared" si="132"/>
        <v>100000</v>
      </c>
      <c r="CO23" s="130">
        <f t="shared" si="133"/>
        <v>-1</v>
      </c>
      <c r="CP23" s="130">
        <f t="shared" si="134"/>
        <v>100000</v>
      </c>
      <c r="CQ23" s="131"/>
      <c r="CR23" s="130">
        <f t="shared" si="360"/>
        <v>-1</v>
      </c>
      <c r="CS23" s="130">
        <f t="shared" si="135"/>
        <v>100000</v>
      </c>
      <c r="CT23" s="130">
        <f t="shared" si="361"/>
        <v>-1</v>
      </c>
      <c r="CU23" s="130">
        <f t="shared" si="362"/>
        <v>100000</v>
      </c>
      <c r="CV23" s="130">
        <f t="shared" si="363"/>
        <v>-1</v>
      </c>
      <c r="CW23" s="130">
        <f t="shared" si="364"/>
        <v>100000</v>
      </c>
      <c r="CX23" s="130">
        <f t="shared" si="365"/>
        <v>-1</v>
      </c>
      <c r="CY23" s="130">
        <f t="shared" si="366"/>
        <v>100000</v>
      </c>
      <c r="CZ23" s="130">
        <f t="shared" si="367"/>
        <v>-1</v>
      </c>
      <c r="DA23" s="130">
        <f t="shared" si="368"/>
        <v>100000</v>
      </c>
      <c r="DB23" s="130">
        <f t="shared" si="369"/>
        <v>-100000</v>
      </c>
      <c r="DC23" s="130">
        <f t="shared" si="370"/>
        <v>100000</v>
      </c>
      <c r="DD23" s="130">
        <f t="shared" si="371"/>
        <v>-1</v>
      </c>
      <c r="DE23" s="130">
        <f t="shared" si="372"/>
        <v>100000</v>
      </c>
      <c r="DF23" s="130">
        <f t="shared" si="373"/>
        <v>-1</v>
      </c>
      <c r="DG23" s="130">
        <f t="shared" si="374"/>
        <v>100000</v>
      </c>
      <c r="DH23" s="131"/>
      <c r="DI23" s="130">
        <f t="shared" si="389"/>
        <v>-1</v>
      </c>
      <c r="DJ23" s="130">
        <f t="shared" si="136"/>
        <v>100000</v>
      </c>
      <c r="DK23" s="130">
        <f t="shared" si="390"/>
        <v>-1</v>
      </c>
      <c r="DL23" s="130">
        <f t="shared" si="391"/>
        <v>100000</v>
      </c>
      <c r="DM23" s="130">
        <f t="shared" si="392"/>
        <v>-1</v>
      </c>
      <c r="DN23" s="130">
        <f t="shared" si="393"/>
        <v>100000</v>
      </c>
      <c r="DO23" s="130">
        <f t="shared" si="394"/>
        <v>-1</v>
      </c>
      <c r="DP23" s="130">
        <f t="shared" si="395"/>
        <v>100000</v>
      </c>
      <c r="DQ23" s="130">
        <f t="shared" si="396"/>
        <v>-1</v>
      </c>
      <c r="DR23" s="130">
        <f t="shared" si="397"/>
        <v>100000</v>
      </c>
      <c r="DS23" s="130">
        <f t="shared" si="398"/>
        <v>-100000</v>
      </c>
      <c r="DT23" s="130">
        <f t="shared" si="399"/>
        <v>100000</v>
      </c>
      <c r="DU23" s="130">
        <f t="shared" si="400"/>
        <v>-1</v>
      </c>
      <c r="DV23" s="130">
        <f t="shared" si="401"/>
        <v>100000</v>
      </c>
      <c r="DW23" s="130">
        <f t="shared" si="402"/>
        <v>-1</v>
      </c>
      <c r="DX23" s="130">
        <f t="shared" si="403"/>
        <v>100000</v>
      </c>
      <c r="DY23" s="132"/>
      <c r="DZ23" s="115">
        <v>20</v>
      </c>
      <c r="EA23" s="115">
        <v>11</v>
      </c>
      <c r="EB23" s="10">
        <f t="shared" si="137"/>
        <v>17</v>
      </c>
      <c r="EC23" s="10">
        <f t="shared" si="138"/>
        <v>17</v>
      </c>
      <c r="ED23" s="10">
        <f t="shared" si="139"/>
        <v>17</v>
      </c>
      <c r="EE23" s="10">
        <f t="shared" si="140"/>
        <v>17</v>
      </c>
      <c r="EF23" s="10">
        <f t="shared" si="141"/>
        <v>17</v>
      </c>
      <c r="EG23" s="10">
        <f t="shared" si="142"/>
        <v>17</v>
      </c>
      <c r="EH23" s="10">
        <f t="shared" si="143"/>
        <v>17</v>
      </c>
      <c r="EI23" s="10">
        <f t="shared" si="144"/>
        <v>17</v>
      </c>
      <c r="EJ23" s="10">
        <f t="shared" si="145"/>
        <v>17</v>
      </c>
      <c r="EK23" s="10">
        <f t="shared" si="146"/>
        <v>17</v>
      </c>
      <c r="EL23" s="10">
        <f t="shared" si="147"/>
        <v>17</v>
      </c>
      <c r="EM23" s="10">
        <f t="shared" si="148"/>
        <v>17</v>
      </c>
      <c r="EN23" s="10">
        <f t="shared" si="149"/>
        <v>17</v>
      </c>
      <c r="EO23" s="10">
        <f t="shared" si="150"/>
        <v>17</v>
      </c>
      <c r="EP23" s="10">
        <f t="shared" si="151"/>
        <v>17</v>
      </c>
      <c r="EQ23" s="10">
        <f t="shared" si="152"/>
        <v>17</v>
      </c>
      <c r="ES23" s="10">
        <f t="shared" si="153"/>
        <v>17</v>
      </c>
      <c r="ET23" s="10">
        <f t="shared" si="154"/>
        <v>17</v>
      </c>
      <c r="EU23" s="10">
        <f t="shared" si="155"/>
        <v>17</v>
      </c>
      <c r="EV23" s="10">
        <f t="shared" si="154"/>
        <v>17</v>
      </c>
      <c r="EW23" s="10">
        <f t="shared" si="156"/>
        <v>17</v>
      </c>
      <c r="EX23" s="10">
        <f t="shared" si="157"/>
        <v>17</v>
      </c>
      <c r="EY23" s="10">
        <f t="shared" si="158"/>
        <v>17</v>
      </c>
      <c r="EZ23" s="10">
        <f t="shared" si="159"/>
        <v>17</v>
      </c>
      <c r="FA23" s="10">
        <f t="shared" si="160"/>
        <v>17</v>
      </c>
      <c r="FB23" s="10">
        <f t="shared" si="161"/>
        <v>17</v>
      </c>
      <c r="FC23" s="10">
        <f t="shared" si="162"/>
        <v>17</v>
      </c>
      <c r="FD23" s="10">
        <f t="shared" si="163"/>
        <v>17</v>
      </c>
      <c r="FE23" s="10">
        <f t="shared" si="164"/>
        <v>17</v>
      </c>
      <c r="FF23" s="10">
        <f t="shared" si="165"/>
        <v>17</v>
      </c>
      <c r="FG23" s="10">
        <f t="shared" si="166"/>
        <v>17</v>
      </c>
      <c r="FH23" s="10">
        <f t="shared" si="167"/>
        <v>17</v>
      </c>
      <c r="FJ23" s="10">
        <f t="shared" si="168"/>
        <v>17</v>
      </c>
      <c r="FK23" s="10">
        <f t="shared" si="169"/>
        <v>17</v>
      </c>
      <c r="FL23" s="10">
        <f t="shared" si="170"/>
        <v>17</v>
      </c>
      <c r="FM23" s="10">
        <f t="shared" si="171"/>
        <v>17</v>
      </c>
      <c r="FN23" s="10">
        <f t="shared" si="172"/>
        <v>17</v>
      </c>
      <c r="FO23" s="10">
        <f t="shared" si="173"/>
        <v>17</v>
      </c>
      <c r="FP23" s="10">
        <f t="shared" si="174"/>
        <v>17</v>
      </c>
      <c r="FQ23" s="10">
        <f t="shared" si="175"/>
        <v>17</v>
      </c>
      <c r="FR23" s="10">
        <f t="shared" si="176"/>
        <v>17</v>
      </c>
      <c r="FS23" s="10">
        <f t="shared" si="177"/>
        <v>17</v>
      </c>
      <c r="FT23" s="10">
        <f t="shared" si="178"/>
        <v>17</v>
      </c>
      <c r="FU23" s="10">
        <f t="shared" si="179"/>
        <v>17</v>
      </c>
      <c r="FV23" s="10">
        <f t="shared" si="180"/>
        <v>17</v>
      </c>
      <c r="FW23" s="10">
        <f t="shared" si="181"/>
        <v>17</v>
      </c>
      <c r="FX23" s="10">
        <f t="shared" si="182"/>
        <v>17</v>
      </c>
      <c r="FY23" s="10">
        <f t="shared" si="183"/>
        <v>17</v>
      </c>
      <c r="GA23" s="10">
        <f>IF(lg!$C$18=1,EB23,IF(lg!$C$18=2,ES23,FJ23))</f>
        <v>17</v>
      </c>
      <c r="GB23" s="10">
        <f>IF(lg!$C$18=1,EC23,IF(lg!$C$18=2,ET23,FK23))</f>
        <v>17</v>
      </c>
      <c r="GC23" s="10">
        <f>IF(lg!$C$18=1,ED23,IF(lg!$C$18=2,EU23,FL23))</f>
        <v>17</v>
      </c>
      <c r="GD23" s="10">
        <f>IF(lg!$C$18=1,EE23,IF(lg!$C$18=2,EV23,FM23))</f>
        <v>17</v>
      </c>
      <c r="GE23" s="10">
        <f>IF(lg!$C$18=1,EF23,IF(lg!$C$18=2,EW23,FN23))</f>
        <v>17</v>
      </c>
      <c r="GF23" s="10">
        <f>IF(lg!$C$18=1,EG23,IF(lg!$C$18=2,EX23,FO23))</f>
        <v>17</v>
      </c>
      <c r="GG23" s="10">
        <f>IF(lg!$C$18=1,EH23,IF(lg!$C$18=2,EY23,FP23))</f>
        <v>17</v>
      </c>
      <c r="GH23" s="10">
        <f>IF(lg!$C$18=1,EI23,IF(lg!$C$18=2,EZ23,FQ23))</f>
        <v>17</v>
      </c>
      <c r="GI23" s="10">
        <f>IF(lg!$C$18=1,EJ23,IF(lg!$C$18=2,FA23,FR23))</f>
        <v>17</v>
      </c>
      <c r="GJ23" s="10">
        <f>IF(lg!$C$18=1,EK23,IF(lg!$C$18=2,FB23,FS23))</f>
        <v>17</v>
      </c>
      <c r="GK23" s="10">
        <f>IF(lg!$C$18=1,EL23,IF(lg!$C$18=2,FC23,FT23))</f>
        <v>17</v>
      </c>
      <c r="GL23" s="10">
        <f>IF(lg!$C$18=1,EM23,IF(lg!$C$18=2,FD23,FU23))</f>
        <v>17</v>
      </c>
      <c r="GM23" s="10">
        <f>IF(lg!$C$18=1,EN23,IF(lg!$C$18=2,FE23,FV23))</f>
        <v>17</v>
      </c>
      <c r="GN23" s="10">
        <f>IF(lg!$C$18=1,EO23,IF(lg!$C$18=2,FF23,FW23))</f>
        <v>17</v>
      </c>
      <c r="GO23" s="10">
        <f>IF(lg!$C$18=1,EP23,IF(lg!$C$18=2,FG23,FX23))</f>
        <v>17</v>
      </c>
      <c r="GP23" s="10">
        <f>IF(lg!$C$18=1,EQ23,IF(lg!$C$18=2,FH23,FY23))</f>
        <v>17</v>
      </c>
      <c r="GR23" s="10" t="e">
        <f t="shared" si="184"/>
        <v>#N/A</v>
      </c>
      <c r="GS23" s="10" t="e">
        <f t="shared" si="31"/>
        <v>#N/A</v>
      </c>
      <c r="GT23" s="10" t="e">
        <f t="shared" si="32"/>
        <v>#N/A</v>
      </c>
      <c r="GU23" s="10" t="e">
        <f t="shared" si="33"/>
        <v>#N/A</v>
      </c>
      <c r="GV23" s="10" t="e">
        <f t="shared" si="34"/>
        <v>#N/A</v>
      </c>
      <c r="GW23" s="10" t="e">
        <f t="shared" si="35"/>
        <v>#N/A</v>
      </c>
      <c r="GX23" s="10" t="e">
        <f t="shared" si="36"/>
        <v>#N/A</v>
      </c>
      <c r="GY23" s="10" t="e">
        <f t="shared" si="37"/>
        <v>#N/A</v>
      </c>
      <c r="GZ23" s="10" t="e">
        <f t="shared" si="38"/>
        <v>#N/A</v>
      </c>
      <c r="HA23" s="10" t="e">
        <f t="shared" si="39"/>
        <v>#N/A</v>
      </c>
      <c r="HB23" s="10" t="e">
        <f t="shared" si="40"/>
        <v>#N/A</v>
      </c>
      <c r="HC23" s="10" t="e">
        <f t="shared" si="41"/>
        <v>#N/A</v>
      </c>
      <c r="HD23" s="10" t="e">
        <f t="shared" si="42"/>
        <v>#N/A</v>
      </c>
      <c r="HE23" s="10" t="e">
        <f t="shared" si="43"/>
        <v>#N/A</v>
      </c>
      <c r="HF23" s="10" t="e">
        <f t="shared" si="44"/>
        <v>#N/A</v>
      </c>
      <c r="HG23" s="10" t="e">
        <f t="shared" si="45"/>
        <v>#N/A</v>
      </c>
      <c r="HI23" s="10">
        <v>20</v>
      </c>
      <c r="HJ23" s="115">
        <f>IF(lg!$C$18=1,F23,IF(lg!$C$18=2,R23,AD23))</f>
        <v>0</v>
      </c>
      <c r="HK23" s="115">
        <f>IF(lg!$C$18=1,G23,IF(lg!$C$18=2,S23,AE23))</f>
        <v>0</v>
      </c>
      <c r="HL23" s="115">
        <f>IF(lg!$C$18=1,H23,IF(lg!$C$18=2,T23,AF23))</f>
        <v>0</v>
      </c>
      <c r="HM23" s="115">
        <f>IF(lg!$C$18=1,I23,IF(lg!$C$18=2,U23,AG23))</f>
        <v>0</v>
      </c>
      <c r="HN23" s="115">
        <f>IF(lg!$C$18=1,J23,IF(lg!$C$18=2,V23,AH23))</f>
        <v>0</v>
      </c>
      <c r="HO23" s="115">
        <f>IF(lg!$C$18=1,K23,IF(lg!$C$18=2,W23,AI23))</f>
        <v>0</v>
      </c>
      <c r="HP23" s="115">
        <f>IF(lg!$C$18=1,L23,IF(lg!$C$18=2,X23,AJ23))</f>
        <v>0</v>
      </c>
      <c r="HQ23" s="115">
        <f>IF(lg!$C$18=1,M23,IF(lg!$C$18=2,Y23,AK23))</f>
        <v>0</v>
      </c>
      <c r="HR23" s="115">
        <f>IF(lg!$C$18=1,N23,IF(lg!$C$18=2,Z23,AL23))</f>
        <v>0</v>
      </c>
      <c r="HS23" s="115">
        <f>IF(lg!$C$18=1,O23,IF(lg!$C$18=2,AA23,AM23))</f>
        <v>0</v>
      </c>
      <c r="HT23" s="115">
        <f>IF(lg!$C$18=1,P23,IF(lg!$C$18=2,AB23,AN23))</f>
        <v>0</v>
      </c>
      <c r="HV23" s="115">
        <f t="shared" si="185"/>
        <v>0</v>
      </c>
      <c r="HW23" s="115">
        <f t="shared" si="186"/>
        <v>0</v>
      </c>
      <c r="HX23" s="115">
        <f t="shared" si="187"/>
        <v>0</v>
      </c>
      <c r="HY23" s="115">
        <f t="shared" si="188"/>
        <v>0</v>
      </c>
      <c r="HZ23" s="115">
        <f t="shared" si="189"/>
        <v>0</v>
      </c>
      <c r="IA23" s="115">
        <f t="shared" si="190"/>
        <v>0</v>
      </c>
      <c r="IB23" s="115">
        <f t="shared" si="191"/>
        <v>0</v>
      </c>
      <c r="IC23" s="115">
        <f t="shared" si="192"/>
        <v>0</v>
      </c>
      <c r="ID23" s="115">
        <f t="shared" si="193"/>
        <v>0</v>
      </c>
      <c r="IE23" s="115">
        <f t="shared" si="194"/>
        <v>0</v>
      </c>
      <c r="IF23" s="115">
        <f t="shared" si="195"/>
        <v>0</v>
      </c>
      <c r="IG23" s="115">
        <f t="shared" si="196"/>
        <v>0</v>
      </c>
      <c r="IH23" s="115">
        <f t="shared" si="197"/>
        <v>0</v>
      </c>
      <c r="II23" s="115">
        <f t="shared" si="198"/>
        <v>0</v>
      </c>
      <c r="IJ23" s="115">
        <f t="shared" si="199"/>
        <v>0</v>
      </c>
      <c r="IK23" s="115">
        <f t="shared" si="200"/>
        <v>0</v>
      </c>
      <c r="IN23" s="77" t="s">
        <v>136</v>
      </c>
      <c r="IO23" s="36" t="s">
        <v>10</v>
      </c>
      <c r="IP23" s="67">
        <f>VLOOKUP('ef-TeamStats'!B2,'ef-FT'!$E$4:$AN$23,31,0)</f>
        <v>13</v>
      </c>
      <c r="IQ23" s="67">
        <f>VLOOKUP('ef-TeamStats'!$B$2,Table!$B$4:$W$23,16,0)</f>
        <v>11</v>
      </c>
      <c r="IR23" s="134">
        <f t="shared" si="47"/>
        <v>1.1818181818181819</v>
      </c>
      <c r="IS23" s="133">
        <f>MATCH('ef-TeamStats'!$B$2,$JY$4:$JY$33,0)</f>
        <v>2</v>
      </c>
      <c r="IT23" s="67"/>
      <c r="IU23" s="36" t="s">
        <v>10</v>
      </c>
      <c r="IV23" s="67">
        <f>VLOOKUP('ef-TeamStats'!G2,'ef-FT'!$E$4:$AN$23,31,0)</f>
        <v>13</v>
      </c>
      <c r="IW23" s="67">
        <f>VLOOKUP('ef-TeamStats'!$G$2,Table!$B$4:$W$23,16,0)</f>
        <v>10</v>
      </c>
      <c r="IX23" s="134">
        <f t="shared" si="48"/>
        <v>1.3</v>
      </c>
      <c r="IY23" s="133">
        <f>MATCH('ef-TeamStats'!$G$2,$JY$4:$JY$33,0)</f>
        <v>4</v>
      </c>
      <c r="JB23" s="10">
        <f>IF(lg!$F$18=1,EB23,IF(lg!$F$18=2,ES23,FJ23))</f>
        <v>17</v>
      </c>
      <c r="JC23" s="10">
        <f>IF(lg!$F$18=1,EC23,IF(lg!$F$18=2,ET23,FK23))</f>
        <v>17</v>
      </c>
      <c r="JD23" s="10">
        <f>IF(lg!$F$18=1,ED23,IF(lg!$F$18=2,EU23,FL23))</f>
        <v>17</v>
      </c>
      <c r="JE23" s="10">
        <f>IF(lg!$F$18=1,EE23,IF(lg!$F$18=2,EV23,FM23))</f>
        <v>17</v>
      </c>
      <c r="JF23" s="10">
        <f>IF(lg!$F$18=1,EF23,IF(lg!$F$18=2,EW23,FN23))</f>
        <v>17</v>
      </c>
      <c r="JG23" s="10">
        <f>IF(lg!$F$18=1,EG23,IF(lg!$F$18=2,EX23,FO23))</f>
        <v>17</v>
      </c>
      <c r="JH23" s="10">
        <f>IF(lg!$F$18=1,EH23,IF(lg!$F$18=2,EY23,FP23))</f>
        <v>17</v>
      </c>
      <c r="JI23" s="10">
        <f>IF(lg!$F$18=1,EI23,IF(lg!$F$18=2,EZ23,FQ23))</f>
        <v>17</v>
      </c>
      <c r="JJ23" s="10">
        <f>IF(lg!$F$18=1,EJ23,IF(lg!$F$18=2,FA23,FR23))</f>
        <v>17</v>
      </c>
      <c r="JK23" s="10">
        <f>IF(lg!$F$18=1,EK23,IF(lg!$F$18=2,FB23,FS23))</f>
        <v>17</v>
      </c>
      <c r="JL23" s="10">
        <f>IF(lg!$F$18=1,EL23,IF(lg!$F$18=2,FC23,FT23))</f>
        <v>17</v>
      </c>
      <c r="JM23" s="10">
        <f>IF(lg!$F$18=1,EM23,IF(lg!$F$18=2,FD23,FU23))</f>
        <v>17</v>
      </c>
      <c r="JN23" s="10">
        <f>IF(lg!$F$18=1,EN23,IF(lg!$F$18=2,FE23,FV23))</f>
        <v>17</v>
      </c>
      <c r="JO23" s="10">
        <f>IF(lg!$F$18=1,EO23,IF(lg!$F$18=2,FF23,FW23))</f>
        <v>17</v>
      </c>
      <c r="JP23" s="10">
        <f>IF(lg!$F$18=1,EP23,IF(lg!$F$18=2,FG23,FX23))</f>
        <v>17</v>
      </c>
      <c r="JQ23" s="10">
        <f>IF(lg!$F$18=1,EQ23,IF(lg!$F$18=2,FH23,FY23))</f>
        <v>17</v>
      </c>
      <c r="JS23" s="10" t="e">
        <f t="shared" si="201"/>
        <v>#N/A</v>
      </c>
      <c r="JT23" s="10" t="e">
        <f t="shared" si="49"/>
        <v>#N/A</v>
      </c>
      <c r="JU23" s="10" t="e">
        <f t="shared" si="50"/>
        <v>#N/A</v>
      </c>
      <c r="JV23" s="10" t="e">
        <f t="shared" si="51"/>
        <v>#N/A</v>
      </c>
      <c r="JW23" s="10" t="e">
        <f t="shared" si="52"/>
        <v>#N/A</v>
      </c>
      <c r="JX23" s="10" t="e">
        <f t="shared" si="53"/>
        <v>#N/A</v>
      </c>
      <c r="JY23" s="10" t="e">
        <f t="shared" si="54"/>
        <v>#N/A</v>
      </c>
      <c r="JZ23" s="10" t="e">
        <f t="shared" si="55"/>
        <v>#N/A</v>
      </c>
      <c r="KA23" s="10" t="e">
        <f t="shared" si="56"/>
        <v>#N/A</v>
      </c>
      <c r="KB23" s="10" t="e">
        <f t="shared" si="57"/>
        <v>#N/A</v>
      </c>
      <c r="KC23" s="10" t="e">
        <f t="shared" si="58"/>
        <v>#N/A</v>
      </c>
      <c r="KD23" s="10" t="e">
        <f t="shared" si="59"/>
        <v>#N/A</v>
      </c>
      <c r="KE23" s="10" t="e">
        <f t="shared" si="60"/>
        <v>#N/A</v>
      </c>
      <c r="KF23" s="10" t="e">
        <f t="shared" si="61"/>
        <v>#N/A</v>
      </c>
      <c r="KG23" s="10" t="e">
        <f t="shared" si="62"/>
        <v>#N/A</v>
      </c>
      <c r="KH23" s="10" t="e">
        <f t="shared" si="63"/>
        <v>#N/A</v>
      </c>
      <c r="KL23" s="27">
        <v>0.11</v>
      </c>
      <c r="KM23" s="29">
        <v>20</v>
      </c>
      <c r="KN23" s="31">
        <f t="shared" si="202"/>
        <v>0</v>
      </c>
      <c r="KO23" s="152">
        <f t="shared" si="203"/>
        <v>0</v>
      </c>
      <c r="KP23" s="152">
        <f t="shared" si="204"/>
        <v>0</v>
      </c>
      <c r="KQ23" s="152">
        <f t="shared" si="205"/>
        <v>0</v>
      </c>
      <c r="KR23" s="28">
        <f t="shared" si="206"/>
        <v>-10000000000</v>
      </c>
      <c r="KS23" s="29"/>
      <c r="KT23" s="28"/>
      <c r="KU23" s="29">
        <f t="shared" si="408"/>
        <v>17</v>
      </c>
      <c r="KV23" s="152">
        <f t="shared" si="207"/>
        <v>0</v>
      </c>
      <c r="KW23" s="152">
        <f t="shared" si="208"/>
        <v>0</v>
      </c>
      <c r="KX23" s="152">
        <f t="shared" si="209"/>
        <v>0</v>
      </c>
      <c r="KY23" s="28">
        <f t="shared" si="210"/>
        <v>-10000000000</v>
      </c>
      <c r="KZ23" s="29"/>
      <c r="LA23" s="28"/>
      <c r="LB23" s="29">
        <f t="shared" si="409"/>
        <v>17</v>
      </c>
      <c r="LC23" s="152">
        <f t="shared" si="211"/>
        <v>0</v>
      </c>
      <c r="LD23" s="152">
        <f t="shared" si="212"/>
        <v>0</v>
      </c>
      <c r="LE23" s="152">
        <f t="shared" si="213"/>
        <v>0</v>
      </c>
      <c r="LF23" s="28">
        <f t="shared" si="214"/>
        <v>-10000000000</v>
      </c>
      <c r="LG23" s="29"/>
      <c r="LH23" s="28"/>
      <c r="LI23" s="29">
        <f t="shared" si="410"/>
        <v>17</v>
      </c>
      <c r="LJ23" s="152">
        <f t="shared" si="215"/>
        <v>0</v>
      </c>
      <c r="LK23" s="152">
        <f t="shared" si="216"/>
        <v>0</v>
      </c>
      <c r="LL23" s="152">
        <f t="shared" si="217"/>
        <v>0</v>
      </c>
      <c r="LM23" s="28">
        <f t="shared" si="218"/>
        <v>-10000000000</v>
      </c>
      <c r="LN23" s="29"/>
      <c r="LO23" s="28"/>
      <c r="LP23" s="29">
        <f t="shared" si="411"/>
        <v>17</v>
      </c>
      <c r="LQ23" s="152">
        <f t="shared" si="219"/>
        <v>0</v>
      </c>
      <c r="LR23" s="152">
        <f t="shared" si="220"/>
        <v>0</v>
      </c>
      <c r="LS23" s="152">
        <f t="shared" si="221"/>
        <v>0</v>
      </c>
      <c r="LT23" s="28">
        <f t="shared" si="222"/>
        <v>-10000000000</v>
      </c>
      <c r="LU23" s="29"/>
      <c r="LV23" s="28"/>
      <c r="LW23" s="29">
        <f t="shared" si="412"/>
        <v>17</v>
      </c>
      <c r="LX23" s="152">
        <f t="shared" si="223"/>
        <v>0</v>
      </c>
      <c r="LY23" s="152">
        <f t="shared" si="224"/>
        <v>0</v>
      </c>
      <c r="LZ23" s="152">
        <f t="shared" si="225"/>
        <v>0</v>
      </c>
      <c r="MA23" s="28">
        <f t="shared" si="226"/>
        <v>-10000000000</v>
      </c>
      <c r="MB23" s="29"/>
      <c r="MC23" s="28"/>
      <c r="MD23" s="29">
        <f t="shared" si="413"/>
        <v>17</v>
      </c>
      <c r="ME23" s="152">
        <f t="shared" si="227"/>
        <v>0</v>
      </c>
      <c r="MF23" s="152">
        <f t="shared" si="228"/>
        <v>0</v>
      </c>
      <c r="MG23" s="152">
        <f t="shared" si="229"/>
        <v>0</v>
      </c>
      <c r="MH23" s="28">
        <f t="shared" si="230"/>
        <v>-10000000000</v>
      </c>
      <c r="MI23" s="29"/>
      <c r="MJ23" s="28"/>
      <c r="MK23" s="29">
        <f t="shared" si="414"/>
        <v>17</v>
      </c>
      <c r="ML23" s="152">
        <f t="shared" si="231"/>
        <v>0</v>
      </c>
      <c r="MM23" s="152">
        <f t="shared" si="232"/>
        <v>0</v>
      </c>
      <c r="MN23" s="152">
        <f t="shared" si="233"/>
        <v>0</v>
      </c>
      <c r="MO23" s="28">
        <f t="shared" si="234"/>
        <v>-10000000000</v>
      </c>
      <c r="MP23" s="29"/>
      <c r="MQ23" s="28"/>
      <c r="MR23" s="29">
        <f t="shared" si="415"/>
        <v>17</v>
      </c>
      <c r="MS23" s="152">
        <f t="shared" si="235"/>
        <v>0</v>
      </c>
      <c r="MT23" s="152">
        <f t="shared" si="236"/>
        <v>0</v>
      </c>
      <c r="MU23" s="152">
        <f t="shared" si="237"/>
        <v>0</v>
      </c>
      <c r="MV23" s="28">
        <f t="shared" si="238"/>
        <v>-10000000000</v>
      </c>
      <c r="MW23" s="29"/>
      <c r="MX23" s="28"/>
      <c r="MY23" s="29">
        <f t="shared" si="416"/>
        <v>17</v>
      </c>
      <c r="MZ23" s="152">
        <f t="shared" si="239"/>
        <v>0</v>
      </c>
      <c r="NA23" s="152">
        <f t="shared" si="240"/>
        <v>0</v>
      </c>
      <c r="NB23" s="152">
        <f t="shared" si="241"/>
        <v>0</v>
      </c>
      <c r="NC23" s="28">
        <f t="shared" si="242"/>
        <v>-10000000000</v>
      </c>
      <c r="ND23" s="29"/>
      <c r="NE23" s="28"/>
      <c r="NF23" s="29">
        <f t="shared" si="417"/>
        <v>17</v>
      </c>
      <c r="NG23" s="152">
        <f t="shared" si="243"/>
        <v>0</v>
      </c>
      <c r="NH23" s="152">
        <f t="shared" si="244"/>
        <v>0</v>
      </c>
      <c r="NI23" s="152">
        <f t="shared" si="245"/>
        <v>0</v>
      </c>
      <c r="NJ23" s="28">
        <f t="shared" si="246"/>
        <v>-10000000000</v>
      </c>
      <c r="NK23" s="29"/>
      <c r="NL23" s="28"/>
      <c r="NM23" s="29">
        <f t="shared" si="418"/>
        <v>17</v>
      </c>
      <c r="NN23" s="152">
        <f t="shared" si="247"/>
        <v>0</v>
      </c>
      <c r="NO23" s="152">
        <f t="shared" si="248"/>
        <v>0</v>
      </c>
      <c r="NP23" s="152">
        <f t="shared" si="249"/>
        <v>0</v>
      </c>
      <c r="NQ23" s="28">
        <f t="shared" si="250"/>
        <v>-10000000000</v>
      </c>
      <c r="NR23" s="29"/>
      <c r="NS23" s="28"/>
      <c r="NT23" s="29">
        <f t="shared" si="419"/>
        <v>17</v>
      </c>
      <c r="NU23" s="152">
        <f t="shared" si="251"/>
        <v>0</v>
      </c>
      <c r="NV23" s="152">
        <f t="shared" si="252"/>
        <v>0</v>
      </c>
      <c r="NW23" s="152">
        <f t="shared" si="253"/>
        <v>0</v>
      </c>
      <c r="NX23" s="28">
        <f t="shared" si="254"/>
        <v>-10000000000</v>
      </c>
      <c r="NY23" s="29"/>
      <c r="NZ23" s="28"/>
      <c r="OA23" s="29">
        <f t="shared" si="420"/>
        <v>17</v>
      </c>
      <c r="OB23" s="152">
        <f t="shared" si="255"/>
        <v>0</v>
      </c>
      <c r="OC23" s="152">
        <f t="shared" si="256"/>
        <v>0</v>
      </c>
      <c r="OD23" s="152">
        <f t="shared" si="257"/>
        <v>0</v>
      </c>
      <c r="OE23" s="28">
        <f t="shared" si="258"/>
        <v>-10000000000</v>
      </c>
      <c r="OF23" s="29"/>
      <c r="OG23" s="28"/>
      <c r="OH23" s="29">
        <f t="shared" si="421"/>
        <v>17</v>
      </c>
      <c r="OI23" s="152">
        <f t="shared" si="259"/>
        <v>0</v>
      </c>
      <c r="OJ23" s="152">
        <f t="shared" si="260"/>
        <v>0</v>
      </c>
      <c r="OK23" s="152">
        <f t="shared" si="261"/>
        <v>0</v>
      </c>
      <c r="OL23" s="28">
        <f t="shared" si="262"/>
        <v>-10000000000</v>
      </c>
      <c r="OM23" s="29"/>
      <c r="ON23" s="28"/>
      <c r="OO23" s="29">
        <f t="shared" si="422"/>
        <v>17</v>
      </c>
      <c r="OP23" s="152">
        <f t="shared" si="263"/>
        <v>0</v>
      </c>
      <c r="OQ23" s="152">
        <f t="shared" si="264"/>
        <v>0</v>
      </c>
      <c r="OR23" s="152">
        <f t="shared" si="265"/>
        <v>0</v>
      </c>
      <c r="OS23" s="28">
        <f t="shared" si="266"/>
        <v>-10000000000</v>
      </c>
      <c r="OT23" s="29"/>
      <c r="OU23" s="28"/>
      <c r="OV23" s="29">
        <f t="shared" si="423"/>
        <v>17</v>
      </c>
      <c r="OW23" s="152">
        <f t="shared" si="267"/>
        <v>0</v>
      </c>
      <c r="OX23" s="152">
        <f t="shared" si="268"/>
        <v>0</v>
      </c>
      <c r="OY23" s="152">
        <f t="shared" si="269"/>
        <v>0</v>
      </c>
      <c r="OZ23" s="28">
        <f t="shared" si="270"/>
        <v>-10000000000</v>
      </c>
      <c r="PA23" s="29"/>
      <c r="PB23" s="28"/>
      <c r="PC23" s="29">
        <f t="shared" si="424"/>
        <v>17</v>
      </c>
      <c r="PD23" s="152">
        <f t="shared" si="271"/>
        <v>0</v>
      </c>
      <c r="PE23" s="152">
        <f t="shared" si="272"/>
        <v>0</v>
      </c>
      <c r="PF23" s="152">
        <f t="shared" si="273"/>
        <v>0</v>
      </c>
      <c r="PG23" s="28">
        <f t="shared" si="274"/>
        <v>-10000000000</v>
      </c>
      <c r="PH23" s="29"/>
      <c r="PI23" s="28"/>
      <c r="PJ23" s="29">
        <f t="shared" si="425"/>
        <v>17</v>
      </c>
      <c r="PK23" s="152">
        <f t="shared" si="275"/>
        <v>0</v>
      </c>
      <c r="PL23" s="152">
        <f t="shared" si="276"/>
        <v>0</v>
      </c>
      <c r="PM23" s="152">
        <f t="shared" si="277"/>
        <v>0</v>
      </c>
      <c r="PN23" s="28">
        <f t="shared" si="278"/>
        <v>-10000000000</v>
      </c>
      <c r="PO23" s="29"/>
      <c r="PP23" s="28"/>
      <c r="PQ23" s="29">
        <f t="shared" si="426"/>
        <v>17</v>
      </c>
      <c r="PR23" s="152">
        <f t="shared" si="279"/>
        <v>0</v>
      </c>
      <c r="PS23" s="152">
        <f t="shared" si="280"/>
        <v>0</v>
      </c>
      <c r="PT23" s="152">
        <f t="shared" si="281"/>
        <v>0</v>
      </c>
      <c r="PU23" s="28">
        <f t="shared" si="282"/>
        <v>-10000000000</v>
      </c>
      <c r="PV23" s="29"/>
      <c r="PW23" s="28"/>
      <c r="PX23" s="29">
        <f t="shared" si="427"/>
        <v>17</v>
      </c>
      <c r="PY23" s="152">
        <f t="shared" si="283"/>
        <v>0</v>
      </c>
      <c r="PZ23" s="152">
        <f t="shared" si="284"/>
        <v>0</v>
      </c>
      <c r="QA23" s="152">
        <f t="shared" si="285"/>
        <v>0</v>
      </c>
      <c r="QB23" s="28">
        <f t="shared" si="286"/>
        <v>-10000000000</v>
      </c>
      <c r="QC23" s="29"/>
      <c r="QD23" s="28"/>
      <c r="QE23" s="29">
        <f t="shared" si="428"/>
        <v>17</v>
      </c>
      <c r="QF23" s="152">
        <f t="shared" si="287"/>
        <v>0</v>
      </c>
      <c r="QG23" s="152">
        <f t="shared" si="288"/>
        <v>0</v>
      </c>
      <c r="QH23" s="152">
        <f t="shared" si="289"/>
        <v>0</v>
      </c>
      <c r="QI23" s="28">
        <f t="shared" si="290"/>
        <v>-10000000000</v>
      </c>
      <c r="QJ23" s="29"/>
      <c r="QK23" s="28"/>
      <c r="QL23" s="29">
        <f t="shared" si="429"/>
        <v>17</v>
      </c>
      <c r="QM23" s="152">
        <f t="shared" si="291"/>
        <v>0</v>
      </c>
      <c r="QN23" s="152">
        <f t="shared" si="292"/>
        <v>0</v>
      </c>
      <c r="QO23" s="152">
        <f t="shared" si="293"/>
        <v>0</v>
      </c>
      <c r="QP23" s="28">
        <f t="shared" si="294"/>
        <v>-10000000000</v>
      </c>
      <c r="QQ23" s="29"/>
      <c r="QR23" s="28"/>
      <c r="QS23" s="29">
        <f t="shared" si="430"/>
        <v>17</v>
      </c>
      <c r="QT23" s="152">
        <f t="shared" si="295"/>
        <v>0</v>
      </c>
      <c r="QU23" s="152">
        <f t="shared" si="296"/>
        <v>0</v>
      </c>
      <c r="QV23" s="152">
        <f t="shared" si="297"/>
        <v>0</v>
      </c>
      <c r="QW23" s="28">
        <f t="shared" si="298"/>
        <v>-10000000000</v>
      </c>
      <c r="QX23" s="29"/>
      <c r="QY23" s="28"/>
      <c r="QZ23" s="29">
        <f t="shared" si="431"/>
        <v>17</v>
      </c>
      <c r="RA23" s="152">
        <f t="shared" si="299"/>
        <v>0</v>
      </c>
      <c r="RB23" s="152">
        <f t="shared" si="300"/>
        <v>0</v>
      </c>
      <c r="RC23" s="152">
        <f t="shared" si="301"/>
        <v>0</v>
      </c>
      <c r="RD23" s="28">
        <f t="shared" si="302"/>
        <v>-10000000000</v>
      </c>
      <c r="RE23" s="29"/>
      <c r="RF23" s="28"/>
      <c r="RG23" s="29">
        <f t="shared" si="432"/>
        <v>17</v>
      </c>
      <c r="RH23" s="152">
        <f t="shared" si="303"/>
        <v>0</v>
      </c>
      <c r="RI23" s="152">
        <f t="shared" si="304"/>
        <v>0</v>
      </c>
      <c r="RJ23" s="152">
        <f t="shared" si="305"/>
        <v>0</v>
      </c>
      <c r="RK23" s="28">
        <f t="shared" si="306"/>
        <v>-10000000000</v>
      </c>
      <c r="RL23" s="29"/>
      <c r="RM23" s="28"/>
      <c r="RN23" s="29">
        <f t="shared" si="433"/>
        <v>17</v>
      </c>
      <c r="RO23" s="152">
        <f t="shared" si="307"/>
        <v>0</v>
      </c>
      <c r="RP23" s="152">
        <f t="shared" si="308"/>
        <v>0</v>
      </c>
      <c r="RQ23" s="152">
        <f t="shared" si="309"/>
        <v>0</v>
      </c>
      <c r="RR23" s="28">
        <f t="shared" si="310"/>
        <v>-10000000000</v>
      </c>
      <c r="RS23" s="29"/>
      <c r="RT23" s="28"/>
      <c r="RU23" s="29">
        <f t="shared" si="434"/>
        <v>17</v>
      </c>
      <c r="RV23" s="152">
        <f t="shared" si="311"/>
        <v>0</v>
      </c>
      <c r="RW23" s="152">
        <f t="shared" si="312"/>
        <v>0</v>
      </c>
      <c r="RX23" s="152">
        <f t="shared" si="313"/>
        <v>0</v>
      </c>
      <c r="RY23" s="28">
        <f t="shared" si="314"/>
        <v>-10000000000</v>
      </c>
      <c r="RZ23" s="29"/>
      <c r="SA23" s="28"/>
      <c r="SB23" s="29">
        <f t="shared" si="435"/>
        <v>17</v>
      </c>
      <c r="SC23" s="152">
        <f t="shared" si="315"/>
        <v>0</v>
      </c>
      <c r="SD23" s="152">
        <f t="shared" si="316"/>
        <v>0</v>
      </c>
      <c r="SE23" s="152">
        <f t="shared" si="317"/>
        <v>0</v>
      </c>
      <c r="SF23" s="28">
        <f t="shared" si="318"/>
        <v>-10000000000</v>
      </c>
      <c r="SG23" s="29"/>
      <c r="SH23" s="28"/>
      <c r="SI23" s="29">
        <f t="shared" si="436"/>
        <v>17</v>
      </c>
      <c r="SJ23" s="152">
        <f t="shared" si="319"/>
        <v>0</v>
      </c>
      <c r="SK23" s="152">
        <f t="shared" si="320"/>
        <v>0</v>
      </c>
      <c r="SL23" s="152">
        <f t="shared" si="321"/>
        <v>0</v>
      </c>
      <c r="SM23" s="28">
        <f t="shared" si="322"/>
        <v>-10000000000</v>
      </c>
      <c r="SN23" s="29"/>
      <c r="SO23" s="28"/>
      <c r="SP23" s="29">
        <f t="shared" si="437"/>
        <v>17</v>
      </c>
      <c r="SQ23" s="152">
        <f t="shared" si="323"/>
        <v>0</v>
      </c>
      <c r="SR23" s="152">
        <f t="shared" si="324"/>
        <v>0</v>
      </c>
      <c r="SS23" s="152">
        <f t="shared" si="325"/>
        <v>0</v>
      </c>
      <c r="ST23" s="28">
        <f t="shared" si="326"/>
        <v>-10000000000</v>
      </c>
      <c r="SU23" s="29"/>
      <c r="SV23" s="28"/>
      <c r="SW23" s="29">
        <f t="shared" si="438"/>
        <v>17</v>
      </c>
      <c r="SX23" s="152">
        <f t="shared" si="327"/>
        <v>0</v>
      </c>
      <c r="SY23" s="152">
        <f t="shared" si="328"/>
        <v>0</v>
      </c>
      <c r="SZ23" s="152">
        <f t="shared" si="329"/>
        <v>0</v>
      </c>
      <c r="TA23" s="28">
        <f t="shared" si="330"/>
        <v>-10000000000</v>
      </c>
      <c r="TB23" s="29"/>
      <c r="TC23" s="28"/>
      <c r="TD23" s="29">
        <f t="shared" si="439"/>
        <v>17</v>
      </c>
      <c r="TE23" s="152">
        <f t="shared" si="331"/>
        <v>0</v>
      </c>
      <c r="TF23" s="152">
        <f t="shared" si="332"/>
        <v>0</v>
      </c>
      <c r="TG23" s="152">
        <f t="shared" si="333"/>
        <v>0</v>
      </c>
      <c r="TH23" s="28">
        <f t="shared" si="334"/>
        <v>-10000000000</v>
      </c>
      <c r="TI23" s="29"/>
      <c r="TJ23" s="28"/>
      <c r="TK23" s="29">
        <f t="shared" si="440"/>
        <v>17</v>
      </c>
      <c r="TL23" s="152">
        <f t="shared" si="335"/>
        <v>0</v>
      </c>
      <c r="TM23" s="152">
        <f t="shared" si="336"/>
        <v>0</v>
      </c>
      <c r="TN23" s="152">
        <f t="shared" si="337"/>
        <v>0</v>
      </c>
      <c r="TO23" s="28">
        <f t="shared" si="338"/>
        <v>-10000000000</v>
      </c>
      <c r="TP23" s="29"/>
      <c r="TQ23" s="28"/>
      <c r="TR23" s="29">
        <f t="shared" si="441"/>
        <v>17</v>
      </c>
      <c r="TS23" s="152">
        <f t="shared" si="339"/>
        <v>0</v>
      </c>
      <c r="TT23" s="152">
        <f t="shared" si="340"/>
        <v>0</v>
      </c>
      <c r="TU23" s="152">
        <f t="shared" si="341"/>
        <v>0</v>
      </c>
      <c r="TV23" s="28">
        <f t="shared" si="342"/>
        <v>-10000000000</v>
      </c>
      <c r="TW23" s="29"/>
      <c r="TX23" s="28"/>
      <c r="TY23" s="29">
        <f t="shared" si="442"/>
        <v>17</v>
      </c>
      <c r="TZ23" s="152">
        <f t="shared" si="343"/>
        <v>0</v>
      </c>
      <c r="UA23" s="152">
        <f t="shared" si="344"/>
        <v>0</v>
      </c>
      <c r="UB23" s="152">
        <f t="shared" si="345"/>
        <v>0</v>
      </c>
      <c r="UC23" s="28">
        <f t="shared" si="346"/>
        <v>-10000000000</v>
      </c>
      <c r="UD23" s="29"/>
      <c r="UE23" s="28"/>
      <c r="UF23" s="29">
        <f t="shared" si="443"/>
        <v>17</v>
      </c>
      <c r="UG23" s="152">
        <f t="shared" si="347"/>
        <v>0</v>
      </c>
      <c r="UH23" s="152">
        <f t="shared" si="348"/>
        <v>0</v>
      </c>
      <c r="UI23" s="152">
        <f t="shared" si="349"/>
        <v>0</v>
      </c>
      <c r="UJ23" s="28">
        <f t="shared" si="350"/>
        <v>-10000000000</v>
      </c>
      <c r="UK23" s="29"/>
      <c r="UL23" s="28"/>
      <c r="UM23" s="29">
        <f t="shared" si="444"/>
        <v>17</v>
      </c>
      <c r="UN23" s="152">
        <f t="shared" si="351"/>
        <v>0</v>
      </c>
      <c r="UO23" s="152">
        <f t="shared" si="352"/>
        <v>0</v>
      </c>
      <c r="UP23" s="152">
        <f t="shared" si="353"/>
        <v>0</v>
      </c>
      <c r="UQ23" s="28">
        <f t="shared" si="354"/>
        <v>-10000000000</v>
      </c>
      <c r="UR23" s="29"/>
      <c r="US23" s="28"/>
      <c r="UT23" s="29">
        <f t="shared" si="445"/>
        <v>17</v>
      </c>
      <c r="UU23" s="129"/>
      <c r="UV23" s="129">
        <f t="shared" si="355"/>
        <v>0</v>
      </c>
      <c r="UW23" s="129">
        <f t="shared" si="356"/>
        <v>17</v>
      </c>
      <c r="UX23" s="129">
        <f t="shared" ca="1" si="446"/>
        <v>17</v>
      </c>
      <c r="UY23" s="129">
        <f t="shared" ca="1" si="446"/>
        <v>17</v>
      </c>
      <c r="UZ23" s="129">
        <f t="shared" ca="1" si="446"/>
        <v>17</v>
      </c>
      <c r="VA23" s="129">
        <f t="shared" ca="1" si="446"/>
        <v>17</v>
      </c>
      <c r="VB23" s="129">
        <f t="shared" ca="1" si="446"/>
        <v>17</v>
      </c>
      <c r="VC23" s="129">
        <f t="shared" ca="1" si="446"/>
        <v>17</v>
      </c>
      <c r="VD23" s="129">
        <f t="shared" ca="1" si="446"/>
        <v>17</v>
      </c>
      <c r="VE23" s="129">
        <f t="shared" ca="1" si="446"/>
        <v>17</v>
      </c>
      <c r="VF23" s="129">
        <f t="shared" ca="1" si="446"/>
        <v>17</v>
      </c>
      <c r="VG23" s="129">
        <f t="shared" ca="1" si="446"/>
        <v>17</v>
      </c>
      <c r="VH23" s="129">
        <f t="shared" ca="1" si="446"/>
        <v>17</v>
      </c>
      <c r="VI23" s="129">
        <f t="shared" ca="1" si="446"/>
        <v>17</v>
      </c>
      <c r="VJ23" s="129">
        <f t="shared" ca="1" si="446"/>
        <v>17</v>
      </c>
      <c r="VK23" s="129">
        <f t="shared" ca="1" si="446"/>
        <v>17</v>
      </c>
      <c r="VL23" s="129">
        <f t="shared" ca="1" si="446"/>
        <v>17</v>
      </c>
      <c r="VM23" s="129">
        <f t="shared" ca="1" si="446"/>
        <v>17</v>
      </c>
      <c r="VN23" s="129">
        <f t="shared" ca="1" si="406"/>
        <v>17</v>
      </c>
      <c r="VO23" s="129">
        <f t="shared" ca="1" si="406"/>
        <v>17</v>
      </c>
      <c r="VP23" s="129">
        <f t="shared" ca="1" si="406"/>
        <v>17</v>
      </c>
      <c r="VQ23" s="129">
        <f t="shared" ca="1" si="406"/>
        <v>17</v>
      </c>
      <c r="VR23" s="129">
        <f t="shared" ca="1" si="406"/>
        <v>17</v>
      </c>
      <c r="VS23" s="129">
        <f t="shared" ca="1" si="406"/>
        <v>17</v>
      </c>
      <c r="VT23" s="129">
        <f t="shared" ca="1" si="406"/>
        <v>17</v>
      </c>
      <c r="VU23" s="129">
        <f t="shared" ca="1" si="406"/>
        <v>17</v>
      </c>
      <c r="VV23" s="129">
        <f t="shared" ca="1" si="406"/>
        <v>17</v>
      </c>
      <c r="VW23" s="129">
        <f t="shared" ca="1" si="406"/>
        <v>17</v>
      </c>
      <c r="VX23" s="129">
        <f t="shared" ca="1" si="406"/>
        <v>17</v>
      </c>
      <c r="VY23" s="129">
        <f t="shared" ca="1" si="406"/>
        <v>17</v>
      </c>
      <c r="VZ23" s="129">
        <f t="shared" ca="1" si="406"/>
        <v>17</v>
      </c>
      <c r="WA23" s="129">
        <f t="shared" ca="1" si="406"/>
        <v>17</v>
      </c>
      <c r="WB23" s="129">
        <f t="shared" ca="1" si="406"/>
        <v>17</v>
      </c>
      <c r="WC23" s="129">
        <f t="shared" ca="1" si="406"/>
        <v>17</v>
      </c>
      <c r="WD23" s="129">
        <f t="shared" ca="1" si="407"/>
        <v>17</v>
      </c>
      <c r="WE23" s="129">
        <f t="shared" ca="1" si="66"/>
        <v>17</v>
      </c>
      <c r="WF23" s="129">
        <f t="shared" ca="1" si="66"/>
        <v>17</v>
      </c>
      <c r="WG23" s="129">
        <f t="shared" ca="1" si="66"/>
        <v>17</v>
      </c>
      <c r="WH23" s="129">
        <f t="shared" ca="1" si="66"/>
        <v>17</v>
      </c>
      <c r="WK23" s="87">
        <f t="shared" si="358"/>
        <v>0</v>
      </c>
      <c r="WL23" s="87">
        <v>20</v>
      </c>
      <c r="WM23" s="87">
        <v>20</v>
      </c>
      <c r="WN23" s="87">
        <f>IF($WI$3&gt;=WN$3,UW23,NA())</f>
        <v>17</v>
      </c>
      <c r="WO23" s="87">
        <f ca="1">IF($WI$3&gt;=WO$3,UX23,NA())</f>
        <v>17</v>
      </c>
      <c r="WP23" s="87">
        <f ca="1">IF($WI$3&gt;=WP$3,UY23,NA())</f>
        <v>17</v>
      </c>
      <c r="WQ23" s="87">
        <f ca="1">IF($WI$3&gt;=WQ$3,UZ23,NA())</f>
        <v>17</v>
      </c>
      <c r="WR23" s="87">
        <f ca="1">IF($WI$3&gt;=WR$3,VA23,NA())</f>
        <v>17</v>
      </c>
      <c r="WS23" s="87">
        <f ca="1">IF($WI$3&gt;=WS$3,VB23,NA())</f>
        <v>17</v>
      </c>
      <c r="WT23" s="87">
        <f ca="1">IF($WI$3&gt;=WT$3,VC23,NA())</f>
        <v>17</v>
      </c>
      <c r="WU23" s="87">
        <f ca="1">IF($WI$3&gt;=WU$3,VD23,NA())</f>
        <v>17</v>
      </c>
      <c r="WV23" s="87">
        <f ca="1">IF($WI$3&gt;=WV$3,VE23,NA())</f>
        <v>17</v>
      </c>
      <c r="WW23" s="87">
        <f ca="1">IF($WI$3&gt;=WW$3,VF23,NA())</f>
        <v>17</v>
      </c>
      <c r="WX23" s="87">
        <f ca="1">IF($WI$3&gt;=WX$3,VG23,NA())</f>
        <v>17</v>
      </c>
      <c r="WY23" s="87">
        <f ca="1">IF($WI$3&gt;=WY$3,VH23,NA())</f>
        <v>17</v>
      </c>
      <c r="WZ23" s="87">
        <f ca="1">IF($WI$3&gt;=WZ$3,VI23,NA())</f>
        <v>17</v>
      </c>
      <c r="XA23" s="87">
        <f ca="1">IF($WI$3&gt;=XA$3,VJ23,NA())</f>
        <v>17</v>
      </c>
      <c r="XB23" s="87">
        <f ca="1">IF($WI$3&gt;=XB$3,VK23,NA())</f>
        <v>17</v>
      </c>
      <c r="XC23" s="87">
        <f ca="1">IF($WI$3&gt;=XC$3,VL23,NA())</f>
        <v>17</v>
      </c>
      <c r="XD23" s="87">
        <f ca="1">IF($WI$3&gt;=XD$3,VM23,NA())</f>
        <v>17</v>
      </c>
      <c r="XE23" s="87">
        <f ca="1">IF($WI$3&gt;=XE$3,VN23,NA())</f>
        <v>17</v>
      </c>
      <c r="XF23" s="87">
        <f ca="1">IF($WI$3&gt;=XF$3,VO23,NA())</f>
        <v>17</v>
      </c>
      <c r="XG23" s="87">
        <f ca="1">IF($WI$3&gt;=XG$3,VP23,NA())</f>
        <v>17</v>
      </c>
      <c r="XH23" s="87">
        <f ca="1">IF($WI$3&gt;=XH$3,VQ23,NA())</f>
        <v>17</v>
      </c>
      <c r="XI23" s="87" t="e">
        <f>IF($WI$3&gt;=XI$3,VR23,NA())</f>
        <v>#N/A</v>
      </c>
      <c r="XJ23" s="87" t="e">
        <f>IF($WI$3&gt;=XJ$3,VS23,NA())</f>
        <v>#N/A</v>
      </c>
      <c r="XK23" s="87" t="e">
        <f>IF($WI$3&gt;=XK$3,VT23,NA())</f>
        <v>#N/A</v>
      </c>
      <c r="XL23" s="87" t="e">
        <f>IF($WI$3&gt;=XL$3,VU23,NA())</f>
        <v>#N/A</v>
      </c>
      <c r="XM23" s="87" t="e">
        <f>IF($WI$3&gt;=XM$3,VV23,NA())</f>
        <v>#N/A</v>
      </c>
      <c r="XN23" s="87" t="e">
        <f>IF($WI$3&gt;=XN$3,VW23,NA())</f>
        <v>#N/A</v>
      </c>
      <c r="XO23" s="87" t="e">
        <f>IF($WI$3&gt;=XO$3,VX23,NA())</f>
        <v>#N/A</v>
      </c>
      <c r="XP23" s="87" t="e">
        <f>IF($WI$3&gt;=XP$3,VY23,NA())</f>
        <v>#N/A</v>
      </c>
      <c r="XQ23" s="87" t="e">
        <f>IF($WI$3&gt;=XQ$3,VZ23,NA())</f>
        <v>#N/A</v>
      </c>
      <c r="XR23" s="87" t="e">
        <f>IF($WI$3&gt;=XR$3,WA23,NA())</f>
        <v>#N/A</v>
      </c>
      <c r="XS23" s="87" t="e">
        <f>IF($WI$3&gt;=XS$3,WB23,NA())</f>
        <v>#N/A</v>
      </c>
      <c r="XT23" s="87" t="e">
        <f>IF($WI$3&gt;=XT$3,WC23,NA())</f>
        <v>#N/A</v>
      </c>
      <c r="XU23" s="87" t="e">
        <f>IF($WI$3&gt;=XU$3,WD23,NA())</f>
        <v>#N/A</v>
      </c>
      <c r="XV23" s="87" t="e">
        <f>IF($WI$3&gt;=XV$3,WE23,NA())</f>
        <v>#N/A</v>
      </c>
      <c r="XW23" s="87" t="e">
        <f>IF($WI$3&gt;=XW$3,WF23,NA())</f>
        <v>#N/A</v>
      </c>
      <c r="XX23" s="87" t="e">
        <f>IF($WI$3&gt;=XX$3,WG23,NA())</f>
        <v>#N/A</v>
      </c>
      <c r="XY23" s="87" t="e">
        <f>IF($WI$3&gt;=XY$3,WH23,NA())</f>
        <v>#N/A</v>
      </c>
      <c r="YB23" s="160"/>
      <c r="YC23" s="160"/>
      <c r="YD23" s="160"/>
      <c r="YE23" s="163"/>
      <c r="YF23" s="163"/>
      <c r="YG23" s="160"/>
      <c r="YH23" s="160"/>
      <c r="YI23" s="160"/>
      <c r="YJ23" s="160"/>
      <c r="YK23" s="160"/>
      <c r="YL23" s="160"/>
      <c r="YM23" s="160"/>
      <c r="YN23" s="160"/>
      <c r="YO23" s="160"/>
      <c r="YP23" s="160"/>
      <c r="YQ23" s="160"/>
      <c r="YR23" s="160"/>
      <c r="YS23" s="160"/>
      <c r="YT23" s="160"/>
      <c r="YU23" s="160"/>
      <c r="YV23" s="160"/>
      <c r="YW23" s="160"/>
      <c r="YX23" s="160"/>
      <c r="YY23" s="160"/>
      <c r="YZ23" s="160"/>
      <c r="ZA23" s="160"/>
      <c r="ZB23" s="160"/>
      <c r="ZC23" s="160"/>
      <c r="ZD23" s="160"/>
      <c r="ZE23" s="160"/>
      <c r="ZF23" s="160"/>
      <c r="ZG23" s="160"/>
      <c r="ZH23" s="160"/>
      <c r="ZI23" s="160"/>
      <c r="ZJ23" s="160"/>
      <c r="ZK23" s="160"/>
      <c r="ZL23" s="160"/>
      <c r="ZM23" s="160"/>
      <c r="ZN23" s="160"/>
      <c r="ZO23" s="160"/>
      <c r="ZP23" s="160"/>
      <c r="ZQ23" s="160"/>
      <c r="ZR23" s="160"/>
      <c r="ZS23" s="160"/>
      <c r="ZT23" s="160"/>
      <c r="ZU23" s="160"/>
      <c r="ZV23" s="160"/>
      <c r="ZW23" s="160"/>
      <c r="ZX23" s="160"/>
      <c r="ZY23" s="160"/>
      <c r="ZZ23" s="160"/>
      <c r="AAA23" s="160"/>
      <c r="AAB23" s="160"/>
      <c r="AAC23" s="160"/>
      <c r="AAD23" s="160"/>
      <c r="AAE23" s="160"/>
      <c r="AAF23" s="160"/>
      <c r="AAG23" s="160"/>
    </row>
    <row r="24" spans="4:723">
      <c r="D24" s="29"/>
      <c r="E24" s="13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5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5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6"/>
      <c r="AP24" s="27"/>
      <c r="AQ24" s="28"/>
      <c r="AR24" s="29"/>
      <c r="AS24" s="28"/>
      <c r="AT24" s="29"/>
      <c r="AU24" s="30"/>
      <c r="AV24" s="29"/>
      <c r="AW24" s="29"/>
      <c r="AX24" s="29"/>
      <c r="AY24" s="29"/>
      <c r="AZ24" s="29"/>
      <c r="BA24" s="29"/>
      <c r="BB24" s="29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S24" s="10" t="s">
        <v>47</v>
      </c>
      <c r="BT24" s="123">
        <v>0.1875</v>
      </c>
      <c r="BU24" s="123">
        <f t="shared" si="405"/>
        <v>0.35416666666666663</v>
      </c>
      <c r="BV24" s="10" t="s">
        <v>64</v>
      </c>
      <c r="CA24" s="130">
        <f t="shared" si="119"/>
        <v>-1</v>
      </c>
      <c r="CB24" s="130">
        <f t="shared" si="120"/>
        <v>100000</v>
      </c>
      <c r="CC24" s="130">
        <f t="shared" si="121"/>
        <v>-1</v>
      </c>
      <c r="CD24" s="130">
        <f t="shared" si="122"/>
        <v>100000</v>
      </c>
      <c r="CE24" s="130">
        <f t="shared" si="123"/>
        <v>-1</v>
      </c>
      <c r="CF24" s="130">
        <f t="shared" si="124"/>
        <v>100000</v>
      </c>
      <c r="CG24" s="130">
        <f t="shared" si="125"/>
        <v>-1</v>
      </c>
      <c r="CH24" s="130">
        <f t="shared" si="126"/>
        <v>100000</v>
      </c>
      <c r="CI24" s="130">
        <f t="shared" si="127"/>
        <v>-1</v>
      </c>
      <c r="CJ24" s="130">
        <f t="shared" si="128"/>
        <v>100000</v>
      </c>
      <c r="CK24" s="130">
        <f t="shared" si="129"/>
        <v>-100000</v>
      </c>
      <c r="CL24" s="130">
        <f t="shared" si="130"/>
        <v>100000</v>
      </c>
      <c r="CM24" s="130">
        <f t="shared" si="131"/>
        <v>-1</v>
      </c>
      <c r="CN24" s="130">
        <f t="shared" si="132"/>
        <v>100000</v>
      </c>
      <c r="CO24" s="130">
        <f t="shared" si="133"/>
        <v>-1</v>
      </c>
      <c r="CP24" s="130">
        <f t="shared" si="134"/>
        <v>100000</v>
      </c>
      <c r="CQ24" s="131"/>
      <c r="CR24" s="130">
        <f t="shared" si="360"/>
        <v>-1</v>
      </c>
      <c r="CS24" s="130">
        <f t="shared" si="135"/>
        <v>100000</v>
      </c>
      <c r="CT24" s="130">
        <f t="shared" si="361"/>
        <v>-1</v>
      </c>
      <c r="CU24" s="130">
        <f t="shared" si="362"/>
        <v>100000</v>
      </c>
      <c r="CV24" s="130">
        <f t="shared" si="363"/>
        <v>-1</v>
      </c>
      <c r="CW24" s="130">
        <f t="shared" si="364"/>
        <v>100000</v>
      </c>
      <c r="CX24" s="130">
        <f t="shared" si="365"/>
        <v>-1</v>
      </c>
      <c r="CY24" s="130">
        <f t="shared" si="366"/>
        <v>100000</v>
      </c>
      <c r="CZ24" s="130">
        <f t="shared" si="367"/>
        <v>-1</v>
      </c>
      <c r="DA24" s="130">
        <f t="shared" si="368"/>
        <v>100000</v>
      </c>
      <c r="DB24" s="130">
        <f t="shared" si="369"/>
        <v>-100000</v>
      </c>
      <c r="DC24" s="130">
        <f t="shared" si="370"/>
        <v>100000</v>
      </c>
      <c r="DD24" s="130">
        <f t="shared" si="371"/>
        <v>-1</v>
      </c>
      <c r="DE24" s="130">
        <f t="shared" si="372"/>
        <v>100000</v>
      </c>
      <c r="DF24" s="130">
        <f t="shared" si="373"/>
        <v>-1</v>
      </c>
      <c r="DG24" s="130">
        <f t="shared" si="374"/>
        <v>100000</v>
      </c>
      <c r="DH24" s="131"/>
      <c r="DI24" s="130">
        <f t="shared" si="389"/>
        <v>-1</v>
      </c>
      <c r="DJ24" s="130">
        <f t="shared" si="136"/>
        <v>100000</v>
      </c>
      <c r="DK24" s="130">
        <f t="shared" si="390"/>
        <v>-1</v>
      </c>
      <c r="DL24" s="130">
        <f t="shared" si="391"/>
        <v>100000</v>
      </c>
      <c r="DM24" s="130">
        <f t="shared" si="392"/>
        <v>-1</v>
      </c>
      <c r="DN24" s="130">
        <f t="shared" si="393"/>
        <v>100000</v>
      </c>
      <c r="DO24" s="130">
        <f t="shared" si="394"/>
        <v>-1</v>
      </c>
      <c r="DP24" s="130">
        <f t="shared" si="395"/>
        <v>100000</v>
      </c>
      <c r="DQ24" s="130">
        <f t="shared" si="396"/>
        <v>-1</v>
      </c>
      <c r="DR24" s="130">
        <f t="shared" si="397"/>
        <v>100000</v>
      </c>
      <c r="DS24" s="130">
        <f t="shared" si="398"/>
        <v>-100000</v>
      </c>
      <c r="DT24" s="130">
        <f t="shared" si="399"/>
        <v>100000</v>
      </c>
      <c r="DU24" s="130">
        <f t="shared" si="400"/>
        <v>-1</v>
      </c>
      <c r="DV24" s="130">
        <f t="shared" si="401"/>
        <v>100000</v>
      </c>
      <c r="DW24" s="130">
        <f t="shared" si="402"/>
        <v>-1</v>
      </c>
      <c r="DX24" s="130">
        <f t="shared" si="403"/>
        <v>100000</v>
      </c>
      <c r="DY24" s="132"/>
      <c r="DZ24" s="115">
        <v>21</v>
      </c>
      <c r="EA24" s="115">
        <v>10</v>
      </c>
      <c r="EB24" s="10">
        <f t="shared" si="137"/>
        <v>17</v>
      </c>
      <c r="EC24" s="10">
        <f t="shared" si="138"/>
        <v>17</v>
      </c>
      <c r="ED24" s="10">
        <f t="shared" si="139"/>
        <v>17</v>
      </c>
      <c r="EE24" s="10">
        <f t="shared" si="140"/>
        <v>17</v>
      </c>
      <c r="EF24" s="10">
        <f t="shared" si="141"/>
        <v>17</v>
      </c>
      <c r="EG24" s="10">
        <f t="shared" si="142"/>
        <v>17</v>
      </c>
      <c r="EH24" s="10">
        <f t="shared" si="143"/>
        <v>17</v>
      </c>
      <c r="EI24" s="10">
        <f t="shared" si="144"/>
        <v>17</v>
      </c>
      <c r="EJ24" s="10">
        <f t="shared" si="145"/>
        <v>17</v>
      </c>
      <c r="EK24" s="10">
        <f t="shared" si="146"/>
        <v>17</v>
      </c>
      <c r="EL24" s="10">
        <f t="shared" si="147"/>
        <v>17</v>
      </c>
      <c r="EM24" s="10">
        <f t="shared" si="148"/>
        <v>17</v>
      </c>
      <c r="EN24" s="10">
        <f t="shared" si="149"/>
        <v>17</v>
      </c>
      <c r="EO24" s="10">
        <f t="shared" si="150"/>
        <v>17</v>
      </c>
      <c r="EP24" s="10">
        <f t="shared" si="151"/>
        <v>17</v>
      </c>
      <c r="EQ24" s="10">
        <f t="shared" si="152"/>
        <v>17</v>
      </c>
      <c r="ES24" s="10">
        <f t="shared" si="153"/>
        <v>17</v>
      </c>
      <c r="ET24" s="10">
        <f t="shared" si="154"/>
        <v>17</v>
      </c>
      <c r="EU24" s="10">
        <f t="shared" si="155"/>
        <v>17</v>
      </c>
      <c r="EV24" s="10">
        <f t="shared" si="154"/>
        <v>17</v>
      </c>
      <c r="EW24" s="10">
        <f t="shared" si="156"/>
        <v>17</v>
      </c>
      <c r="EX24" s="10">
        <f t="shared" si="157"/>
        <v>17</v>
      </c>
      <c r="EY24" s="10">
        <f t="shared" si="158"/>
        <v>17</v>
      </c>
      <c r="EZ24" s="10">
        <f t="shared" si="159"/>
        <v>17</v>
      </c>
      <c r="FA24" s="10">
        <f t="shared" si="160"/>
        <v>17</v>
      </c>
      <c r="FB24" s="10">
        <f t="shared" si="161"/>
        <v>17</v>
      </c>
      <c r="FC24" s="10">
        <f t="shared" si="162"/>
        <v>17</v>
      </c>
      <c r="FD24" s="10">
        <f t="shared" si="163"/>
        <v>17</v>
      </c>
      <c r="FE24" s="10">
        <f t="shared" si="164"/>
        <v>17</v>
      </c>
      <c r="FF24" s="10">
        <f t="shared" si="165"/>
        <v>17</v>
      </c>
      <c r="FG24" s="10">
        <f t="shared" si="166"/>
        <v>17</v>
      </c>
      <c r="FH24" s="10">
        <f t="shared" si="167"/>
        <v>17</v>
      </c>
      <c r="FJ24" s="10">
        <f t="shared" si="168"/>
        <v>17</v>
      </c>
      <c r="FK24" s="10">
        <f t="shared" si="169"/>
        <v>17</v>
      </c>
      <c r="FL24" s="10">
        <f t="shared" si="170"/>
        <v>17</v>
      </c>
      <c r="FM24" s="10">
        <f t="shared" si="171"/>
        <v>17</v>
      </c>
      <c r="FN24" s="10">
        <f t="shared" si="172"/>
        <v>17</v>
      </c>
      <c r="FO24" s="10">
        <f t="shared" si="173"/>
        <v>17</v>
      </c>
      <c r="FP24" s="10">
        <f t="shared" si="174"/>
        <v>17</v>
      </c>
      <c r="FQ24" s="10">
        <f t="shared" si="175"/>
        <v>17</v>
      </c>
      <c r="FR24" s="10">
        <f t="shared" si="176"/>
        <v>17</v>
      </c>
      <c r="FS24" s="10">
        <f t="shared" si="177"/>
        <v>17</v>
      </c>
      <c r="FT24" s="10">
        <f t="shared" si="178"/>
        <v>17</v>
      </c>
      <c r="FU24" s="10">
        <f t="shared" si="179"/>
        <v>17</v>
      </c>
      <c r="FV24" s="10">
        <f t="shared" si="180"/>
        <v>17</v>
      </c>
      <c r="FW24" s="10">
        <f t="shared" si="181"/>
        <v>17</v>
      </c>
      <c r="FX24" s="10">
        <f t="shared" si="182"/>
        <v>17</v>
      </c>
      <c r="FY24" s="10">
        <f t="shared" si="183"/>
        <v>17</v>
      </c>
      <c r="GA24" s="10">
        <f>IF(lg!$C$18=1,EB24,IF(lg!$C$18=2,ES24,FJ24))</f>
        <v>17</v>
      </c>
      <c r="GB24" s="10">
        <f>IF(lg!$C$18=1,EC24,IF(lg!$C$18=2,ET24,FK24))</f>
        <v>17</v>
      </c>
      <c r="GC24" s="10">
        <f>IF(lg!$C$18=1,ED24,IF(lg!$C$18=2,EU24,FL24))</f>
        <v>17</v>
      </c>
      <c r="GD24" s="10">
        <f>IF(lg!$C$18=1,EE24,IF(lg!$C$18=2,EV24,FM24))</f>
        <v>17</v>
      </c>
      <c r="GE24" s="10">
        <f>IF(lg!$C$18=1,EF24,IF(lg!$C$18=2,EW24,FN24))</f>
        <v>17</v>
      </c>
      <c r="GF24" s="10">
        <f>IF(lg!$C$18=1,EG24,IF(lg!$C$18=2,EX24,FO24))</f>
        <v>17</v>
      </c>
      <c r="GG24" s="10">
        <f>IF(lg!$C$18=1,EH24,IF(lg!$C$18=2,EY24,FP24))</f>
        <v>17</v>
      </c>
      <c r="GH24" s="10">
        <f>IF(lg!$C$18=1,EI24,IF(lg!$C$18=2,EZ24,FQ24))</f>
        <v>17</v>
      </c>
      <c r="GI24" s="10">
        <f>IF(lg!$C$18=1,EJ24,IF(lg!$C$18=2,FA24,FR24))</f>
        <v>17</v>
      </c>
      <c r="GJ24" s="10">
        <f>IF(lg!$C$18=1,EK24,IF(lg!$C$18=2,FB24,FS24))</f>
        <v>17</v>
      </c>
      <c r="GK24" s="10">
        <f>IF(lg!$C$18=1,EL24,IF(lg!$C$18=2,FC24,FT24))</f>
        <v>17</v>
      </c>
      <c r="GL24" s="10">
        <f>IF(lg!$C$18=1,EM24,IF(lg!$C$18=2,FD24,FU24))</f>
        <v>17</v>
      </c>
      <c r="GM24" s="10">
        <f>IF(lg!$C$18=1,EN24,IF(lg!$C$18=2,FE24,FV24))</f>
        <v>17</v>
      </c>
      <c r="GN24" s="10">
        <f>IF(lg!$C$18=1,EO24,IF(lg!$C$18=2,FF24,FW24))</f>
        <v>17</v>
      </c>
      <c r="GO24" s="10">
        <f>IF(lg!$C$18=1,EP24,IF(lg!$C$18=2,FG24,FX24))</f>
        <v>17</v>
      </c>
      <c r="GP24" s="10">
        <f>IF(lg!$C$18=1,EQ24,IF(lg!$C$18=2,FH24,FY24))</f>
        <v>17</v>
      </c>
      <c r="GR24" s="10" t="e">
        <f t="shared" si="184"/>
        <v>#N/A</v>
      </c>
      <c r="GS24" s="10" t="e">
        <f t="shared" si="31"/>
        <v>#N/A</v>
      </c>
      <c r="GT24" s="10" t="e">
        <f t="shared" si="32"/>
        <v>#N/A</v>
      </c>
      <c r="GU24" s="10" t="e">
        <f t="shared" si="33"/>
        <v>#N/A</v>
      </c>
      <c r="GV24" s="10" t="e">
        <f t="shared" si="34"/>
        <v>#N/A</v>
      </c>
      <c r="GW24" s="10" t="e">
        <f t="shared" si="35"/>
        <v>#N/A</v>
      </c>
      <c r="GX24" s="10" t="e">
        <f t="shared" si="36"/>
        <v>#N/A</v>
      </c>
      <c r="GY24" s="10" t="e">
        <f t="shared" si="37"/>
        <v>#N/A</v>
      </c>
      <c r="GZ24" s="10" t="e">
        <f t="shared" si="38"/>
        <v>#N/A</v>
      </c>
      <c r="HA24" s="10" t="e">
        <f t="shared" si="39"/>
        <v>#N/A</v>
      </c>
      <c r="HB24" s="10" t="e">
        <f t="shared" si="40"/>
        <v>#N/A</v>
      </c>
      <c r="HC24" s="10" t="e">
        <f t="shared" si="41"/>
        <v>#N/A</v>
      </c>
      <c r="HD24" s="10" t="e">
        <f t="shared" si="42"/>
        <v>#N/A</v>
      </c>
      <c r="HE24" s="10" t="e">
        <f t="shared" si="43"/>
        <v>#N/A</v>
      </c>
      <c r="HF24" s="10" t="e">
        <f t="shared" si="44"/>
        <v>#N/A</v>
      </c>
      <c r="HG24" s="10" t="e">
        <f t="shared" si="45"/>
        <v>#N/A</v>
      </c>
      <c r="HI24" s="10">
        <v>21</v>
      </c>
      <c r="HJ24" s="115">
        <f>IF(lg!$C$18=1,F24,IF(lg!$C$18=2,R24,AD24))</f>
        <v>0</v>
      </c>
      <c r="HK24" s="115">
        <f>IF(lg!$C$18=1,G24,IF(lg!$C$18=2,S24,AE24))</f>
        <v>0</v>
      </c>
      <c r="HL24" s="115">
        <f>IF(lg!$C$18=1,H24,IF(lg!$C$18=2,T24,AF24))</f>
        <v>0</v>
      </c>
      <c r="HM24" s="115">
        <f>IF(lg!$C$18=1,I24,IF(lg!$C$18=2,U24,AG24))</f>
        <v>0</v>
      </c>
      <c r="HN24" s="115">
        <f>IF(lg!$C$18=1,J24,IF(lg!$C$18=2,V24,AH24))</f>
        <v>0</v>
      </c>
      <c r="HO24" s="115">
        <f>IF(lg!$C$18=1,K24,IF(lg!$C$18=2,W24,AI24))</f>
        <v>0</v>
      </c>
      <c r="HP24" s="115">
        <f>IF(lg!$C$18=1,L24,IF(lg!$C$18=2,X24,AJ24))</f>
        <v>0</v>
      </c>
      <c r="HQ24" s="115">
        <f>IF(lg!$C$18=1,M24,IF(lg!$C$18=2,Y24,AK24))</f>
        <v>0</v>
      </c>
      <c r="HR24" s="115">
        <f>IF(lg!$C$18=1,N24,IF(lg!$C$18=2,Z24,AL24))</f>
        <v>0</v>
      </c>
      <c r="HS24" s="115">
        <f>IF(lg!$C$18=1,O24,IF(lg!$C$18=2,AA24,AM24))</f>
        <v>0</v>
      </c>
      <c r="HT24" s="115">
        <f>IF(lg!$C$18=1,P24,IF(lg!$C$18=2,AB24,AN24))</f>
        <v>0</v>
      </c>
      <c r="HV24" s="115">
        <f t="shared" si="185"/>
        <v>0</v>
      </c>
      <c r="HW24" s="115">
        <f t="shared" si="186"/>
        <v>0</v>
      </c>
      <c r="HX24" s="115">
        <f t="shared" si="187"/>
        <v>0</v>
      </c>
      <c r="HY24" s="115">
        <f t="shared" si="188"/>
        <v>0</v>
      </c>
      <c r="HZ24" s="115">
        <f t="shared" si="189"/>
        <v>0</v>
      </c>
      <c r="IA24" s="115">
        <f t="shared" si="190"/>
        <v>0</v>
      </c>
      <c r="IB24" s="115">
        <f t="shared" si="191"/>
        <v>0</v>
      </c>
      <c r="IC24" s="115">
        <f t="shared" si="192"/>
        <v>0</v>
      </c>
      <c r="ID24" s="115">
        <f t="shared" si="193"/>
        <v>0</v>
      </c>
      <c r="IE24" s="115">
        <f t="shared" si="194"/>
        <v>0</v>
      </c>
      <c r="IF24" s="115">
        <f t="shared" si="195"/>
        <v>0</v>
      </c>
      <c r="IG24" s="115">
        <f t="shared" si="196"/>
        <v>0</v>
      </c>
      <c r="IH24" s="115">
        <f t="shared" si="197"/>
        <v>0</v>
      </c>
      <c r="II24" s="115">
        <f t="shared" si="198"/>
        <v>0</v>
      </c>
      <c r="IJ24" s="115">
        <f t="shared" si="199"/>
        <v>0</v>
      </c>
      <c r="IK24" s="115">
        <f t="shared" si="200"/>
        <v>0</v>
      </c>
      <c r="IN24" s="77" t="s">
        <v>74</v>
      </c>
      <c r="IO24" s="36" t="s">
        <v>10</v>
      </c>
      <c r="IP24" s="67">
        <f>VLOOKUP('ef-TeamStats'!B2,'ef-FT'!$E$4:$AN$23,32,0)</f>
        <v>4</v>
      </c>
      <c r="IQ24" s="67">
        <f>VLOOKUP('ef-TeamStats'!$B$2,Table!$B$4:$W$23,16,0)</f>
        <v>11</v>
      </c>
      <c r="IR24" s="134">
        <f t="shared" si="47"/>
        <v>0.36363636363636365</v>
      </c>
      <c r="IS24" s="133">
        <f>MATCH('ef-TeamStats'!$B$2,$KA$4:$KA$33,0)</f>
        <v>16</v>
      </c>
      <c r="IT24" s="67"/>
      <c r="IU24" s="36" t="s">
        <v>10</v>
      </c>
      <c r="IV24" s="67">
        <f>VLOOKUP('ef-TeamStats'!G2,'ef-FT'!$E$4:$AN$23,32,0)</f>
        <v>10</v>
      </c>
      <c r="IW24" s="67">
        <f>VLOOKUP('ef-TeamStats'!$G$2,Table!$B$4:$W$23,16,0)</f>
        <v>10</v>
      </c>
      <c r="IX24" s="134">
        <f t="shared" si="48"/>
        <v>1</v>
      </c>
      <c r="IY24" s="133">
        <f>MATCH('ef-TeamStats'!$G$2,$KA$4:$KA$33,0)</f>
        <v>14</v>
      </c>
      <c r="JB24" s="10">
        <f>IF(lg!$F$18=1,EB24,IF(lg!$F$18=2,ES24,FJ24))</f>
        <v>17</v>
      </c>
      <c r="JC24" s="10">
        <f>IF(lg!$F$18=1,EC24,IF(lg!$F$18=2,ET24,FK24))</f>
        <v>17</v>
      </c>
      <c r="JD24" s="10">
        <f>IF(lg!$F$18=1,ED24,IF(lg!$F$18=2,EU24,FL24))</f>
        <v>17</v>
      </c>
      <c r="JE24" s="10">
        <f>IF(lg!$F$18=1,EE24,IF(lg!$F$18=2,EV24,FM24))</f>
        <v>17</v>
      </c>
      <c r="JF24" s="10">
        <f>IF(lg!$F$18=1,EF24,IF(lg!$F$18=2,EW24,FN24))</f>
        <v>17</v>
      </c>
      <c r="JG24" s="10">
        <f>IF(lg!$F$18=1,EG24,IF(lg!$F$18=2,EX24,FO24))</f>
        <v>17</v>
      </c>
      <c r="JH24" s="10">
        <f>IF(lg!$F$18=1,EH24,IF(lg!$F$18=2,EY24,FP24))</f>
        <v>17</v>
      </c>
      <c r="JI24" s="10">
        <f>IF(lg!$F$18=1,EI24,IF(lg!$F$18=2,EZ24,FQ24))</f>
        <v>17</v>
      </c>
      <c r="JJ24" s="10">
        <f>IF(lg!$F$18=1,EJ24,IF(lg!$F$18=2,FA24,FR24))</f>
        <v>17</v>
      </c>
      <c r="JK24" s="10">
        <f>IF(lg!$F$18=1,EK24,IF(lg!$F$18=2,FB24,FS24))</f>
        <v>17</v>
      </c>
      <c r="JL24" s="10">
        <f>IF(lg!$F$18=1,EL24,IF(lg!$F$18=2,FC24,FT24))</f>
        <v>17</v>
      </c>
      <c r="JM24" s="10">
        <f>IF(lg!$F$18=1,EM24,IF(lg!$F$18=2,FD24,FU24))</f>
        <v>17</v>
      </c>
      <c r="JN24" s="10">
        <f>IF(lg!$F$18=1,EN24,IF(lg!$F$18=2,FE24,FV24))</f>
        <v>17</v>
      </c>
      <c r="JO24" s="10">
        <f>IF(lg!$F$18=1,EO24,IF(lg!$F$18=2,FF24,FW24))</f>
        <v>17</v>
      </c>
      <c r="JP24" s="10">
        <f>IF(lg!$F$18=1,EP24,IF(lg!$F$18=2,FG24,FX24))</f>
        <v>17</v>
      </c>
      <c r="JQ24" s="10">
        <f>IF(lg!$F$18=1,EQ24,IF(lg!$F$18=2,FH24,FY24))</f>
        <v>17</v>
      </c>
      <c r="JS24" s="10" t="e">
        <f t="shared" si="201"/>
        <v>#N/A</v>
      </c>
      <c r="JT24" s="10" t="e">
        <f t="shared" si="49"/>
        <v>#N/A</v>
      </c>
      <c r="JU24" s="10" t="e">
        <f t="shared" si="50"/>
        <v>#N/A</v>
      </c>
      <c r="JV24" s="10" t="e">
        <f t="shared" si="51"/>
        <v>#N/A</v>
      </c>
      <c r="JW24" s="10" t="e">
        <f t="shared" si="52"/>
        <v>#N/A</v>
      </c>
      <c r="JX24" s="10" t="e">
        <f t="shared" si="53"/>
        <v>#N/A</v>
      </c>
      <c r="JY24" s="10" t="e">
        <f t="shared" si="54"/>
        <v>#N/A</v>
      </c>
      <c r="JZ24" s="10" t="e">
        <f t="shared" si="55"/>
        <v>#N/A</v>
      </c>
      <c r="KA24" s="10" t="e">
        <f t="shared" si="56"/>
        <v>#N/A</v>
      </c>
      <c r="KB24" s="10" t="e">
        <f t="shared" si="57"/>
        <v>#N/A</v>
      </c>
      <c r="KC24" s="10" t="e">
        <f t="shared" si="58"/>
        <v>#N/A</v>
      </c>
      <c r="KD24" s="10" t="e">
        <f t="shared" si="59"/>
        <v>#N/A</v>
      </c>
      <c r="KE24" s="10" t="e">
        <f t="shared" si="60"/>
        <v>#N/A</v>
      </c>
      <c r="KF24" s="10" t="e">
        <f t="shared" si="61"/>
        <v>#N/A</v>
      </c>
      <c r="KG24" s="10" t="e">
        <f t="shared" si="62"/>
        <v>#N/A</v>
      </c>
      <c r="KH24" s="10" t="e">
        <f t="shared" si="63"/>
        <v>#N/A</v>
      </c>
      <c r="KL24" s="27">
        <v>0.1</v>
      </c>
      <c r="KM24" s="29">
        <v>21</v>
      </c>
      <c r="KN24" s="31">
        <f t="shared" si="202"/>
        <v>0</v>
      </c>
      <c r="KO24" s="152">
        <f t="shared" si="203"/>
        <v>0</v>
      </c>
      <c r="KP24" s="152">
        <f t="shared" si="204"/>
        <v>0</v>
      </c>
      <c r="KQ24" s="152">
        <f t="shared" si="205"/>
        <v>0</v>
      </c>
      <c r="KR24" s="28">
        <f t="shared" si="206"/>
        <v>-10000000000</v>
      </c>
      <c r="KS24" s="29"/>
      <c r="KT24" s="28"/>
      <c r="KU24" s="29">
        <f t="shared" si="408"/>
        <v>17</v>
      </c>
      <c r="KV24" s="152">
        <f t="shared" si="207"/>
        <v>0</v>
      </c>
      <c r="KW24" s="152">
        <f t="shared" si="208"/>
        <v>0</v>
      </c>
      <c r="KX24" s="152">
        <f t="shared" si="209"/>
        <v>0</v>
      </c>
      <c r="KY24" s="28">
        <f t="shared" si="210"/>
        <v>-10000000000</v>
      </c>
      <c r="KZ24" s="29"/>
      <c r="LA24" s="28"/>
      <c r="LB24" s="29">
        <f t="shared" si="409"/>
        <v>17</v>
      </c>
      <c r="LC24" s="152">
        <f t="shared" si="211"/>
        <v>0</v>
      </c>
      <c r="LD24" s="152">
        <f t="shared" si="212"/>
        <v>0</v>
      </c>
      <c r="LE24" s="152">
        <f t="shared" si="213"/>
        <v>0</v>
      </c>
      <c r="LF24" s="28">
        <f t="shared" si="214"/>
        <v>-10000000000</v>
      </c>
      <c r="LG24" s="29"/>
      <c r="LH24" s="28"/>
      <c r="LI24" s="29">
        <f t="shared" si="410"/>
        <v>17</v>
      </c>
      <c r="LJ24" s="152">
        <f t="shared" si="215"/>
        <v>0</v>
      </c>
      <c r="LK24" s="152">
        <f t="shared" si="216"/>
        <v>0</v>
      </c>
      <c r="LL24" s="152">
        <f t="shared" si="217"/>
        <v>0</v>
      </c>
      <c r="LM24" s="28">
        <f t="shared" si="218"/>
        <v>-10000000000</v>
      </c>
      <c r="LN24" s="29"/>
      <c r="LO24" s="28"/>
      <c r="LP24" s="29">
        <f t="shared" si="411"/>
        <v>17</v>
      </c>
      <c r="LQ24" s="152">
        <f t="shared" si="219"/>
        <v>0</v>
      </c>
      <c r="LR24" s="152">
        <f t="shared" si="220"/>
        <v>0</v>
      </c>
      <c r="LS24" s="152">
        <f t="shared" si="221"/>
        <v>0</v>
      </c>
      <c r="LT24" s="28">
        <f t="shared" si="222"/>
        <v>-10000000000</v>
      </c>
      <c r="LU24" s="29"/>
      <c r="LV24" s="28"/>
      <c r="LW24" s="29">
        <f t="shared" si="412"/>
        <v>17</v>
      </c>
      <c r="LX24" s="152">
        <f t="shared" si="223"/>
        <v>0</v>
      </c>
      <c r="LY24" s="152">
        <f t="shared" si="224"/>
        <v>0</v>
      </c>
      <c r="LZ24" s="152">
        <f t="shared" si="225"/>
        <v>0</v>
      </c>
      <c r="MA24" s="28">
        <f t="shared" si="226"/>
        <v>-10000000000</v>
      </c>
      <c r="MB24" s="29"/>
      <c r="MC24" s="28"/>
      <c r="MD24" s="29">
        <f t="shared" si="413"/>
        <v>17</v>
      </c>
      <c r="ME24" s="152">
        <f t="shared" si="227"/>
        <v>0</v>
      </c>
      <c r="MF24" s="152">
        <f t="shared" si="228"/>
        <v>0</v>
      </c>
      <c r="MG24" s="152">
        <f t="shared" si="229"/>
        <v>0</v>
      </c>
      <c r="MH24" s="28">
        <f t="shared" si="230"/>
        <v>-10000000000</v>
      </c>
      <c r="MI24" s="29"/>
      <c r="MJ24" s="28"/>
      <c r="MK24" s="29">
        <f t="shared" si="414"/>
        <v>17</v>
      </c>
      <c r="ML24" s="152">
        <f t="shared" si="231"/>
        <v>0</v>
      </c>
      <c r="MM24" s="152">
        <f t="shared" si="232"/>
        <v>0</v>
      </c>
      <c r="MN24" s="152">
        <f t="shared" si="233"/>
        <v>0</v>
      </c>
      <c r="MO24" s="28">
        <f t="shared" si="234"/>
        <v>-10000000000</v>
      </c>
      <c r="MP24" s="29"/>
      <c r="MQ24" s="28"/>
      <c r="MR24" s="29">
        <f t="shared" si="415"/>
        <v>17</v>
      </c>
      <c r="MS24" s="152">
        <f t="shared" si="235"/>
        <v>0</v>
      </c>
      <c r="MT24" s="152">
        <f t="shared" si="236"/>
        <v>0</v>
      </c>
      <c r="MU24" s="152">
        <f t="shared" si="237"/>
        <v>0</v>
      </c>
      <c r="MV24" s="28">
        <f t="shared" si="238"/>
        <v>-10000000000</v>
      </c>
      <c r="MW24" s="29"/>
      <c r="MX24" s="28"/>
      <c r="MY24" s="29">
        <f t="shared" si="416"/>
        <v>17</v>
      </c>
      <c r="MZ24" s="152">
        <f t="shared" si="239"/>
        <v>0</v>
      </c>
      <c r="NA24" s="152">
        <f t="shared" si="240"/>
        <v>0</v>
      </c>
      <c r="NB24" s="152">
        <f t="shared" si="241"/>
        <v>0</v>
      </c>
      <c r="NC24" s="28">
        <f t="shared" si="242"/>
        <v>-10000000000</v>
      </c>
      <c r="ND24" s="29"/>
      <c r="NE24" s="28"/>
      <c r="NF24" s="29">
        <f t="shared" si="417"/>
        <v>17</v>
      </c>
      <c r="NG24" s="152">
        <f t="shared" si="243"/>
        <v>0</v>
      </c>
      <c r="NH24" s="152">
        <f t="shared" si="244"/>
        <v>0</v>
      </c>
      <c r="NI24" s="152">
        <f t="shared" si="245"/>
        <v>0</v>
      </c>
      <c r="NJ24" s="28">
        <f t="shared" si="246"/>
        <v>-10000000000</v>
      </c>
      <c r="NK24" s="29"/>
      <c r="NL24" s="28"/>
      <c r="NM24" s="29">
        <f t="shared" si="418"/>
        <v>17</v>
      </c>
      <c r="NN24" s="152">
        <f t="shared" si="247"/>
        <v>0</v>
      </c>
      <c r="NO24" s="152">
        <f t="shared" si="248"/>
        <v>0</v>
      </c>
      <c r="NP24" s="152">
        <f t="shared" si="249"/>
        <v>0</v>
      </c>
      <c r="NQ24" s="28">
        <f t="shared" si="250"/>
        <v>-10000000000</v>
      </c>
      <c r="NR24" s="29"/>
      <c r="NS24" s="28"/>
      <c r="NT24" s="29">
        <f t="shared" si="419"/>
        <v>17</v>
      </c>
      <c r="NU24" s="152">
        <f t="shared" si="251"/>
        <v>0</v>
      </c>
      <c r="NV24" s="152">
        <f t="shared" si="252"/>
        <v>0</v>
      </c>
      <c r="NW24" s="152">
        <f t="shared" si="253"/>
        <v>0</v>
      </c>
      <c r="NX24" s="28">
        <f t="shared" si="254"/>
        <v>-10000000000</v>
      </c>
      <c r="NY24" s="29"/>
      <c r="NZ24" s="28"/>
      <c r="OA24" s="29">
        <f t="shared" si="420"/>
        <v>17</v>
      </c>
      <c r="OB24" s="152">
        <f t="shared" si="255"/>
        <v>0</v>
      </c>
      <c r="OC24" s="152">
        <f t="shared" si="256"/>
        <v>0</v>
      </c>
      <c r="OD24" s="152">
        <f t="shared" si="257"/>
        <v>0</v>
      </c>
      <c r="OE24" s="28">
        <f t="shared" si="258"/>
        <v>-10000000000</v>
      </c>
      <c r="OF24" s="29"/>
      <c r="OG24" s="28"/>
      <c r="OH24" s="29">
        <f t="shared" si="421"/>
        <v>17</v>
      </c>
      <c r="OI24" s="152">
        <f t="shared" si="259"/>
        <v>0</v>
      </c>
      <c r="OJ24" s="152">
        <f t="shared" si="260"/>
        <v>0</v>
      </c>
      <c r="OK24" s="152">
        <f t="shared" si="261"/>
        <v>0</v>
      </c>
      <c r="OL24" s="28">
        <f t="shared" si="262"/>
        <v>-10000000000</v>
      </c>
      <c r="OM24" s="29"/>
      <c r="ON24" s="28"/>
      <c r="OO24" s="29">
        <f t="shared" si="422"/>
        <v>17</v>
      </c>
      <c r="OP24" s="152">
        <f t="shared" si="263"/>
        <v>0</v>
      </c>
      <c r="OQ24" s="152">
        <f t="shared" si="264"/>
        <v>0</v>
      </c>
      <c r="OR24" s="152">
        <f t="shared" si="265"/>
        <v>0</v>
      </c>
      <c r="OS24" s="28">
        <f t="shared" si="266"/>
        <v>-10000000000</v>
      </c>
      <c r="OT24" s="29"/>
      <c r="OU24" s="28"/>
      <c r="OV24" s="29">
        <f t="shared" si="423"/>
        <v>17</v>
      </c>
      <c r="OW24" s="152">
        <f t="shared" si="267"/>
        <v>0</v>
      </c>
      <c r="OX24" s="152">
        <f t="shared" si="268"/>
        <v>0</v>
      </c>
      <c r="OY24" s="152">
        <f t="shared" si="269"/>
        <v>0</v>
      </c>
      <c r="OZ24" s="28">
        <f t="shared" si="270"/>
        <v>-10000000000</v>
      </c>
      <c r="PA24" s="29"/>
      <c r="PB24" s="28"/>
      <c r="PC24" s="29">
        <f t="shared" si="424"/>
        <v>17</v>
      </c>
      <c r="PD24" s="152">
        <f t="shared" si="271"/>
        <v>0</v>
      </c>
      <c r="PE24" s="152">
        <f t="shared" si="272"/>
        <v>0</v>
      </c>
      <c r="PF24" s="152">
        <f t="shared" si="273"/>
        <v>0</v>
      </c>
      <c r="PG24" s="28">
        <f t="shared" si="274"/>
        <v>-10000000000</v>
      </c>
      <c r="PH24" s="29"/>
      <c r="PI24" s="28"/>
      <c r="PJ24" s="29">
        <f t="shared" si="425"/>
        <v>17</v>
      </c>
      <c r="PK24" s="152">
        <f t="shared" si="275"/>
        <v>0</v>
      </c>
      <c r="PL24" s="152">
        <f t="shared" si="276"/>
        <v>0</v>
      </c>
      <c r="PM24" s="152">
        <f t="shared" si="277"/>
        <v>0</v>
      </c>
      <c r="PN24" s="28">
        <f t="shared" si="278"/>
        <v>-10000000000</v>
      </c>
      <c r="PO24" s="29"/>
      <c r="PP24" s="28"/>
      <c r="PQ24" s="29">
        <f t="shared" si="426"/>
        <v>17</v>
      </c>
      <c r="PR24" s="152">
        <f t="shared" si="279"/>
        <v>0</v>
      </c>
      <c r="PS24" s="152">
        <f t="shared" si="280"/>
        <v>0</v>
      </c>
      <c r="PT24" s="152">
        <f t="shared" si="281"/>
        <v>0</v>
      </c>
      <c r="PU24" s="28">
        <f t="shared" si="282"/>
        <v>-10000000000</v>
      </c>
      <c r="PV24" s="29"/>
      <c r="PW24" s="28"/>
      <c r="PX24" s="29">
        <f t="shared" si="427"/>
        <v>17</v>
      </c>
      <c r="PY24" s="152">
        <f t="shared" si="283"/>
        <v>0</v>
      </c>
      <c r="PZ24" s="152">
        <f t="shared" si="284"/>
        <v>0</v>
      </c>
      <c r="QA24" s="152">
        <f t="shared" si="285"/>
        <v>0</v>
      </c>
      <c r="QB24" s="28">
        <f t="shared" si="286"/>
        <v>-10000000000</v>
      </c>
      <c r="QC24" s="29"/>
      <c r="QD24" s="28"/>
      <c r="QE24" s="29">
        <f t="shared" si="428"/>
        <v>17</v>
      </c>
      <c r="QF24" s="152">
        <f t="shared" si="287"/>
        <v>0</v>
      </c>
      <c r="QG24" s="152">
        <f t="shared" si="288"/>
        <v>0</v>
      </c>
      <c r="QH24" s="152">
        <f t="shared" si="289"/>
        <v>0</v>
      </c>
      <c r="QI24" s="28">
        <f t="shared" si="290"/>
        <v>-10000000000</v>
      </c>
      <c r="QJ24" s="29"/>
      <c r="QK24" s="28"/>
      <c r="QL24" s="29">
        <f t="shared" si="429"/>
        <v>17</v>
      </c>
      <c r="QM24" s="152">
        <f t="shared" si="291"/>
        <v>0</v>
      </c>
      <c r="QN24" s="152">
        <f t="shared" si="292"/>
        <v>0</v>
      </c>
      <c r="QO24" s="152">
        <f t="shared" si="293"/>
        <v>0</v>
      </c>
      <c r="QP24" s="28">
        <f t="shared" si="294"/>
        <v>-10000000000</v>
      </c>
      <c r="QQ24" s="29"/>
      <c r="QR24" s="28"/>
      <c r="QS24" s="29">
        <f t="shared" si="430"/>
        <v>17</v>
      </c>
      <c r="QT24" s="152">
        <f t="shared" si="295"/>
        <v>0</v>
      </c>
      <c r="QU24" s="152">
        <f t="shared" si="296"/>
        <v>0</v>
      </c>
      <c r="QV24" s="152">
        <f t="shared" si="297"/>
        <v>0</v>
      </c>
      <c r="QW24" s="28">
        <f t="shared" si="298"/>
        <v>-10000000000</v>
      </c>
      <c r="QX24" s="29"/>
      <c r="QY24" s="28"/>
      <c r="QZ24" s="29">
        <f t="shared" si="431"/>
        <v>17</v>
      </c>
      <c r="RA24" s="152">
        <f t="shared" si="299"/>
        <v>0</v>
      </c>
      <c r="RB24" s="152">
        <f t="shared" si="300"/>
        <v>0</v>
      </c>
      <c r="RC24" s="152">
        <f t="shared" si="301"/>
        <v>0</v>
      </c>
      <c r="RD24" s="28">
        <f t="shared" si="302"/>
        <v>-10000000000</v>
      </c>
      <c r="RE24" s="29"/>
      <c r="RF24" s="28"/>
      <c r="RG24" s="29">
        <f t="shared" si="432"/>
        <v>17</v>
      </c>
      <c r="RH24" s="152">
        <f t="shared" si="303"/>
        <v>0</v>
      </c>
      <c r="RI24" s="152">
        <f t="shared" si="304"/>
        <v>0</v>
      </c>
      <c r="RJ24" s="152">
        <f t="shared" si="305"/>
        <v>0</v>
      </c>
      <c r="RK24" s="28">
        <f t="shared" si="306"/>
        <v>-10000000000</v>
      </c>
      <c r="RL24" s="29"/>
      <c r="RM24" s="28"/>
      <c r="RN24" s="29">
        <f t="shared" si="433"/>
        <v>17</v>
      </c>
      <c r="RO24" s="152">
        <f t="shared" si="307"/>
        <v>0</v>
      </c>
      <c r="RP24" s="152">
        <f t="shared" si="308"/>
        <v>0</v>
      </c>
      <c r="RQ24" s="152">
        <f t="shared" si="309"/>
        <v>0</v>
      </c>
      <c r="RR24" s="28">
        <f t="shared" si="310"/>
        <v>-10000000000</v>
      </c>
      <c r="RS24" s="29"/>
      <c r="RT24" s="28"/>
      <c r="RU24" s="29">
        <f t="shared" si="434"/>
        <v>17</v>
      </c>
      <c r="RV24" s="152">
        <f t="shared" si="311"/>
        <v>0</v>
      </c>
      <c r="RW24" s="152">
        <f t="shared" si="312"/>
        <v>0</v>
      </c>
      <c r="RX24" s="152">
        <f t="shared" si="313"/>
        <v>0</v>
      </c>
      <c r="RY24" s="28">
        <f t="shared" si="314"/>
        <v>-10000000000</v>
      </c>
      <c r="RZ24" s="29"/>
      <c r="SA24" s="28"/>
      <c r="SB24" s="29">
        <f t="shared" si="435"/>
        <v>17</v>
      </c>
      <c r="SC24" s="152">
        <f t="shared" si="315"/>
        <v>0</v>
      </c>
      <c r="SD24" s="152">
        <f t="shared" si="316"/>
        <v>0</v>
      </c>
      <c r="SE24" s="152">
        <f t="shared" si="317"/>
        <v>0</v>
      </c>
      <c r="SF24" s="28">
        <f t="shared" si="318"/>
        <v>-10000000000</v>
      </c>
      <c r="SG24" s="29"/>
      <c r="SH24" s="28"/>
      <c r="SI24" s="29">
        <f t="shared" si="436"/>
        <v>17</v>
      </c>
      <c r="SJ24" s="152">
        <f t="shared" si="319"/>
        <v>0</v>
      </c>
      <c r="SK24" s="152">
        <f t="shared" si="320"/>
        <v>0</v>
      </c>
      <c r="SL24" s="152">
        <f t="shared" si="321"/>
        <v>0</v>
      </c>
      <c r="SM24" s="28">
        <f t="shared" si="322"/>
        <v>-10000000000</v>
      </c>
      <c r="SN24" s="29"/>
      <c r="SO24" s="28"/>
      <c r="SP24" s="29">
        <f t="shared" si="437"/>
        <v>17</v>
      </c>
      <c r="SQ24" s="152">
        <f t="shared" si="323"/>
        <v>0</v>
      </c>
      <c r="SR24" s="152">
        <f t="shared" si="324"/>
        <v>0</v>
      </c>
      <c r="SS24" s="152">
        <f t="shared" si="325"/>
        <v>0</v>
      </c>
      <c r="ST24" s="28">
        <f t="shared" si="326"/>
        <v>-10000000000</v>
      </c>
      <c r="SU24" s="29"/>
      <c r="SV24" s="28"/>
      <c r="SW24" s="29">
        <f t="shared" si="438"/>
        <v>17</v>
      </c>
      <c r="SX24" s="152">
        <f t="shared" si="327"/>
        <v>0</v>
      </c>
      <c r="SY24" s="152">
        <f t="shared" si="328"/>
        <v>0</v>
      </c>
      <c r="SZ24" s="152">
        <f t="shared" si="329"/>
        <v>0</v>
      </c>
      <c r="TA24" s="28">
        <f t="shared" si="330"/>
        <v>-10000000000</v>
      </c>
      <c r="TB24" s="29"/>
      <c r="TC24" s="28"/>
      <c r="TD24" s="29">
        <f t="shared" si="439"/>
        <v>17</v>
      </c>
      <c r="TE24" s="152">
        <f t="shared" si="331"/>
        <v>0</v>
      </c>
      <c r="TF24" s="152">
        <f t="shared" si="332"/>
        <v>0</v>
      </c>
      <c r="TG24" s="152">
        <f t="shared" si="333"/>
        <v>0</v>
      </c>
      <c r="TH24" s="28">
        <f t="shared" si="334"/>
        <v>-10000000000</v>
      </c>
      <c r="TI24" s="29"/>
      <c r="TJ24" s="28"/>
      <c r="TK24" s="29">
        <f t="shared" si="440"/>
        <v>17</v>
      </c>
      <c r="TL24" s="152">
        <f t="shared" si="335"/>
        <v>0</v>
      </c>
      <c r="TM24" s="152">
        <f t="shared" si="336"/>
        <v>0</v>
      </c>
      <c r="TN24" s="152">
        <f t="shared" si="337"/>
        <v>0</v>
      </c>
      <c r="TO24" s="28">
        <f t="shared" si="338"/>
        <v>-10000000000</v>
      </c>
      <c r="TP24" s="29"/>
      <c r="TQ24" s="28"/>
      <c r="TR24" s="29">
        <f t="shared" si="441"/>
        <v>17</v>
      </c>
      <c r="TS24" s="152">
        <f t="shared" si="339"/>
        <v>0</v>
      </c>
      <c r="TT24" s="152">
        <f t="shared" si="340"/>
        <v>0</v>
      </c>
      <c r="TU24" s="152">
        <f t="shared" si="341"/>
        <v>0</v>
      </c>
      <c r="TV24" s="28">
        <f t="shared" si="342"/>
        <v>-10000000000</v>
      </c>
      <c r="TW24" s="29"/>
      <c r="TX24" s="28"/>
      <c r="TY24" s="29">
        <f t="shared" si="442"/>
        <v>17</v>
      </c>
      <c r="TZ24" s="152">
        <f t="shared" si="343"/>
        <v>0</v>
      </c>
      <c r="UA24" s="152">
        <f t="shared" si="344"/>
        <v>0</v>
      </c>
      <c r="UB24" s="152">
        <f t="shared" si="345"/>
        <v>0</v>
      </c>
      <c r="UC24" s="28">
        <f t="shared" si="346"/>
        <v>-10000000000</v>
      </c>
      <c r="UD24" s="29"/>
      <c r="UE24" s="28"/>
      <c r="UF24" s="29">
        <f t="shared" si="443"/>
        <v>17</v>
      </c>
      <c r="UG24" s="152">
        <f t="shared" si="347"/>
        <v>0</v>
      </c>
      <c r="UH24" s="152">
        <f t="shared" si="348"/>
        <v>0</v>
      </c>
      <c r="UI24" s="152">
        <f t="shared" si="349"/>
        <v>0</v>
      </c>
      <c r="UJ24" s="28">
        <f t="shared" si="350"/>
        <v>-10000000000</v>
      </c>
      <c r="UK24" s="29"/>
      <c r="UL24" s="28"/>
      <c r="UM24" s="29">
        <f t="shared" si="444"/>
        <v>17</v>
      </c>
      <c r="UN24" s="152">
        <f t="shared" si="351"/>
        <v>0</v>
      </c>
      <c r="UO24" s="152">
        <f t="shared" si="352"/>
        <v>0</v>
      </c>
      <c r="UP24" s="152">
        <f t="shared" si="353"/>
        <v>0</v>
      </c>
      <c r="UQ24" s="28">
        <f t="shared" si="354"/>
        <v>-10000000000</v>
      </c>
      <c r="UR24" s="29"/>
      <c r="US24" s="28"/>
      <c r="UT24" s="29">
        <f t="shared" si="445"/>
        <v>17</v>
      </c>
      <c r="UU24" s="129"/>
      <c r="UV24" s="129">
        <f t="shared" si="355"/>
        <v>0</v>
      </c>
      <c r="UW24" s="129">
        <f t="shared" si="356"/>
        <v>17</v>
      </c>
      <c r="UX24" s="129">
        <f t="shared" ca="1" si="446"/>
        <v>17</v>
      </c>
      <c r="UY24" s="129">
        <f t="shared" ca="1" si="446"/>
        <v>17</v>
      </c>
      <c r="UZ24" s="129">
        <f t="shared" ca="1" si="446"/>
        <v>17</v>
      </c>
      <c r="VA24" s="129">
        <f t="shared" ca="1" si="446"/>
        <v>17</v>
      </c>
      <c r="VB24" s="129">
        <f t="shared" ca="1" si="446"/>
        <v>17</v>
      </c>
      <c r="VC24" s="129">
        <f t="shared" ca="1" si="446"/>
        <v>17</v>
      </c>
      <c r="VD24" s="129">
        <f t="shared" ca="1" si="446"/>
        <v>17</v>
      </c>
      <c r="VE24" s="129">
        <f t="shared" ca="1" si="446"/>
        <v>17</v>
      </c>
      <c r="VF24" s="129">
        <f t="shared" ca="1" si="446"/>
        <v>17</v>
      </c>
      <c r="VG24" s="129">
        <f t="shared" ca="1" si="446"/>
        <v>17</v>
      </c>
      <c r="VH24" s="129">
        <f t="shared" ca="1" si="446"/>
        <v>17</v>
      </c>
      <c r="VI24" s="129">
        <f t="shared" ca="1" si="446"/>
        <v>17</v>
      </c>
      <c r="VJ24" s="129">
        <f t="shared" ca="1" si="446"/>
        <v>17</v>
      </c>
      <c r="VK24" s="129">
        <f t="shared" ca="1" si="446"/>
        <v>17</v>
      </c>
      <c r="VL24" s="129">
        <f t="shared" ca="1" si="446"/>
        <v>17</v>
      </c>
      <c r="VM24" s="129">
        <f t="shared" ca="1" si="446"/>
        <v>17</v>
      </c>
      <c r="VN24" s="129">
        <f t="shared" ca="1" si="406"/>
        <v>17</v>
      </c>
      <c r="VO24" s="129">
        <f t="shared" ca="1" si="406"/>
        <v>17</v>
      </c>
      <c r="VP24" s="129">
        <f t="shared" ca="1" si="406"/>
        <v>17</v>
      </c>
      <c r="VQ24" s="129">
        <f t="shared" ca="1" si="406"/>
        <v>17</v>
      </c>
      <c r="VR24" s="129">
        <f t="shared" ca="1" si="406"/>
        <v>17</v>
      </c>
      <c r="VS24" s="129">
        <f t="shared" ca="1" si="406"/>
        <v>17</v>
      </c>
      <c r="VT24" s="129">
        <f t="shared" ca="1" si="406"/>
        <v>17</v>
      </c>
      <c r="VU24" s="129">
        <f t="shared" ca="1" si="406"/>
        <v>17</v>
      </c>
      <c r="VV24" s="129">
        <f t="shared" ca="1" si="406"/>
        <v>17</v>
      </c>
      <c r="VW24" s="129">
        <f t="shared" ca="1" si="406"/>
        <v>17</v>
      </c>
      <c r="VX24" s="129">
        <f t="shared" ca="1" si="406"/>
        <v>17</v>
      </c>
      <c r="VY24" s="129">
        <f t="shared" ca="1" si="406"/>
        <v>17</v>
      </c>
      <c r="VZ24" s="129">
        <f t="shared" ca="1" si="406"/>
        <v>17</v>
      </c>
      <c r="WA24" s="129">
        <f t="shared" ca="1" si="406"/>
        <v>17</v>
      </c>
      <c r="WB24" s="129">
        <f t="shared" ca="1" si="406"/>
        <v>17</v>
      </c>
      <c r="WC24" s="129">
        <f t="shared" ca="1" si="406"/>
        <v>17</v>
      </c>
      <c r="WD24" s="129">
        <f t="shared" ca="1" si="407"/>
        <v>17</v>
      </c>
      <c r="WE24" s="129">
        <f t="shared" ca="1" si="66"/>
        <v>17</v>
      </c>
      <c r="WF24" s="129">
        <f t="shared" ca="1" si="66"/>
        <v>17</v>
      </c>
      <c r="WG24" s="129">
        <f t="shared" ca="1" si="66"/>
        <v>17</v>
      </c>
      <c r="WH24" s="129">
        <f t="shared" ca="1" si="66"/>
        <v>17</v>
      </c>
      <c r="WJ24" s="87"/>
      <c r="WK24" s="87">
        <f t="shared" si="358"/>
        <v>0</v>
      </c>
      <c r="WL24" s="87">
        <v>21</v>
      </c>
      <c r="WM24" s="87">
        <v>21</v>
      </c>
      <c r="WN24" s="87">
        <f>IF($WI$3&gt;=WN$3,UW24,NA())</f>
        <v>17</v>
      </c>
      <c r="WO24" s="87">
        <f ca="1">IF($WI$3&gt;=WO$3,UX24,NA())</f>
        <v>17</v>
      </c>
      <c r="WP24" s="87">
        <f ca="1">IF($WI$3&gt;=WP$3,UY24,NA())</f>
        <v>17</v>
      </c>
      <c r="WQ24" s="87">
        <f ca="1">IF($WI$3&gt;=WQ$3,UZ24,NA())</f>
        <v>17</v>
      </c>
      <c r="WR24" s="87">
        <f ca="1">IF($WI$3&gt;=WR$3,VA24,NA())</f>
        <v>17</v>
      </c>
      <c r="WS24" s="87">
        <f ca="1">IF($WI$3&gt;=WS$3,VB24,NA())</f>
        <v>17</v>
      </c>
      <c r="WT24" s="87">
        <f ca="1">IF($WI$3&gt;=WT$3,VC24,NA())</f>
        <v>17</v>
      </c>
      <c r="WU24" s="87">
        <f ca="1">IF($WI$3&gt;=WU$3,VD24,NA())</f>
        <v>17</v>
      </c>
      <c r="WV24" s="87">
        <f ca="1">IF($WI$3&gt;=WV$3,VE24,NA())</f>
        <v>17</v>
      </c>
      <c r="WW24" s="87">
        <f ca="1">IF($WI$3&gt;=WW$3,VF24,NA())</f>
        <v>17</v>
      </c>
      <c r="WX24" s="87">
        <f ca="1">IF($WI$3&gt;=WX$3,VG24,NA())</f>
        <v>17</v>
      </c>
      <c r="WY24" s="87">
        <f ca="1">IF($WI$3&gt;=WY$3,VH24,NA())</f>
        <v>17</v>
      </c>
      <c r="WZ24" s="87">
        <f ca="1">IF($WI$3&gt;=WZ$3,VI24,NA())</f>
        <v>17</v>
      </c>
      <c r="XA24" s="87">
        <f ca="1">IF($WI$3&gt;=XA$3,VJ24,NA())</f>
        <v>17</v>
      </c>
      <c r="XB24" s="87">
        <f ca="1">IF($WI$3&gt;=XB$3,VK24,NA())</f>
        <v>17</v>
      </c>
      <c r="XC24" s="87">
        <f ca="1">IF($WI$3&gt;=XC$3,VL24,NA())</f>
        <v>17</v>
      </c>
      <c r="XD24" s="87">
        <f ca="1">IF($WI$3&gt;=XD$3,VM24,NA())</f>
        <v>17</v>
      </c>
      <c r="XE24" s="87">
        <f ca="1">IF($WI$3&gt;=XE$3,VN24,NA())</f>
        <v>17</v>
      </c>
      <c r="XF24" s="87">
        <f ca="1">IF($WI$3&gt;=XF$3,VO24,NA())</f>
        <v>17</v>
      </c>
      <c r="XG24" s="87">
        <f ca="1">IF($WI$3&gt;=XG$3,VP24,NA())</f>
        <v>17</v>
      </c>
      <c r="XH24" s="87">
        <f ca="1">IF($WI$3&gt;=XH$3,VQ24,NA())</f>
        <v>17</v>
      </c>
      <c r="XI24" s="87" t="e">
        <f>IF($WI$3&gt;=XI$3,VR24,NA())</f>
        <v>#N/A</v>
      </c>
      <c r="XJ24" s="87" t="e">
        <f>IF($WI$3&gt;=XJ$3,VS24,NA())</f>
        <v>#N/A</v>
      </c>
      <c r="XK24" s="87" t="e">
        <f>IF($WI$3&gt;=XK$3,VT24,NA())</f>
        <v>#N/A</v>
      </c>
      <c r="XL24" s="87" t="e">
        <f>IF($WI$3&gt;=XL$3,VU24,NA())</f>
        <v>#N/A</v>
      </c>
      <c r="XM24" s="87" t="e">
        <f>IF($WI$3&gt;=XM$3,VV24,NA())</f>
        <v>#N/A</v>
      </c>
      <c r="XN24" s="87" t="e">
        <f>IF($WI$3&gt;=XN$3,VW24,NA())</f>
        <v>#N/A</v>
      </c>
      <c r="XO24" s="87" t="e">
        <f>IF($WI$3&gt;=XO$3,VX24,NA())</f>
        <v>#N/A</v>
      </c>
      <c r="XP24" s="87" t="e">
        <f>IF($WI$3&gt;=XP$3,VY24,NA())</f>
        <v>#N/A</v>
      </c>
      <c r="XQ24" s="87" t="e">
        <f>IF($WI$3&gt;=XQ$3,VZ24,NA())</f>
        <v>#N/A</v>
      </c>
      <c r="XR24" s="87" t="e">
        <f>IF($WI$3&gt;=XR$3,WA24,NA())</f>
        <v>#N/A</v>
      </c>
      <c r="XS24" s="87" t="e">
        <f>IF($WI$3&gt;=XS$3,WB24,NA())</f>
        <v>#N/A</v>
      </c>
      <c r="XT24" s="87" t="e">
        <f>IF($WI$3&gt;=XT$3,WC24,NA())</f>
        <v>#N/A</v>
      </c>
      <c r="XU24" s="87" t="e">
        <f>IF($WI$3&gt;=XU$3,WD24,NA())</f>
        <v>#N/A</v>
      </c>
      <c r="XV24" s="87" t="e">
        <f>IF($WI$3&gt;=XV$3,WE24,NA())</f>
        <v>#N/A</v>
      </c>
      <c r="XW24" s="87" t="e">
        <f>IF($WI$3&gt;=XW$3,WF24,NA())</f>
        <v>#N/A</v>
      </c>
      <c r="XX24" s="87" t="e">
        <f>IF($WI$3&gt;=XX$3,WG24,NA())</f>
        <v>#N/A</v>
      </c>
      <c r="XY24" s="87" t="e">
        <f>IF($WI$3&gt;=XY$3,WH24,NA())</f>
        <v>#N/A</v>
      </c>
      <c r="YE24" s="87"/>
      <c r="YF24" s="87"/>
    </row>
    <row r="25" spans="4:723">
      <c r="D25" s="29"/>
      <c r="E25" s="13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5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5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6"/>
      <c r="AP25" s="27"/>
      <c r="AQ25" s="28"/>
      <c r="AR25" s="29"/>
      <c r="AS25" s="28"/>
      <c r="AT25" s="29"/>
      <c r="AU25" s="30"/>
      <c r="AV25" s="29"/>
      <c r="AW25" s="29"/>
      <c r="AX25" s="29"/>
      <c r="AY25" s="29"/>
      <c r="AZ25" s="29"/>
      <c r="BA25" s="29"/>
      <c r="BB25" s="29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S25" s="10" t="s">
        <v>48</v>
      </c>
      <c r="BT25" s="123">
        <v>0.20833333333333401</v>
      </c>
      <c r="BU25" s="123">
        <f t="shared" si="405"/>
        <v>0.37500000000000067</v>
      </c>
      <c r="BV25" s="10" t="s">
        <v>64</v>
      </c>
      <c r="CA25" s="130">
        <f t="shared" si="119"/>
        <v>-1</v>
      </c>
      <c r="CB25" s="130">
        <f t="shared" si="120"/>
        <v>100000</v>
      </c>
      <c r="CC25" s="130">
        <f t="shared" si="121"/>
        <v>-1</v>
      </c>
      <c r="CD25" s="130">
        <f t="shared" si="122"/>
        <v>100000</v>
      </c>
      <c r="CE25" s="130">
        <f t="shared" si="123"/>
        <v>-1</v>
      </c>
      <c r="CF25" s="130">
        <f t="shared" si="124"/>
        <v>100000</v>
      </c>
      <c r="CG25" s="130">
        <f t="shared" si="125"/>
        <v>-1</v>
      </c>
      <c r="CH25" s="130">
        <f t="shared" si="126"/>
        <v>100000</v>
      </c>
      <c r="CI25" s="130">
        <f t="shared" si="127"/>
        <v>-1</v>
      </c>
      <c r="CJ25" s="130">
        <f t="shared" si="128"/>
        <v>100000</v>
      </c>
      <c r="CK25" s="130">
        <f t="shared" si="129"/>
        <v>-100000</v>
      </c>
      <c r="CL25" s="130">
        <f t="shared" si="130"/>
        <v>100000</v>
      </c>
      <c r="CM25" s="130">
        <f t="shared" si="131"/>
        <v>-1</v>
      </c>
      <c r="CN25" s="130">
        <f t="shared" si="132"/>
        <v>100000</v>
      </c>
      <c r="CO25" s="130">
        <f t="shared" si="133"/>
        <v>-1</v>
      </c>
      <c r="CP25" s="130">
        <f t="shared" si="134"/>
        <v>100000</v>
      </c>
      <c r="CQ25" s="131"/>
      <c r="CR25" s="130">
        <f t="shared" si="360"/>
        <v>-1</v>
      </c>
      <c r="CS25" s="130">
        <f t="shared" si="135"/>
        <v>100000</v>
      </c>
      <c r="CT25" s="130">
        <f t="shared" si="361"/>
        <v>-1</v>
      </c>
      <c r="CU25" s="130">
        <f t="shared" si="362"/>
        <v>100000</v>
      </c>
      <c r="CV25" s="130">
        <f t="shared" si="363"/>
        <v>-1</v>
      </c>
      <c r="CW25" s="130">
        <f t="shared" si="364"/>
        <v>100000</v>
      </c>
      <c r="CX25" s="130">
        <f t="shared" si="365"/>
        <v>-1</v>
      </c>
      <c r="CY25" s="130">
        <f t="shared" si="366"/>
        <v>100000</v>
      </c>
      <c r="CZ25" s="130">
        <f t="shared" si="367"/>
        <v>-1</v>
      </c>
      <c r="DA25" s="130">
        <f t="shared" si="368"/>
        <v>100000</v>
      </c>
      <c r="DB25" s="130">
        <f t="shared" si="369"/>
        <v>-100000</v>
      </c>
      <c r="DC25" s="130">
        <f t="shared" si="370"/>
        <v>100000</v>
      </c>
      <c r="DD25" s="130">
        <f t="shared" si="371"/>
        <v>-1</v>
      </c>
      <c r="DE25" s="130">
        <f t="shared" si="372"/>
        <v>100000</v>
      </c>
      <c r="DF25" s="130">
        <f t="shared" si="373"/>
        <v>-1</v>
      </c>
      <c r="DG25" s="130">
        <f t="shared" si="374"/>
        <v>100000</v>
      </c>
      <c r="DH25" s="131"/>
      <c r="DI25" s="130">
        <f t="shared" si="389"/>
        <v>-1</v>
      </c>
      <c r="DJ25" s="130">
        <f t="shared" si="136"/>
        <v>100000</v>
      </c>
      <c r="DK25" s="130">
        <f t="shared" si="390"/>
        <v>-1</v>
      </c>
      <c r="DL25" s="130">
        <f t="shared" si="391"/>
        <v>100000</v>
      </c>
      <c r="DM25" s="130">
        <f t="shared" si="392"/>
        <v>-1</v>
      </c>
      <c r="DN25" s="130">
        <f t="shared" si="393"/>
        <v>100000</v>
      </c>
      <c r="DO25" s="130">
        <f t="shared" si="394"/>
        <v>-1</v>
      </c>
      <c r="DP25" s="130">
        <f t="shared" si="395"/>
        <v>100000</v>
      </c>
      <c r="DQ25" s="130">
        <f t="shared" si="396"/>
        <v>-1</v>
      </c>
      <c r="DR25" s="130">
        <f t="shared" si="397"/>
        <v>100000</v>
      </c>
      <c r="DS25" s="130">
        <f t="shared" si="398"/>
        <v>-100000</v>
      </c>
      <c r="DT25" s="130">
        <f t="shared" si="399"/>
        <v>100000</v>
      </c>
      <c r="DU25" s="130">
        <f t="shared" si="400"/>
        <v>-1</v>
      </c>
      <c r="DV25" s="130">
        <f t="shared" si="401"/>
        <v>100000</v>
      </c>
      <c r="DW25" s="130">
        <f t="shared" si="402"/>
        <v>-1</v>
      </c>
      <c r="DX25" s="130">
        <f t="shared" si="403"/>
        <v>100000</v>
      </c>
      <c r="DY25" s="132"/>
      <c r="DZ25" s="115">
        <v>22</v>
      </c>
      <c r="EA25" s="115">
        <v>9</v>
      </c>
      <c r="EB25" s="10">
        <f t="shared" si="137"/>
        <v>17</v>
      </c>
      <c r="EC25" s="10">
        <f t="shared" si="138"/>
        <v>17</v>
      </c>
      <c r="ED25" s="10">
        <f t="shared" si="139"/>
        <v>17</v>
      </c>
      <c r="EE25" s="10">
        <f t="shared" si="140"/>
        <v>17</v>
      </c>
      <c r="EF25" s="10">
        <f t="shared" si="141"/>
        <v>17</v>
      </c>
      <c r="EG25" s="10">
        <f t="shared" si="142"/>
        <v>17</v>
      </c>
      <c r="EH25" s="10">
        <f t="shared" si="143"/>
        <v>17</v>
      </c>
      <c r="EI25" s="10">
        <f t="shared" si="144"/>
        <v>17</v>
      </c>
      <c r="EJ25" s="10">
        <f t="shared" si="145"/>
        <v>17</v>
      </c>
      <c r="EK25" s="10">
        <f t="shared" si="146"/>
        <v>17</v>
      </c>
      <c r="EL25" s="10">
        <f t="shared" si="147"/>
        <v>17</v>
      </c>
      <c r="EM25" s="10">
        <f t="shared" si="148"/>
        <v>17</v>
      </c>
      <c r="EN25" s="10">
        <f t="shared" si="149"/>
        <v>17</v>
      </c>
      <c r="EO25" s="10">
        <f t="shared" si="150"/>
        <v>17</v>
      </c>
      <c r="EP25" s="10">
        <f t="shared" si="151"/>
        <v>17</v>
      </c>
      <c r="EQ25" s="10">
        <f t="shared" si="152"/>
        <v>17</v>
      </c>
      <c r="ES25" s="10">
        <f t="shared" si="153"/>
        <v>17</v>
      </c>
      <c r="ET25" s="10">
        <f t="shared" si="154"/>
        <v>17</v>
      </c>
      <c r="EU25" s="10">
        <f t="shared" si="155"/>
        <v>17</v>
      </c>
      <c r="EV25" s="10">
        <f t="shared" si="154"/>
        <v>17</v>
      </c>
      <c r="EW25" s="10">
        <f t="shared" si="156"/>
        <v>17</v>
      </c>
      <c r="EX25" s="10">
        <f t="shared" si="157"/>
        <v>17</v>
      </c>
      <c r="EY25" s="10">
        <f t="shared" si="158"/>
        <v>17</v>
      </c>
      <c r="EZ25" s="10">
        <f t="shared" si="159"/>
        <v>17</v>
      </c>
      <c r="FA25" s="10">
        <f t="shared" si="160"/>
        <v>17</v>
      </c>
      <c r="FB25" s="10">
        <f t="shared" si="161"/>
        <v>17</v>
      </c>
      <c r="FC25" s="10">
        <f t="shared" si="162"/>
        <v>17</v>
      </c>
      <c r="FD25" s="10">
        <f t="shared" si="163"/>
        <v>17</v>
      </c>
      <c r="FE25" s="10">
        <f t="shared" si="164"/>
        <v>17</v>
      </c>
      <c r="FF25" s="10">
        <f t="shared" si="165"/>
        <v>17</v>
      </c>
      <c r="FG25" s="10">
        <f t="shared" si="166"/>
        <v>17</v>
      </c>
      <c r="FH25" s="10">
        <f t="shared" si="167"/>
        <v>17</v>
      </c>
      <c r="FJ25" s="10">
        <f t="shared" si="168"/>
        <v>17</v>
      </c>
      <c r="FK25" s="10">
        <f t="shared" si="169"/>
        <v>17</v>
      </c>
      <c r="FL25" s="10">
        <f t="shared" si="170"/>
        <v>17</v>
      </c>
      <c r="FM25" s="10">
        <f t="shared" si="171"/>
        <v>17</v>
      </c>
      <c r="FN25" s="10">
        <f t="shared" si="172"/>
        <v>17</v>
      </c>
      <c r="FO25" s="10">
        <f t="shared" si="173"/>
        <v>17</v>
      </c>
      <c r="FP25" s="10">
        <f t="shared" si="174"/>
        <v>17</v>
      </c>
      <c r="FQ25" s="10">
        <f t="shared" si="175"/>
        <v>17</v>
      </c>
      <c r="FR25" s="10">
        <f t="shared" si="176"/>
        <v>17</v>
      </c>
      <c r="FS25" s="10">
        <f t="shared" si="177"/>
        <v>17</v>
      </c>
      <c r="FT25" s="10">
        <f t="shared" si="178"/>
        <v>17</v>
      </c>
      <c r="FU25" s="10">
        <f t="shared" si="179"/>
        <v>17</v>
      </c>
      <c r="FV25" s="10">
        <f t="shared" si="180"/>
        <v>17</v>
      </c>
      <c r="FW25" s="10">
        <f t="shared" si="181"/>
        <v>17</v>
      </c>
      <c r="FX25" s="10">
        <f t="shared" si="182"/>
        <v>17</v>
      </c>
      <c r="FY25" s="10">
        <f t="shared" si="183"/>
        <v>17</v>
      </c>
      <c r="GA25" s="10">
        <f>IF(lg!$C$18=1,EB25,IF(lg!$C$18=2,ES25,FJ25))</f>
        <v>17</v>
      </c>
      <c r="GB25" s="10">
        <f>IF(lg!$C$18=1,EC25,IF(lg!$C$18=2,ET25,FK25))</f>
        <v>17</v>
      </c>
      <c r="GC25" s="10">
        <f>IF(lg!$C$18=1,ED25,IF(lg!$C$18=2,EU25,FL25))</f>
        <v>17</v>
      </c>
      <c r="GD25" s="10">
        <f>IF(lg!$C$18=1,EE25,IF(lg!$C$18=2,EV25,FM25))</f>
        <v>17</v>
      </c>
      <c r="GE25" s="10">
        <f>IF(lg!$C$18=1,EF25,IF(lg!$C$18=2,EW25,FN25))</f>
        <v>17</v>
      </c>
      <c r="GF25" s="10">
        <f>IF(lg!$C$18=1,EG25,IF(lg!$C$18=2,EX25,FO25))</f>
        <v>17</v>
      </c>
      <c r="GG25" s="10">
        <f>IF(lg!$C$18=1,EH25,IF(lg!$C$18=2,EY25,FP25))</f>
        <v>17</v>
      </c>
      <c r="GH25" s="10">
        <f>IF(lg!$C$18=1,EI25,IF(lg!$C$18=2,EZ25,FQ25))</f>
        <v>17</v>
      </c>
      <c r="GI25" s="10">
        <f>IF(lg!$C$18=1,EJ25,IF(lg!$C$18=2,FA25,FR25))</f>
        <v>17</v>
      </c>
      <c r="GJ25" s="10">
        <f>IF(lg!$C$18=1,EK25,IF(lg!$C$18=2,FB25,FS25))</f>
        <v>17</v>
      </c>
      <c r="GK25" s="10">
        <f>IF(lg!$C$18=1,EL25,IF(lg!$C$18=2,FC25,FT25))</f>
        <v>17</v>
      </c>
      <c r="GL25" s="10">
        <f>IF(lg!$C$18=1,EM25,IF(lg!$C$18=2,FD25,FU25))</f>
        <v>17</v>
      </c>
      <c r="GM25" s="10">
        <f>IF(lg!$C$18=1,EN25,IF(lg!$C$18=2,FE25,FV25))</f>
        <v>17</v>
      </c>
      <c r="GN25" s="10">
        <f>IF(lg!$C$18=1,EO25,IF(lg!$C$18=2,FF25,FW25))</f>
        <v>17</v>
      </c>
      <c r="GO25" s="10">
        <f>IF(lg!$C$18=1,EP25,IF(lg!$C$18=2,FG25,FX25))</f>
        <v>17</v>
      </c>
      <c r="GP25" s="10">
        <f>IF(lg!$C$18=1,EQ25,IF(lg!$C$18=2,FH25,FY25))</f>
        <v>17</v>
      </c>
      <c r="GR25" s="10" t="e">
        <f t="shared" si="184"/>
        <v>#N/A</v>
      </c>
      <c r="GS25" s="10" t="e">
        <f t="shared" si="31"/>
        <v>#N/A</v>
      </c>
      <c r="GT25" s="10" t="e">
        <f t="shared" si="32"/>
        <v>#N/A</v>
      </c>
      <c r="GU25" s="10" t="e">
        <f t="shared" si="33"/>
        <v>#N/A</v>
      </c>
      <c r="GV25" s="10" t="e">
        <f t="shared" si="34"/>
        <v>#N/A</v>
      </c>
      <c r="GW25" s="10" t="e">
        <f t="shared" si="35"/>
        <v>#N/A</v>
      </c>
      <c r="GX25" s="10" t="e">
        <f t="shared" si="36"/>
        <v>#N/A</v>
      </c>
      <c r="GY25" s="10" t="e">
        <f t="shared" si="37"/>
        <v>#N/A</v>
      </c>
      <c r="GZ25" s="10" t="e">
        <f t="shared" si="38"/>
        <v>#N/A</v>
      </c>
      <c r="HA25" s="10" t="e">
        <f t="shared" si="39"/>
        <v>#N/A</v>
      </c>
      <c r="HB25" s="10" t="e">
        <f t="shared" si="40"/>
        <v>#N/A</v>
      </c>
      <c r="HC25" s="10" t="e">
        <f t="shared" si="41"/>
        <v>#N/A</v>
      </c>
      <c r="HD25" s="10" t="e">
        <f t="shared" si="42"/>
        <v>#N/A</v>
      </c>
      <c r="HE25" s="10" t="e">
        <f t="shared" si="43"/>
        <v>#N/A</v>
      </c>
      <c r="HF25" s="10" t="e">
        <f t="shared" si="44"/>
        <v>#N/A</v>
      </c>
      <c r="HG25" s="10" t="e">
        <f t="shared" si="45"/>
        <v>#N/A</v>
      </c>
      <c r="HI25" s="10">
        <v>22</v>
      </c>
      <c r="HJ25" s="115">
        <f>IF(lg!$C$18=1,F25,IF(lg!$C$18=2,R25,AD25))</f>
        <v>0</v>
      </c>
      <c r="HK25" s="115">
        <f>IF(lg!$C$18=1,G25,IF(lg!$C$18=2,S25,AE25))</f>
        <v>0</v>
      </c>
      <c r="HL25" s="115">
        <f>IF(lg!$C$18=1,H25,IF(lg!$C$18=2,T25,AF25))</f>
        <v>0</v>
      </c>
      <c r="HM25" s="115">
        <f>IF(lg!$C$18=1,I25,IF(lg!$C$18=2,U25,AG25))</f>
        <v>0</v>
      </c>
      <c r="HN25" s="115">
        <f>IF(lg!$C$18=1,J25,IF(lg!$C$18=2,V25,AH25))</f>
        <v>0</v>
      </c>
      <c r="HO25" s="115">
        <f>IF(lg!$C$18=1,K25,IF(lg!$C$18=2,W25,AI25))</f>
        <v>0</v>
      </c>
      <c r="HP25" s="115">
        <f>IF(lg!$C$18=1,L25,IF(lg!$C$18=2,X25,AJ25))</f>
        <v>0</v>
      </c>
      <c r="HQ25" s="115">
        <f>IF(lg!$C$18=1,M25,IF(lg!$C$18=2,Y25,AK25))</f>
        <v>0</v>
      </c>
      <c r="HR25" s="115">
        <f>IF(lg!$C$18=1,N25,IF(lg!$C$18=2,Z25,AL25))</f>
        <v>0</v>
      </c>
      <c r="HS25" s="115">
        <f>IF(lg!$C$18=1,O25,IF(lg!$C$18=2,AA25,AM25))</f>
        <v>0</v>
      </c>
      <c r="HT25" s="115">
        <f>IF(lg!$C$18=1,P25,IF(lg!$C$18=2,AB25,AN25))</f>
        <v>0</v>
      </c>
      <c r="HV25" s="115">
        <f t="shared" si="185"/>
        <v>0</v>
      </c>
      <c r="HW25" s="115">
        <f t="shared" si="186"/>
        <v>0</v>
      </c>
      <c r="HX25" s="115">
        <f t="shared" si="187"/>
        <v>0</v>
      </c>
      <c r="HY25" s="115">
        <f t="shared" si="188"/>
        <v>0</v>
      </c>
      <c r="HZ25" s="115">
        <f t="shared" si="189"/>
        <v>0</v>
      </c>
      <c r="IA25" s="115">
        <f t="shared" si="190"/>
        <v>0</v>
      </c>
      <c r="IB25" s="115">
        <f t="shared" si="191"/>
        <v>0</v>
      </c>
      <c r="IC25" s="115">
        <f t="shared" si="192"/>
        <v>0</v>
      </c>
      <c r="ID25" s="115">
        <f t="shared" si="193"/>
        <v>0</v>
      </c>
      <c r="IE25" s="115">
        <f t="shared" si="194"/>
        <v>0</v>
      </c>
      <c r="IF25" s="115">
        <f t="shared" si="195"/>
        <v>0</v>
      </c>
      <c r="IG25" s="115">
        <f t="shared" si="196"/>
        <v>0</v>
      </c>
      <c r="IH25" s="115">
        <f t="shared" si="197"/>
        <v>0</v>
      </c>
      <c r="II25" s="115">
        <f t="shared" si="198"/>
        <v>0</v>
      </c>
      <c r="IJ25" s="115">
        <f t="shared" si="199"/>
        <v>0</v>
      </c>
      <c r="IK25" s="115">
        <f t="shared" si="200"/>
        <v>0</v>
      </c>
      <c r="IN25" s="77" t="s">
        <v>137</v>
      </c>
      <c r="IO25" s="36" t="s">
        <v>10</v>
      </c>
      <c r="IP25" s="67">
        <f>VLOOKUP('ef-TeamStats'!B2,Table!$B$4:$W$23,22,0)</f>
        <v>9</v>
      </c>
      <c r="IQ25" s="67">
        <f>VLOOKUP('ef-TeamStats'!$B$2,Table!$B$4:$W$23,16,0)</f>
        <v>11</v>
      </c>
      <c r="IR25" s="134">
        <f t="shared" si="47"/>
        <v>0.81818181818181823</v>
      </c>
      <c r="IS25" s="133">
        <f>MATCH('ef-TeamStats'!$B$2,$KC$4:$KC$33,0)</f>
        <v>2</v>
      </c>
      <c r="IT25" s="67"/>
      <c r="IU25" s="36" t="s">
        <v>10</v>
      </c>
      <c r="IV25" s="67">
        <f>VLOOKUP('ef-TeamStats'!G2,Table!$B$4:$W$23,22,0)</f>
        <v>3</v>
      </c>
      <c r="IW25" s="67">
        <f>VLOOKUP('ef-TeamStats'!$G$2,Table!$B$4:$W$23,16,0)</f>
        <v>10</v>
      </c>
      <c r="IX25" s="134">
        <f t="shared" si="48"/>
        <v>0.3</v>
      </c>
      <c r="IY25" s="133">
        <f>MATCH('ef-TeamStats'!$G$2,$KC$4:$KC$33,0)</f>
        <v>3</v>
      </c>
      <c r="JB25" s="10">
        <f>IF(lg!$F$18=1,EB25,IF(lg!$F$18=2,ES25,FJ25))</f>
        <v>17</v>
      </c>
      <c r="JC25" s="10">
        <f>IF(lg!$F$18=1,EC25,IF(lg!$F$18=2,ET25,FK25))</f>
        <v>17</v>
      </c>
      <c r="JD25" s="10">
        <f>IF(lg!$F$18=1,ED25,IF(lg!$F$18=2,EU25,FL25))</f>
        <v>17</v>
      </c>
      <c r="JE25" s="10">
        <f>IF(lg!$F$18=1,EE25,IF(lg!$F$18=2,EV25,FM25))</f>
        <v>17</v>
      </c>
      <c r="JF25" s="10">
        <f>IF(lg!$F$18=1,EF25,IF(lg!$F$18=2,EW25,FN25))</f>
        <v>17</v>
      </c>
      <c r="JG25" s="10">
        <f>IF(lg!$F$18=1,EG25,IF(lg!$F$18=2,EX25,FO25))</f>
        <v>17</v>
      </c>
      <c r="JH25" s="10">
        <f>IF(lg!$F$18=1,EH25,IF(lg!$F$18=2,EY25,FP25))</f>
        <v>17</v>
      </c>
      <c r="JI25" s="10">
        <f>IF(lg!$F$18=1,EI25,IF(lg!$F$18=2,EZ25,FQ25))</f>
        <v>17</v>
      </c>
      <c r="JJ25" s="10">
        <f>IF(lg!$F$18=1,EJ25,IF(lg!$F$18=2,FA25,FR25))</f>
        <v>17</v>
      </c>
      <c r="JK25" s="10">
        <f>IF(lg!$F$18=1,EK25,IF(lg!$F$18=2,FB25,FS25))</f>
        <v>17</v>
      </c>
      <c r="JL25" s="10">
        <f>IF(lg!$F$18=1,EL25,IF(lg!$F$18=2,FC25,FT25))</f>
        <v>17</v>
      </c>
      <c r="JM25" s="10">
        <f>IF(lg!$F$18=1,EM25,IF(lg!$F$18=2,FD25,FU25))</f>
        <v>17</v>
      </c>
      <c r="JN25" s="10">
        <f>IF(lg!$F$18=1,EN25,IF(lg!$F$18=2,FE25,FV25))</f>
        <v>17</v>
      </c>
      <c r="JO25" s="10">
        <f>IF(lg!$F$18=1,EO25,IF(lg!$F$18=2,FF25,FW25))</f>
        <v>17</v>
      </c>
      <c r="JP25" s="10">
        <f>IF(lg!$F$18=1,EP25,IF(lg!$F$18=2,FG25,FX25))</f>
        <v>17</v>
      </c>
      <c r="JQ25" s="10">
        <f>IF(lg!$F$18=1,EQ25,IF(lg!$F$18=2,FH25,FY25))</f>
        <v>17</v>
      </c>
      <c r="JS25" s="10" t="e">
        <f t="shared" si="201"/>
        <v>#N/A</v>
      </c>
      <c r="JT25" s="10" t="e">
        <f t="shared" si="49"/>
        <v>#N/A</v>
      </c>
      <c r="JU25" s="10" t="e">
        <f t="shared" si="50"/>
        <v>#N/A</v>
      </c>
      <c r="JV25" s="10" t="e">
        <f t="shared" si="51"/>
        <v>#N/A</v>
      </c>
      <c r="JW25" s="10" t="e">
        <f t="shared" si="52"/>
        <v>#N/A</v>
      </c>
      <c r="JX25" s="10" t="e">
        <f t="shared" si="53"/>
        <v>#N/A</v>
      </c>
      <c r="JY25" s="10" t="e">
        <f t="shared" si="54"/>
        <v>#N/A</v>
      </c>
      <c r="JZ25" s="10" t="e">
        <f t="shared" si="55"/>
        <v>#N/A</v>
      </c>
      <c r="KA25" s="10" t="e">
        <f t="shared" si="56"/>
        <v>#N/A</v>
      </c>
      <c r="KB25" s="10" t="e">
        <f t="shared" si="57"/>
        <v>#N/A</v>
      </c>
      <c r="KC25" s="10" t="e">
        <f t="shared" si="58"/>
        <v>#N/A</v>
      </c>
      <c r="KD25" s="10" t="e">
        <f t="shared" si="59"/>
        <v>#N/A</v>
      </c>
      <c r="KE25" s="10" t="e">
        <f t="shared" si="60"/>
        <v>#N/A</v>
      </c>
      <c r="KF25" s="10" t="e">
        <f t="shared" si="61"/>
        <v>#N/A</v>
      </c>
      <c r="KG25" s="10" t="e">
        <f t="shared" si="62"/>
        <v>#N/A</v>
      </c>
      <c r="KH25" s="10" t="e">
        <f t="shared" si="63"/>
        <v>#N/A</v>
      </c>
      <c r="KL25" s="27">
        <v>0.09</v>
      </c>
      <c r="KM25" s="29">
        <v>22</v>
      </c>
      <c r="KN25" s="31">
        <f t="shared" si="202"/>
        <v>0</v>
      </c>
      <c r="KO25" s="152">
        <f t="shared" si="203"/>
        <v>0</v>
      </c>
      <c r="KP25" s="152">
        <f t="shared" si="204"/>
        <v>0</v>
      </c>
      <c r="KQ25" s="152">
        <f t="shared" si="205"/>
        <v>0</v>
      </c>
      <c r="KR25" s="28">
        <f t="shared" si="206"/>
        <v>-10000000000</v>
      </c>
      <c r="KS25" s="29"/>
      <c r="KT25" s="28"/>
      <c r="KU25" s="29">
        <f t="shared" si="408"/>
        <v>17</v>
      </c>
      <c r="KV25" s="152">
        <f t="shared" si="207"/>
        <v>0</v>
      </c>
      <c r="KW25" s="152">
        <f t="shared" si="208"/>
        <v>0</v>
      </c>
      <c r="KX25" s="152">
        <f t="shared" si="209"/>
        <v>0</v>
      </c>
      <c r="KY25" s="28">
        <f t="shared" si="210"/>
        <v>-10000000000</v>
      </c>
      <c r="KZ25" s="29"/>
      <c r="LA25" s="28"/>
      <c r="LB25" s="29">
        <f t="shared" si="409"/>
        <v>17</v>
      </c>
      <c r="LC25" s="152">
        <f t="shared" si="211"/>
        <v>0</v>
      </c>
      <c r="LD25" s="152">
        <f t="shared" si="212"/>
        <v>0</v>
      </c>
      <c r="LE25" s="152">
        <f t="shared" si="213"/>
        <v>0</v>
      </c>
      <c r="LF25" s="28">
        <f t="shared" si="214"/>
        <v>-10000000000</v>
      </c>
      <c r="LG25" s="29"/>
      <c r="LH25" s="28"/>
      <c r="LI25" s="29">
        <f t="shared" si="410"/>
        <v>17</v>
      </c>
      <c r="LJ25" s="152">
        <f t="shared" si="215"/>
        <v>0</v>
      </c>
      <c r="LK25" s="152">
        <f t="shared" si="216"/>
        <v>0</v>
      </c>
      <c r="LL25" s="152">
        <f t="shared" si="217"/>
        <v>0</v>
      </c>
      <c r="LM25" s="28">
        <f t="shared" si="218"/>
        <v>-10000000000</v>
      </c>
      <c r="LN25" s="29"/>
      <c r="LO25" s="28"/>
      <c r="LP25" s="29">
        <f t="shared" si="411"/>
        <v>17</v>
      </c>
      <c r="LQ25" s="152">
        <f t="shared" si="219"/>
        <v>0</v>
      </c>
      <c r="LR25" s="152">
        <f t="shared" si="220"/>
        <v>0</v>
      </c>
      <c r="LS25" s="152">
        <f t="shared" si="221"/>
        <v>0</v>
      </c>
      <c r="LT25" s="28">
        <f t="shared" si="222"/>
        <v>-10000000000</v>
      </c>
      <c r="LU25" s="29"/>
      <c r="LV25" s="28"/>
      <c r="LW25" s="29">
        <f t="shared" si="412"/>
        <v>17</v>
      </c>
      <c r="LX25" s="152">
        <f t="shared" si="223"/>
        <v>0</v>
      </c>
      <c r="LY25" s="152">
        <f t="shared" si="224"/>
        <v>0</v>
      </c>
      <c r="LZ25" s="152">
        <f t="shared" si="225"/>
        <v>0</v>
      </c>
      <c r="MA25" s="28">
        <f t="shared" si="226"/>
        <v>-10000000000</v>
      </c>
      <c r="MB25" s="29"/>
      <c r="MC25" s="28"/>
      <c r="MD25" s="29">
        <f t="shared" si="413"/>
        <v>17</v>
      </c>
      <c r="ME25" s="152">
        <f t="shared" si="227"/>
        <v>0</v>
      </c>
      <c r="MF25" s="152">
        <f t="shared" si="228"/>
        <v>0</v>
      </c>
      <c r="MG25" s="152">
        <f t="shared" si="229"/>
        <v>0</v>
      </c>
      <c r="MH25" s="28">
        <f t="shared" si="230"/>
        <v>-10000000000</v>
      </c>
      <c r="MI25" s="29"/>
      <c r="MJ25" s="28"/>
      <c r="MK25" s="29">
        <f t="shared" si="414"/>
        <v>17</v>
      </c>
      <c r="ML25" s="152">
        <f t="shared" si="231"/>
        <v>0</v>
      </c>
      <c r="MM25" s="152">
        <f t="shared" si="232"/>
        <v>0</v>
      </c>
      <c r="MN25" s="152">
        <f t="shared" si="233"/>
        <v>0</v>
      </c>
      <c r="MO25" s="28">
        <f t="shared" si="234"/>
        <v>-10000000000</v>
      </c>
      <c r="MP25" s="29"/>
      <c r="MQ25" s="28"/>
      <c r="MR25" s="29">
        <f t="shared" si="415"/>
        <v>17</v>
      </c>
      <c r="MS25" s="152">
        <f t="shared" si="235"/>
        <v>0</v>
      </c>
      <c r="MT25" s="152">
        <f t="shared" si="236"/>
        <v>0</v>
      </c>
      <c r="MU25" s="152">
        <f t="shared" si="237"/>
        <v>0</v>
      </c>
      <c r="MV25" s="28">
        <f t="shared" si="238"/>
        <v>-10000000000</v>
      </c>
      <c r="MW25" s="29"/>
      <c r="MX25" s="28"/>
      <c r="MY25" s="29">
        <f t="shared" si="416"/>
        <v>17</v>
      </c>
      <c r="MZ25" s="152">
        <f t="shared" si="239"/>
        <v>0</v>
      </c>
      <c r="NA25" s="152">
        <f t="shared" si="240"/>
        <v>0</v>
      </c>
      <c r="NB25" s="152">
        <f t="shared" si="241"/>
        <v>0</v>
      </c>
      <c r="NC25" s="28">
        <f t="shared" si="242"/>
        <v>-10000000000</v>
      </c>
      <c r="ND25" s="29"/>
      <c r="NE25" s="28"/>
      <c r="NF25" s="29">
        <f t="shared" si="417"/>
        <v>17</v>
      </c>
      <c r="NG25" s="152">
        <f t="shared" si="243"/>
        <v>0</v>
      </c>
      <c r="NH25" s="152">
        <f t="shared" si="244"/>
        <v>0</v>
      </c>
      <c r="NI25" s="152">
        <f t="shared" si="245"/>
        <v>0</v>
      </c>
      <c r="NJ25" s="28">
        <f t="shared" si="246"/>
        <v>-10000000000</v>
      </c>
      <c r="NK25" s="29"/>
      <c r="NL25" s="28"/>
      <c r="NM25" s="29">
        <f t="shared" si="418"/>
        <v>17</v>
      </c>
      <c r="NN25" s="152">
        <f t="shared" si="247"/>
        <v>0</v>
      </c>
      <c r="NO25" s="152">
        <f t="shared" si="248"/>
        <v>0</v>
      </c>
      <c r="NP25" s="152">
        <f t="shared" si="249"/>
        <v>0</v>
      </c>
      <c r="NQ25" s="28">
        <f t="shared" si="250"/>
        <v>-10000000000</v>
      </c>
      <c r="NR25" s="29"/>
      <c r="NS25" s="28"/>
      <c r="NT25" s="29">
        <f t="shared" si="419"/>
        <v>17</v>
      </c>
      <c r="NU25" s="152">
        <f t="shared" si="251"/>
        <v>0</v>
      </c>
      <c r="NV25" s="152">
        <f t="shared" si="252"/>
        <v>0</v>
      </c>
      <c r="NW25" s="152">
        <f t="shared" si="253"/>
        <v>0</v>
      </c>
      <c r="NX25" s="28">
        <f t="shared" si="254"/>
        <v>-10000000000</v>
      </c>
      <c r="NY25" s="29"/>
      <c r="NZ25" s="28"/>
      <c r="OA25" s="29">
        <f t="shared" si="420"/>
        <v>17</v>
      </c>
      <c r="OB25" s="152">
        <f t="shared" si="255"/>
        <v>0</v>
      </c>
      <c r="OC25" s="152">
        <f t="shared" si="256"/>
        <v>0</v>
      </c>
      <c r="OD25" s="152">
        <f t="shared" si="257"/>
        <v>0</v>
      </c>
      <c r="OE25" s="28">
        <f t="shared" si="258"/>
        <v>-10000000000</v>
      </c>
      <c r="OF25" s="29"/>
      <c r="OG25" s="28"/>
      <c r="OH25" s="29">
        <f t="shared" si="421"/>
        <v>17</v>
      </c>
      <c r="OI25" s="152">
        <f t="shared" si="259"/>
        <v>0</v>
      </c>
      <c r="OJ25" s="152">
        <f t="shared" si="260"/>
        <v>0</v>
      </c>
      <c r="OK25" s="152">
        <f t="shared" si="261"/>
        <v>0</v>
      </c>
      <c r="OL25" s="28">
        <f t="shared" si="262"/>
        <v>-10000000000</v>
      </c>
      <c r="OM25" s="29"/>
      <c r="ON25" s="28"/>
      <c r="OO25" s="29">
        <f t="shared" si="422"/>
        <v>17</v>
      </c>
      <c r="OP25" s="152">
        <f t="shared" si="263"/>
        <v>0</v>
      </c>
      <c r="OQ25" s="152">
        <f t="shared" si="264"/>
        <v>0</v>
      </c>
      <c r="OR25" s="152">
        <f t="shared" si="265"/>
        <v>0</v>
      </c>
      <c r="OS25" s="28">
        <f t="shared" si="266"/>
        <v>-10000000000</v>
      </c>
      <c r="OT25" s="29"/>
      <c r="OU25" s="28"/>
      <c r="OV25" s="29">
        <f t="shared" si="423"/>
        <v>17</v>
      </c>
      <c r="OW25" s="152">
        <f t="shared" si="267"/>
        <v>0</v>
      </c>
      <c r="OX25" s="152">
        <f t="shared" si="268"/>
        <v>0</v>
      </c>
      <c r="OY25" s="152">
        <f t="shared" si="269"/>
        <v>0</v>
      </c>
      <c r="OZ25" s="28">
        <f t="shared" si="270"/>
        <v>-10000000000</v>
      </c>
      <c r="PA25" s="29"/>
      <c r="PB25" s="28"/>
      <c r="PC25" s="29">
        <f t="shared" si="424"/>
        <v>17</v>
      </c>
      <c r="PD25" s="152">
        <f t="shared" si="271"/>
        <v>0</v>
      </c>
      <c r="PE25" s="152">
        <f t="shared" si="272"/>
        <v>0</v>
      </c>
      <c r="PF25" s="152">
        <f t="shared" si="273"/>
        <v>0</v>
      </c>
      <c r="PG25" s="28">
        <f t="shared" si="274"/>
        <v>-10000000000</v>
      </c>
      <c r="PH25" s="29"/>
      <c r="PI25" s="28"/>
      <c r="PJ25" s="29">
        <f t="shared" si="425"/>
        <v>17</v>
      </c>
      <c r="PK25" s="152">
        <f t="shared" si="275"/>
        <v>0</v>
      </c>
      <c r="PL25" s="152">
        <f t="shared" si="276"/>
        <v>0</v>
      </c>
      <c r="PM25" s="152">
        <f t="shared" si="277"/>
        <v>0</v>
      </c>
      <c r="PN25" s="28">
        <f t="shared" si="278"/>
        <v>-10000000000</v>
      </c>
      <c r="PO25" s="29"/>
      <c r="PP25" s="28"/>
      <c r="PQ25" s="29">
        <f t="shared" si="426"/>
        <v>17</v>
      </c>
      <c r="PR25" s="152">
        <f t="shared" si="279"/>
        <v>0</v>
      </c>
      <c r="PS25" s="152">
        <f t="shared" si="280"/>
        <v>0</v>
      </c>
      <c r="PT25" s="152">
        <f t="shared" si="281"/>
        <v>0</v>
      </c>
      <c r="PU25" s="28">
        <f t="shared" si="282"/>
        <v>-10000000000</v>
      </c>
      <c r="PV25" s="29"/>
      <c r="PW25" s="28"/>
      <c r="PX25" s="29">
        <f t="shared" si="427"/>
        <v>17</v>
      </c>
      <c r="PY25" s="152">
        <f t="shared" si="283"/>
        <v>0</v>
      </c>
      <c r="PZ25" s="152">
        <f t="shared" si="284"/>
        <v>0</v>
      </c>
      <c r="QA25" s="152">
        <f t="shared" si="285"/>
        <v>0</v>
      </c>
      <c r="QB25" s="28">
        <f t="shared" si="286"/>
        <v>-10000000000</v>
      </c>
      <c r="QC25" s="29"/>
      <c r="QD25" s="28"/>
      <c r="QE25" s="29">
        <f t="shared" si="428"/>
        <v>17</v>
      </c>
      <c r="QF25" s="152">
        <f t="shared" si="287"/>
        <v>0</v>
      </c>
      <c r="QG25" s="152">
        <f t="shared" si="288"/>
        <v>0</v>
      </c>
      <c r="QH25" s="152">
        <f t="shared" si="289"/>
        <v>0</v>
      </c>
      <c r="QI25" s="28">
        <f t="shared" si="290"/>
        <v>-10000000000</v>
      </c>
      <c r="QJ25" s="29"/>
      <c r="QK25" s="28"/>
      <c r="QL25" s="29">
        <f t="shared" si="429"/>
        <v>17</v>
      </c>
      <c r="QM25" s="152">
        <f t="shared" si="291"/>
        <v>0</v>
      </c>
      <c r="QN25" s="152">
        <f t="shared" si="292"/>
        <v>0</v>
      </c>
      <c r="QO25" s="152">
        <f t="shared" si="293"/>
        <v>0</v>
      </c>
      <c r="QP25" s="28">
        <f t="shared" si="294"/>
        <v>-10000000000</v>
      </c>
      <c r="QQ25" s="29"/>
      <c r="QR25" s="28"/>
      <c r="QS25" s="29">
        <f t="shared" si="430"/>
        <v>17</v>
      </c>
      <c r="QT25" s="152">
        <f t="shared" si="295"/>
        <v>0</v>
      </c>
      <c r="QU25" s="152">
        <f t="shared" si="296"/>
        <v>0</v>
      </c>
      <c r="QV25" s="152">
        <f t="shared" si="297"/>
        <v>0</v>
      </c>
      <c r="QW25" s="28">
        <f t="shared" si="298"/>
        <v>-10000000000</v>
      </c>
      <c r="QX25" s="29"/>
      <c r="QY25" s="28"/>
      <c r="QZ25" s="29">
        <f t="shared" si="431"/>
        <v>17</v>
      </c>
      <c r="RA25" s="152">
        <f t="shared" si="299"/>
        <v>0</v>
      </c>
      <c r="RB25" s="152">
        <f t="shared" si="300"/>
        <v>0</v>
      </c>
      <c r="RC25" s="152">
        <f t="shared" si="301"/>
        <v>0</v>
      </c>
      <c r="RD25" s="28">
        <f t="shared" si="302"/>
        <v>-10000000000</v>
      </c>
      <c r="RE25" s="29"/>
      <c r="RF25" s="28"/>
      <c r="RG25" s="29">
        <f t="shared" si="432"/>
        <v>17</v>
      </c>
      <c r="RH25" s="152">
        <f t="shared" si="303"/>
        <v>0</v>
      </c>
      <c r="RI25" s="152">
        <f t="shared" si="304"/>
        <v>0</v>
      </c>
      <c r="RJ25" s="152">
        <f t="shared" si="305"/>
        <v>0</v>
      </c>
      <c r="RK25" s="28">
        <f t="shared" si="306"/>
        <v>-10000000000</v>
      </c>
      <c r="RL25" s="29"/>
      <c r="RM25" s="28"/>
      <c r="RN25" s="29">
        <f t="shared" si="433"/>
        <v>17</v>
      </c>
      <c r="RO25" s="152">
        <f t="shared" si="307"/>
        <v>0</v>
      </c>
      <c r="RP25" s="152">
        <f t="shared" si="308"/>
        <v>0</v>
      </c>
      <c r="RQ25" s="152">
        <f t="shared" si="309"/>
        <v>0</v>
      </c>
      <c r="RR25" s="28">
        <f t="shared" si="310"/>
        <v>-10000000000</v>
      </c>
      <c r="RS25" s="29"/>
      <c r="RT25" s="28"/>
      <c r="RU25" s="29">
        <f t="shared" si="434"/>
        <v>17</v>
      </c>
      <c r="RV25" s="152">
        <f t="shared" si="311"/>
        <v>0</v>
      </c>
      <c r="RW25" s="152">
        <f t="shared" si="312"/>
        <v>0</v>
      </c>
      <c r="RX25" s="152">
        <f t="shared" si="313"/>
        <v>0</v>
      </c>
      <c r="RY25" s="28">
        <f t="shared" si="314"/>
        <v>-10000000000</v>
      </c>
      <c r="RZ25" s="29"/>
      <c r="SA25" s="28"/>
      <c r="SB25" s="29">
        <f t="shared" si="435"/>
        <v>17</v>
      </c>
      <c r="SC25" s="152">
        <f t="shared" si="315"/>
        <v>0</v>
      </c>
      <c r="SD25" s="152">
        <f t="shared" si="316"/>
        <v>0</v>
      </c>
      <c r="SE25" s="152">
        <f t="shared" si="317"/>
        <v>0</v>
      </c>
      <c r="SF25" s="28">
        <f t="shared" si="318"/>
        <v>-10000000000</v>
      </c>
      <c r="SG25" s="29"/>
      <c r="SH25" s="28"/>
      <c r="SI25" s="29">
        <f t="shared" si="436"/>
        <v>17</v>
      </c>
      <c r="SJ25" s="152">
        <f t="shared" si="319"/>
        <v>0</v>
      </c>
      <c r="SK25" s="152">
        <f t="shared" si="320"/>
        <v>0</v>
      </c>
      <c r="SL25" s="152">
        <f t="shared" si="321"/>
        <v>0</v>
      </c>
      <c r="SM25" s="28">
        <f t="shared" si="322"/>
        <v>-10000000000</v>
      </c>
      <c r="SN25" s="29"/>
      <c r="SO25" s="28"/>
      <c r="SP25" s="29">
        <f t="shared" si="437"/>
        <v>17</v>
      </c>
      <c r="SQ25" s="152">
        <f t="shared" si="323"/>
        <v>0</v>
      </c>
      <c r="SR25" s="152">
        <f t="shared" si="324"/>
        <v>0</v>
      </c>
      <c r="SS25" s="152">
        <f t="shared" si="325"/>
        <v>0</v>
      </c>
      <c r="ST25" s="28">
        <f t="shared" si="326"/>
        <v>-10000000000</v>
      </c>
      <c r="SU25" s="29"/>
      <c r="SV25" s="28"/>
      <c r="SW25" s="29">
        <f t="shared" si="438"/>
        <v>17</v>
      </c>
      <c r="SX25" s="152">
        <f t="shared" si="327"/>
        <v>0</v>
      </c>
      <c r="SY25" s="152">
        <f t="shared" si="328"/>
        <v>0</v>
      </c>
      <c r="SZ25" s="152">
        <f t="shared" si="329"/>
        <v>0</v>
      </c>
      <c r="TA25" s="28">
        <f t="shared" si="330"/>
        <v>-10000000000</v>
      </c>
      <c r="TB25" s="29"/>
      <c r="TC25" s="28"/>
      <c r="TD25" s="29">
        <f t="shared" si="439"/>
        <v>17</v>
      </c>
      <c r="TE25" s="152">
        <f t="shared" si="331"/>
        <v>0</v>
      </c>
      <c r="TF25" s="152">
        <f t="shared" si="332"/>
        <v>0</v>
      </c>
      <c r="TG25" s="152">
        <f t="shared" si="333"/>
        <v>0</v>
      </c>
      <c r="TH25" s="28">
        <f t="shared" si="334"/>
        <v>-10000000000</v>
      </c>
      <c r="TI25" s="29"/>
      <c r="TJ25" s="28"/>
      <c r="TK25" s="29">
        <f t="shared" si="440"/>
        <v>17</v>
      </c>
      <c r="TL25" s="152">
        <f t="shared" si="335"/>
        <v>0</v>
      </c>
      <c r="TM25" s="152">
        <f t="shared" si="336"/>
        <v>0</v>
      </c>
      <c r="TN25" s="152">
        <f t="shared" si="337"/>
        <v>0</v>
      </c>
      <c r="TO25" s="28">
        <f t="shared" si="338"/>
        <v>-10000000000</v>
      </c>
      <c r="TP25" s="29"/>
      <c r="TQ25" s="28"/>
      <c r="TR25" s="29">
        <f t="shared" si="441"/>
        <v>17</v>
      </c>
      <c r="TS25" s="152">
        <f t="shared" si="339"/>
        <v>0</v>
      </c>
      <c r="TT25" s="152">
        <f t="shared" si="340"/>
        <v>0</v>
      </c>
      <c r="TU25" s="152">
        <f t="shared" si="341"/>
        <v>0</v>
      </c>
      <c r="TV25" s="28">
        <f t="shared" si="342"/>
        <v>-10000000000</v>
      </c>
      <c r="TW25" s="29"/>
      <c r="TX25" s="28"/>
      <c r="TY25" s="29">
        <f t="shared" si="442"/>
        <v>17</v>
      </c>
      <c r="TZ25" s="152">
        <f t="shared" si="343"/>
        <v>0</v>
      </c>
      <c r="UA25" s="152">
        <f t="shared" si="344"/>
        <v>0</v>
      </c>
      <c r="UB25" s="152">
        <f t="shared" si="345"/>
        <v>0</v>
      </c>
      <c r="UC25" s="28">
        <f t="shared" si="346"/>
        <v>-10000000000</v>
      </c>
      <c r="UD25" s="29"/>
      <c r="UE25" s="28"/>
      <c r="UF25" s="29">
        <f t="shared" si="443"/>
        <v>17</v>
      </c>
      <c r="UG25" s="152">
        <f t="shared" si="347"/>
        <v>0</v>
      </c>
      <c r="UH25" s="152">
        <f t="shared" si="348"/>
        <v>0</v>
      </c>
      <c r="UI25" s="152">
        <f t="shared" si="349"/>
        <v>0</v>
      </c>
      <c r="UJ25" s="28">
        <f t="shared" si="350"/>
        <v>-10000000000</v>
      </c>
      <c r="UK25" s="29"/>
      <c r="UL25" s="28"/>
      <c r="UM25" s="29">
        <f t="shared" si="444"/>
        <v>17</v>
      </c>
      <c r="UN25" s="152">
        <f t="shared" si="351"/>
        <v>0</v>
      </c>
      <c r="UO25" s="152">
        <f t="shared" si="352"/>
        <v>0</v>
      </c>
      <c r="UP25" s="152">
        <f t="shared" si="353"/>
        <v>0</v>
      </c>
      <c r="UQ25" s="28">
        <f t="shared" si="354"/>
        <v>-10000000000</v>
      </c>
      <c r="UR25" s="29"/>
      <c r="US25" s="28"/>
      <c r="UT25" s="29">
        <f t="shared" si="445"/>
        <v>17</v>
      </c>
      <c r="UU25" s="129"/>
      <c r="UV25" s="129">
        <f t="shared" si="355"/>
        <v>0</v>
      </c>
      <c r="UW25" s="129">
        <f t="shared" si="356"/>
        <v>17</v>
      </c>
      <c r="UX25" s="129">
        <f t="shared" ca="1" si="446"/>
        <v>17</v>
      </c>
      <c r="UY25" s="129">
        <f t="shared" ca="1" si="446"/>
        <v>17</v>
      </c>
      <c r="UZ25" s="129">
        <f t="shared" ca="1" si="446"/>
        <v>17</v>
      </c>
      <c r="VA25" s="129">
        <f t="shared" ca="1" si="446"/>
        <v>17</v>
      </c>
      <c r="VB25" s="129">
        <f t="shared" ca="1" si="446"/>
        <v>17</v>
      </c>
      <c r="VC25" s="129">
        <f t="shared" ca="1" si="446"/>
        <v>17</v>
      </c>
      <c r="VD25" s="129">
        <f t="shared" ca="1" si="446"/>
        <v>17</v>
      </c>
      <c r="VE25" s="129">
        <f t="shared" ca="1" si="446"/>
        <v>17</v>
      </c>
      <c r="VF25" s="129">
        <f t="shared" ca="1" si="446"/>
        <v>17</v>
      </c>
      <c r="VG25" s="129">
        <f t="shared" ca="1" si="446"/>
        <v>17</v>
      </c>
      <c r="VH25" s="129">
        <f t="shared" ca="1" si="446"/>
        <v>17</v>
      </c>
      <c r="VI25" s="129">
        <f t="shared" ca="1" si="446"/>
        <v>17</v>
      </c>
      <c r="VJ25" s="129">
        <f t="shared" ca="1" si="446"/>
        <v>17</v>
      </c>
      <c r="VK25" s="129">
        <f t="shared" ca="1" si="446"/>
        <v>17</v>
      </c>
      <c r="VL25" s="129">
        <f t="shared" ca="1" si="446"/>
        <v>17</v>
      </c>
      <c r="VM25" s="129">
        <f t="shared" ca="1" si="446"/>
        <v>17</v>
      </c>
      <c r="VN25" s="129">
        <f t="shared" ca="1" si="406"/>
        <v>17</v>
      </c>
      <c r="VO25" s="129">
        <f t="shared" ca="1" si="406"/>
        <v>17</v>
      </c>
      <c r="VP25" s="129">
        <f t="shared" ca="1" si="406"/>
        <v>17</v>
      </c>
      <c r="VQ25" s="129">
        <f t="shared" ca="1" si="406"/>
        <v>17</v>
      </c>
      <c r="VR25" s="129">
        <f t="shared" ca="1" si="406"/>
        <v>17</v>
      </c>
      <c r="VS25" s="129">
        <f t="shared" ca="1" si="406"/>
        <v>17</v>
      </c>
      <c r="VT25" s="129">
        <f t="shared" ca="1" si="406"/>
        <v>17</v>
      </c>
      <c r="VU25" s="129">
        <f t="shared" ca="1" si="406"/>
        <v>17</v>
      </c>
      <c r="VV25" s="129">
        <f t="shared" ca="1" si="406"/>
        <v>17</v>
      </c>
      <c r="VW25" s="129">
        <f t="shared" ca="1" si="406"/>
        <v>17</v>
      </c>
      <c r="VX25" s="129">
        <f t="shared" ca="1" si="406"/>
        <v>17</v>
      </c>
      <c r="VY25" s="129">
        <f t="shared" ca="1" si="406"/>
        <v>17</v>
      </c>
      <c r="VZ25" s="129">
        <f t="shared" ca="1" si="406"/>
        <v>17</v>
      </c>
      <c r="WA25" s="129">
        <f t="shared" ca="1" si="406"/>
        <v>17</v>
      </c>
      <c r="WB25" s="129">
        <f t="shared" ca="1" si="406"/>
        <v>17</v>
      </c>
      <c r="WC25" s="129">
        <f t="shared" ca="1" si="406"/>
        <v>17</v>
      </c>
      <c r="WD25" s="129">
        <f t="shared" ca="1" si="407"/>
        <v>17</v>
      </c>
      <c r="WE25" s="129">
        <f t="shared" ca="1" si="66"/>
        <v>17</v>
      </c>
      <c r="WF25" s="129">
        <f t="shared" ca="1" si="66"/>
        <v>17</v>
      </c>
      <c r="WG25" s="129">
        <f t="shared" ca="1" si="66"/>
        <v>17</v>
      </c>
      <c r="WH25" s="129">
        <f t="shared" ca="1" si="66"/>
        <v>17</v>
      </c>
      <c r="WK25" s="87">
        <f t="shared" si="358"/>
        <v>0</v>
      </c>
      <c r="WL25" s="87">
        <v>22</v>
      </c>
      <c r="WM25" s="87">
        <v>22</v>
      </c>
      <c r="WN25" s="87">
        <f>IF($WI$3&gt;=WN$3,UW25,NA())</f>
        <v>17</v>
      </c>
      <c r="WO25" s="87">
        <f ca="1">IF($WI$3&gt;=WO$3,UX25,NA())</f>
        <v>17</v>
      </c>
      <c r="WP25" s="87">
        <f ca="1">IF($WI$3&gt;=WP$3,UY25,NA())</f>
        <v>17</v>
      </c>
      <c r="WQ25" s="87">
        <f ca="1">IF($WI$3&gt;=WQ$3,UZ25,NA())</f>
        <v>17</v>
      </c>
      <c r="WR25" s="87">
        <f ca="1">IF($WI$3&gt;=WR$3,VA25,NA())</f>
        <v>17</v>
      </c>
      <c r="WS25" s="87">
        <f ca="1">IF($WI$3&gt;=WS$3,VB25,NA())</f>
        <v>17</v>
      </c>
      <c r="WT25" s="87">
        <f ca="1">IF($WI$3&gt;=WT$3,VC25,NA())</f>
        <v>17</v>
      </c>
      <c r="WU25" s="87">
        <f ca="1">IF($WI$3&gt;=WU$3,VD25,NA())</f>
        <v>17</v>
      </c>
      <c r="WV25" s="87">
        <f ca="1">IF($WI$3&gt;=WV$3,VE25,NA())</f>
        <v>17</v>
      </c>
      <c r="WW25" s="87">
        <f ca="1">IF($WI$3&gt;=WW$3,VF25,NA())</f>
        <v>17</v>
      </c>
      <c r="WX25" s="87">
        <f ca="1">IF($WI$3&gt;=WX$3,VG25,NA())</f>
        <v>17</v>
      </c>
      <c r="WY25" s="87">
        <f ca="1">IF($WI$3&gt;=WY$3,VH25,NA())</f>
        <v>17</v>
      </c>
      <c r="WZ25" s="87">
        <f ca="1">IF($WI$3&gt;=WZ$3,VI25,NA())</f>
        <v>17</v>
      </c>
      <c r="XA25" s="87">
        <f ca="1">IF($WI$3&gt;=XA$3,VJ25,NA())</f>
        <v>17</v>
      </c>
      <c r="XB25" s="87">
        <f ca="1">IF($WI$3&gt;=XB$3,VK25,NA())</f>
        <v>17</v>
      </c>
      <c r="XC25" s="87">
        <f ca="1">IF($WI$3&gt;=XC$3,VL25,NA())</f>
        <v>17</v>
      </c>
      <c r="XD25" s="87">
        <f ca="1">IF($WI$3&gt;=XD$3,VM25,NA())</f>
        <v>17</v>
      </c>
      <c r="XE25" s="87">
        <f ca="1">IF($WI$3&gt;=XE$3,VN25,NA())</f>
        <v>17</v>
      </c>
      <c r="XF25" s="87">
        <f ca="1">IF($WI$3&gt;=XF$3,VO25,NA())</f>
        <v>17</v>
      </c>
      <c r="XG25" s="87">
        <f ca="1">IF($WI$3&gt;=XG$3,VP25,NA())</f>
        <v>17</v>
      </c>
      <c r="XH25" s="87">
        <f ca="1">IF($WI$3&gt;=XH$3,VQ25,NA())</f>
        <v>17</v>
      </c>
      <c r="XI25" s="87" t="e">
        <f>IF($WI$3&gt;=XI$3,VR25,NA())</f>
        <v>#N/A</v>
      </c>
      <c r="XJ25" s="87" t="e">
        <f>IF($WI$3&gt;=XJ$3,VS25,NA())</f>
        <v>#N/A</v>
      </c>
      <c r="XK25" s="87" t="e">
        <f>IF($WI$3&gt;=XK$3,VT25,NA())</f>
        <v>#N/A</v>
      </c>
      <c r="XL25" s="87" t="e">
        <f>IF($WI$3&gt;=XL$3,VU25,NA())</f>
        <v>#N/A</v>
      </c>
      <c r="XM25" s="87" t="e">
        <f>IF($WI$3&gt;=XM$3,VV25,NA())</f>
        <v>#N/A</v>
      </c>
      <c r="XN25" s="87" t="e">
        <f>IF($WI$3&gt;=XN$3,VW25,NA())</f>
        <v>#N/A</v>
      </c>
      <c r="XO25" s="87" t="e">
        <f>IF($WI$3&gt;=XO$3,VX25,NA())</f>
        <v>#N/A</v>
      </c>
      <c r="XP25" s="87" t="e">
        <f>IF($WI$3&gt;=XP$3,VY25,NA())</f>
        <v>#N/A</v>
      </c>
      <c r="XQ25" s="87" t="e">
        <f>IF($WI$3&gt;=XQ$3,VZ25,NA())</f>
        <v>#N/A</v>
      </c>
      <c r="XR25" s="87" t="e">
        <f>IF($WI$3&gt;=XR$3,WA25,NA())</f>
        <v>#N/A</v>
      </c>
      <c r="XS25" s="87" t="e">
        <f>IF($WI$3&gt;=XS$3,WB25,NA())</f>
        <v>#N/A</v>
      </c>
      <c r="XT25" s="87" t="e">
        <f>IF($WI$3&gt;=XT$3,WC25,NA())</f>
        <v>#N/A</v>
      </c>
      <c r="XU25" s="87" t="e">
        <f>IF($WI$3&gt;=XU$3,WD25,NA())</f>
        <v>#N/A</v>
      </c>
      <c r="XV25" s="87" t="e">
        <f>IF($WI$3&gt;=XV$3,WE25,NA())</f>
        <v>#N/A</v>
      </c>
      <c r="XW25" s="87" t="e">
        <f>IF($WI$3&gt;=XW$3,WF25,NA())</f>
        <v>#N/A</v>
      </c>
      <c r="XX25" s="87" t="e">
        <f>IF($WI$3&gt;=XX$3,WG25,NA())</f>
        <v>#N/A</v>
      </c>
      <c r="XY25" s="87" t="e">
        <f>IF($WI$3&gt;=XY$3,WH25,NA())</f>
        <v>#N/A</v>
      </c>
      <c r="YE25" s="87"/>
      <c r="YF25" s="87"/>
    </row>
    <row r="26" spans="4:723">
      <c r="D26" s="29"/>
      <c r="E26" s="13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5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5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6"/>
      <c r="AP26" s="27"/>
      <c r="AQ26" s="28"/>
      <c r="AR26" s="29"/>
      <c r="AS26" s="28"/>
      <c r="AT26" s="29"/>
      <c r="AU26" s="30"/>
      <c r="AV26" s="29"/>
      <c r="AW26" s="29"/>
      <c r="AX26" s="29"/>
      <c r="AY26" s="29"/>
      <c r="AZ26" s="29"/>
      <c r="BA26" s="29"/>
      <c r="BB26" s="29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S26" s="10" t="s">
        <v>49</v>
      </c>
      <c r="BT26" s="123">
        <v>0.22916666666666666</v>
      </c>
      <c r="BU26" s="123">
        <f t="shared" si="405"/>
        <v>0.39583333333333331</v>
      </c>
      <c r="BV26" s="10" t="s">
        <v>64</v>
      </c>
      <c r="CA26" s="130">
        <f t="shared" si="119"/>
        <v>-1</v>
      </c>
      <c r="CB26" s="130">
        <f t="shared" si="120"/>
        <v>100000</v>
      </c>
      <c r="CC26" s="130">
        <f t="shared" si="121"/>
        <v>-1</v>
      </c>
      <c r="CD26" s="130">
        <f t="shared" si="122"/>
        <v>100000</v>
      </c>
      <c r="CE26" s="130">
        <f t="shared" si="123"/>
        <v>-1</v>
      </c>
      <c r="CF26" s="130">
        <f t="shared" si="124"/>
        <v>100000</v>
      </c>
      <c r="CG26" s="130">
        <f t="shared" si="125"/>
        <v>-1</v>
      </c>
      <c r="CH26" s="130">
        <f t="shared" si="126"/>
        <v>100000</v>
      </c>
      <c r="CI26" s="130">
        <f t="shared" si="127"/>
        <v>-1</v>
      </c>
      <c r="CJ26" s="130">
        <f t="shared" si="128"/>
        <v>100000</v>
      </c>
      <c r="CK26" s="130">
        <f t="shared" si="129"/>
        <v>-100000</v>
      </c>
      <c r="CL26" s="130">
        <f t="shared" si="130"/>
        <v>100000</v>
      </c>
      <c r="CM26" s="130">
        <f t="shared" si="131"/>
        <v>-1</v>
      </c>
      <c r="CN26" s="130">
        <f t="shared" si="132"/>
        <v>100000</v>
      </c>
      <c r="CO26" s="130">
        <f t="shared" si="133"/>
        <v>-1</v>
      </c>
      <c r="CP26" s="130">
        <f t="shared" si="134"/>
        <v>100000</v>
      </c>
      <c r="CQ26" s="131"/>
      <c r="CR26" s="130">
        <f t="shared" si="360"/>
        <v>-1</v>
      </c>
      <c r="CS26" s="130">
        <f t="shared" si="135"/>
        <v>100000</v>
      </c>
      <c r="CT26" s="130">
        <f t="shared" si="361"/>
        <v>-1</v>
      </c>
      <c r="CU26" s="130">
        <f t="shared" si="362"/>
        <v>100000</v>
      </c>
      <c r="CV26" s="130">
        <f t="shared" si="363"/>
        <v>-1</v>
      </c>
      <c r="CW26" s="130">
        <f t="shared" si="364"/>
        <v>100000</v>
      </c>
      <c r="CX26" s="130">
        <f t="shared" si="365"/>
        <v>-1</v>
      </c>
      <c r="CY26" s="130">
        <f t="shared" si="366"/>
        <v>100000</v>
      </c>
      <c r="CZ26" s="130">
        <f t="shared" si="367"/>
        <v>-1</v>
      </c>
      <c r="DA26" s="130">
        <f t="shared" si="368"/>
        <v>100000</v>
      </c>
      <c r="DB26" s="130">
        <f t="shared" si="369"/>
        <v>-100000</v>
      </c>
      <c r="DC26" s="130">
        <f t="shared" si="370"/>
        <v>100000</v>
      </c>
      <c r="DD26" s="130">
        <f t="shared" si="371"/>
        <v>-1</v>
      </c>
      <c r="DE26" s="130">
        <f t="shared" si="372"/>
        <v>100000</v>
      </c>
      <c r="DF26" s="130">
        <f t="shared" si="373"/>
        <v>-1</v>
      </c>
      <c r="DG26" s="130">
        <f t="shared" si="374"/>
        <v>100000</v>
      </c>
      <c r="DH26" s="131"/>
      <c r="DI26" s="130">
        <f t="shared" si="389"/>
        <v>-1</v>
      </c>
      <c r="DJ26" s="130">
        <f t="shared" si="136"/>
        <v>100000</v>
      </c>
      <c r="DK26" s="130">
        <f t="shared" si="390"/>
        <v>-1</v>
      </c>
      <c r="DL26" s="130">
        <f t="shared" si="391"/>
        <v>100000</v>
      </c>
      <c r="DM26" s="130">
        <f t="shared" si="392"/>
        <v>-1</v>
      </c>
      <c r="DN26" s="130">
        <f t="shared" si="393"/>
        <v>100000</v>
      </c>
      <c r="DO26" s="130">
        <f t="shared" si="394"/>
        <v>-1</v>
      </c>
      <c r="DP26" s="130">
        <f t="shared" si="395"/>
        <v>100000</v>
      </c>
      <c r="DQ26" s="130">
        <f t="shared" si="396"/>
        <v>-1</v>
      </c>
      <c r="DR26" s="130">
        <f t="shared" si="397"/>
        <v>100000</v>
      </c>
      <c r="DS26" s="130">
        <f t="shared" si="398"/>
        <v>-100000</v>
      </c>
      <c r="DT26" s="130">
        <f t="shared" si="399"/>
        <v>100000</v>
      </c>
      <c r="DU26" s="130">
        <f t="shared" si="400"/>
        <v>-1</v>
      </c>
      <c r="DV26" s="130">
        <f t="shared" si="401"/>
        <v>100000</v>
      </c>
      <c r="DW26" s="130">
        <f t="shared" si="402"/>
        <v>-1</v>
      </c>
      <c r="DX26" s="130">
        <f t="shared" si="403"/>
        <v>100000</v>
      </c>
      <c r="DY26" s="132"/>
      <c r="DZ26" s="115">
        <v>23</v>
      </c>
      <c r="EA26" s="115">
        <v>8</v>
      </c>
      <c r="EB26" s="10">
        <f t="shared" si="137"/>
        <v>17</v>
      </c>
      <c r="EC26" s="10">
        <f t="shared" si="138"/>
        <v>17</v>
      </c>
      <c r="ED26" s="10">
        <f t="shared" si="139"/>
        <v>17</v>
      </c>
      <c r="EE26" s="10">
        <f t="shared" si="140"/>
        <v>17</v>
      </c>
      <c r="EF26" s="10">
        <f t="shared" si="141"/>
        <v>17</v>
      </c>
      <c r="EG26" s="10">
        <f t="shared" si="142"/>
        <v>17</v>
      </c>
      <c r="EH26" s="10">
        <f t="shared" si="143"/>
        <v>17</v>
      </c>
      <c r="EI26" s="10">
        <f t="shared" si="144"/>
        <v>17</v>
      </c>
      <c r="EJ26" s="10">
        <f t="shared" si="145"/>
        <v>17</v>
      </c>
      <c r="EK26" s="10">
        <f t="shared" si="146"/>
        <v>17</v>
      </c>
      <c r="EL26" s="10">
        <f t="shared" si="147"/>
        <v>17</v>
      </c>
      <c r="EM26" s="10">
        <f t="shared" si="148"/>
        <v>17</v>
      </c>
      <c r="EN26" s="10">
        <f t="shared" si="149"/>
        <v>17</v>
      </c>
      <c r="EO26" s="10">
        <f t="shared" si="150"/>
        <v>17</v>
      </c>
      <c r="EP26" s="10">
        <f t="shared" si="151"/>
        <v>17</v>
      </c>
      <c r="EQ26" s="10">
        <f t="shared" si="152"/>
        <v>17</v>
      </c>
      <c r="ES26" s="10">
        <f t="shared" si="153"/>
        <v>17</v>
      </c>
      <c r="ET26" s="10">
        <f t="shared" si="154"/>
        <v>17</v>
      </c>
      <c r="EU26" s="10">
        <f t="shared" si="155"/>
        <v>17</v>
      </c>
      <c r="EV26" s="10">
        <f t="shared" si="154"/>
        <v>17</v>
      </c>
      <c r="EW26" s="10">
        <f t="shared" si="156"/>
        <v>17</v>
      </c>
      <c r="EX26" s="10">
        <f t="shared" si="157"/>
        <v>17</v>
      </c>
      <c r="EY26" s="10">
        <f t="shared" si="158"/>
        <v>17</v>
      </c>
      <c r="EZ26" s="10">
        <f t="shared" si="159"/>
        <v>17</v>
      </c>
      <c r="FA26" s="10">
        <f t="shared" si="160"/>
        <v>17</v>
      </c>
      <c r="FB26" s="10">
        <f t="shared" si="161"/>
        <v>17</v>
      </c>
      <c r="FC26" s="10">
        <f t="shared" si="162"/>
        <v>17</v>
      </c>
      <c r="FD26" s="10">
        <f t="shared" si="163"/>
        <v>17</v>
      </c>
      <c r="FE26" s="10">
        <f t="shared" si="164"/>
        <v>17</v>
      </c>
      <c r="FF26" s="10">
        <f t="shared" si="165"/>
        <v>17</v>
      </c>
      <c r="FG26" s="10">
        <f t="shared" si="166"/>
        <v>17</v>
      </c>
      <c r="FH26" s="10">
        <f t="shared" si="167"/>
        <v>17</v>
      </c>
      <c r="FJ26" s="10">
        <f t="shared" si="168"/>
        <v>17</v>
      </c>
      <c r="FK26" s="10">
        <f t="shared" si="169"/>
        <v>17</v>
      </c>
      <c r="FL26" s="10">
        <f t="shared" si="170"/>
        <v>17</v>
      </c>
      <c r="FM26" s="10">
        <f t="shared" si="171"/>
        <v>17</v>
      </c>
      <c r="FN26" s="10">
        <f t="shared" si="172"/>
        <v>17</v>
      </c>
      <c r="FO26" s="10">
        <f t="shared" si="173"/>
        <v>17</v>
      </c>
      <c r="FP26" s="10">
        <f t="shared" si="174"/>
        <v>17</v>
      </c>
      <c r="FQ26" s="10">
        <f t="shared" si="175"/>
        <v>17</v>
      </c>
      <c r="FR26" s="10">
        <f t="shared" si="176"/>
        <v>17</v>
      </c>
      <c r="FS26" s="10">
        <f t="shared" si="177"/>
        <v>17</v>
      </c>
      <c r="FT26" s="10">
        <f t="shared" si="178"/>
        <v>17</v>
      </c>
      <c r="FU26" s="10">
        <f t="shared" si="179"/>
        <v>17</v>
      </c>
      <c r="FV26" s="10">
        <f t="shared" si="180"/>
        <v>17</v>
      </c>
      <c r="FW26" s="10">
        <f t="shared" si="181"/>
        <v>17</v>
      </c>
      <c r="FX26" s="10">
        <f t="shared" si="182"/>
        <v>17</v>
      </c>
      <c r="FY26" s="10">
        <f t="shared" si="183"/>
        <v>17</v>
      </c>
      <c r="GA26" s="10">
        <f>IF(lg!$C$18=1,EB26,IF(lg!$C$18=2,ES26,FJ26))</f>
        <v>17</v>
      </c>
      <c r="GB26" s="10">
        <f>IF(lg!$C$18=1,EC26,IF(lg!$C$18=2,ET26,FK26))</f>
        <v>17</v>
      </c>
      <c r="GC26" s="10">
        <f>IF(lg!$C$18=1,ED26,IF(lg!$C$18=2,EU26,FL26))</f>
        <v>17</v>
      </c>
      <c r="GD26" s="10">
        <f>IF(lg!$C$18=1,EE26,IF(lg!$C$18=2,EV26,FM26))</f>
        <v>17</v>
      </c>
      <c r="GE26" s="10">
        <f>IF(lg!$C$18=1,EF26,IF(lg!$C$18=2,EW26,FN26))</f>
        <v>17</v>
      </c>
      <c r="GF26" s="10">
        <f>IF(lg!$C$18=1,EG26,IF(lg!$C$18=2,EX26,FO26))</f>
        <v>17</v>
      </c>
      <c r="GG26" s="10">
        <f>IF(lg!$C$18=1,EH26,IF(lg!$C$18=2,EY26,FP26))</f>
        <v>17</v>
      </c>
      <c r="GH26" s="10">
        <f>IF(lg!$C$18=1,EI26,IF(lg!$C$18=2,EZ26,FQ26))</f>
        <v>17</v>
      </c>
      <c r="GI26" s="10">
        <f>IF(lg!$C$18=1,EJ26,IF(lg!$C$18=2,FA26,FR26))</f>
        <v>17</v>
      </c>
      <c r="GJ26" s="10">
        <f>IF(lg!$C$18=1,EK26,IF(lg!$C$18=2,FB26,FS26))</f>
        <v>17</v>
      </c>
      <c r="GK26" s="10">
        <f>IF(lg!$C$18=1,EL26,IF(lg!$C$18=2,FC26,FT26))</f>
        <v>17</v>
      </c>
      <c r="GL26" s="10">
        <f>IF(lg!$C$18=1,EM26,IF(lg!$C$18=2,FD26,FU26))</f>
        <v>17</v>
      </c>
      <c r="GM26" s="10">
        <f>IF(lg!$C$18=1,EN26,IF(lg!$C$18=2,FE26,FV26))</f>
        <v>17</v>
      </c>
      <c r="GN26" s="10">
        <f>IF(lg!$C$18=1,EO26,IF(lg!$C$18=2,FF26,FW26))</f>
        <v>17</v>
      </c>
      <c r="GO26" s="10">
        <f>IF(lg!$C$18=1,EP26,IF(lg!$C$18=2,FG26,FX26))</f>
        <v>17</v>
      </c>
      <c r="GP26" s="10">
        <f>IF(lg!$C$18=1,EQ26,IF(lg!$C$18=2,FH26,FY26))</f>
        <v>17</v>
      </c>
      <c r="GR26" s="10" t="e">
        <f t="shared" si="184"/>
        <v>#N/A</v>
      </c>
      <c r="GS26" s="10" t="e">
        <f t="shared" si="31"/>
        <v>#N/A</v>
      </c>
      <c r="GT26" s="10" t="e">
        <f t="shared" si="32"/>
        <v>#N/A</v>
      </c>
      <c r="GU26" s="10" t="e">
        <f t="shared" si="33"/>
        <v>#N/A</v>
      </c>
      <c r="GV26" s="10" t="e">
        <f t="shared" si="34"/>
        <v>#N/A</v>
      </c>
      <c r="GW26" s="10" t="e">
        <f t="shared" si="35"/>
        <v>#N/A</v>
      </c>
      <c r="GX26" s="10" t="e">
        <f t="shared" si="36"/>
        <v>#N/A</v>
      </c>
      <c r="GY26" s="10" t="e">
        <f t="shared" si="37"/>
        <v>#N/A</v>
      </c>
      <c r="GZ26" s="10" t="e">
        <f t="shared" si="38"/>
        <v>#N/A</v>
      </c>
      <c r="HA26" s="10" t="e">
        <f t="shared" si="39"/>
        <v>#N/A</v>
      </c>
      <c r="HB26" s="10" t="e">
        <f t="shared" si="40"/>
        <v>#N/A</v>
      </c>
      <c r="HC26" s="10" t="e">
        <f t="shared" si="41"/>
        <v>#N/A</v>
      </c>
      <c r="HD26" s="10" t="e">
        <f t="shared" si="42"/>
        <v>#N/A</v>
      </c>
      <c r="HE26" s="10" t="e">
        <f t="shared" si="43"/>
        <v>#N/A</v>
      </c>
      <c r="HF26" s="10" t="e">
        <f t="shared" si="44"/>
        <v>#N/A</v>
      </c>
      <c r="HG26" s="10" t="e">
        <f t="shared" si="45"/>
        <v>#N/A</v>
      </c>
      <c r="HI26" s="10">
        <v>23</v>
      </c>
      <c r="HJ26" s="115">
        <f>IF(lg!$C$18=1,F26,IF(lg!$C$18=2,R26,AD26))</f>
        <v>0</v>
      </c>
      <c r="HK26" s="115">
        <f>IF(lg!$C$18=1,G26,IF(lg!$C$18=2,S26,AE26))</f>
        <v>0</v>
      </c>
      <c r="HL26" s="115">
        <f>IF(lg!$C$18=1,H26,IF(lg!$C$18=2,T26,AF26))</f>
        <v>0</v>
      </c>
      <c r="HM26" s="115">
        <f>IF(lg!$C$18=1,I26,IF(lg!$C$18=2,U26,AG26))</f>
        <v>0</v>
      </c>
      <c r="HN26" s="115">
        <f>IF(lg!$C$18=1,J26,IF(lg!$C$18=2,V26,AH26))</f>
        <v>0</v>
      </c>
      <c r="HO26" s="115">
        <f>IF(lg!$C$18=1,K26,IF(lg!$C$18=2,W26,AI26))</f>
        <v>0</v>
      </c>
      <c r="HP26" s="115">
        <f>IF(lg!$C$18=1,L26,IF(lg!$C$18=2,X26,AJ26))</f>
        <v>0</v>
      </c>
      <c r="HQ26" s="115">
        <f>IF(lg!$C$18=1,M26,IF(lg!$C$18=2,Y26,AK26))</f>
        <v>0</v>
      </c>
      <c r="HR26" s="115">
        <f>IF(lg!$C$18=1,N26,IF(lg!$C$18=2,Z26,AL26))</f>
        <v>0</v>
      </c>
      <c r="HS26" s="115">
        <f>IF(lg!$C$18=1,O26,IF(lg!$C$18=2,AA26,AM26))</f>
        <v>0</v>
      </c>
      <c r="HT26" s="115">
        <f>IF(lg!$C$18=1,P26,IF(lg!$C$18=2,AB26,AN26))</f>
        <v>0</v>
      </c>
      <c r="HV26" s="115">
        <f t="shared" si="185"/>
        <v>0</v>
      </c>
      <c r="HW26" s="115">
        <f t="shared" si="186"/>
        <v>0</v>
      </c>
      <c r="HX26" s="115">
        <f t="shared" si="187"/>
        <v>0</v>
      </c>
      <c r="HY26" s="115">
        <f t="shared" si="188"/>
        <v>0</v>
      </c>
      <c r="HZ26" s="115">
        <f t="shared" si="189"/>
        <v>0</v>
      </c>
      <c r="IA26" s="115">
        <f t="shared" si="190"/>
        <v>0</v>
      </c>
      <c r="IB26" s="115">
        <f t="shared" si="191"/>
        <v>0</v>
      </c>
      <c r="IC26" s="115">
        <f t="shared" si="192"/>
        <v>0</v>
      </c>
      <c r="ID26" s="115">
        <f t="shared" si="193"/>
        <v>0</v>
      </c>
      <c r="IE26" s="115">
        <f t="shared" si="194"/>
        <v>0</v>
      </c>
      <c r="IF26" s="115">
        <f t="shared" si="195"/>
        <v>0</v>
      </c>
      <c r="IG26" s="115">
        <f t="shared" si="196"/>
        <v>0</v>
      </c>
      <c r="IH26" s="115">
        <f t="shared" si="197"/>
        <v>0</v>
      </c>
      <c r="II26" s="115">
        <f t="shared" si="198"/>
        <v>0</v>
      </c>
      <c r="IJ26" s="115">
        <f t="shared" si="199"/>
        <v>0</v>
      </c>
      <c r="IK26" s="115">
        <f t="shared" si="200"/>
        <v>0</v>
      </c>
      <c r="IN26" s="77" t="s">
        <v>138</v>
      </c>
      <c r="IO26" s="36" t="s">
        <v>10</v>
      </c>
      <c r="IP26" s="67">
        <f>VLOOKUP('ef-TeamStats'!B2,'ef-FT'!$E$4:$AN$23,35,0)</f>
        <v>4</v>
      </c>
      <c r="IQ26" s="67">
        <f>VLOOKUP('ef-TeamStats'!$B$2,Table!$B$4:$W$23,16,0)</f>
        <v>11</v>
      </c>
      <c r="IR26" s="134">
        <f t="shared" si="47"/>
        <v>0.36363636363636365</v>
      </c>
      <c r="IS26" s="133">
        <f>MATCH('ef-TeamStats'!$B$2,$KE$4:$KE$33,0)</f>
        <v>11</v>
      </c>
      <c r="IT26" s="67"/>
      <c r="IU26" s="36" t="s">
        <v>10</v>
      </c>
      <c r="IV26" s="67">
        <f>VLOOKUP('ef-TeamStats'!G2,'ef-FT'!$E$4:$AN$23,35,0)</f>
        <v>0</v>
      </c>
      <c r="IW26" s="67">
        <f>VLOOKUP('ef-TeamStats'!$G$2,Table!$B$4:$W$23,16,0)</f>
        <v>10</v>
      </c>
      <c r="IX26" s="134">
        <f t="shared" si="48"/>
        <v>0</v>
      </c>
      <c r="IY26" s="133">
        <f>MATCH('ef-TeamStats'!$G$2,$KE$4:$KE$33,0)</f>
        <v>16</v>
      </c>
      <c r="JB26" s="10">
        <f>IF(lg!$F$18=1,EB26,IF(lg!$F$18=2,ES26,FJ26))</f>
        <v>17</v>
      </c>
      <c r="JC26" s="10">
        <f>IF(lg!$F$18=1,EC26,IF(lg!$F$18=2,ET26,FK26))</f>
        <v>17</v>
      </c>
      <c r="JD26" s="10">
        <f>IF(lg!$F$18=1,ED26,IF(lg!$F$18=2,EU26,FL26))</f>
        <v>17</v>
      </c>
      <c r="JE26" s="10">
        <f>IF(lg!$F$18=1,EE26,IF(lg!$F$18=2,EV26,FM26))</f>
        <v>17</v>
      </c>
      <c r="JF26" s="10">
        <f>IF(lg!$F$18=1,EF26,IF(lg!$F$18=2,EW26,FN26))</f>
        <v>17</v>
      </c>
      <c r="JG26" s="10">
        <f>IF(lg!$F$18=1,EG26,IF(lg!$F$18=2,EX26,FO26))</f>
        <v>17</v>
      </c>
      <c r="JH26" s="10">
        <f>IF(lg!$F$18=1,EH26,IF(lg!$F$18=2,EY26,FP26))</f>
        <v>17</v>
      </c>
      <c r="JI26" s="10">
        <f>IF(lg!$F$18=1,EI26,IF(lg!$F$18=2,EZ26,FQ26))</f>
        <v>17</v>
      </c>
      <c r="JJ26" s="10">
        <f>IF(lg!$F$18=1,EJ26,IF(lg!$F$18=2,FA26,FR26))</f>
        <v>17</v>
      </c>
      <c r="JK26" s="10">
        <f>IF(lg!$F$18=1,EK26,IF(lg!$F$18=2,FB26,FS26))</f>
        <v>17</v>
      </c>
      <c r="JL26" s="10">
        <f>IF(lg!$F$18=1,EL26,IF(lg!$F$18=2,FC26,FT26))</f>
        <v>17</v>
      </c>
      <c r="JM26" s="10">
        <f>IF(lg!$F$18=1,EM26,IF(lg!$F$18=2,FD26,FU26))</f>
        <v>17</v>
      </c>
      <c r="JN26" s="10">
        <f>IF(lg!$F$18=1,EN26,IF(lg!$F$18=2,FE26,FV26))</f>
        <v>17</v>
      </c>
      <c r="JO26" s="10">
        <f>IF(lg!$F$18=1,EO26,IF(lg!$F$18=2,FF26,FW26))</f>
        <v>17</v>
      </c>
      <c r="JP26" s="10">
        <f>IF(lg!$F$18=1,EP26,IF(lg!$F$18=2,FG26,FX26))</f>
        <v>17</v>
      </c>
      <c r="JQ26" s="10">
        <f>IF(lg!$F$18=1,EQ26,IF(lg!$F$18=2,FH26,FY26))</f>
        <v>17</v>
      </c>
      <c r="JS26" s="10" t="e">
        <f t="shared" si="201"/>
        <v>#N/A</v>
      </c>
      <c r="JT26" s="10" t="e">
        <f t="shared" si="49"/>
        <v>#N/A</v>
      </c>
      <c r="JU26" s="10" t="e">
        <f t="shared" si="50"/>
        <v>#N/A</v>
      </c>
      <c r="JV26" s="10" t="e">
        <f t="shared" si="51"/>
        <v>#N/A</v>
      </c>
      <c r="JW26" s="10" t="e">
        <f t="shared" si="52"/>
        <v>#N/A</v>
      </c>
      <c r="JX26" s="10" t="e">
        <f t="shared" si="53"/>
        <v>#N/A</v>
      </c>
      <c r="JY26" s="10" t="e">
        <f t="shared" si="54"/>
        <v>#N/A</v>
      </c>
      <c r="JZ26" s="10" t="e">
        <f t="shared" si="55"/>
        <v>#N/A</v>
      </c>
      <c r="KA26" s="10" t="e">
        <f t="shared" si="56"/>
        <v>#N/A</v>
      </c>
      <c r="KB26" s="10" t="e">
        <f t="shared" si="57"/>
        <v>#N/A</v>
      </c>
      <c r="KC26" s="10" t="e">
        <f t="shared" si="58"/>
        <v>#N/A</v>
      </c>
      <c r="KD26" s="10" t="e">
        <f t="shared" si="59"/>
        <v>#N/A</v>
      </c>
      <c r="KE26" s="10" t="e">
        <f t="shared" si="60"/>
        <v>#N/A</v>
      </c>
      <c r="KF26" s="10" t="e">
        <f t="shared" si="61"/>
        <v>#N/A</v>
      </c>
      <c r="KG26" s="10" t="e">
        <f t="shared" si="62"/>
        <v>#N/A</v>
      </c>
      <c r="KH26" s="10" t="e">
        <f t="shared" si="63"/>
        <v>#N/A</v>
      </c>
      <c r="KL26" s="27">
        <v>0.08</v>
      </c>
      <c r="KM26" s="29">
        <v>23</v>
      </c>
      <c r="KN26" s="31">
        <f t="shared" si="202"/>
        <v>0</v>
      </c>
      <c r="KO26" s="152">
        <f t="shared" si="203"/>
        <v>0</v>
      </c>
      <c r="KP26" s="152">
        <f t="shared" si="204"/>
        <v>0</v>
      </c>
      <c r="KQ26" s="152">
        <f t="shared" si="205"/>
        <v>0</v>
      </c>
      <c r="KR26" s="28">
        <f t="shared" si="206"/>
        <v>-10000000000</v>
      </c>
      <c r="KS26" s="29"/>
      <c r="KT26" s="28"/>
      <c r="KU26" s="29">
        <f t="shared" si="408"/>
        <v>17</v>
      </c>
      <c r="KV26" s="152">
        <f t="shared" si="207"/>
        <v>0</v>
      </c>
      <c r="KW26" s="152">
        <f t="shared" si="208"/>
        <v>0</v>
      </c>
      <c r="KX26" s="152">
        <f t="shared" si="209"/>
        <v>0</v>
      </c>
      <c r="KY26" s="28">
        <f t="shared" si="210"/>
        <v>-10000000000</v>
      </c>
      <c r="KZ26" s="29"/>
      <c r="LA26" s="28"/>
      <c r="LB26" s="29">
        <f t="shared" si="409"/>
        <v>17</v>
      </c>
      <c r="LC26" s="152">
        <f t="shared" si="211"/>
        <v>0</v>
      </c>
      <c r="LD26" s="152">
        <f t="shared" si="212"/>
        <v>0</v>
      </c>
      <c r="LE26" s="152">
        <f t="shared" si="213"/>
        <v>0</v>
      </c>
      <c r="LF26" s="28">
        <f t="shared" si="214"/>
        <v>-10000000000</v>
      </c>
      <c r="LG26" s="29"/>
      <c r="LH26" s="28"/>
      <c r="LI26" s="29">
        <f t="shared" si="410"/>
        <v>17</v>
      </c>
      <c r="LJ26" s="152">
        <f t="shared" si="215"/>
        <v>0</v>
      </c>
      <c r="LK26" s="152">
        <f t="shared" si="216"/>
        <v>0</v>
      </c>
      <c r="LL26" s="152">
        <f t="shared" si="217"/>
        <v>0</v>
      </c>
      <c r="LM26" s="28">
        <f t="shared" si="218"/>
        <v>-10000000000</v>
      </c>
      <c r="LN26" s="29"/>
      <c r="LO26" s="28"/>
      <c r="LP26" s="29">
        <f t="shared" si="411"/>
        <v>17</v>
      </c>
      <c r="LQ26" s="152">
        <f t="shared" si="219"/>
        <v>0</v>
      </c>
      <c r="LR26" s="152">
        <f t="shared" si="220"/>
        <v>0</v>
      </c>
      <c r="LS26" s="152">
        <f t="shared" si="221"/>
        <v>0</v>
      </c>
      <c r="LT26" s="28">
        <f t="shared" si="222"/>
        <v>-10000000000</v>
      </c>
      <c r="LU26" s="29"/>
      <c r="LV26" s="28"/>
      <c r="LW26" s="29">
        <f t="shared" si="412"/>
        <v>17</v>
      </c>
      <c r="LX26" s="152">
        <f t="shared" si="223"/>
        <v>0</v>
      </c>
      <c r="LY26" s="152">
        <f t="shared" si="224"/>
        <v>0</v>
      </c>
      <c r="LZ26" s="152">
        <f t="shared" si="225"/>
        <v>0</v>
      </c>
      <c r="MA26" s="28">
        <f t="shared" si="226"/>
        <v>-10000000000</v>
      </c>
      <c r="MB26" s="29"/>
      <c r="MC26" s="28"/>
      <c r="MD26" s="29">
        <f t="shared" si="413"/>
        <v>17</v>
      </c>
      <c r="ME26" s="152">
        <f t="shared" si="227"/>
        <v>0</v>
      </c>
      <c r="MF26" s="152">
        <f t="shared" si="228"/>
        <v>0</v>
      </c>
      <c r="MG26" s="152">
        <f t="shared" si="229"/>
        <v>0</v>
      </c>
      <c r="MH26" s="28">
        <f t="shared" si="230"/>
        <v>-10000000000</v>
      </c>
      <c r="MI26" s="29"/>
      <c r="MJ26" s="28"/>
      <c r="MK26" s="29">
        <f t="shared" si="414"/>
        <v>17</v>
      </c>
      <c r="ML26" s="152">
        <f t="shared" si="231"/>
        <v>0</v>
      </c>
      <c r="MM26" s="152">
        <f t="shared" si="232"/>
        <v>0</v>
      </c>
      <c r="MN26" s="152">
        <f t="shared" si="233"/>
        <v>0</v>
      </c>
      <c r="MO26" s="28">
        <f t="shared" si="234"/>
        <v>-10000000000</v>
      </c>
      <c r="MP26" s="29"/>
      <c r="MQ26" s="28"/>
      <c r="MR26" s="29">
        <f t="shared" si="415"/>
        <v>17</v>
      </c>
      <c r="MS26" s="152">
        <f t="shared" si="235"/>
        <v>0</v>
      </c>
      <c r="MT26" s="152">
        <f t="shared" si="236"/>
        <v>0</v>
      </c>
      <c r="MU26" s="152">
        <f t="shared" si="237"/>
        <v>0</v>
      </c>
      <c r="MV26" s="28">
        <f t="shared" si="238"/>
        <v>-10000000000</v>
      </c>
      <c r="MW26" s="29"/>
      <c r="MX26" s="28"/>
      <c r="MY26" s="29">
        <f t="shared" si="416"/>
        <v>17</v>
      </c>
      <c r="MZ26" s="152">
        <f t="shared" si="239"/>
        <v>0</v>
      </c>
      <c r="NA26" s="152">
        <f t="shared" si="240"/>
        <v>0</v>
      </c>
      <c r="NB26" s="152">
        <f t="shared" si="241"/>
        <v>0</v>
      </c>
      <c r="NC26" s="28">
        <f t="shared" si="242"/>
        <v>-10000000000</v>
      </c>
      <c r="ND26" s="29"/>
      <c r="NE26" s="28"/>
      <c r="NF26" s="29">
        <f t="shared" si="417"/>
        <v>17</v>
      </c>
      <c r="NG26" s="152">
        <f t="shared" si="243"/>
        <v>0</v>
      </c>
      <c r="NH26" s="152">
        <f t="shared" si="244"/>
        <v>0</v>
      </c>
      <c r="NI26" s="152">
        <f t="shared" si="245"/>
        <v>0</v>
      </c>
      <c r="NJ26" s="28">
        <f t="shared" si="246"/>
        <v>-10000000000</v>
      </c>
      <c r="NK26" s="29"/>
      <c r="NL26" s="28"/>
      <c r="NM26" s="29">
        <f t="shared" si="418"/>
        <v>17</v>
      </c>
      <c r="NN26" s="152">
        <f t="shared" si="247"/>
        <v>0</v>
      </c>
      <c r="NO26" s="152">
        <f t="shared" si="248"/>
        <v>0</v>
      </c>
      <c r="NP26" s="152">
        <f t="shared" si="249"/>
        <v>0</v>
      </c>
      <c r="NQ26" s="28">
        <f t="shared" si="250"/>
        <v>-10000000000</v>
      </c>
      <c r="NR26" s="29"/>
      <c r="NS26" s="28"/>
      <c r="NT26" s="29">
        <f t="shared" si="419"/>
        <v>17</v>
      </c>
      <c r="NU26" s="152">
        <f t="shared" si="251"/>
        <v>0</v>
      </c>
      <c r="NV26" s="152">
        <f t="shared" si="252"/>
        <v>0</v>
      </c>
      <c r="NW26" s="152">
        <f t="shared" si="253"/>
        <v>0</v>
      </c>
      <c r="NX26" s="28">
        <f t="shared" si="254"/>
        <v>-10000000000</v>
      </c>
      <c r="NY26" s="29"/>
      <c r="NZ26" s="28"/>
      <c r="OA26" s="29">
        <f t="shared" si="420"/>
        <v>17</v>
      </c>
      <c r="OB26" s="152">
        <f t="shared" si="255"/>
        <v>0</v>
      </c>
      <c r="OC26" s="152">
        <f t="shared" si="256"/>
        <v>0</v>
      </c>
      <c r="OD26" s="152">
        <f t="shared" si="257"/>
        <v>0</v>
      </c>
      <c r="OE26" s="28">
        <f t="shared" si="258"/>
        <v>-10000000000</v>
      </c>
      <c r="OF26" s="29"/>
      <c r="OG26" s="28"/>
      <c r="OH26" s="29">
        <f t="shared" si="421"/>
        <v>17</v>
      </c>
      <c r="OI26" s="152">
        <f t="shared" si="259"/>
        <v>0</v>
      </c>
      <c r="OJ26" s="152">
        <f t="shared" si="260"/>
        <v>0</v>
      </c>
      <c r="OK26" s="152">
        <f t="shared" si="261"/>
        <v>0</v>
      </c>
      <c r="OL26" s="28">
        <f t="shared" si="262"/>
        <v>-10000000000</v>
      </c>
      <c r="OM26" s="29"/>
      <c r="ON26" s="28"/>
      <c r="OO26" s="29">
        <f t="shared" si="422"/>
        <v>17</v>
      </c>
      <c r="OP26" s="152">
        <f t="shared" si="263"/>
        <v>0</v>
      </c>
      <c r="OQ26" s="152">
        <f t="shared" si="264"/>
        <v>0</v>
      </c>
      <c r="OR26" s="152">
        <f t="shared" si="265"/>
        <v>0</v>
      </c>
      <c r="OS26" s="28">
        <f t="shared" si="266"/>
        <v>-10000000000</v>
      </c>
      <c r="OT26" s="29"/>
      <c r="OU26" s="28"/>
      <c r="OV26" s="29">
        <f t="shared" si="423"/>
        <v>17</v>
      </c>
      <c r="OW26" s="152">
        <f t="shared" si="267"/>
        <v>0</v>
      </c>
      <c r="OX26" s="152">
        <f t="shared" si="268"/>
        <v>0</v>
      </c>
      <c r="OY26" s="152">
        <f t="shared" si="269"/>
        <v>0</v>
      </c>
      <c r="OZ26" s="28">
        <f t="shared" si="270"/>
        <v>-10000000000</v>
      </c>
      <c r="PA26" s="29"/>
      <c r="PB26" s="28"/>
      <c r="PC26" s="29">
        <f t="shared" si="424"/>
        <v>17</v>
      </c>
      <c r="PD26" s="152">
        <f t="shared" si="271"/>
        <v>0</v>
      </c>
      <c r="PE26" s="152">
        <f t="shared" si="272"/>
        <v>0</v>
      </c>
      <c r="PF26" s="152">
        <f t="shared" si="273"/>
        <v>0</v>
      </c>
      <c r="PG26" s="28">
        <f t="shared" si="274"/>
        <v>-10000000000</v>
      </c>
      <c r="PH26" s="29"/>
      <c r="PI26" s="28"/>
      <c r="PJ26" s="29">
        <f t="shared" si="425"/>
        <v>17</v>
      </c>
      <c r="PK26" s="152">
        <f t="shared" si="275"/>
        <v>0</v>
      </c>
      <c r="PL26" s="152">
        <f t="shared" si="276"/>
        <v>0</v>
      </c>
      <c r="PM26" s="152">
        <f t="shared" si="277"/>
        <v>0</v>
      </c>
      <c r="PN26" s="28">
        <f t="shared" si="278"/>
        <v>-10000000000</v>
      </c>
      <c r="PO26" s="29"/>
      <c r="PP26" s="28"/>
      <c r="PQ26" s="29">
        <f t="shared" si="426"/>
        <v>17</v>
      </c>
      <c r="PR26" s="152">
        <f t="shared" si="279"/>
        <v>0</v>
      </c>
      <c r="PS26" s="152">
        <f t="shared" si="280"/>
        <v>0</v>
      </c>
      <c r="PT26" s="152">
        <f t="shared" si="281"/>
        <v>0</v>
      </c>
      <c r="PU26" s="28">
        <f t="shared" si="282"/>
        <v>-10000000000</v>
      </c>
      <c r="PV26" s="29"/>
      <c r="PW26" s="28"/>
      <c r="PX26" s="29">
        <f t="shared" si="427"/>
        <v>17</v>
      </c>
      <c r="PY26" s="152">
        <f t="shared" si="283"/>
        <v>0</v>
      </c>
      <c r="PZ26" s="152">
        <f t="shared" si="284"/>
        <v>0</v>
      </c>
      <c r="QA26" s="152">
        <f t="shared" si="285"/>
        <v>0</v>
      </c>
      <c r="QB26" s="28">
        <f t="shared" si="286"/>
        <v>-10000000000</v>
      </c>
      <c r="QC26" s="29"/>
      <c r="QD26" s="28"/>
      <c r="QE26" s="29">
        <f t="shared" si="428"/>
        <v>17</v>
      </c>
      <c r="QF26" s="152">
        <f t="shared" si="287"/>
        <v>0</v>
      </c>
      <c r="QG26" s="152">
        <f t="shared" si="288"/>
        <v>0</v>
      </c>
      <c r="QH26" s="152">
        <f t="shared" si="289"/>
        <v>0</v>
      </c>
      <c r="QI26" s="28">
        <f t="shared" si="290"/>
        <v>-10000000000</v>
      </c>
      <c r="QJ26" s="29"/>
      <c r="QK26" s="28"/>
      <c r="QL26" s="29">
        <f t="shared" si="429"/>
        <v>17</v>
      </c>
      <c r="QM26" s="152">
        <f t="shared" si="291"/>
        <v>0</v>
      </c>
      <c r="QN26" s="152">
        <f t="shared" si="292"/>
        <v>0</v>
      </c>
      <c r="QO26" s="152">
        <f t="shared" si="293"/>
        <v>0</v>
      </c>
      <c r="QP26" s="28">
        <f t="shared" si="294"/>
        <v>-10000000000</v>
      </c>
      <c r="QQ26" s="29"/>
      <c r="QR26" s="28"/>
      <c r="QS26" s="29">
        <f t="shared" si="430"/>
        <v>17</v>
      </c>
      <c r="QT26" s="152">
        <f t="shared" si="295"/>
        <v>0</v>
      </c>
      <c r="QU26" s="152">
        <f t="shared" si="296"/>
        <v>0</v>
      </c>
      <c r="QV26" s="152">
        <f t="shared" si="297"/>
        <v>0</v>
      </c>
      <c r="QW26" s="28">
        <f t="shared" si="298"/>
        <v>-10000000000</v>
      </c>
      <c r="QX26" s="29"/>
      <c r="QY26" s="28"/>
      <c r="QZ26" s="29">
        <f t="shared" si="431"/>
        <v>17</v>
      </c>
      <c r="RA26" s="152">
        <f t="shared" si="299"/>
        <v>0</v>
      </c>
      <c r="RB26" s="152">
        <f t="shared" si="300"/>
        <v>0</v>
      </c>
      <c r="RC26" s="152">
        <f t="shared" si="301"/>
        <v>0</v>
      </c>
      <c r="RD26" s="28">
        <f t="shared" si="302"/>
        <v>-10000000000</v>
      </c>
      <c r="RE26" s="29"/>
      <c r="RF26" s="28"/>
      <c r="RG26" s="29">
        <f t="shared" si="432"/>
        <v>17</v>
      </c>
      <c r="RH26" s="152">
        <f t="shared" si="303"/>
        <v>0</v>
      </c>
      <c r="RI26" s="152">
        <f t="shared" si="304"/>
        <v>0</v>
      </c>
      <c r="RJ26" s="152">
        <f t="shared" si="305"/>
        <v>0</v>
      </c>
      <c r="RK26" s="28">
        <f t="shared" si="306"/>
        <v>-10000000000</v>
      </c>
      <c r="RL26" s="29"/>
      <c r="RM26" s="28"/>
      <c r="RN26" s="29">
        <f t="shared" si="433"/>
        <v>17</v>
      </c>
      <c r="RO26" s="152">
        <f t="shared" si="307"/>
        <v>0</v>
      </c>
      <c r="RP26" s="152">
        <f t="shared" si="308"/>
        <v>0</v>
      </c>
      <c r="RQ26" s="152">
        <f t="shared" si="309"/>
        <v>0</v>
      </c>
      <c r="RR26" s="28">
        <f t="shared" si="310"/>
        <v>-10000000000</v>
      </c>
      <c r="RS26" s="29"/>
      <c r="RT26" s="28"/>
      <c r="RU26" s="29">
        <f t="shared" si="434"/>
        <v>17</v>
      </c>
      <c r="RV26" s="152">
        <f t="shared" si="311"/>
        <v>0</v>
      </c>
      <c r="RW26" s="152">
        <f t="shared" si="312"/>
        <v>0</v>
      </c>
      <c r="RX26" s="152">
        <f t="shared" si="313"/>
        <v>0</v>
      </c>
      <c r="RY26" s="28">
        <f t="shared" si="314"/>
        <v>-10000000000</v>
      </c>
      <c r="RZ26" s="29"/>
      <c r="SA26" s="28"/>
      <c r="SB26" s="29">
        <f t="shared" si="435"/>
        <v>17</v>
      </c>
      <c r="SC26" s="152">
        <f t="shared" si="315"/>
        <v>0</v>
      </c>
      <c r="SD26" s="152">
        <f t="shared" si="316"/>
        <v>0</v>
      </c>
      <c r="SE26" s="152">
        <f t="shared" si="317"/>
        <v>0</v>
      </c>
      <c r="SF26" s="28">
        <f t="shared" si="318"/>
        <v>-10000000000</v>
      </c>
      <c r="SG26" s="29"/>
      <c r="SH26" s="28"/>
      <c r="SI26" s="29">
        <f t="shared" si="436"/>
        <v>17</v>
      </c>
      <c r="SJ26" s="152">
        <f t="shared" si="319"/>
        <v>0</v>
      </c>
      <c r="SK26" s="152">
        <f t="shared" si="320"/>
        <v>0</v>
      </c>
      <c r="SL26" s="152">
        <f t="shared" si="321"/>
        <v>0</v>
      </c>
      <c r="SM26" s="28">
        <f t="shared" si="322"/>
        <v>-10000000000</v>
      </c>
      <c r="SN26" s="29"/>
      <c r="SO26" s="28"/>
      <c r="SP26" s="29">
        <f t="shared" si="437"/>
        <v>17</v>
      </c>
      <c r="SQ26" s="152">
        <f t="shared" si="323"/>
        <v>0</v>
      </c>
      <c r="SR26" s="152">
        <f t="shared" si="324"/>
        <v>0</v>
      </c>
      <c r="SS26" s="152">
        <f t="shared" si="325"/>
        <v>0</v>
      </c>
      <c r="ST26" s="28">
        <f t="shared" si="326"/>
        <v>-10000000000</v>
      </c>
      <c r="SU26" s="29"/>
      <c r="SV26" s="28"/>
      <c r="SW26" s="29">
        <f t="shared" si="438"/>
        <v>17</v>
      </c>
      <c r="SX26" s="152">
        <f t="shared" si="327"/>
        <v>0</v>
      </c>
      <c r="SY26" s="152">
        <f t="shared" si="328"/>
        <v>0</v>
      </c>
      <c r="SZ26" s="152">
        <f t="shared" si="329"/>
        <v>0</v>
      </c>
      <c r="TA26" s="28">
        <f t="shared" si="330"/>
        <v>-10000000000</v>
      </c>
      <c r="TB26" s="29"/>
      <c r="TC26" s="28"/>
      <c r="TD26" s="29">
        <f t="shared" si="439"/>
        <v>17</v>
      </c>
      <c r="TE26" s="152">
        <f t="shared" si="331"/>
        <v>0</v>
      </c>
      <c r="TF26" s="152">
        <f t="shared" si="332"/>
        <v>0</v>
      </c>
      <c r="TG26" s="152">
        <f t="shared" si="333"/>
        <v>0</v>
      </c>
      <c r="TH26" s="28">
        <f t="shared" si="334"/>
        <v>-10000000000</v>
      </c>
      <c r="TI26" s="29"/>
      <c r="TJ26" s="28"/>
      <c r="TK26" s="29">
        <f t="shared" si="440"/>
        <v>17</v>
      </c>
      <c r="TL26" s="152">
        <f t="shared" si="335"/>
        <v>0</v>
      </c>
      <c r="TM26" s="152">
        <f t="shared" si="336"/>
        <v>0</v>
      </c>
      <c r="TN26" s="152">
        <f t="shared" si="337"/>
        <v>0</v>
      </c>
      <c r="TO26" s="28">
        <f t="shared" si="338"/>
        <v>-10000000000</v>
      </c>
      <c r="TP26" s="29"/>
      <c r="TQ26" s="28"/>
      <c r="TR26" s="29">
        <f t="shared" si="441"/>
        <v>17</v>
      </c>
      <c r="TS26" s="152">
        <f t="shared" si="339"/>
        <v>0</v>
      </c>
      <c r="TT26" s="152">
        <f t="shared" si="340"/>
        <v>0</v>
      </c>
      <c r="TU26" s="152">
        <f t="shared" si="341"/>
        <v>0</v>
      </c>
      <c r="TV26" s="28">
        <f t="shared" si="342"/>
        <v>-10000000000</v>
      </c>
      <c r="TW26" s="29"/>
      <c r="TX26" s="28"/>
      <c r="TY26" s="29">
        <f t="shared" si="442"/>
        <v>17</v>
      </c>
      <c r="TZ26" s="152">
        <f t="shared" si="343"/>
        <v>0</v>
      </c>
      <c r="UA26" s="152">
        <f t="shared" si="344"/>
        <v>0</v>
      </c>
      <c r="UB26" s="152">
        <f t="shared" si="345"/>
        <v>0</v>
      </c>
      <c r="UC26" s="28">
        <f t="shared" si="346"/>
        <v>-10000000000</v>
      </c>
      <c r="UD26" s="29"/>
      <c r="UE26" s="28"/>
      <c r="UF26" s="29">
        <f t="shared" si="443"/>
        <v>17</v>
      </c>
      <c r="UG26" s="152">
        <f t="shared" si="347"/>
        <v>0</v>
      </c>
      <c r="UH26" s="152">
        <f t="shared" si="348"/>
        <v>0</v>
      </c>
      <c r="UI26" s="152">
        <f t="shared" si="349"/>
        <v>0</v>
      </c>
      <c r="UJ26" s="28">
        <f t="shared" si="350"/>
        <v>-10000000000</v>
      </c>
      <c r="UK26" s="29"/>
      <c r="UL26" s="28"/>
      <c r="UM26" s="29">
        <f t="shared" si="444"/>
        <v>17</v>
      </c>
      <c r="UN26" s="152">
        <f t="shared" si="351"/>
        <v>0</v>
      </c>
      <c r="UO26" s="152">
        <f t="shared" si="352"/>
        <v>0</v>
      </c>
      <c r="UP26" s="152">
        <f t="shared" si="353"/>
        <v>0</v>
      </c>
      <c r="UQ26" s="28">
        <f t="shared" si="354"/>
        <v>-10000000000</v>
      </c>
      <c r="UR26" s="29"/>
      <c r="US26" s="28"/>
      <c r="UT26" s="29">
        <f t="shared" si="445"/>
        <v>17</v>
      </c>
      <c r="UU26" s="129"/>
      <c r="UV26" s="129">
        <f t="shared" si="355"/>
        <v>0</v>
      </c>
      <c r="UW26" s="129">
        <f t="shared" si="356"/>
        <v>17</v>
      </c>
      <c r="UX26" s="129">
        <f t="shared" ca="1" si="446"/>
        <v>17</v>
      </c>
      <c r="UY26" s="129">
        <f t="shared" ca="1" si="446"/>
        <v>17</v>
      </c>
      <c r="UZ26" s="129">
        <f t="shared" ca="1" si="446"/>
        <v>17</v>
      </c>
      <c r="VA26" s="129">
        <f t="shared" ca="1" si="446"/>
        <v>17</v>
      </c>
      <c r="VB26" s="129">
        <f t="shared" ca="1" si="446"/>
        <v>17</v>
      </c>
      <c r="VC26" s="129">
        <f t="shared" ca="1" si="446"/>
        <v>17</v>
      </c>
      <c r="VD26" s="129">
        <f t="shared" ca="1" si="446"/>
        <v>17</v>
      </c>
      <c r="VE26" s="129">
        <f t="shared" ca="1" si="446"/>
        <v>17</v>
      </c>
      <c r="VF26" s="129">
        <f t="shared" ca="1" si="446"/>
        <v>17</v>
      </c>
      <c r="VG26" s="129">
        <f t="shared" ca="1" si="446"/>
        <v>17</v>
      </c>
      <c r="VH26" s="129">
        <f t="shared" ca="1" si="446"/>
        <v>17</v>
      </c>
      <c r="VI26" s="129">
        <f t="shared" ca="1" si="446"/>
        <v>17</v>
      </c>
      <c r="VJ26" s="129">
        <f t="shared" ca="1" si="446"/>
        <v>17</v>
      </c>
      <c r="VK26" s="129">
        <f t="shared" ca="1" si="446"/>
        <v>17</v>
      </c>
      <c r="VL26" s="129">
        <f t="shared" ca="1" si="446"/>
        <v>17</v>
      </c>
      <c r="VM26" s="129">
        <f t="shared" ca="1" si="446"/>
        <v>17</v>
      </c>
      <c r="VN26" s="129">
        <f t="shared" ca="1" si="406"/>
        <v>17</v>
      </c>
      <c r="VO26" s="129">
        <f t="shared" ca="1" si="406"/>
        <v>17</v>
      </c>
      <c r="VP26" s="129">
        <f t="shared" ca="1" si="406"/>
        <v>17</v>
      </c>
      <c r="VQ26" s="129">
        <f t="shared" ca="1" si="406"/>
        <v>17</v>
      </c>
      <c r="VR26" s="129">
        <f t="shared" ca="1" si="406"/>
        <v>17</v>
      </c>
      <c r="VS26" s="129">
        <f t="shared" ca="1" si="406"/>
        <v>17</v>
      </c>
      <c r="VT26" s="129">
        <f t="shared" ca="1" si="406"/>
        <v>17</v>
      </c>
      <c r="VU26" s="129">
        <f t="shared" ca="1" si="406"/>
        <v>17</v>
      </c>
      <c r="VV26" s="129">
        <f t="shared" ca="1" si="406"/>
        <v>17</v>
      </c>
      <c r="VW26" s="129">
        <f t="shared" ca="1" si="406"/>
        <v>17</v>
      </c>
      <c r="VX26" s="129">
        <f t="shared" ca="1" si="406"/>
        <v>17</v>
      </c>
      <c r="VY26" s="129">
        <f t="shared" ca="1" si="406"/>
        <v>17</v>
      </c>
      <c r="VZ26" s="129">
        <f t="shared" ca="1" si="406"/>
        <v>17</v>
      </c>
      <c r="WA26" s="129">
        <f t="shared" ca="1" si="406"/>
        <v>17</v>
      </c>
      <c r="WB26" s="129">
        <f t="shared" ca="1" si="406"/>
        <v>17</v>
      </c>
      <c r="WC26" s="129">
        <f t="shared" ca="1" si="406"/>
        <v>17</v>
      </c>
      <c r="WD26" s="129">
        <f t="shared" ca="1" si="407"/>
        <v>17</v>
      </c>
      <c r="WE26" s="129">
        <f t="shared" ca="1" si="66"/>
        <v>17</v>
      </c>
      <c r="WF26" s="129">
        <f t="shared" ca="1" si="66"/>
        <v>17</v>
      </c>
      <c r="WG26" s="129">
        <f t="shared" ca="1" si="66"/>
        <v>17</v>
      </c>
      <c r="WH26" s="129">
        <f t="shared" ca="1" si="66"/>
        <v>17</v>
      </c>
      <c r="WJ26" s="87"/>
      <c r="WK26" s="87">
        <f t="shared" si="358"/>
        <v>0</v>
      </c>
      <c r="WL26" s="87">
        <v>23</v>
      </c>
      <c r="WM26" s="87">
        <v>23</v>
      </c>
      <c r="WN26" s="87">
        <f>IF($WI$3&gt;=WN$3,UW26,NA())</f>
        <v>17</v>
      </c>
      <c r="WO26" s="87">
        <f ca="1">IF($WI$3&gt;=WO$3,UX26,NA())</f>
        <v>17</v>
      </c>
      <c r="WP26" s="87">
        <f ca="1">IF($WI$3&gt;=WP$3,UY26,NA())</f>
        <v>17</v>
      </c>
      <c r="WQ26" s="87">
        <f ca="1">IF($WI$3&gt;=WQ$3,UZ26,NA())</f>
        <v>17</v>
      </c>
      <c r="WR26" s="87">
        <f ca="1">IF($WI$3&gt;=WR$3,VA26,NA())</f>
        <v>17</v>
      </c>
      <c r="WS26" s="87">
        <f ca="1">IF($WI$3&gt;=WS$3,VB26,NA())</f>
        <v>17</v>
      </c>
      <c r="WT26" s="87">
        <f ca="1">IF($WI$3&gt;=WT$3,VC26,NA())</f>
        <v>17</v>
      </c>
      <c r="WU26" s="87">
        <f ca="1">IF($WI$3&gt;=WU$3,VD26,NA())</f>
        <v>17</v>
      </c>
      <c r="WV26" s="87">
        <f ca="1">IF($WI$3&gt;=WV$3,VE26,NA())</f>
        <v>17</v>
      </c>
      <c r="WW26" s="87">
        <f ca="1">IF($WI$3&gt;=WW$3,VF26,NA())</f>
        <v>17</v>
      </c>
      <c r="WX26" s="87">
        <f ca="1">IF($WI$3&gt;=WX$3,VG26,NA())</f>
        <v>17</v>
      </c>
      <c r="WY26" s="87">
        <f ca="1">IF($WI$3&gt;=WY$3,VH26,NA())</f>
        <v>17</v>
      </c>
      <c r="WZ26" s="87">
        <f ca="1">IF($WI$3&gt;=WZ$3,VI26,NA())</f>
        <v>17</v>
      </c>
      <c r="XA26" s="87">
        <f ca="1">IF($WI$3&gt;=XA$3,VJ26,NA())</f>
        <v>17</v>
      </c>
      <c r="XB26" s="87">
        <f ca="1">IF($WI$3&gt;=XB$3,VK26,NA())</f>
        <v>17</v>
      </c>
      <c r="XC26" s="87">
        <f ca="1">IF($WI$3&gt;=XC$3,VL26,NA())</f>
        <v>17</v>
      </c>
      <c r="XD26" s="87">
        <f ca="1">IF($WI$3&gt;=XD$3,VM26,NA())</f>
        <v>17</v>
      </c>
      <c r="XE26" s="87">
        <f ca="1">IF($WI$3&gt;=XE$3,VN26,NA())</f>
        <v>17</v>
      </c>
      <c r="XF26" s="87">
        <f ca="1">IF($WI$3&gt;=XF$3,VO26,NA())</f>
        <v>17</v>
      </c>
      <c r="XG26" s="87">
        <f ca="1">IF($WI$3&gt;=XG$3,VP26,NA())</f>
        <v>17</v>
      </c>
      <c r="XH26" s="87">
        <f ca="1">IF($WI$3&gt;=XH$3,VQ26,NA())</f>
        <v>17</v>
      </c>
      <c r="XI26" s="87" t="e">
        <f>IF($WI$3&gt;=XI$3,VR26,NA())</f>
        <v>#N/A</v>
      </c>
      <c r="XJ26" s="87" t="e">
        <f>IF($WI$3&gt;=XJ$3,VS26,NA())</f>
        <v>#N/A</v>
      </c>
      <c r="XK26" s="87" t="e">
        <f>IF($WI$3&gt;=XK$3,VT26,NA())</f>
        <v>#N/A</v>
      </c>
      <c r="XL26" s="87" t="e">
        <f>IF($WI$3&gt;=XL$3,VU26,NA())</f>
        <v>#N/A</v>
      </c>
      <c r="XM26" s="87" t="e">
        <f>IF($WI$3&gt;=XM$3,VV26,NA())</f>
        <v>#N/A</v>
      </c>
      <c r="XN26" s="87" t="e">
        <f>IF($WI$3&gt;=XN$3,VW26,NA())</f>
        <v>#N/A</v>
      </c>
      <c r="XO26" s="87" t="e">
        <f>IF($WI$3&gt;=XO$3,VX26,NA())</f>
        <v>#N/A</v>
      </c>
      <c r="XP26" s="87" t="e">
        <f>IF($WI$3&gt;=XP$3,VY26,NA())</f>
        <v>#N/A</v>
      </c>
      <c r="XQ26" s="87" t="e">
        <f>IF($WI$3&gt;=XQ$3,VZ26,NA())</f>
        <v>#N/A</v>
      </c>
      <c r="XR26" s="87" t="e">
        <f>IF($WI$3&gt;=XR$3,WA26,NA())</f>
        <v>#N/A</v>
      </c>
      <c r="XS26" s="87" t="e">
        <f>IF($WI$3&gt;=XS$3,WB26,NA())</f>
        <v>#N/A</v>
      </c>
      <c r="XT26" s="87" t="e">
        <f>IF($WI$3&gt;=XT$3,WC26,NA())</f>
        <v>#N/A</v>
      </c>
      <c r="XU26" s="87" t="e">
        <f>IF($WI$3&gt;=XU$3,WD26,NA())</f>
        <v>#N/A</v>
      </c>
      <c r="XV26" s="87" t="e">
        <f>IF($WI$3&gt;=XV$3,WE26,NA())</f>
        <v>#N/A</v>
      </c>
      <c r="XW26" s="87" t="e">
        <f>IF($WI$3&gt;=XW$3,WF26,NA())</f>
        <v>#N/A</v>
      </c>
      <c r="XX26" s="87" t="e">
        <f>IF($WI$3&gt;=XX$3,WG26,NA())</f>
        <v>#N/A</v>
      </c>
      <c r="XY26" s="87" t="e">
        <f>IF($WI$3&gt;=XY$3,WH26,NA())</f>
        <v>#N/A</v>
      </c>
      <c r="YE26" s="87"/>
      <c r="YF26" s="87"/>
    </row>
    <row r="27" spans="4:723">
      <c r="D27" s="29"/>
      <c r="E27" s="136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5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5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137"/>
      <c r="AP27" s="27"/>
      <c r="AQ27" s="28"/>
      <c r="AR27" s="29"/>
      <c r="AS27" s="28"/>
      <c r="AT27" s="29"/>
      <c r="AU27" s="30"/>
      <c r="AV27" s="29"/>
      <c r="AW27" s="29"/>
      <c r="AX27" s="29"/>
      <c r="AY27" s="29"/>
      <c r="AZ27" s="29"/>
      <c r="BA27" s="29"/>
      <c r="BB27" s="29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S27" s="10" t="s">
        <v>50</v>
      </c>
      <c r="BT27" s="123">
        <v>0.23958333333333334</v>
      </c>
      <c r="BU27" s="123">
        <f t="shared" si="405"/>
        <v>0.40625</v>
      </c>
      <c r="BV27" s="10" t="s">
        <v>64</v>
      </c>
      <c r="CA27" s="130">
        <f t="shared" si="119"/>
        <v>-1</v>
      </c>
      <c r="CB27" s="130">
        <f t="shared" si="120"/>
        <v>100000</v>
      </c>
      <c r="CC27" s="130">
        <f t="shared" si="121"/>
        <v>-1</v>
      </c>
      <c r="CD27" s="130">
        <f t="shared" si="122"/>
        <v>100000</v>
      </c>
      <c r="CE27" s="130">
        <f t="shared" si="123"/>
        <v>-1</v>
      </c>
      <c r="CF27" s="130">
        <f t="shared" si="124"/>
        <v>100000</v>
      </c>
      <c r="CG27" s="130">
        <f t="shared" si="125"/>
        <v>-1</v>
      </c>
      <c r="CH27" s="130">
        <f t="shared" si="126"/>
        <v>100000</v>
      </c>
      <c r="CI27" s="130">
        <f t="shared" si="127"/>
        <v>-1</v>
      </c>
      <c r="CJ27" s="130">
        <f t="shared" si="128"/>
        <v>100000</v>
      </c>
      <c r="CK27" s="130">
        <f t="shared" si="129"/>
        <v>-100000</v>
      </c>
      <c r="CL27" s="130">
        <f t="shared" si="130"/>
        <v>100000</v>
      </c>
      <c r="CM27" s="130">
        <f t="shared" si="131"/>
        <v>-1</v>
      </c>
      <c r="CN27" s="130">
        <f t="shared" si="132"/>
        <v>100000</v>
      </c>
      <c r="CO27" s="130">
        <f t="shared" si="133"/>
        <v>-1</v>
      </c>
      <c r="CP27" s="130">
        <f t="shared" si="134"/>
        <v>100000</v>
      </c>
      <c r="CQ27" s="131"/>
      <c r="CR27" s="130">
        <f t="shared" si="360"/>
        <v>-1</v>
      </c>
      <c r="CS27" s="130">
        <f t="shared" si="135"/>
        <v>100000</v>
      </c>
      <c r="CT27" s="130">
        <f t="shared" si="361"/>
        <v>-1</v>
      </c>
      <c r="CU27" s="130">
        <f t="shared" si="362"/>
        <v>100000</v>
      </c>
      <c r="CV27" s="130">
        <f t="shared" si="363"/>
        <v>-1</v>
      </c>
      <c r="CW27" s="130">
        <f t="shared" si="364"/>
        <v>100000</v>
      </c>
      <c r="CX27" s="130">
        <f t="shared" si="365"/>
        <v>-1</v>
      </c>
      <c r="CY27" s="130">
        <f t="shared" si="366"/>
        <v>100000</v>
      </c>
      <c r="CZ27" s="130">
        <f t="shared" si="367"/>
        <v>-1</v>
      </c>
      <c r="DA27" s="130">
        <f t="shared" si="368"/>
        <v>100000</v>
      </c>
      <c r="DB27" s="130">
        <f t="shared" si="369"/>
        <v>-100000</v>
      </c>
      <c r="DC27" s="130">
        <f t="shared" si="370"/>
        <v>100000</v>
      </c>
      <c r="DD27" s="130">
        <f t="shared" si="371"/>
        <v>-1</v>
      </c>
      <c r="DE27" s="130">
        <f t="shared" si="372"/>
        <v>100000</v>
      </c>
      <c r="DF27" s="130">
        <f t="shared" si="373"/>
        <v>-1</v>
      </c>
      <c r="DG27" s="130">
        <f t="shared" si="374"/>
        <v>100000</v>
      </c>
      <c r="DH27" s="131"/>
      <c r="DI27" s="130">
        <f t="shared" si="389"/>
        <v>-1</v>
      </c>
      <c r="DJ27" s="130">
        <f t="shared" si="136"/>
        <v>100000</v>
      </c>
      <c r="DK27" s="130">
        <f t="shared" si="390"/>
        <v>-1</v>
      </c>
      <c r="DL27" s="130">
        <f t="shared" si="391"/>
        <v>100000</v>
      </c>
      <c r="DM27" s="130">
        <f t="shared" si="392"/>
        <v>-1</v>
      </c>
      <c r="DN27" s="130">
        <f t="shared" si="393"/>
        <v>100000</v>
      </c>
      <c r="DO27" s="130">
        <f t="shared" si="394"/>
        <v>-1</v>
      </c>
      <c r="DP27" s="130">
        <f t="shared" si="395"/>
        <v>100000</v>
      </c>
      <c r="DQ27" s="130">
        <f t="shared" si="396"/>
        <v>-1</v>
      </c>
      <c r="DR27" s="130">
        <f t="shared" si="397"/>
        <v>100000</v>
      </c>
      <c r="DS27" s="130">
        <f t="shared" si="398"/>
        <v>-100000</v>
      </c>
      <c r="DT27" s="130">
        <f t="shared" si="399"/>
        <v>100000</v>
      </c>
      <c r="DU27" s="130">
        <f t="shared" si="400"/>
        <v>-1</v>
      </c>
      <c r="DV27" s="130">
        <f t="shared" si="401"/>
        <v>100000</v>
      </c>
      <c r="DW27" s="130">
        <f t="shared" si="402"/>
        <v>-1</v>
      </c>
      <c r="DX27" s="130">
        <f t="shared" si="403"/>
        <v>100000</v>
      </c>
      <c r="DY27" s="132"/>
      <c r="DZ27" s="115">
        <v>24</v>
      </c>
      <c r="EA27" s="115">
        <v>7</v>
      </c>
      <c r="EB27" s="10">
        <f t="shared" si="137"/>
        <v>17</v>
      </c>
      <c r="EC27" s="10">
        <f t="shared" si="138"/>
        <v>17</v>
      </c>
      <c r="ED27" s="10">
        <f t="shared" si="139"/>
        <v>17</v>
      </c>
      <c r="EE27" s="10">
        <f t="shared" si="140"/>
        <v>17</v>
      </c>
      <c r="EF27" s="10">
        <f t="shared" si="141"/>
        <v>17</v>
      </c>
      <c r="EG27" s="10">
        <f t="shared" si="142"/>
        <v>17</v>
      </c>
      <c r="EH27" s="10">
        <f t="shared" si="143"/>
        <v>17</v>
      </c>
      <c r="EI27" s="10">
        <f t="shared" si="144"/>
        <v>17</v>
      </c>
      <c r="EJ27" s="10">
        <f t="shared" si="145"/>
        <v>17</v>
      </c>
      <c r="EK27" s="10">
        <f t="shared" si="146"/>
        <v>17</v>
      </c>
      <c r="EL27" s="10">
        <f t="shared" si="147"/>
        <v>17</v>
      </c>
      <c r="EM27" s="10">
        <f t="shared" si="148"/>
        <v>17</v>
      </c>
      <c r="EN27" s="10">
        <f t="shared" si="149"/>
        <v>17</v>
      </c>
      <c r="EO27" s="10">
        <f t="shared" si="150"/>
        <v>17</v>
      </c>
      <c r="EP27" s="10">
        <f t="shared" si="151"/>
        <v>17</v>
      </c>
      <c r="EQ27" s="10">
        <f t="shared" si="152"/>
        <v>17</v>
      </c>
      <c r="ES27" s="10">
        <f t="shared" si="153"/>
        <v>17</v>
      </c>
      <c r="ET27" s="10">
        <f t="shared" si="154"/>
        <v>17</v>
      </c>
      <c r="EU27" s="10">
        <f t="shared" si="155"/>
        <v>17</v>
      </c>
      <c r="EV27" s="10">
        <f t="shared" si="154"/>
        <v>17</v>
      </c>
      <c r="EW27" s="10">
        <f t="shared" si="156"/>
        <v>17</v>
      </c>
      <c r="EX27" s="10">
        <f t="shared" si="157"/>
        <v>17</v>
      </c>
      <c r="EY27" s="10">
        <f t="shared" si="158"/>
        <v>17</v>
      </c>
      <c r="EZ27" s="10">
        <f t="shared" si="159"/>
        <v>17</v>
      </c>
      <c r="FA27" s="10">
        <f t="shared" si="160"/>
        <v>17</v>
      </c>
      <c r="FB27" s="10">
        <f t="shared" si="161"/>
        <v>17</v>
      </c>
      <c r="FC27" s="10">
        <f t="shared" si="162"/>
        <v>17</v>
      </c>
      <c r="FD27" s="10">
        <f t="shared" si="163"/>
        <v>17</v>
      </c>
      <c r="FE27" s="10">
        <f t="shared" si="164"/>
        <v>17</v>
      </c>
      <c r="FF27" s="10">
        <f t="shared" si="165"/>
        <v>17</v>
      </c>
      <c r="FG27" s="10">
        <f t="shared" si="166"/>
        <v>17</v>
      </c>
      <c r="FH27" s="10">
        <f t="shared" si="167"/>
        <v>17</v>
      </c>
      <c r="FJ27" s="10">
        <f t="shared" si="168"/>
        <v>17</v>
      </c>
      <c r="FK27" s="10">
        <f t="shared" si="169"/>
        <v>17</v>
      </c>
      <c r="FL27" s="10">
        <f t="shared" si="170"/>
        <v>17</v>
      </c>
      <c r="FM27" s="10">
        <f t="shared" si="171"/>
        <v>17</v>
      </c>
      <c r="FN27" s="10">
        <f t="shared" si="172"/>
        <v>17</v>
      </c>
      <c r="FO27" s="10">
        <f t="shared" si="173"/>
        <v>17</v>
      </c>
      <c r="FP27" s="10">
        <f t="shared" si="174"/>
        <v>17</v>
      </c>
      <c r="FQ27" s="10">
        <f t="shared" si="175"/>
        <v>17</v>
      </c>
      <c r="FR27" s="10">
        <f t="shared" si="176"/>
        <v>17</v>
      </c>
      <c r="FS27" s="10">
        <f t="shared" si="177"/>
        <v>17</v>
      </c>
      <c r="FT27" s="10">
        <f t="shared" si="178"/>
        <v>17</v>
      </c>
      <c r="FU27" s="10">
        <f t="shared" si="179"/>
        <v>17</v>
      </c>
      <c r="FV27" s="10">
        <f t="shared" si="180"/>
        <v>17</v>
      </c>
      <c r="FW27" s="10">
        <f t="shared" si="181"/>
        <v>17</v>
      </c>
      <c r="FX27" s="10">
        <f t="shared" si="182"/>
        <v>17</v>
      </c>
      <c r="FY27" s="10">
        <f t="shared" si="183"/>
        <v>17</v>
      </c>
      <c r="GA27" s="10">
        <f>IF(lg!$C$18=1,EB27,IF(lg!$C$18=2,ES27,FJ27))</f>
        <v>17</v>
      </c>
      <c r="GB27" s="10">
        <f>IF(lg!$C$18=1,EC27,IF(lg!$C$18=2,ET27,FK27))</f>
        <v>17</v>
      </c>
      <c r="GC27" s="10">
        <f>IF(lg!$C$18=1,ED27,IF(lg!$C$18=2,EU27,FL27))</f>
        <v>17</v>
      </c>
      <c r="GD27" s="10">
        <f>IF(lg!$C$18=1,EE27,IF(lg!$C$18=2,EV27,FM27))</f>
        <v>17</v>
      </c>
      <c r="GE27" s="10">
        <f>IF(lg!$C$18=1,EF27,IF(lg!$C$18=2,EW27,FN27))</f>
        <v>17</v>
      </c>
      <c r="GF27" s="10">
        <f>IF(lg!$C$18=1,EG27,IF(lg!$C$18=2,EX27,FO27))</f>
        <v>17</v>
      </c>
      <c r="GG27" s="10">
        <f>IF(lg!$C$18=1,EH27,IF(lg!$C$18=2,EY27,FP27))</f>
        <v>17</v>
      </c>
      <c r="GH27" s="10">
        <f>IF(lg!$C$18=1,EI27,IF(lg!$C$18=2,EZ27,FQ27))</f>
        <v>17</v>
      </c>
      <c r="GI27" s="10">
        <f>IF(lg!$C$18=1,EJ27,IF(lg!$C$18=2,FA27,FR27))</f>
        <v>17</v>
      </c>
      <c r="GJ27" s="10">
        <f>IF(lg!$C$18=1,EK27,IF(lg!$C$18=2,FB27,FS27))</f>
        <v>17</v>
      </c>
      <c r="GK27" s="10">
        <f>IF(lg!$C$18=1,EL27,IF(lg!$C$18=2,FC27,FT27))</f>
        <v>17</v>
      </c>
      <c r="GL27" s="10">
        <f>IF(lg!$C$18=1,EM27,IF(lg!$C$18=2,FD27,FU27))</f>
        <v>17</v>
      </c>
      <c r="GM27" s="10">
        <f>IF(lg!$C$18=1,EN27,IF(lg!$C$18=2,FE27,FV27))</f>
        <v>17</v>
      </c>
      <c r="GN27" s="10">
        <f>IF(lg!$C$18=1,EO27,IF(lg!$C$18=2,FF27,FW27))</f>
        <v>17</v>
      </c>
      <c r="GO27" s="10">
        <f>IF(lg!$C$18=1,EP27,IF(lg!$C$18=2,FG27,FX27))</f>
        <v>17</v>
      </c>
      <c r="GP27" s="10">
        <f>IF(lg!$C$18=1,EQ27,IF(lg!$C$18=2,FH27,FY27))</f>
        <v>17</v>
      </c>
      <c r="GR27" s="10" t="e">
        <f t="shared" si="184"/>
        <v>#N/A</v>
      </c>
      <c r="GS27" s="10" t="e">
        <f t="shared" si="31"/>
        <v>#N/A</v>
      </c>
      <c r="GT27" s="10" t="e">
        <f t="shared" si="32"/>
        <v>#N/A</v>
      </c>
      <c r="GU27" s="10" t="e">
        <f t="shared" si="33"/>
        <v>#N/A</v>
      </c>
      <c r="GV27" s="10" t="e">
        <f t="shared" si="34"/>
        <v>#N/A</v>
      </c>
      <c r="GW27" s="10" t="e">
        <f t="shared" si="35"/>
        <v>#N/A</v>
      </c>
      <c r="GX27" s="10" t="e">
        <f t="shared" si="36"/>
        <v>#N/A</v>
      </c>
      <c r="GY27" s="10" t="e">
        <f t="shared" si="37"/>
        <v>#N/A</v>
      </c>
      <c r="GZ27" s="10" t="e">
        <f t="shared" si="38"/>
        <v>#N/A</v>
      </c>
      <c r="HA27" s="10" t="e">
        <f t="shared" si="39"/>
        <v>#N/A</v>
      </c>
      <c r="HB27" s="10" t="e">
        <f t="shared" si="40"/>
        <v>#N/A</v>
      </c>
      <c r="HC27" s="10" t="e">
        <f t="shared" si="41"/>
        <v>#N/A</v>
      </c>
      <c r="HD27" s="10" t="e">
        <f t="shared" si="42"/>
        <v>#N/A</v>
      </c>
      <c r="HE27" s="10" t="e">
        <f t="shared" si="43"/>
        <v>#N/A</v>
      </c>
      <c r="HF27" s="10" t="e">
        <f t="shared" si="44"/>
        <v>#N/A</v>
      </c>
      <c r="HG27" s="10" t="e">
        <f t="shared" si="45"/>
        <v>#N/A</v>
      </c>
      <c r="HI27" s="10">
        <v>24</v>
      </c>
      <c r="HJ27" s="115">
        <f>IF(lg!$C$18=1,F27,IF(lg!$C$18=2,R27,AD27))</f>
        <v>0</v>
      </c>
      <c r="HK27" s="115">
        <f>IF(lg!$C$18=1,G27,IF(lg!$C$18=2,S27,AE27))</f>
        <v>0</v>
      </c>
      <c r="HL27" s="115">
        <f>IF(lg!$C$18=1,H27,IF(lg!$C$18=2,T27,AF27))</f>
        <v>0</v>
      </c>
      <c r="HM27" s="115">
        <f>IF(lg!$C$18=1,I27,IF(lg!$C$18=2,U27,AG27))</f>
        <v>0</v>
      </c>
      <c r="HN27" s="115">
        <f>IF(lg!$C$18=1,J27,IF(lg!$C$18=2,V27,AH27))</f>
        <v>0</v>
      </c>
      <c r="HO27" s="115">
        <f>IF(lg!$C$18=1,K27,IF(lg!$C$18=2,W27,AI27))</f>
        <v>0</v>
      </c>
      <c r="HP27" s="115">
        <f>IF(lg!$C$18=1,L27,IF(lg!$C$18=2,X27,AJ27))</f>
        <v>0</v>
      </c>
      <c r="HQ27" s="115">
        <f>IF(lg!$C$18=1,M27,IF(lg!$C$18=2,Y27,AK27))</f>
        <v>0</v>
      </c>
      <c r="HR27" s="115">
        <f>IF(lg!$C$18=1,N27,IF(lg!$C$18=2,Z27,AL27))</f>
        <v>0</v>
      </c>
      <c r="HS27" s="115">
        <f>IF(lg!$C$18=1,O27,IF(lg!$C$18=2,AA27,AM27))</f>
        <v>0</v>
      </c>
      <c r="HT27" s="115">
        <f>IF(lg!$C$18=1,P27,IF(lg!$C$18=2,AB27,AN27))</f>
        <v>0</v>
      </c>
      <c r="HV27" s="115">
        <f t="shared" si="185"/>
        <v>0</v>
      </c>
      <c r="HW27" s="115">
        <f t="shared" si="186"/>
        <v>0</v>
      </c>
      <c r="HX27" s="115">
        <f t="shared" si="187"/>
        <v>0</v>
      </c>
      <c r="HY27" s="115">
        <f t="shared" si="188"/>
        <v>0</v>
      </c>
      <c r="HZ27" s="115">
        <f t="shared" si="189"/>
        <v>0</v>
      </c>
      <c r="IA27" s="115">
        <f t="shared" si="190"/>
        <v>0</v>
      </c>
      <c r="IB27" s="115">
        <f t="shared" si="191"/>
        <v>0</v>
      </c>
      <c r="IC27" s="115">
        <f t="shared" si="192"/>
        <v>0</v>
      </c>
      <c r="ID27" s="115">
        <f t="shared" si="193"/>
        <v>0</v>
      </c>
      <c r="IE27" s="115">
        <f t="shared" si="194"/>
        <v>0</v>
      </c>
      <c r="IF27" s="115">
        <f t="shared" si="195"/>
        <v>0</v>
      </c>
      <c r="IG27" s="115">
        <f t="shared" si="196"/>
        <v>0</v>
      </c>
      <c r="IH27" s="115">
        <f t="shared" si="197"/>
        <v>0</v>
      </c>
      <c r="II27" s="115">
        <f t="shared" si="198"/>
        <v>0</v>
      </c>
      <c r="IJ27" s="115">
        <f t="shared" si="199"/>
        <v>0</v>
      </c>
      <c r="IK27" s="115">
        <f t="shared" si="200"/>
        <v>0</v>
      </c>
      <c r="IN27" s="77" t="s">
        <v>77</v>
      </c>
      <c r="IO27" s="36" t="s">
        <v>10</v>
      </c>
      <c r="IP27" s="67">
        <f>VLOOKUP('ef-TeamStats'!B2,'ef-FT'!$E$4:$AN$23,36,0)</f>
        <v>8</v>
      </c>
      <c r="IQ27" s="67">
        <f>VLOOKUP('ef-TeamStats'!$B$2,Table!$B$4:$W$23,16,0)</f>
        <v>11</v>
      </c>
      <c r="IR27" s="134">
        <f t="shared" si="47"/>
        <v>0.72727272727272729</v>
      </c>
      <c r="IS27" s="133">
        <f>MATCH('ef-TeamStats'!$B$2,$KG$4:$KG$33,0)</f>
        <v>1</v>
      </c>
      <c r="IT27" s="67"/>
      <c r="IU27" s="36" t="s">
        <v>10</v>
      </c>
      <c r="IV27" s="67">
        <f>VLOOKUP('ef-TeamStats'!G2,'ef-FT'!$E$4:$AN$23,36,0)</f>
        <v>1</v>
      </c>
      <c r="IW27" s="67">
        <f>VLOOKUP('ef-TeamStats'!$G$2,Table!$B$4:$W$23,16,0)</f>
        <v>10</v>
      </c>
      <c r="IX27" s="134">
        <f t="shared" si="48"/>
        <v>0.1</v>
      </c>
      <c r="IY27" s="133">
        <f>MATCH('ef-TeamStats'!$G$2,$KG$4:$KG$33,0)</f>
        <v>10</v>
      </c>
      <c r="JB27" s="10">
        <f>IF(lg!$F$18=1,EB27,IF(lg!$F$18=2,ES27,FJ27))</f>
        <v>17</v>
      </c>
      <c r="JC27" s="10">
        <f>IF(lg!$F$18=1,EC27,IF(lg!$F$18=2,ET27,FK27))</f>
        <v>17</v>
      </c>
      <c r="JD27" s="10">
        <f>IF(lg!$F$18=1,ED27,IF(lg!$F$18=2,EU27,FL27))</f>
        <v>17</v>
      </c>
      <c r="JE27" s="10">
        <f>IF(lg!$F$18=1,EE27,IF(lg!$F$18=2,EV27,FM27))</f>
        <v>17</v>
      </c>
      <c r="JF27" s="10">
        <f>IF(lg!$F$18=1,EF27,IF(lg!$F$18=2,EW27,FN27))</f>
        <v>17</v>
      </c>
      <c r="JG27" s="10">
        <f>IF(lg!$F$18=1,EG27,IF(lg!$F$18=2,EX27,FO27))</f>
        <v>17</v>
      </c>
      <c r="JH27" s="10">
        <f>IF(lg!$F$18=1,EH27,IF(lg!$F$18=2,EY27,FP27))</f>
        <v>17</v>
      </c>
      <c r="JI27" s="10">
        <f>IF(lg!$F$18=1,EI27,IF(lg!$F$18=2,EZ27,FQ27))</f>
        <v>17</v>
      </c>
      <c r="JJ27" s="10">
        <f>IF(lg!$F$18=1,EJ27,IF(lg!$F$18=2,FA27,FR27))</f>
        <v>17</v>
      </c>
      <c r="JK27" s="10">
        <f>IF(lg!$F$18=1,EK27,IF(lg!$F$18=2,FB27,FS27))</f>
        <v>17</v>
      </c>
      <c r="JL27" s="10">
        <f>IF(lg!$F$18=1,EL27,IF(lg!$F$18=2,FC27,FT27))</f>
        <v>17</v>
      </c>
      <c r="JM27" s="10">
        <f>IF(lg!$F$18=1,EM27,IF(lg!$F$18=2,FD27,FU27))</f>
        <v>17</v>
      </c>
      <c r="JN27" s="10">
        <f>IF(lg!$F$18=1,EN27,IF(lg!$F$18=2,FE27,FV27))</f>
        <v>17</v>
      </c>
      <c r="JO27" s="10">
        <f>IF(lg!$F$18=1,EO27,IF(lg!$F$18=2,FF27,FW27))</f>
        <v>17</v>
      </c>
      <c r="JP27" s="10">
        <f>IF(lg!$F$18=1,EP27,IF(lg!$F$18=2,FG27,FX27))</f>
        <v>17</v>
      </c>
      <c r="JQ27" s="10">
        <f>IF(lg!$F$18=1,EQ27,IF(lg!$F$18=2,FH27,FY27))</f>
        <v>17</v>
      </c>
      <c r="JS27" s="10" t="e">
        <f t="shared" si="201"/>
        <v>#N/A</v>
      </c>
      <c r="JT27" s="10" t="e">
        <f t="shared" si="49"/>
        <v>#N/A</v>
      </c>
      <c r="JU27" s="10" t="e">
        <f t="shared" si="50"/>
        <v>#N/A</v>
      </c>
      <c r="JV27" s="10" t="e">
        <f t="shared" si="51"/>
        <v>#N/A</v>
      </c>
      <c r="JW27" s="10" t="e">
        <f t="shared" si="52"/>
        <v>#N/A</v>
      </c>
      <c r="JX27" s="10" t="e">
        <f t="shared" si="53"/>
        <v>#N/A</v>
      </c>
      <c r="JY27" s="10" t="e">
        <f t="shared" si="54"/>
        <v>#N/A</v>
      </c>
      <c r="JZ27" s="10" t="e">
        <f t="shared" si="55"/>
        <v>#N/A</v>
      </c>
      <c r="KA27" s="10" t="e">
        <f t="shared" si="56"/>
        <v>#N/A</v>
      </c>
      <c r="KB27" s="10" t="e">
        <f t="shared" si="57"/>
        <v>#N/A</v>
      </c>
      <c r="KC27" s="10" t="e">
        <f t="shared" si="58"/>
        <v>#N/A</v>
      </c>
      <c r="KD27" s="10" t="e">
        <f t="shared" si="59"/>
        <v>#N/A</v>
      </c>
      <c r="KE27" s="10" t="e">
        <f t="shared" si="60"/>
        <v>#N/A</v>
      </c>
      <c r="KF27" s="10" t="e">
        <f t="shared" si="61"/>
        <v>#N/A</v>
      </c>
      <c r="KG27" s="10" t="e">
        <f t="shared" si="62"/>
        <v>#N/A</v>
      </c>
      <c r="KH27" s="10" t="e">
        <f t="shared" si="63"/>
        <v>#N/A</v>
      </c>
      <c r="KL27" s="27">
        <v>7.0000000000000007E-2</v>
      </c>
      <c r="KM27" s="29">
        <v>24</v>
      </c>
      <c r="KN27" s="31">
        <f t="shared" si="202"/>
        <v>0</v>
      </c>
      <c r="KO27" s="152">
        <f t="shared" si="203"/>
        <v>0</v>
      </c>
      <c r="KP27" s="152">
        <f t="shared" si="204"/>
        <v>0</v>
      </c>
      <c r="KQ27" s="152">
        <f t="shared" si="205"/>
        <v>0</v>
      </c>
      <c r="KR27" s="28">
        <f t="shared" si="206"/>
        <v>-10000000000</v>
      </c>
      <c r="KS27" s="29"/>
      <c r="KT27" s="28"/>
      <c r="KU27" s="29">
        <f t="shared" si="408"/>
        <v>17</v>
      </c>
      <c r="KV27" s="152">
        <f t="shared" si="207"/>
        <v>0</v>
      </c>
      <c r="KW27" s="152">
        <f t="shared" si="208"/>
        <v>0</v>
      </c>
      <c r="KX27" s="152">
        <f t="shared" si="209"/>
        <v>0</v>
      </c>
      <c r="KY27" s="28">
        <f t="shared" si="210"/>
        <v>-10000000000</v>
      </c>
      <c r="KZ27" s="29"/>
      <c r="LA27" s="28"/>
      <c r="LB27" s="29">
        <f t="shared" si="409"/>
        <v>17</v>
      </c>
      <c r="LC27" s="152">
        <f t="shared" si="211"/>
        <v>0</v>
      </c>
      <c r="LD27" s="152">
        <f t="shared" si="212"/>
        <v>0</v>
      </c>
      <c r="LE27" s="152">
        <f t="shared" si="213"/>
        <v>0</v>
      </c>
      <c r="LF27" s="28">
        <f t="shared" si="214"/>
        <v>-10000000000</v>
      </c>
      <c r="LG27" s="29"/>
      <c r="LH27" s="28"/>
      <c r="LI27" s="29">
        <f t="shared" si="410"/>
        <v>17</v>
      </c>
      <c r="LJ27" s="152">
        <f t="shared" si="215"/>
        <v>0</v>
      </c>
      <c r="LK27" s="152">
        <f t="shared" si="216"/>
        <v>0</v>
      </c>
      <c r="LL27" s="152">
        <f t="shared" si="217"/>
        <v>0</v>
      </c>
      <c r="LM27" s="28">
        <f t="shared" si="218"/>
        <v>-10000000000</v>
      </c>
      <c r="LN27" s="29"/>
      <c r="LO27" s="28"/>
      <c r="LP27" s="29">
        <f t="shared" si="411"/>
        <v>17</v>
      </c>
      <c r="LQ27" s="152">
        <f t="shared" si="219"/>
        <v>0</v>
      </c>
      <c r="LR27" s="152">
        <f t="shared" si="220"/>
        <v>0</v>
      </c>
      <c r="LS27" s="152">
        <f t="shared" si="221"/>
        <v>0</v>
      </c>
      <c r="LT27" s="28">
        <f t="shared" si="222"/>
        <v>-10000000000</v>
      </c>
      <c r="LU27" s="29"/>
      <c r="LV27" s="28"/>
      <c r="LW27" s="29">
        <f t="shared" si="412"/>
        <v>17</v>
      </c>
      <c r="LX27" s="152">
        <f t="shared" si="223"/>
        <v>0</v>
      </c>
      <c r="LY27" s="152">
        <f t="shared" si="224"/>
        <v>0</v>
      </c>
      <c r="LZ27" s="152">
        <f t="shared" si="225"/>
        <v>0</v>
      </c>
      <c r="MA27" s="28">
        <f t="shared" si="226"/>
        <v>-10000000000</v>
      </c>
      <c r="MB27" s="29"/>
      <c r="MC27" s="28"/>
      <c r="MD27" s="29">
        <f t="shared" si="413"/>
        <v>17</v>
      </c>
      <c r="ME27" s="152">
        <f t="shared" si="227"/>
        <v>0</v>
      </c>
      <c r="MF27" s="152">
        <f t="shared" si="228"/>
        <v>0</v>
      </c>
      <c r="MG27" s="152">
        <f t="shared" si="229"/>
        <v>0</v>
      </c>
      <c r="MH27" s="28">
        <f t="shared" si="230"/>
        <v>-10000000000</v>
      </c>
      <c r="MI27" s="29"/>
      <c r="MJ27" s="28"/>
      <c r="MK27" s="29">
        <f t="shared" si="414"/>
        <v>17</v>
      </c>
      <c r="ML27" s="152">
        <f t="shared" si="231"/>
        <v>0</v>
      </c>
      <c r="MM27" s="152">
        <f t="shared" si="232"/>
        <v>0</v>
      </c>
      <c r="MN27" s="152">
        <f t="shared" si="233"/>
        <v>0</v>
      </c>
      <c r="MO27" s="28">
        <f t="shared" si="234"/>
        <v>-10000000000</v>
      </c>
      <c r="MP27" s="29"/>
      <c r="MQ27" s="28"/>
      <c r="MR27" s="29">
        <f t="shared" si="415"/>
        <v>17</v>
      </c>
      <c r="MS27" s="152">
        <f t="shared" si="235"/>
        <v>0</v>
      </c>
      <c r="MT27" s="152">
        <f t="shared" si="236"/>
        <v>0</v>
      </c>
      <c r="MU27" s="152">
        <f t="shared" si="237"/>
        <v>0</v>
      </c>
      <c r="MV27" s="28">
        <f t="shared" si="238"/>
        <v>-10000000000</v>
      </c>
      <c r="MW27" s="29"/>
      <c r="MX27" s="28"/>
      <c r="MY27" s="29">
        <f t="shared" si="416"/>
        <v>17</v>
      </c>
      <c r="MZ27" s="152">
        <f t="shared" si="239"/>
        <v>0</v>
      </c>
      <c r="NA27" s="152">
        <f t="shared" si="240"/>
        <v>0</v>
      </c>
      <c r="NB27" s="152">
        <f t="shared" si="241"/>
        <v>0</v>
      </c>
      <c r="NC27" s="28">
        <f t="shared" si="242"/>
        <v>-10000000000</v>
      </c>
      <c r="ND27" s="29"/>
      <c r="NE27" s="28"/>
      <c r="NF27" s="29">
        <f t="shared" si="417"/>
        <v>17</v>
      </c>
      <c r="NG27" s="152">
        <f t="shared" si="243"/>
        <v>0</v>
      </c>
      <c r="NH27" s="152">
        <f t="shared" si="244"/>
        <v>0</v>
      </c>
      <c r="NI27" s="152">
        <f t="shared" si="245"/>
        <v>0</v>
      </c>
      <c r="NJ27" s="28">
        <f t="shared" si="246"/>
        <v>-10000000000</v>
      </c>
      <c r="NK27" s="29"/>
      <c r="NL27" s="28"/>
      <c r="NM27" s="29">
        <f t="shared" si="418"/>
        <v>17</v>
      </c>
      <c r="NN27" s="152">
        <f t="shared" si="247"/>
        <v>0</v>
      </c>
      <c r="NO27" s="152">
        <f t="shared" si="248"/>
        <v>0</v>
      </c>
      <c r="NP27" s="152">
        <f t="shared" si="249"/>
        <v>0</v>
      </c>
      <c r="NQ27" s="28">
        <f t="shared" si="250"/>
        <v>-10000000000</v>
      </c>
      <c r="NR27" s="29"/>
      <c r="NS27" s="28"/>
      <c r="NT27" s="29">
        <f t="shared" si="419"/>
        <v>17</v>
      </c>
      <c r="NU27" s="152">
        <f t="shared" si="251"/>
        <v>0</v>
      </c>
      <c r="NV27" s="152">
        <f t="shared" si="252"/>
        <v>0</v>
      </c>
      <c r="NW27" s="152">
        <f t="shared" si="253"/>
        <v>0</v>
      </c>
      <c r="NX27" s="28">
        <f t="shared" si="254"/>
        <v>-10000000000</v>
      </c>
      <c r="NY27" s="29"/>
      <c r="NZ27" s="28"/>
      <c r="OA27" s="29">
        <f t="shared" si="420"/>
        <v>17</v>
      </c>
      <c r="OB27" s="152">
        <f t="shared" si="255"/>
        <v>0</v>
      </c>
      <c r="OC27" s="152">
        <f t="shared" si="256"/>
        <v>0</v>
      </c>
      <c r="OD27" s="152">
        <f t="shared" si="257"/>
        <v>0</v>
      </c>
      <c r="OE27" s="28">
        <f t="shared" si="258"/>
        <v>-10000000000</v>
      </c>
      <c r="OF27" s="29"/>
      <c r="OG27" s="28"/>
      <c r="OH27" s="29">
        <f t="shared" si="421"/>
        <v>17</v>
      </c>
      <c r="OI27" s="152">
        <f t="shared" si="259"/>
        <v>0</v>
      </c>
      <c r="OJ27" s="152">
        <f t="shared" si="260"/>
        <v>0</v>
      </c>
      <c r="OK27" s="152">
        <f t="shared" si="261"/>
        <v>0</v>
      </c>
      <c r="OL27" s="28">
        <f t="shared" si="262"/>
        <v>-10000000000</v>
      </c>
      <c r="OM27" s="29"/>
      <c r="ON27" s="28"/>
      <c r="OO27" s="29">
        <f t="shared" si="422"/>
        <v>17</v>
      </c>
      <c r="OP27" s="152">
        <f t="shared" si="263"/>
        <v>0</v>
      </c>
      <c r="OQ27" s="152">
        <f t="shared" si="264"/>
        <v>0</v>
      </c>
      <c r="OR27" s="152">
        <f t="shared" si="265"/>
        <v>0</v>
      </c>
      <c r="OS27" s="28">
        <f t="shared" si="266"/>
        <v>-10000000000</v>
      </c>
      <c r="OT27" s="29"/>
      <c r="OU27" s="28"/>
      <c r="OV27" s="29">
        <f t="shared" si="423"/>
        <v>17</v>
      </c>
      <c r="OW27" s="152">
        <f t="shared" si="267"/>
        <v>0</v>
      </c>
      <c r="OX27" s="152">
        <f t="shared" si="268"/>
        <v>0</v>
      </c>
      <c r="OY27" s="152">
        <f t="shared" si="269"/>
        <v>0</v>
      </c>
      <c r="OZ27" s="28">
        <f t="shared" si="270"/>
        <v>-10000000000</v>
      </c>
      <c r="PA27" s="29"/>
      <c r="PB27" s="28"/>
      <c r="PC27" s="29">
        <f t="shared" si="424"/>
        <v>17</v>
      </c>
      <c r="PD27" s="152">
        <f t="shared" si="271"/>
        <v>0</v>
      </c>
      <c r="PE27" s="152">
        <f t="shared" si="272"/>
        <v>0</v>
      </c>
      <c r="PF27" s="152">
        <f t="shared" si="273"/>
        <v>0</v>
      </c>
      <c r="PG27" s="28">
        <f t="shared" si="274"/>
        <v>-10000000000</v>
      </c>
      <c r="PH27" s="29"/>
      <c r="PI27" s="28"/>
      <c r="PJ27" s="29">
        <f t="shared" si="425"/>
        <v>17</v>
      </c>
      <c r="PK27" s="152">
        <f t="shared" si="275"/>
        <v>0</v>
      </c>
      <c r="PL27" s="152">
        <f t="shared" si="276"/>
        <v>0</v>
      </c>
      <c r="PM27" s="152">
        <f t="shared" si="277"/>
        <v>0</v>
      </c>
      <c r="PN27" s="28">
        <f t="shared" si="278"/>
        <v>-10000000000</v>
      </c>
      <c r="PO27" s="29"/>
      <c r="PP27" s="28"/>
      <c r="PQ27" s="29">
        <f t="shared" si="426"/>
        <v>17</v>
      </c>
      <c r="PR27" s="152">
        <f t="shared" si="279"/>
        <v>0</v>
      </c>
      <c r="PS27" s="152">
        <f t="shared" si="280"/>
        <v>0</v>
      </c>
      <c r="PT27" s="152">
        <f t="shared" si="281"/>
        <v>0</v>
      </c>
      <c r="PU27" s="28">
        <f t="shared" si="282"/>
        <v>-10000000000</v>
      </c>
      <c r="PV27" s="29"/>
      <c r="PW27" s="28"/>
      <c r="PX27" s="29">
        <f t="shared" si="427"/>
        <v>17</v>
      </c>
      <c r="PY27" s="152">
        <f t="shared" si="283"/>
        <v>0</v>
      </c>
      <c r="PZ27" s="152">
        <f t="shared" si="284"/>
        <v>0</v>
      </c>
      <c r="QA27" s="152">
        <f t="shared" si="285"/>
        <v>0</v>
      </c>
      <c r="QB27" s="28">
        <f t="shared" si="286"/>
        <v>-10000000000</v>
      </c>
      <c r="QC27" s="29"/>
      <c r="QD27" s="28"/>
      <c r="QE27" s="29">
        <f t="shared" si="428"/>
        <v>17</v>
      </c>
      <c r="QF27" s="152">
        <f t="shared" si="287"/>
        <v>0</v>
      </c>
      <c r="QG27" s="152">
        <f t="shared" si="288"/>
        <v>0</v>
      </c>
      <c r="QH27" s="152">
        <f t="shared" si="289"/>
        <v>0</v>
      </c>
      <c r="QI27" s="28">
        <f t="shared" si="290"/>
        <v>-10000000000</v>
      </c>
      <c r="QJ27" s="29"/>
      <c r="QK27" s="28"/>
      <c r="QL27" s="29">
        <f t="shared" si="429"/>
        <v>17</v>
      </c>
      <c r="QM27" s="152">
        <f t="shared" si="291"/>
        <v>0</v>
      </c>
      <c r="QN27" s="152">
        <f t="shared" si="292"/>
        <v>0</v>
      </c>
      <c r="QO27" s="152">
        <f t="shared" si="293"/>
        <v>0</v>
      </c>
      <c r="QP27" s="28">
        <f t="shared" si="294"/>
        <v>-10000000000</v>
      </c>
      <c r="QQ27" s="29"/>
      <c r="QR27" s="28"/>
      <c r="QS27" s="29">
        <f t="shared" si="430"/>
        <v>17</v>
      </c>
      <c r="QT27" s="152">
        <f t="shared" si="295"/>
        <v>0</v>
      </c>
      <c r="QU27" s="152">
        <f t="shared" si="296"/>
        <v>0</v>
      </c>
      <c r="QV27" s="152">
        <f t="shared" si="297"/>
        <v>0</v>
      </c>
      <c r="QW27" s="28">
        <f t="shared" si="298"/>
        <v>-10000000000</v>
      </c>
      <c r="QX27" s="29"/>
      <c r="QY27" s="28"/>
      <c r="QZ27" s="29">
        <f t="shared" si="431"/>
        <v>17</v>
      </c>
      <c r="RA27" s="152">
        <f t="shared" si="299"/>
        <v>0</v>
      </c>
      <c r="RB27" s="152">
        <f t="shared" si="300"/>
        <v>0</v>
      </c>
      <c r="RC27" s="152">
        <f t="shared" si="301"/>
        <v>0</v>
      </c>
      <c r="RD27" s="28">
        <f t="shared" si="302"/>
        <v>-10000000000</v>
      </c>
      <c r="RE27" s="29"/>
      <c r="RF27" s="28"/>
      <c r="RG27" s="29">
        <f t="shared" si="432"/>
        <v>17</v>
      </c>
      <c r="RH27" s="152">
        <f t="shared" si="303"/>
        <v>0</v>
      </c>
      <c r="RI27" s="152">
        <f t="shared" si="304"/>
        <v>0</v>
      </c>
      <c r="RJ27" s="152">
        <f t="shared" si="305"/>
        <v>0</v>
      </c>
      <c r="RK27" s="28">
        <f t="shared" si="306"/>
        <v>-10000000000</v>
      </c>
      <c r="RL27" s="29"/>
      <c r="RM27" s="28"/>
      <c r="RN27" s="29">
        <f t="shared" si="433"/>
        <v>17</v>
      </c>
      <c r="RO27" s="152">
        <f t="shared" si="307"/>
        <v>0</v>
      </c>
      <c r="RP27" s="152">
        <f t="shared" si="308"/>
        <v>0</v>
      </c>
      <c r="RQ27" s="152">
        <f t="shared" si="309"/>
        <v>0</v>
      </c>
      <c r="RR27" s="28">
        <f t="shared" si="310"/>
        <v>-10000000000</v>
      </c>
      <c r="RS27" s="29"/>
      <c r="RT27" s="28"/>
      <c r="RU27" s="29">
        <f t="shared" si="434"/>
        <v>17</v>
      </c>
      <c r="RV27" s="152">
        <f t="shared" si="311"/>
        <v>0</v>
      </c>
      <c r="RW27" s="152">
        <f t="shared" si="312"/>
        <v>0</v>
      </c>
      <c r="RX27" s="152">
        <f t="shared" si="313"/>
        <v>0</v>
      </c>
      <c r="RY27" s="28">
        <f t="shared" si="314"/>
        <v>-10000000000</v>
      </c>
      <c r="RZ27" s="29"/>
      <c r="SA27" s="28"/>
      <c r="SB27" s="29">
        <f t="shared" si="435"/>
        <v>17</v>
      </c>
      <c r="SC27" s="152">
        <f t="shared" si="315"/>
        <v>0</v>
      </c>
      <c r="SD27" s="152">
        <f t="shared" si="316"/>
        <v>0</v>
      </c>
      <c r="SE27" s="152">
        <f t="shared" si="317"/>
        <v>0</v>
      </c>
      <c r="SF27" s="28">
        <f t="shared" si="318"/>
        <v>-10000000000</v>
      </c>
      <c r="SG27" s="29"/>
      <c r="SH27" s="28"/>
      <c r="SI27" s="29">
        <f t="shared" si="436"/>
        <v>17</v>
      </c>
      <c r="SJ27" s="152">
        <f t="shared" si="319"/>
        <v>0</v>
      </c>
      <c r="SK27" s="152">
        <f t="shared" si="320"/>
        <v>0</v>
      </c>
      <c r="SL27" s="152">
        <f t="shared" si="321"/>
        <v>0</v>
      </c>
      <c r="SM27" s="28">
        <f t="shared" si="322"/>
        <v>-10000000000</v>
      </c>
      <c r="SN27" s="29"/>
      <c r="SO27" s="28"/>
      <c r="SP27" s="29">
        <f t="shared" si="437"/>
        <v>17</v>
      </c>
      <c r="SQ27" s="152">
        <f t="shared" si="323"/>
        <v>0</v>
      </c>
      <c r="SR27" s="152">
        <f t="shared" si="324"/>
        <v>0</v>
      </c>
      <c r="SS27" s="152">
        <f t="shared" si="325"/>
        <v>0</v>
      </c>
      <c r="ST27" s="28">
        <f t="shared" si="326"/>
        <v>-10000000000</v>
      </c>
      <c r="SU27" s="29"/>
      <c r="SV27" s="28"/>
      <c r="SW27" s="29">
        <f t="shared" si="438"/>
        <v>17</v>
      </c>
      <c r="SX27" s="152">
        <f t="shared" si="327"/>
        <v>0</v>
      </c>
      <c r="SY27" s="152">
        <f t="shared" si="328"/>
        <v>0</v>
      </c>
      <c r="SZ27" s="152">
        <f t="shared" si="329"/>
        <v>0</v>
      </c>
      <c r="TA27" s="28">
        <f t="shared" si="330"/>
        <v>-10000000000</v>
      </c>
      <c r="TB27" s="29"/>
      <c r="TC27" s="28"/>
      <c r="TD27" s="29">
        <f t="shared" si="439"/>
        <v>17</v>
      </c>
      <c r="TE27" s="152">
        <f t="shared" si="331"/>
        <v>0</v>
      </c>
      <c r="TF27" s="152">
        <f t="shared" si="332"/>
        <v>0</v>
      </c>
      <c r="TG27" s="152">
        <f t="shared" si="333"/>
        <v>0</v>
      </c>
      <c r="TH27" s="28">
        <f t="shared" si="334"/>
        <v>-10000000000</v>
      </c>
      <c r="TI27" s="29"/>
      <c r="TJ27" s="28"/>
      <c r="TK27" s="29">
        <f t="shared" si="440"/>
        <v>17</v>
      </c>
      <c r="TL27" s="152">
        <f t="shared" si="335"/>
        <v>0</v>
      </c>
      <c r="TM27" s="152">
        <f t="shared" si="336"/>
        <v>0</v>
      </c>
      <c r="TN27" s="152">
        <f t="shared" si="337"/>
        <v>0</v>
      </c>
      <c r="TO27" s="28">
        <f t="shared" si="338"/>
        <v>-10000000000</v>
      </c>
      <c r="TP27" s="29"/>
      <c r="TQ27" s="28"/>
      <c r="TR27" s="29">
        <f t="shared" si="441"/>
        <v>17</v>
      </c>
      <c r="TS27" s="152">
        <f t="shared" si="339"/>
        <v>0</v>
      </c>
      <c r="TT27" s="152">
        <f t="shared" si="340"/>
        <v>0</v>
      </c>
      <c r="TU27" s="152">
        <f t="shared" si="341"/>
        <v>0</v>
      </c>
      <c r="TV27" s="28">
        <f t="shared" si="342"/>
        <v>-10000000000</v>
      </c>
      <c r="TW27" s="29"/>
      <c r="TX27" s="28"/>
      <c r="TY27" s="29">
        <f t="shared" si="442"/>
        <v>17</v>
      </c>
      <c r="TZ27" s="152">
        <f t="shared" si="343"/>
        <v>0</v>
      </c>
      <c r="UA27" s="152">
        <f t="shared" si="344"/>
        <v>0</v>
      </c>
      <c r="UB27" s="152">
        <f t="shared" si="345"/>
        <v>0</v>
      </c>
      <c r="UC27" s="28">
        <f t="shared" si="346"/>
        <v>-10000000000</v>
      </c>
      <c r="UD27" s="29"/>
      <c r="UE27" s="28"/>
      <c r="UF27" s="29">
        <f t="shared" si="443"/>
        <v>17</v>
      </c>
      <c r="UG27" s="152">
        <f t="shared" si="347"/>
        <v>0</v>
      </c>
      <c r="UH27" s="152">
        <f t="shared" si="348"/>
        <v>0</v>
      </c>
      <c r="UI27" s="152">
        <f t="shared" si="349"/>
        <v>0</v>
      </c>
      <c r="UJ27" s="28">
        <f t="shared" si="350"/>
        <v>-10000000000</v>
      </c>
      <c r="UK27" s="29"/>
      <c r="UL27" s="28"/>
      <c r="UM27" s="29">
        <f t="shared" si="444"/>
        <v>17</v>
      </c>
      <c r="UN27" s="152">
        <f t="shared" si="351"/>
        <v>0</v>
      </c>
      <c r="UO27" s="152">
        <f t="shared" si="352"/>
        <v>0</v>
      </c>
      <c r="UP27" s="152">
        <f t="shared" si="353"/>
        <v>0</v>
      </c>
      <c r="UQ27" s="28">
        <f t="shared" si="354"/>
        <v>-10000000000</v>
      </c>
      <c r="UR27" s="29"/>
      <c r="US27" s="28"/>
      <c r="UT27" s="29">
        <f t="shared" si="445"/>
        <v>17</v>
      </c>
      <c r="UU27" s="129"/>
      <c r="UV27" s="129">
        <f t="shared" si="355"/>
        <v>0</v>
      </c>
      <c r="UW27" s="129">
        <f t="shared" si="356"/>
        <v>17</v>
      </c>
      <c r="UX27" s="129">
        <f t="shared" ca="1" si="446"/>
        <v>17</v>
      </c>
      <c r="UY27" s="129">
        <f t="shared" ca="1" si="446"/>
        <v>17</v>
      </c>
      <c r="UZ27" s="129">
        <f t="shared" ca="1" si="446"/>
        <v>17</v>
      </c>
      <c r="VA27" s="129">
        <f t="shared" ca="1" si="446"/>
        <v>17</v>
      </c>
      <c r="VB27" s="129">
        <f t="shared" ca="1" si="446"/>
        <v>17</v>
      </c>
      <c r="VC27" s="129">
        <f t="shared" ca="1" si="446"/>
        <v>17</v>
      </c>
      <c r="VD27" s="129">
        <f t="shared" ca="1" si="446"/>
        <v>17</v>
      </c>
      <c r="VE27" s="129">
        <f t="shared" ca="1" si="446"/>
        <v>17</v>
      </c>
      <c r="VF27" s="129">
        <f t="shared" ca="1" si="446"/>
        <v>17</v>
      </c>
      <c r="VG27" s="129">
        <f t="shared" ca="1" si="446"/>
        <v>17</v>
      </c>
      <c r="VH27" s="129">
        <f t="shared" ca="1" si="446"/>
        <v>17</v>
      </c>
      <c r="VI27" s="129">
        <f t="shared" ca="1" si="446"/>
        <v>17</v>
      </c>
      <c r="VJ27" s="129">
        <f t="shared" ca="1" si="446"/>
        <v>17</v>
      </c>
      <c r="VK27" s="129">
        <f t="shared" ca="1" si="446"/>
        <v>17</v>
      </c>
      <c r="VL27" s="129">
        <f t="shared" ca="1" si="446"/>
        <v>17</v>
      </c>
      <c r="VM27" s="129">
        <f t="shared" ca="1" si="446"/>
        <v>17</v>
      </c>
      <c r="VN27" s="129">
        <f t="shared" ca="1" si="406"/>
        <v>17</v>
      </c>
      <c r="VO27" s="129">
        <f t="shared" ca="1" si="406"/>
        <v>17</v>
      </c>
      <c r="VP27" s="129">
        <f t="shared" ca="1" si="406"/>
        <v>17</v>
      </c>
      <c r="VQ27" s="129">
        <f t="shared" ca="1" si="406"/>
        <v>17</v>
      </c>
      <c r="VR27" s="129">
        <f t="shared" ca="1" si="406"/>
        <v>17</v>
      </c>
      <c r="VS27" s="129">
        <f t="shared" ca="1" si="406"/>
        <v>17</v>
      </c>
      <c r="VT27" s="129">
        <f t="shared" ca="1" si="406"/>
        <v>17</v>
      </c>
      <c r="VU27" s="129">
        <f t="shared" ca="1" si="406"/>
        <v>17</v>
      </c>
      <c r="VV27" s="129">
        <f t="shared" ca="1" si="406"/>
        <v>17</v>
      </c>
      <c r="VW27" s="129">
        <f t="shared" ca="1" si="406"/>
        <v>17</v>
      </c>
      <c r="VX27" s="129">
        <f t="shared" ca="1" si="406"/>
        <v>17</v>
      </c>
      <c r="VY27" s="129">
        <f t="shared" ca="1" si="406"/>
        <v>17</v>
      </c>
      <c r="VZ27" s="129">
        <f t="shared" ca="1" si="406"/>
        <v>17</v>
      </c>
      <c r="WA27" s="129">
        <f t="shared" ca="1" si="406"/>
        <v>17</v>
      </c>
      <c r="WB27" s="129">
        <f t="shared" ca="1" si="406"/>
        <v>17</v>
      </c>
      <c r="WC27" s="129">
        <f t="shared" ca="1" si="406"/>
        <v>17</v>
      </c>
      <c r="WD27" s="129">
        <f t="shared" ca="1" si="407"/>
        <v>17</v>
      </c>
      <c r="WE27" s="129">
        <f t="shared" ca="1" si="66"/>
        <v>17</v>
      </c>
      <c r="WF27" s="129">
        <f t="shared" ca="1" si="66"/>
        <v>17</v>
      </c>
      <c r="WG27" s="129">
        <f t="shared" ca="1" si="66"/>
        <v>17</v>
      </c>
      <c r="WH27" s="129">
        <f t="shared" ca="1" si="66"/>
        <v>17</v>
      </c>
      <c r="WK27" s="87">
        <f t="shared" si="358"/>
        <v>0</v>
      </c>
      <c r="WL27" s="87">
        <v>24</v>
      </c>
      <c r="WM27" s="87">
        <v>24</v>
      </c>
      <c r="WN27" s="87">
        <f>IF($WI$3&gt;=WN$3,UW27,NA())</f>
        <v>17</v>
      </c>
      <c r="WO27" s="87">
        <f ca="1">IF($WI$3&gt;=WO$3,UX27,NA())</f>
        <v>17</v>
      </c>
      <c r="WP27" s="87">
        <f ca="1">IF($WI$3&gt;=WP$3,UY27,NA())</f>
        <v>17</v>
      </c>
      <c r="WQ27" s="87">
        <f ca="1">IF($WI$3&gt;=WQ$3,UZ27,NA())</f>
        <v>17</v>
      </c>
      <c r="WR27" s="87">
        <f ca="1">IF($WI$3&gt;=WR$3,VA27,NA())</f>
        <v>17</v>
      </c>
      <c r="WS27" s="87">
        <f ca="1">IF($WI$3&gt;=WS$3,VB27,NA())</f>
        <v>17</v>
      </c>
      <c r="WT27" s="87">
        <f ca="1">IF($WI$3&gt;=WT$3,VC27,NA())</f>
        <v>17</v>
      </c>
      <c r="WU27" s="87">
        <f ca="1">IF($WI$3&gt;=WU$3,VD27,NA())</f>
        <v>17</v>
      </c>
      <c r="WV27" s="87">
        <f ca="1">IF($WI$3&gt;=WV$3,VE27,NA())</f>
        <v>17</v>
      </c>
      <c r="WW27" s="87">
        <f ca="1">IF($WI$3&gt;=WW$3,VF27,NA())</f>
        <v>17</v>
      </c>
      <c r="WX27" s="87">
        <f ca="1">IF($WI$3&gt;=WX$3,VG27,NA())</f>
        <v>17</v>
      </c>
      <c r="WY27" s="87">
        <f ca="1">IF($WI$3&gt;=WY$3,VH27,NA())</f>
        <v>17</v>
      </c>
      <c r="WZ27" s="87">
        <f ca="1">IF($WI$3&gt;=WZ$3,VI27,NA())</f>
        <v>17</v>
      </c>
      <c r="XA27" s="87">
        <f ca="1">IF($WI$3&gt;=XA$3,VJ27,NA())</f>
        <v>17</v>
      </c>
      <c r="XB27" s="87">
        <f ca="1">IF($WI$3&gt;=XB$3,VK27,NA())</f>
        <v>17</v>
      </c>
      <c r="XC27" s="87">
        <f ca="1">IF($WI$3&gt;=XC$3,VL27,NA())</f>
        <v>17</v>
      </c>
      <c r="XD27" s="87">
        <f ca="1">IF($WI$3&gt;=XD$3,VM27,NA())</f>
        <v>17</v>
      </c>
      <c r="XE27" s="87">
        <f ca="1">IF($WI$3&gt;=XE$3,VN27,NA())</f>
        <v>17</v>
      </c>
      <c r="XF27" s="87">
        <f ca="1">IF($WI$3&gt;=XF$3,VO27,NA())</f>
        <v>17</v>
      </c>
      <c r="XG27" s="87">
        <f ca="1">IF($WI$3&gt;=XG$3,VP27,NA())</f>
        <v>17</v>
      </c>
      <c r="XH27" s="87">
        <f ca="1">IF($WI$3&gt;=XH$3,VQ27,NA())</f>
        <v>17</v>
      </c>
      <c r="XI27" s="87" t="e">
        <f>IF($WI$3&gt;=XI$3,VR27,NA())</f>
        <v>#N/A</v>
      </c>
      <c r="XJ27" s="87" t="e">
        <f>IF($WI$3&gt;=XJ$3,VS27,NA())</f>
        <v>#N/A</v>
      </c>
      <c r="XK27" s="87" t="e">
        <f>IF($WI$3&gt;=XK$3,VT27,NA())</f>
        <v>#N/A</v>
      </c>
      <c r="XL27" s="87" t="e">
        <f>IF($WI$3&gt;=XL$3,VU27,NA())</f>
        <v>#N/A</v>
      </c>
      <c r="XM27" s="87" t="e">
        <f>IF($WI$3&gt;=XM$3,VV27,NA())</f>
        <v>#N/A</v>
      </c>
      <c r="XN27" s="87" t="e">
        <f>IF($WI$3&gt;=XN$3,VW27,NA())</f>
        <v>#N/A</v>
      </c>
      <c r="XO27" s="87" t="e">
        <f>IF($WI$3&gt;=XO$3,VX27,NA())</f>
        <v>#N/A</v>
      </c>
      <c r="XP27" s="87" t="e">
        <f>IF($WI$3&gt;=XP$3,VY27,NA())</f>
        <v>#N/A</v>
      </c>
      <c r="XQ27" s="87" t="e">
        <f>IF($WI$3&gt;=XQ$3,VZ27,NA())</f>
        <v>#N/A</v>
      </c>
      <c r="XR27" s="87" t="e">
        <f>IF($WI$3&gt;=XR$3,WA27,NA())</f>
        <v>#N/A</v>
      </c>
      <c r="XS27" s="87" t="e">
        <f>IF($WI$3&gt;=XS$3,WB27,NA())</f>
        <v>#N/A</v>
      </c>
      <c r="XT27" s="87" t="e">
        <f>IF($WI$3&gt;=XT$3,WC27,NA())</f>
        <v>#N/A</v>
      </c>
      <c r="XU27" s="87" t="e">
        <f>IF($WI$3&gt;=XU$3,WD27,NA())</f>
        <v>#N/A</v>
      </c>
      <c r="XV27" s="87" t="e">
        <f>IF($WI$3&gt;=XV$3,WE27,NA())</f>
        <v>#N/A</v>
      </c>
      <c r="XW27" s="87" t="e">
        <f>IF($WI$3&gt;=XW$3,WF27,NA())</f>
        <v>#N/A</v>
      </c>
      <c r="XX27" s="87" t="e">
        <f>IF($WI$3&gt;=XX$3,WG27,NA())</f>
        <v>#N/A</v>
      </c>
      <c r="XY27" s="87" t="e">
        <f>IF($WI$3&gt;=XY$3,WH27,NA())</f>
        <v>#N/A</v>
      </c>
      <c r="YE27" s="87"/>
      <c r="YF27" s="87"/>
    </row>
    <row r="28" spans="4:723">
      <c r="D28" s="29"/>
      <c r="E28" s="136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5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5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137"/>
      <c r="AP28" s="27"/>
      <c r="AQ28" s="28"/>
      <c r="AR28" s="29"/>
      <c r="AS28" s="28"/>
      <c r="AT28" s="29"/>
      <c r="AU28" s="30"/>
      <c r="AV28" s="29"/>
      <c r="AW28" s="29"/>
      <c r="AX28" s="29"/>
      <c r="AY28" s="29"/>
      <c r="AZ28" s="29"/>
      <c r="BA28" s="29"/>
      <c r="BB28" s="29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S28" s="10" t="s">
        <v>51</v>
      </c>
      <c r="BT28" s="123">
        <v>0.250000000000001</v>
      </c>
      <c r="BU28" s="123">
        <f t="shared" si="405"/>
        <v>0.41666666666666763</v>
      </c>
      <c r="BV28" s="10" t="s">
        <v>64</v>
      </c>
      <c r="CA28" s="130">
        <f t="shared" si="119"/>
        <v>-1</v>
      </c>
      <c r="CB28" s="130">
        <f t="shared" si="120"/>
        <v>100000</v>
      </c>
      <c r="CC28" s="130">
        <f t="shared" si="121"/>
        <v>-1</v>
      </c>
      <c r="CD28" s="130">
        <f t="shared" si="122"/>
        <v>100000</v>
      </c>
      <c r="CE28" s="130">
        <f t="shared" si="123"/>
        <v>-1</v>
      </c>
      <c r="CF28" s="130">
        <f t="shared" si="124"/>
        <v>100000</v>
      </c>
      <c r="CG28" s="130">
        <f t="shared" si="125"/>
        <v>-1</v>
      </c>
      <c r="CH28" s="130">
        <f t="shared" si="126"/>
        <v>100000</v>
      </c>
      <c r="CI28" s="130">
        <f t="shared" si="127"/>
        <v>-1</v>
      </c>
      <c r="CJ28" s="130">
        <f t="shared" si="128"/>
        <v>100000</v>
      </c>
      <c r="CK28" s="130">
        <f t="shared" si="129"/>
        <v>-100000</v>
      </c>
      <c r="CL28" s="130">
        <f t="shared" si="130"/>
        <v>100000</v>
      </c>
      <c r="CM28" s="130">
        <f t="shared" si="131"/>
        <v>-1</v>
      </c>
      <c r="CN28" s="130">
        <f t="shared" si="132"/>
        <v>100000</v>
      </c>
      <c r="CO28" s="130">
        <f t="shared" si="133"/>
        <v>-1</v>
      </c>
      <c r="CP28" s="130">
        <f t="shared" si="134"/>
        <v>100000</v>
      </c>
      <c r="CQ28" s="131"/>
      <c r="CR28" s="130">
        <f t="shared" si="360"/>
        <v>-1</v>
      </c>
      <c r="CS28" s="130">
        <f t="shared" si="135"/>
        <v>100000</v>
      </c>
      <c r="CT28" s="130">
        <f t="shared" si="361"/>
        <v>-1</v>
      </c>
      <c r="CU28" s="130">
        <f t="shared" si="362"/>
        <v>100000</v>
      </c>
      <c r="CV28" s="130">
        <f t="shared" si="363"/>
        <v>-1</v>
      </c>
      <c r="CW28" s="130">
        <f t="shared" si="364"/>
        <v>100000</v>
      </c>
      <c r="CX28" s="130">
        <f t="shared" si="365"/>
        <v>-1</v>
      </c>
      <c r="CY28" s="130">
        <f t="shared" si="366"/>
        <v>100000</v>
      </c>
      <c r="CZ28" s="130">
        <f t="shared" si="367"/>
        <v>-1</v>
      </c>
      <c r="DA28" s="130">
        <f t="shared" si="368"/>
        <v>100000</v>
      </c>
      <c r="DB28" s="130">
        <f t="shared" si="369"/>
        <v>-100000</v>
      </c>
      <c r="DC28" s="130">
        <f t="shared" si="370"/>
        <v>100000</v>
      </c>
      <c r="DD28" s="130">
        <f t="shared" si="371"/>
        <v>-1</v>
      </c>
      <c r="DE28" s="130">
        <f t="shared" si="372"/>
        <v>100000</v>
      </c>
      <c r="DF28" s="130">
        <f t="shared" si="373"/>
        <v>-1</v>
      </c>
      <c r="DG28" s="130">
        <f t="shared" si="374"/>
        <v>100000</v>
      </c>
      <c r="DH28" s="131"/>
      <c r="DI28" s="130">
        <f t="shared" si="389"/>
        <v>-1</v>
      </c>
      <c r="DJ28" s="130">
        <f t="shared" si="136"/>
        <v>100000</v>
      </c>
      <c r="DK28" s="130">
        <f t="shared" si="390"/>
        <v>-1</v>
      </c>
      <c r="DL28" s="130">
        <f t="shared" si="391"/>
        <v>100000</v>
      </c>
      <c r="DM28" s="130">
        <f t="shared" si="392"/>
        <v>-1</v>
      </c>
      <c r="DN28" s="130">
        <f t="shared" si="393"/>
        <v>100000</v>
      </c>
      <c r="DO28" s="130">
        <f t="shared" si="394"/>
        <v>-1</v>
      </c>
      <c r="DP28" s="130">
        <f t="shared" si="395"/>
        <v>100000</v>
      </c>
      <c r="DQ28" s="130">
        <f t="shared" si="396"/>
        <v>-1</v>
      </c>
      <c r="DR28" s="130">
        <f t="shared" si="397"/>
        <v>100000</v>
      </c>
      <c r="DS28" s="130">
        <f t="shared" si="398"/>
        <v>-100000</v>
      </c>
      <c r="DT28" s="130">
        <f t="shared" si="399"/>
        <v>100000</v>
      </c>
      <c r="DU28" s="130">
        <f t="shared" si="400"/>
        <v>-1</v>
      </c>
      <c r="DV28" s="130">
        <f t="shared" si="401"/>
        <v>100000</v>
      </c>
      <c r="DW28" s="130">
        <f t="shared" si="402"/>
        <v>-1</v>
      </c>
      <c r="DX28" s="130">
        <f t="shared" si="403"/>
        <v>100000</v>
      </c>
      <c r="DY28" s="132"/>
      <c r="DZ28" s="115">
        <v>25</v>
      </c>
      <c r="EA28" s="115">
        <v>6</v>
      </c>
      <c r="EB28" s="10">
        <f t="shared" si="137"/>
        <v>17</v>
      </c>
      <c r="EC28" s="10">
        <f t="shared" si="138"/>
        <v>17</v>
      </c>
      <c r="ED28" s="10">
        <f t="shared" si="139"/>
        <v>17</v>
      </c>
      <c r="EE28" s="10">
        <f t="shared" si="140"/>
        <v>17</v>
      </c>
      <c r="EF28" s="10">
        <f t="shared" si="141"/>
        <v>17</v>
      </c>
      <c r="EG28" s="10">
        <f t="shared" si="142"/>
        <v>17</v>
      </c>
      <c r="EH28" s="10">
        <f t="shared" si="143"/>
        <v>17</v>
      </c>
      <c r="EI28" s="10">
        <f t="shared" si="144"/>
        <v>17</v>
      </c>
      <c r="EJ28" s="10">
        <f t="shared" si="145"/>
        <v>17</v>
      </c>
      <c r="EK28" s="10">
        <f t="shared" si="146"/>
        <v>17</v>
      </c>
      <c r="EL28" s="10">
        <f t="shared" si="147"/>
        <v>17</v>
      </c>
      <c r="EM28" s="10">
        <f t="shared" si="148"/>
        <v>17</v>
      </c>
      <c r="EN28" s="10">
        <f t="shared" si="149"/>
        <v>17</v>
      </c>
      <c r="EO28" s="10">
        <f t="shared" si="150"/>
        <v>17</v>
      </c>
      <c r="EP28" s="10">
        <f t="shared" si="151"/>
        <v>17</v>
      </c>
      <c r="EQ28" s="10">
        <f t="shared" si="152"/>
        <v>17</v>
      </c>
      <c r="ES28" s="10">
        <f t="shared" si="153"/>
        <v>17</v>
      </c>
      <c r="ET28" s="10">
        <f t="shared" si="154"/>
        <v>17</v>
      </c>
      <c r="EU28" s="10">
        <f t="shared" si="155"/>
        <v>17</v>
      </c>
      <c r="EV28" s="10">
        <f t="shared" si="154"/>
        <v>17</v>
      </c>
      <c r="EW28" s="10">
        <f t="shared" si="156"/>
        <v>17</v>
      </c>
      <c r="EX28" s="10">
        <f t="shared" si="157"/>
        <v>17</v>
      </c>
      <c r="EY28" s="10">
        <f t="shared" si="158"/>
        <v>17</v>
      </c>
      <c r="EZ28" s="10">
        <f t="shared" si="159"/>
        <v>17</v>
      </c>
      <c r="FA28" s="10">
        <f t="shared" si="160"/>
        <v>17</v>
      </c>
      <c r="FB28" s="10">
        <f t="shared" si="161"/>
        <v>17</v>
      </c>
      <c r="FC28" s="10">
        <f t="shared" si="162"/>
        <v>17</v>
      </c>
      <c r="FD28" s="10">
        <f t="shared" si="163"/>
        <v>17</v>
      </c>
      <c r="FE28" s="10">
        <f t="shared" si="164"/>
        <v>17</v>
      </c>
      <c r="FF28" s="10">
        <f t="shared" si="165"/>
        <v>17</v>
      </c>
      <c r="FG28" s="10">
        <f t="shared" si="166"/>
        <v>17</v>
      </c>
      <c r="FH28" s="10">
        <f t="shared" si="167"/>
        <v>17</v>
      </c>
      <c r="FJ28" s="10">
        <f t="shared" si="168"/>
        <v>17</v>
      </c>
      <c r="FK28" s="10">
        <f t="shared" si="169"/>
        <v>17</v>
      </c>
      <c r="FL28" s="10">
        <f t="shared" si="170"/>
        <v>17</v>
      </c>
      <c r="FM28" s="10">
        <f t="shared" si="171"/>
        <v>17</v>
      </c>
      <c r="FN28" s="10">
        <f t="shared" si="172"/>
        <v>17</v>
      </c>
      <c r="FO28" s="10">
        <f t="shared" si="173"/>
        <v>17</v>
      </c>
      <c r="FP28" s="10">
        <f t="shared" si="174"/>
        <v>17</v>
      </c>
      <c r="FQ28" s="10">
        <f t="shared" si="175"/>
        <v>17</v>
      </c>
      <c r="FR28" s="10">
        <f t="shared" si="176"/>
        <v>17</v>
      </c>
      <c r="FS28" s="10">
        <f t="shared" si="177"/>
        <v>17</v>
      </c>
      <c r="FT28" s="10">
        <f t="shared" si="178"/>
        <v>17</v>
      </c>
      <c r="FU28" s="10">
        <f t="shared" si="179"/>
        <v>17</v>
      </c>
      <c r="FV28" s="10">
        <f t="shared" si="180"/>
        <v>17</v>
      </c>
      <c r="FW28" s="10">
        <f t="shared" si="181"/>
        <v>17</v>
      </c>
      <c r="FX28" s="10">
        <f t="shared" si="182"/>
        <v>17</v>
      </c>
      <c r="FY28" s="10">
        <f t="shared" si="183"/>
        <v>17</v>
      </c>
      <c r="GA28" s="10">
        <f>IF(lg!$C$18=1,EB28,IF(lg!$C$18=2,ES28,FJ28))</f>
        <v>17</v>
      </c>
      <c r="GB28" s="10">
        <f>IF(lg!$C$18=1,EC28,IF(lg!$C$18=2,ET28,FK28))</f>
        <v>17</v>
      </c>
      <c r="GC28" s="10">
        <f>IF(lg!$C$18=1,ED28,IF(lg!$C$18=2,EU28,FL28))</f>
        <v>17</v>
      </c>
      <c r="GD28" s="10">
        <f>IF(lg!$C$18=1,EE28,IF(lg!$C$18=2,EV28,FM28))</f>
        <v>17</v>
      </c>
      <c r="GE28" s="10">
        <f>IF(lg!$C$18=1,EF28,IF(lg!$C$18=2,EW28,FN28))</f>
        <v>17</v>
      </c>
      <c r="GF28" s="10">
        <f>IF(lg!$C$18=1,EG28,IF(lg!$C$18=2,EX28,FO28))</f>
        <v>17</v>
      </c>
      <c r="GG28" s="10">
        <f>IF(lg!$C$18=1,EH28,IF(lg!$C$18=2,EY28,FP28))</f>
        <v>17</v>
      </c>
      <c r="GH28" s="10">
        <f>IF(lg!$C$18=1,EI28,IF(lg!$C$18=2,EZ28,FQ28))</f>
        <v>17</v>
      </c>
      <c r="GI28" s="10">
        <f>IF(lg!$C$18=1,EJ28,IF(lg!$C$18=2,FA28,FR28))</f>
        <v>17</v>
      </c>
      <c r="GJ28" s="10">
        <f>IF(lg!$C$18=1,EK28,IF(lg!$C$18=2,FB28,FS28))</f>
        <v>17</v>
      </c>
      <c r="GK28" s="10">
        <f>IF(lg!$C$18=1,EL28,IF(lg!$C$18=2,FC28,FT28))</f>
        <v>17</v>
      </c>
      <c r="GL28" s="10">
        <f>IF(lg!$C$18=1,EM28,IF(lg!$C$18=2,FD28,FU28))</f>
        <v>17</v>
      </c>
      <c r="GM28" s="10">
        <f>IF(lg!$C$18=1,EN28,IF(lg!$C$18=2,FE28,FV28))</f>
        <v>17</v>
      </c>
      <c r="GN28" s="10">
        <f>IF(lg!$C$18=1,EO28,IF(lg!$C$18=2,FF28,FW28))</f>
        <v>17</v>
      </c>
      <c r="GO28" s="10">
        <f>IF(lg!$C$18=1,EP28,IF(lg!$C$18=2,FG28,FX28))</f>
        <v>17</v>
      </c>
      <c r="GP28" s="10">
        <f>IF(lg!$C$18=1,EQ28,IF(lg!$C$18=2,FH28,FY28))</f>
        <v>17</v>
      </c>
      <c r="GR28" s="10" t="e">
        <f t="shared" si="184"/>
        <v>#N/A</v>
      </c>
      <c r="GS28" s="10" t="e">
        <f t="shared" si="31"/>
        <v>#N/A</v>
      </c>
      <c r="GT28" s="10" t="e">
        <f t="shared" si="32"/>
        <v>#N/A</v>
      </c>
      <c r="GU28" s="10" t="e">
        <f t="shared" si="33"/>
        <v>#N/A</v>
      </c>
      <c r="GV28" s="10" t="e">
        <f t="shared" si="34"/>
        <v>#N/A</v>
      </c>
      <c r="GW28" s="10" t="e">
        <f t="shared" si="35"/>
        <v>#N/A</v>
      </c>
      <c r="GX28" s="10" t="e">
        <f t="shared" si="36"/>
        <v>#N/A</v>
      </c>
      <c r="GY28" s="10" t="e">
        <f t="shared" si="37"/>
        <v>#N/A</v>
      </c>
      <c r="GZ28" s="10" t="e">
        <f t="shared" si="38"/>
        <v>#N/A</v>
      </c>
      <c r="HA28" s="10" t="e">
        <f t="shared" si="39"/>
        <v>#N/A</v>
      </c>
      <c r="HB28" s="10" t="e">
        <f t="shared" si="40"/>
        <v>#N/A</v>
      </c>
      <c r="HC28" s="10" t="e">
        <f t="shared" si="41"/>
        <v>#N/A</v>
      </c>
      <c r="HD28" s="10" t="e">
        <f t="shared" si="42"/>
        <v>#N/A</v>
      </c>
      <c r="HE28" s="10" t="e">
        <f t="shared" si="43"/>
        <v>#N/A</v>
      </c>
      <c r="HF28" s="10" t="e">
        <f t="shared" si="44"/>
        <v>#N/A</v>
      </c>
      <c r="HG28" s="10" t="e">
        <f t="shared" si="45"/>
        <v>#N/A</v>
      </c>
      <c r="HI28" s="10">
        <v>25</v>
      </c>
      <c r="HJ28" s="115">
        <f>IF(lg!$C$18=1,F28,IF(lg!$C$18=2,R28,AD28))</f>
        <v>0</v>
      </c>
      <c r="HK28" s="115">
        <f>IF(lg!$C$18=1,G28,IF(lg!$C$18=2,S28,AE28))</f>
        <v>0</v>
      </c>
      <c r="HL28" s="115">
        <f>IF(lg!$C$18=1,H28,IF(lg!$C$18=2,T28,AF28))</f>
        <v>0</v>
      </c>
      <c r="HM28" s="115">
        <f>IF(lg!$C$18=1,I28,IF(lg!$C$18=2,U28,AG28))</f>
        <v>0</v>
      </c>
      <c r="HN28" s="115">
        <f>IF(lg!$C$18=1,J28,IF(lg!$C$18=2,V28,AH28))</f>
        <v>0</v>
      </c>
      <c r="HO28" s="115">
        <f>IF(lg!$C$18=1,K28,IF(lg!$C$18=2,W28,AI28))</f>
        <v>0</v>
      </c>
      <c r="HP28" s="115">
        <f>IF(lg!$C$18=1,L28,IF(lg!$C$18=2,X28,AJ28))</f>
        <v>0</v>
      </c>
      <c r="HQ28" s="115">
        <f>IF(lg!$C$18=1,M28,IF(lg!$C$18=2,Y28,AK28))</f>
        <v>0</v>
      </c>
      <c r="HR28" s="115">
        <f>IF(lg!$C$18=1,N28,IF(lg!$C$18=2,Z28,AL28))</f>
        <v>0</v>
      </c>
      <c r="HS28" s="115">
        <f>IF(lg!$C$18=1,O28,IF(lg!$C$18=2,AA28,AM28))</f>
        <v>0</v>
      </c>
      <c r="HT28" s="115">
        <f>IF(lg!$C$18=1,P28,IF(lg!$C$18=2,AB28,AN28))</f>
        <v>0</v>
      </c>
      <c r="HV28" s="115">
        <f t="shared" si="185"/>
        <v>0</v>
      </c>
      <c r="HW28" s="115">
        <f t="shared" si="186"/>
        <v>0</v>
      </c>
      <c r="HX28" s="115">
        <f t="shared" si="187"/>
        <v>0</v>
      </c>
      <c r="HY28" s="115">
        <f t="shared" si="188"/>
        <v>0</v>
      </c>
      <c r="HZ28" s="115">
        <f t="shared" si="189"/>
        <v>0</v>
      </c>
      <c r="IA28" s="115">
        <f t="shared" si="190"/>
        <v>0</v>
      </c>
      <c r="IB28" s="115">
        <f t="shared" si="191"/>
        <v>0</v>
      </c>
      <c r="IC28" s="115">
        <f t="shared" si="192"/>
        <v>0</v>
      </c>
      <c r="ID28" s="115">
        <f t="shared" si="193"/>
        <v>0</v>
      </c>
      <c r="IE28" s="115">
        <f t="shared" si="194"/>
        <v>0</v>
      </c>
      <c r="IF28" s="115">
        <f t="shared" si="195"/>
        <v>0</v>
      </c>
      <c r="IG28" s="115">
        <f t="shared" si="196"/>
        <v>0</v>
      </c>
      <c r="IH28" s="115">
        <f t="shared" si="197"/>
        <v>0</v>
      </c>
      <c r="II28" s="115">
        <f t="shared" si="198"/>
        <v>0</v>
      </c>
      <c r="IJ28" s="115">
        <f t="shared" si="199"/>
        <v>0</v>
      </c>
      <c r="IK28" s="115">
        <f t="shared" si="200"/>
        <v>0</v>
      </c>
      <c r="IN28" s="36"/>
      <c r="IO28" s="36"/>
      <c r="IP28" s="67"/>
      <c r="IQ28" s="36"/>
      <c r="IR28" s="67"/>
      <c r="IS28" s="36"/>
      <c r="IT28" s="67"/>
      <c r="IU28" s="36"/>
      <c r="IV28" s="67"/>
      <c r="IW28" s="104"/>
      <c r="IX28" s="138"/>
      <c r="IY28" s="138"/>
      <c r="JB28" s="10">
        <f>IF(lg!$F$18=1,EB28,IF(lg!$F$18=2,ES28,FJ28))</f>
        <v>17</v>
      </c>
      <c r="JC28" s="10">
        <f>IF(lg!$F$18=1,EC28,IF(lg!$F$18=2,ET28,FK28))</f>
        <v>17</v>
      </c>
      <c r="JD28" s="10">
        <f>IF(lg!$F$18=1,ED28,IF(lg!$F$18=2,EU28,FL28))</f>
        <v>17</v>
      </c>
      <c r="JE28" s="10">
        <f>IF(lg!$F$18=1,EE28,IF(lg!$F$18=2,EV28,FM28))</f>
        <v>17</v>
      </c>
      <c r="JF28" s="10">
        <f>IF(lg!$F$18=1,EF28,IF(lg!$F$18=2,EW28,FN28))</f>
        <v>17</v>
      </c>
      <c r="JG28" s="10">
        <f>IF(lg!$F$18=1,EG28,IF(lg!$F$18=2,EX28,FO28))</f>
        <v>17</v>
      </c>
      <c r="JH28" s="10">
        <f>IF(lg!$F$18=1,EH28,IF(lg!$F$18=2,EY28,FP28))</f>
        <v>17</v>
      </c>
      <c r="JI28" s="10">
        <f>IF(lg!$F$18=1,EI28,IF(lg!$F$18=2,EZ28,FQ28))</f>
        <v>17</v>
      </c>
      <c r="JJ28" s="10">
        <f>IF(lg!$F$18=1,EJ28,IF(lg!$F$18=2,FA28,FR28))</f>
        <v>17</v>
      </c>
      <c r="JK28" s="10">
        <f>IF(lg!$F$18=1,EK28,IF(lg!$F$18=2,FB28,FS28))</f>
        <v>17</v>
      </c>
      <c r="JL28" s="10">
        <f>IF(lg!$F$18=1,EL28,IF(lg!$F$18=2,FC28,FT28))</f>
        <v>17</v>
      </c>
      <c r="JM28" s="10">
        <f>IF(lg!$F$18=1,EM28,IF(lg!$F$18=2,FD28,FU28))</f>
        <v>17</v>
      </c>
      <c r="JN28" s="10">
        <f>IF(lg!$F$18=1,EN28,IF(lg!$F$18=2,FE28,FV28))</f>
        <v>17</v>
      </c>
      <c r="JO28" s="10">
        <f>IF(lg!$F$18=1,EO28,IF(lg!$F$18=2,FF28,FW28))</f>
        <v>17</v>
      </c>
      <c r="JP28" s="10">
        <f>IF(lg!$F$18=1,EP28,IF(lg!$F$18=2,FG28,FX28))</f>
        <v>17</v>
      </c>
      <c r="JQ28" s="10">
        <f>IF(lg!$F$18=1,EQ28,IF(lg!$F$18=2,FH28,FY28))</f>
        <v>17</v>
      </c>
      <c r="JS28" s="10" t="e">
        <f t="shared" si="201"/>
        <v>#N/A</v>
      </c>
      <c r="JT28" s="10" t="e">
        <f t="shared" si="49"/>
        <v>#N/A</v>
      </c>
      <c r="JU28" s="10" t="e">
        <f t="shared" si="50"/>
        <v>#N/A</v>
      </c>
      <c r="JV28" s="10" t="e">
        <f t="shared" si="51"/>
        <v>#N/A</v>
      </c>
      <c r="JW28" s="10" t="e">
        <f t="shared" si="52"/>
        <v>#N/A</v>
      </c>
      <c r="JX28" s="10" t="e">
        <f t="shared" si="53"/>
        <v>#N/A</v>
      </c>
      <c r="JY28" s="10" t="e">
        <f t="shared" si="54"/>
        <v>#N/A</v>
      </c>
      <c r="JZ28" s="10" t="e">
        <f t="shared" si="55"/>
        <v>#N/A</v>
      </c>
      <c r="KA28" s="10" t="e">
        <f t="shared" si="56"/>
        <v>#N/A</v>
      </c>
      <c r="KB28" s="10" t="e">
        <f t="shared" si="57"/>
        <v>#N/A</v>
      </c>
      <c r="KC28" s="10" t="e">
        <f t="shared" si="58"/>
        <v>#N/A</v>
      </c>
      <c r="KD28" s="10" t="e">
        <f t="shared" si="59"/>
        <v>#N/A</v>
      </c>
      <c r="KE28" s="10" t="e">
        <f t="shared" si="60"/>
        <v>#N/A</v>
      </c>
      <c r="KF28" s="10" t="e">
        <f t="shared" si="61"/>
        <v>#N/A</v>
      </c>
      <c r="KG28" s="10" t="e">
        <f t="shared" si="62"/>
        <v>#N/A</v>
      </c>
      <c r="KH28" s="10" t="e">
        <f t="shared" si="63"/>
        <v>#N/A</v>
      </c>
      <c r="KL28" s="27">
        <v>0.06</v>
      </c>
      <c r="KM28" s="29">
        <v>25</v>
      </c>
      <c r="KN28" s="31">
        <f t="shared" si="202"/>
        <v>0</v>
      </c>
      <c r="KO28" s="152">
        <f t="shared" si="203"/>
        <v>0</v>
      </c>
      <c r="KP28" s="152">
        <f t="shared" si="204"/>
        <v>0</v>
      </c>
      <c r="KQ28" s="152">
        <f t="shared" si="205"/>
        <v>0</v>
      </c>
      <c r="KR28" s="28">
        <f t="shared" si="206"/>
        <v>-10000000000</v>
      </c>
      <c r="KS28" s="29"/>
      <c r="KT28" s="28"/>
      <c r="KU28" s="29">
        <f t="shared" si="408"/>
        <v>17</v>
      </c>
      <c r="KV28" s="152">
        <f t="shared" si="207"/>
        <v>0</v>
      </c>
      <c r="KW28" s="152">
        <f t="shared" si="208"/>
        <v>0</v>
      </c>
      <c r="KX28" s="152">
        <f t="shared" si="209"/>
        <v>0</v>
      </c>
      <c r="KY28" s="28">
        <f t="shared" si="210"/>
        <v>-10000000000</v>
      </c>
      <c r="KZ28" s="29"/>
      <c r="LA28" s="28"/>
      <c r="LB28" s="29">
        <f t="shared" si="409"/>
        <v>17</v>
      </c>
      <c r="LC28" s="152">
        <f t="shared" si="211"/>
        <v>0</v>
      </c>
      <c r="LD28" s="152">
        <f t="shared" si="212"/>
        <v>0</v>
      </c>
      <c r="LE28" s="152">
        <f t="shared" si="213"/>
        <v>0</v>
      </c>
      <c r="LF28" s="28">
        <f t="shared" si="214"/>
        <v>-10000000000</v>
      </c>
      <c r="LG28" s="29"/>
      <c r="LH28" s="28"/>
      <c r="LI28" s="29">
        <f t="shared" si="410"/>
        <v>17</v>
      </c>
      <c r="LJ28" s="152">
        <f t="shared" si="215"/>
        <v>0</v>
      </c>
      <c r="LK28" s="152">
        <f t="shared" si="216"/>
        <v>0</v>
      </c>
      <c r="LL28" s="152">
        <f t="shared" si="217"/>
        <v>0</v>
      </c>
      <c r="LM28" s="28">
        <f t="shared" si="218"/>
        <v>-10000000000</v>
      </c>
      <c r="LN28" s="29"/>
      <c r="LO28" s="28"/>
      <c r="LP28" s="29">
        <f t="shared" si="411"/>
        <v>17</v>
      </c>
      <c r="LQ28" s="152">
        <f t="shared" si="219"/>
        <v>0</v>
      </c>
      <c r="LR28" s="152">
        <f t="shared" si="220"/>
        <v>0</v>
      </c>
      <c r="LS28" s="152">
        <f t="shared" si="221"/>
        <v>0</v>
      </c>
      <c r="LT28" s="28">
        <f t="shared" si="222"/>
        <v>-10000000000</v>
      </c>
      <c r="LU28" s="29"/>
      <c r="LV28" s="28"/>
      <c r="LW28" s="29">
        <f t="shared" si="412"/>
        <v>17</v>
      </c>
      <c r="LX28" s="152">
        <f t="shared" si="223"/>
        <v>0</v>
      </c>
      <c r="LY28" s="152">
        <f t="shared" si="224"/>
        <v>0</v>
      </c>
      <c r="LZ28" s="152">
        <f t="shared" si="225"/>
        <v>0</v>
      </c>
      <c r="MA28" s="28">
        <f t="shared" si="226"/>
        <v>-10000000000</v>
      </c>
      <c r="MB28" s="29"/>
      <c r="MC28" s="28"/>
      <c r="MD28" s="29">
        <f t="shared" si="413"/>
        <v>17</v>
      </c>
      <c r="ME28" s="152">
        <f t="shared" si="227"/>
        <v>0</v>
      </c>
      <c r="MF28" s="152">
        <f t="shared" si="228"/>
        <v>0</v>
      </c>
      <c r="MG28" s="152">
        <f t="shared" si="229"/>
        <v>0</v>
      </c>
      <c r="MH28" s="28">
        <f t="shared" si="230"/>
        <v>-10000000000</v>
      </c>
      <c r="MI28" s="29"/>
      <c r="MJ28" s="28"/>
      <c r="MK28" s="29">
        <f t="shared" si="414"/>
        <v>17</v>
      </c>
      <c r="ML28" s="152">
        <f t="shared" si="231"/>
        <v>0</v>
      </c>
      <c r="MM28" s="152">
        <f t="shared" si="232"/>
        <v>0</v>
      </c>
      <c r="MN28" s="152">
        <f t="shared" si="233"/>
        <v>0</v>
      </c>
      <c r="MO28" s="28">
        <f t="shared" si="234"/>
        <v>-10000000000</v>
      </c>
      <c r="MP28" s="29"/>
      <c r="MQ28" s="28"/>
      <c r="MR28" s="29">
        <f t="shared" si="415"/>
        <v>17</v>
      </c>
      <c r="MS28" s="152">
        <f t="shared" si="235"/>
        <v>0</v>
      </c>
      <c r="MT28" s="152">
        <f t="shared" si="236"/>
        <v>0</v>
      </c>
      <c r="MU28" s="152">
        <f t="shared" si="237"/>
        <v>0</v>
      </c>
      <c r="MV28" s="28">
        <f t="shared" si="238"/>
        <v>-10000000000</v>
      </c>
      <c r="MW28" s="29"/>
      <c r="MX28" s="28"/>
      <c r="MY28" s="29">
        <f t="shared" si="416"/>
        <v>17</v>
      </c>
      <c r="MZ28" s="152">
        <f t="shared" si="239"/>
        <v>0</v>
      </c>
      <c r="NA28" s="152">
        <f t="shared" si="240"/>
        <v>0</v>
      </c>
      <c r="NB28" s="152">
        <f t="shared" si="241"/>
        <v>0</v>
      </c>
      <c r="NC28" s="28">
        <f t="shared" si="242"/>
        <v>-10000000000</v>
      </c>
      <c r="ND28" s="29"/>
      <c r="NE28" s="28"/>
      <c r="NF28" s="29">
        <f t="shared" si="417"/>
        <v>17</v>
      </c>
      <c r="NG28" s="152">
        <f t="shared" si="243"/>
        <v>0</v>
      </c>
      <c r="NH28" s="152">
        <f t="shared" si="244"/>
        <v>0</v>
      </c>
      <c r="NI28" s="152">
        <f t="shared" si="245"/>
        <v>0</v>
      </c>
      <c r="NJ28" s="28">
        <f t="shared" si="246"/>
        <v>-10000000000</v>
      </c>
      <c r="NK28" s="29"/>
      <c r="NL28" s="28"/>
      <c r="NM28" s="29">
        <f t="shared" si="418"/>
        <v>17</v>
      </c>
      <c r="NN28" s="152">
        <f t="shared" si="247"/>
        <v>0</v>
      </c>
      <c r="NO28" s="152">
        <f t="shared" si="248"/>
        <v>0</v>
      </c>
      <c r="NP28" s="152">
        <f t="shared" si="249"/>
        <v>0</v>
      </c>
      <c r="NQ28" s="28">
        <f t="shared" si="250"/>
        <v>-10000000000</v>
      </c>
      <c r="NR28" s="29"/>
      <c r="NS28" s="28"/>
      <c r="NT28" s="29">
        <f t="shared" si="419"/>
        <v>17</v>
      </c>
      <c r="NU28" s="152">
        <f t="shared" si="251"/>
        <v>0</v>
      </c>
      <c r="NV28" s="152">
        <f t="shared" si="252"/>
        <v>0</v>
      </c>
      <c r="NW28" s="152">
        <f t="shared" si="253"/>
        <v>0</v>
      </c>
      <c r="NX28" s="28">
        <f t="shared" si="254"/>
        <v>-10000000000</v>
      </c>
      <c r="NY28" s="29"/>
      <c r="NZ28" s="28"/>
      <c r="OA28" s="29">
        <f t="shared" si="420"/>
        <v>17</v>
      </c>
      <c r="OB28" s="152">
        <f t="shared" si="255"/>
        <v>0</v>
      </c>
      <c r="OC28" s="152">
        <f t="shared" si="256"/>
        <v>0</v>
      </c>
      <c r="OD28" s="152">
        <f t="shared" si="257"/>
        <v>0</v>
      </c>
      <c r="OE28" s="28">
        <f t="shared" si="258"/>
        <v>-10000000000</v>
      </c>
      <c r="OF28" s="29"/>
      <c r="OG28" s="28"/>
      <c r="OH28" s="29">
        <f t="shared" si="421"/>
        <v>17</v>
      </c>
      <c r="OI28" s="152">
        <f t="shared" si="259"/>
        <v>0</v>
      </c>
      <c r="OJ28" s="152">
        <f t="shared" si="260"/>
        <v>0</v>
      </c>
      <c r="OK28" s="152">
        <f t="shared" si="261"/>
        <v>0</v>
      </c>
      <c r="OL28" s="28">
        <f t="shared" si="262"/>
        <v>-10000000000</v>
      </c>
      <c r="OM28" s="29"/>
      <c r="ON28" s="28"/>
      <c r="OO28" s="29">
        <f t="shared" si="422"/>
        <v>17</v>
      </c>
      <c r="OP28" s="152">
        <f t="shared" si="263"/>
        <v>0</v>
      </c>
      <c r="OQ28" s="152">
        <f t="shared" si="264"/>
        <v>0</v>
      </c>
      <c r="OR28" s="152">
        <f t="shared" si="265"/>
        <v>0</v>
      </c>
      <c r="OS28" s="28">
        <f t="shared" si="266"/>
        <v>-10000000000</v>
      </c>
      <c r="OT28" s="29"/>
      <c r="OU28" s="28"/>
      <c r="OV28" s="29">
        <f t="shared" si="423"/>
        <v>17</v>
      </c>
      <c r="OW28" s="152">
        <f t="shared" si="267"/>
        <v>0</v>
      </c>
      <c r="OX28" s="152">
        <f t="shared" si="268"/>
        <v>0</v>
      </c>
      <c r="OY28" s="152">
        <f t="shared" si="269"/>
        <v>0</v>
      </c>
      <c r="OZ28" s="28">
        <f t="shared" si="270"/>
        <v>-10000000000</v>
      </c>
      <c r="PA28" s="29"/>
      <c r="PB28" s="28"/>
      <c r="PC28" s="29">
        <f t="shared" si="424"/>
        <v>17</v>
      </c>
      <c r="PD28" s="152">
        <f t="shared" si="271"/>
        <v>0</v>
      </c>
      <c r="PE28" s="152">
        <f t="shared" si="272"/>
        <v>0</v>
      </c>
      <c r="PF28" s="152">
        <f t="shared" si="273"/>
        <v>0</v>
      </c>
      <c r="PG28" s="28">
        <f t="shared" si="274"/>
        <v>-10000000000</v>
      </c>
      <c r="PH28" s="29"/>
      <c r="PI28" s="28"/>
      <c r="PJ28" s="29">
        <f t="shared" si="425"/>
        <v>17</v>
      </c>
      <c r="PK28" s="152">
        <f t="shared" si="275"/>
        <v>0</v>
      </c>
      <c r="PL28" s="152">
        <f t="shared" si="276"/>
        <v>0</v>
      </c>
      <c r="PM28" s="152">
        <f t="shared" si="277"/>
        <v>0</v>
      </c>
      <c r="PN28" s="28">
        <f t="shared" si="278"/>
        <v>-10000000000</v>
      </c>
      <c r="PO28" s="29"/>
      <c r="PP28" s="28"/>
      <c r="PQ28" s="29">
        <f t="shared" si="426"/>
        <v>17</v>
      </c>
      <c r="PR28" s="152">
        <f t="shared" si="279"/>
        <v>0</v>
      </c>
      <c r="PS28" s="152">
        <f t="shared" si="280"/>
        <v>0</v>
      </c>
      <c r="PT28" s="152">
        <f t="shared" si="281"/>
        <v>0</v>
      </c>
      <c r="PU28" s="28">
        <f t="shared" si="282"/>
        <v>-10000000000</v>
      </c>
      <c r="PV28" s="29"/>
      <c r="PW28" s="28"/>
      <c r="PX28" s="29">
        <f t="shared" si="427"/>
        <v>17</v>
      </c>
      <c r="PY28" s="152">
        <f t="shared" si="283"/>
        <v>0</v>
      </c>
      <c r="PZ28" s="152">
        <f t="shared" si="284"/>
        <v>0</v>
      </c>
      <c r="QA28" s="152">
        <f t="shared" si="285"/>
        <v>0</v>
      </c>
      <c r="QB28" s="28">
        <f t="shared" si="286"/>
        <v>-10000000000</v>
      </c>
      <c r="QC28" s="29"/>
      <c r="QD28" s="28"/>
      <c r="QE28" s="29">
        <f t="shared" si="428"/>
        <v>17</v>
      </c>
      <c r="QF28" s="152">
        <f t="shared" si="287"/>
        <v>0</v>
      </c>
      <c r="QG28" s="152">
        <f t="shared" si="288"/>
        <v>0</v>
      </c>
      <c r="QH28" s="152">
        <f t="shared" si="289"/>
        <v>0</v>
      </c>
      <c r="QI28" s="28">
        <f t="shared" si="290"/>
        <v>-10000000000</v>
      </c>
      <c r="QJ28" s="29"/>
      <c r="QK28" s="28"/>
      <c r="QL28" s="29">
        <f t="shared" si="429"/>
        <v>17</v>
      </c>
      <c r="QM28" s="152">
        <f t="shared" si="291"/>
        <v>0</v>
      </c>
      <c r="QN28" s="152">
        <f t="shared" si="292"/>
        <v>0</v>
      </c>
      <c r="QO28" s="152">
        <f t="shared" si="293"/>
        <v>0</v>
      </c>
      <c r="QP28" s="28">
        <f t="shared" si="294"/>
        <v>-10000000000</v>
      </c>
      <c r="QQ28" s="29"/>
      <c r="QR28" s="28"/>
      <c r="QS28" s="29">
        <f t="shared" si="430"/>
        <v>17</v>
      </c>
      <c r="QT28" s="152">
        <f t="shared" si="295"/>
        <v>0</v>
      </c>
      <c r="QU28" s="152">
        <f t="shared" si="296"/>
        <v>0</v>
      </c>
      <c r="QV28" s="152">
        <f t="shared" si="297"/>
        <v>0</v>
      </c>
      <c r="QW28" s="28">
        <f t="shared" si="298"/>
        <v>-10000000000</v>
      </c>
      <c r="QX28" s="29"/>
      <c r="QY28" s="28"/>
      <c r="QZ28" s="29">
        <f t="shared" si="431"/>
        <v>17</v>
      </c>
      <c r="RA28" s="152">
        <f t="shared" si="299"/>
        <v>0</v>
      </c>
      <c r="RB28" s="152">
        <f t="shared" si="300"/>
        <v>0</v>
      </c>
      <c r="RC28" s="152">
        <f t="shared" si="301"/>
        <v>0</v>
      </c>
      <c r="RD28" s="28">
        <f t="shared" si="302"/>
        <v>-10000000000</v>
      </c>
      <c r="RE28" s="29"/>
      <c r="RF28" s="28"/>
      <c r="RG28" s="29">
        <f t="shared" si="432"/>
        <v>17</v>
      </c>
      <c r="RH28" s="152">
        <f t="shared" si="303"/>
        <v>0</v>
      </c>
      <c r="RI28" s="152">
        <f t="shared" si="304"/>
        <v>0</v>
      </c>
      <c r="RJ28" s="152">
        <f t="shared" si="305"/>
        <v>0</v>
      </c>
      <c r="RK28" s="28">
        <f t="shared" si="306"/>
        <v>-10000000000</v>
      </c>
      <c r="RL28" s="29"/>
      <c r="RM28" s="28"/>
      <c r="RN28" s="29">
        <f t="shared" si="433"/>
        <v>17</v>
      </c>
      <c r="RO28" s="152">
        <f t="shared" si="307"/>
        <v>0</v>
      </c>
      <c r="RP28" s="152">
        <f t="shared" si="308"/>
        <v>0</v>
      </c>
      <c r="RQ28" s="152">
        <f t="shared" si="309"/>
        <v>0</v>
      </c>
      <c r="RR28" s="28">
        <f t="shared" si="310"/>
        <v>-10000000000</v>
      </c>
      <c r="RS28" s="29"/>
      <c r="RT28" s="28"/>
      <c r="RU28" s="29">
        <f t="shared" si="434"/>
        <v>17</v>
      </c>
      <c r="RV28" s="152">
        <f t="shared" si="311"/>
        <v>0</v>
      </c>
      <c r="RW28" s="152">
        <f t="shared" si="312"/>
        <v>0</v>
      </c>
      <c r="RX28" s="152">
        <f t="shared" si="313"/>
        <v>0</v>
      </c>
      <c r="RY28" s="28">
        <f t="shared" si="314"/>
        <v>-10000000000</v>
      </c>
      <c r="RZ28" s="29"/>
      <c r="SA28" s="28"/>
      <c r="SB28" s="29">
        <f t="shared" si="435"/>
        <v>17</v>
      </c>
      <c r="SC28" s="152">
        <f t="shared" si="315"/>
        <v>0</v>
      </c>
      <c r="SD28" s="152">
        <f t="shared" si="316"/>
        <v>0</v>
      </c>
      <c r="SE28" s="152">
        <f t="shared" si="317"/>
        <v>0</v>
      </c>
      <c r="SF28" s="28">
        <f t="shared" si="318"/>
        <v>-10000000000</v>
      </c>
      <c r="SG28" s="29"/>
      <c r="SH28" s="28"/>
      <c r="SI28" s="29">
        <f t="shared" si="436"/>
        <v>17</v>
      </c>
      <c r="SJ28" s="152">
        <f t="shared" si="319"/>
        <v>0</v>
      </c>
      <c r="SK28" s="152">
        <f t="shared" si="320"/>
        <v>0</v>
      </c>
      <c r="SL28" s="152">
        <f t="shared" si="321"/>
        <v>0</v>
      </c>
      <c r="SM28" s="28">
        <f t="shared" si="322"/>
        <v>-10000000000</v>
      </c>
      <c r="SN28" s="29"/>
      <c r="SO28" s="28"/>
      <c r="SP28" s="29">
        <f t="shared" si="437"/>
        <v>17</v>
      </c>
      <c r="SQ28" s="152">
        <f t="shared" si="323"/>
        <v>0</v>
      </c>
      <c r="SR28" s="152">
        <f t="shared" si="324"/>
        <v>0</v>
      </c>
      <c r="SS28" s="152">
        <f t="shared" si="325"/>
        <v>0</v>
      </c>
      <c r="ST28" s="28">
        <f t="shared" si="326"/>
        <v>-10000000000</v>
      </c>
      <c r="SU28" s="29"/>
      <c r="SV28" s="28"/>
      <c r="SW28" s="29">
        <f t="shared" si="438"/>
        <v>17</v>
      </c>
      <c r="SX28" s="152">
        <f t="shared" si="327"/>
        <v>0</v>
      </c>
      <c r="SY28" s="152">
        <f t="shared" si="328"/>
        <v>0</v>
      </c>
      <c r="SZ28" s="152">
        <f t="shared" si="329"/>
        <v>0</v>
      </c>
      <c r="TA28" s="28">
        <f t="shared" si="330"/>
        <v>-10000000000</v>
      </c>
      <c r="TB28" s="29"/>
      <c r="TC28" s="28"/>
      <c r="TD28" s="29">
        <f t="shared" si="439"/>
        <v>17</v>
      </c>
      <c r="TE28" s="152">
        <f t="shared" si="331"/>
        <v>0</v>
      </c>
      <c r="TF28" s="152">
        <f t="shared" si="332"/>
        <v>0</v>
      </c>
      <c r="TG28" s="152">
        <f t="shared" si="333"/>
        <v>0</v>
      </c>
      <c r="TH28" s="28">
        <f t="shared" si="334"/>
        <v>-10000000000</v>
      </c>
      <c r="TI28" s="29"/>
      <c r="TJ28" s="28"/>
      <c r="TK28" s="29">
        <f t="shared" si="440"/>
        <v>17</v>
      </c>
      <c r="TL28" s="152">
        <f t="shared" si="335"/>
        <v>0</v>
      </c>
      <c r="TM28" s="152">
        <f t="shared" si="336"/>
        <v>0</v>
      </c>
      <c r="TN28" s="152">
        <f t="shared" si="337"/>
        <v>0</v>
      </c>
      <c r="TO28" s="28">
        <f t="shared" si="338"/>
        <v>-10000000000</v>
      </c>
      <c r="TP28" s="29"/>
      <c r="TQ28" s="28"/>
      <c r="TR28" s="29">
        <f t="shared" si="441"/>
        <v>17</v>
      </c>
      <c r="TS28" s="152">
        <f t="shared" si="339"/>
        <v>0</v>
      </c>
      <c r="TT28" s="152">
        <f t="shared" si="340"/>
        <v>0</v>
      </c>
      <c r="TU28" s="152">
        <f t="shared" si="341"/>
        <v>0</v>
      </c>
      <c r="TV28" s="28">
        <f t="shared" si="342"/>
        <v>-10000000000</v>
      </c>
      <c r="TW28" s="29"/>
      <c r="TX28" s="28"/>
      <c r="TY28" s="29">
        <f t="shared" si="442"/>
        <v>17</v>
      </c>
      <c r="TZ28" s="152">
        <f t="shared" si="343"/>
        <v>0</v>
      </c>
      <c r="UA28" s="152">
        <f t="shared" si="344"/>
        <v>0</v>
      </c>
      <c r="UB28" s="152">
        <f t="shared" si="345"/>
        <v>0</v>
      </c>
      <c r="UC28" s="28">
        <f t="shared" si="346"/>
        <v>-10000000000</v>
      </c>
      <c r="UD28" s="29"/>
      <c r="UE28" s="28"/>
      <c r="UF28" s="29">
        <f t="shared" si="443"/>
        <v>17</v>
      </c>
      <c r="UG28" s="152">
        <f t="shared" si="347"/>
        <v>0</v>
      </c>
      <c r="UH28" s="152">
        <f t="shared" si="348"/>
        <v>0</v>
      </c>
      <c r="UI28" s="152">
        <f t="shared" si="349"/>
        <v>0</v>
      </c>
      <c r="UJ28" s="28">
        <f t="shared" si="350"/>
        <v>-10000000000</v>
      </c>
      <c r="UK28" s="29"/>
      <c r="UL28" s="28"/>
      <c r="UM28" s="29">
        <f t="shared" si="444"/>
        <v>17</v>
      </c>
      <c r="UN28" s="152">
        <f t="shared" si="351"/>
        <v>0</v>
      </c>
      <c r="UO28" s="152">
        <f t="shared" si="352"/>
        <v>0</v>
      </c>
      <c r="UP28" s="152">
        <f t="shared" si="353"/>
        <v>0</v>
      </c>
      <c r="UQ28" s="28">
        <f t="shared" si="354"/>
        <v>-10000000000</v>
      </c>
      <c r="UR28" s="29"/>
      <c r="US28" s="28"/>
      <c r="UT28" s="29">
        <f t="shared" si="445"/>
        <v>17</v>
      </c>
      <c r="UU28" s="129"/>
      <c r="UV28" s="129">
        <f t="shared" si="355"/>
        <v>0</v>
      </c>
      <c r="UW28" s="129">
        <f t="shared" si="356"/>
        <v>17</v>
      </c>
      <c r="UX28" s="129">
        <f t="shared" ca="1" si="446"/>
        <v>17</v>
      </c>
      <c r="UY28" s="129">
        <f t="shared" ca="1" si="446"/>
        <v>17</v>
      </c>
      <c r="UZ28" s="129">
        <f t="shared" ca="1" si="446"/>
        <v>17</v>
      </c>
      <c r="VA28" s="129">
        <f t="shared" ca="1" si="446"/>
        <v>17</v>
      </c>
      <c r="VB28" s="129">
        <f t="shared" ca="1" si="446"/>
        <v>17</v>
      </c>
      <c r="VC28" s="129">
        <f t="shared" ca="1" si="446"/>
        <v>17</v>
      </c>
      <c r="VD28" s="129">
        <f t="shared" ca="1" si="446"/>
        <v>17</v>
      </c>
      <c r="VE28" s="129">
        <f t="shared" ca="1" si="446"/>
        <v>17</v>
      </c>
      <c r="VF28" s="129">
        <f t="shared" ca="1" si="446"/>
        <v>17</v>
      </c>
      <c r="VG28" s="129">
        <f t="shared" ca="1" si="446"/>
        <v>17</v>
      </c>
      <c r="VH28" s="129">
        <f t="shared" ca="1" si="446"/>
        <v>17</v>
      </c>
      <c r="VI28" s="129">
        <f t="shared" ca="1" si="446"/>
        <v>17</v>
      </c>
      <c r="VJ28" s="129">
        <f t="shared" ca="1" si="446"/>
        <v>17</v>
      </c>
      <c r="VK28" s="129">
        <f t="shared" ca="1" si="446"/>
        <v>17</v>
      </c>
      <c r="VL28" s="129">
        <f t="shared" ca="1" si="446"/>
        <v>17</v>
      </c>
      <c r="VM28" s="129">
        <f t="shared" ca="1" si="446"/>
        <v>17</v>
      </c>
      <c r="VN28" s="129">
        <f t="shared" ca="1" si="406"/>
        <v>17</v>
      </c>
      <c r="VO28" s="129">
        <f t="shared" ca="1" si="406"/>
        <v>17</v>
      </c>
      <c r="VP28" s="129">
        <f t="shared" ca="1" si="406"/>
        <v>17</v>
      </c>
      <c r="VQ28" s="129">
        <f t="shared" ca="1" si="406"/>
        <v>17</v>
      </c>
      <c r="VR28" s="129">
        <f t="shared" ca="1" si="406"/>
        <v>17</v>
      </c>
      <c r="VS28" s="129">
        <f t="shared" ca="1" si="406"/>
        <v>17</v>
      </c>
      <c r="VT28" s="129">
        <f t="shared" ca="1" si="406"/>
        <v>17</v>
      </c>
      <c r="VU28" s="129">
        <f t="shared" ca="1" si="406"/>
        <v>17</v>
      </c>
      <c r="VV28" s="129">
        <f t="shared" ca="1" si="406"/>
        <v>17</v>
      </c>
      <c r="VW28" s="129">
        <f t="shared" ca="1" si="406"/>
        <v>17</v>
      </c>
      <c r="VX28" s="129">
        <f t="shared" ca="1" si="406"/>
        <v>17</v>
      </c>
      <c r="VY28" s="129">
        <f t="shared" ca="1" si="406"/>
        <v>17</v>
      </c>
      <c r="VZ28" s="129">
        <f t="shared" ca="1" si="406"/>
        <v>17</v>
      </c>
      <c r="WA28" s="129">
        <f t="shared" ca="1" si="406"/>
        <v>17</v>
      </c>
      <c r="WB28" s="129">
        <f t="shared" ca="1" si="406"/>
        <v>17</v>
      </c>
      <c r="WC28" s="129">
        <f t="shared" ca="1" si="406"/>
        <v>17</v>
      </c>
      <c r="WD28" s="129">
        <f t="shared" ca="1" si="407"/>
        <v>17</v>
      </c>
      <c r="WE28" s="129">
        <f t="shared" ca="1" si="66"/>
        <v>17</v>
      </c>
      <c r="WF28" s="129">
        <f t="shared" ca="1" si="66"/>
        <v>17</v>
      </c>
      <c r="WG28" s="129">
        <f t="shared" ca="1" si="66"/>
        <v>17</v>
      </c>
      <c r="WH28" s="129">
        <f t="shared" ca="1" si="66"/>
        <v>17</v>
      </c>
      <c r="WJ28" s="87"/>
      <c r="WK28" s="87">
        <f t="shared" si="358"/>
        <v>0</v>
      </c>
      <c r="WL28" s="87">
        <v>25</v>
      </c>
      <c r="WM28" s="87">
        <v>25</v>
      </c>
      <c r="WN28" s="87">
        <f>IF($WI$3&gt;=WN$3,UW28,NA())</f>
        <v>17</v>
      </c>
      <c r="WO28" s="87">
        <f ca="1">IF($WI$3&gt;=WO$3,UX28,NA())</f>
        <v>17</v>
      </c>
      <c r="WP28" s="87">
        <f ca="1">IF($WI$3&gt;=WP$3,UY28,NA())</f>
        <v>17</v>
      </c>
      <c r="WQ28" s="87">
        <f ca="1">IF($WI$3&gt;=WQ$3,UZ28,NA())</f>
        <v>17</v>
      </c>
      <c r="WR28" s="87">
        <f ca="1">IF($WI$3&gt;=WR$3,VA28,NA())</f>
        <v>17</v>
      </c>
      <c r="WS28" s="87">
        <f ca="1">IF($WI$3&gt;=WS$3,VB28,NA())</f>
        <v>17</v>
      </c>
      <c r="WT28" s="87">
        <f ca="1">IF($WI$3&gt;=WT$3,VC28,NA())</f>
        <v>17</v>
      </c>
      <c r="WU28" s="87">
        <f ca="1">IF($WI$3&gt;=WU$3,VD28,NA())</f>
        <v>17</v>
      </c>
      <c r="WV28" s="87">
        <f ca="1">IF($WI$3&gt;=WV$3,VE28,NA())</f>
        <v>17</v>
      </c>
      <c r="WW28" s="87">
        <f ca="1">IF($WI$3&gt;=WW$3,VF28,NA())</f>
        <v>17</v>
      </c>
      <c r="WX28" s="87">
        <f ca="1">IF($WI$3&gt;=WX$3,VG28,NA())</f>
        <v>17</v>
      </c>
      <c r="WY28" s="87">
        <f ca="1">IF($WI$3&gt;=WY$3,VH28,NA())</f>
        <v>17</v>
      </c>
      <c r="WZ28" s="87">
        <f ca="1">IF($WI$3&gt;=WZ$3,VI28,NA())</f>
        <v>17</v>
      </c>
      <c r="XA28" s="87">
        <f ca="1">IF($WI$3&gt;=XA$3,VJ28,NA())</f>
        <v>17</v>
      </c>
      <c r="XB28" s="87">
        <f ca="1">IF($WI$3&gt;=XB$3,VK28,NA())</f>
        <v>17</v>
      </c>
      <c r="XC28" s="87">
        <f ca="1">IF($WI$3&gt;=XC$3,VL28,NA())</f>
        <v>17</v>
      </c>
      <c r="XD28" s="87">
        <f ca="1">IF($WI$3&gt;=XD$3,VM28,NA())</f>
        <v>17</v>
      </c>
      <c r="XE28" s="87">
        <f ca="1">IF($WI$3&gt;=XE$3,VN28,NA())</f>
        <v>17</v>
      </c>
      <c r="XF28" s="87">
        <f ca="1">IF($WI$3&gt;=XF$3,VO28,NA())</f>
        <v>17</v>
      </c>
      <c r="XG28" s="87">
        <f ca="1">IF($WI$3&gt;=XG$3,VP28,NA())</f>
        <v>17</v>
      </c>
      <c r="XH28" s="87">
        <f ca="1">IF($WI$3&gt;=XH$3,VQ28,NA())</f>
        <v>17</v>
      </c>
      <c r="XI28" s="87" t="e">
        <f>IF($WI$3&gt;=XI$3,VR28,NA())</f>
        <v>#N/A</v>
      </c>
      <c r="XJ28" s="87" t="e">
        <f>IF($WI$3&gt;=XJ$3,VS28,NA())</f>
        <v>#N/A</v>
      </c>
      <c r="XK28" s="87" t="e">
        <f>IF($WI$3&gt;=XK$3,VT28,NA())</f>
        <v>#N/A</v>
      </c>
      <c r="XL28" s="87" t="e">
        <f>IF($WI$3&gt;=XL$3,VU28,NA())</f>
        <v>#N/A</v>
      </c>
      <c r="XM28" s="87" t="e">
        <f>IF($WI$3&gt;=XM$3,VV28,NA())</f>
        <v>#N/A</v>
      </c>
      <c r="XN28" s="87" t="e">
        <f>IF($WI$3&gt;=XN$3,VW28,NA())</f>
        <v>#N/A</v>
      </c>
      <c r="XO28" s="87" t="e">
        <f>IF($WI$3&gt;=XO$3,VX28,NA())</f>
        <v>#N/A</v>
      </c>
      <c r="XP28" s="87" t="e">
        <f>IF($WI$3&gt;=XP$3,VY28,NA())</f>
        <v>#N/A</v>
      </c>
      <c r="XQ28" s="87" t="e">
        <f>IF($WI$3&gt;=XQ$3,VZ28,NA())</f>
        <v>#N/A</v>
      </c>
      <c r="XR28" s="87" t="e">
        <f>IF($WI$3&gt;=XR$3,WA28,NA())</f>
        <v>#N/A</v>
      </c>
      <c r="XS28" s="87" t="e">
        <f>IF($WI$3&gt;=XS$3,WB28,NA())</f>
        <v>#N/A</v>
      </c>
      <c r="XT28" s="87" t="e">
        <f>IF($WI$3&gt;=XT$3,WC28,NA())</f>
        <v>#N/A</v>
      </c>
      <c r="XU28" s="87" t="e">
        <f>IF($WI$3&gt;=XU$3,WD28,NA())</f>
        <v>#N/A</v>
      </c>
      <c r="XV28" s="87" t="e">
        <f>IF($WI$3&gt;=XV$3,WE28,NA())</f>
        <v>#N/A</v>
      </c>
      <c r="XW28" s="87" t="e">
        <f>IF($WI$3&gt;=XW$3,WF28,NA())</f>
        <v>#N/A</v>
      </c>
      <c r="XX28" s="87" t="e">
        <f>IF($WI$3&gt;=XX$3,WG28,NA())</f>
        <v>#N/A</v>
      </c>
      <c r="XY28" s="87" t="e">
        <f>IF($WI$3&gt;=XY$3,WH28,NA())</f>
        <v>#N/A</v>
      </c>
      <c r="YE28" s="87"/>
      <c r="YF28" s="87"/>
    </row>
    <row r="29" spans="4:723">
      <c r="D29" s="29"/>
      <c r="E29" s="136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5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5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137"/>
      <c r="AP29" s="27"/>
      <c r="AQ29" s="28"/>
      <c r="AR29" s="29"/>
      <c r="AS29" s="28"/>
      <c r="AT29" s="29"/>
      <c r="AU29" s="30"/>
      <c r="AV29" s="29"/>
      <c r="AW29" s="29"/>
      <c r="AX29" s="29"/>
      <c r="AY29" s="29"/>
      <c r="AZ29" s="29"/>
      <c r="BA29" s="29"/>
      <c r="BB29" s="29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S29" s="10" t="s">
        <v>52</v>
      </c>
      <c r="BT29" s="123">
        <v>0.27083333333333331</v>
      </c>
      <c r="BU29" s="123">
        <f t="shared" si="405"/>
        <v>0.4375</v>
      </c>
      <c r="BV29" s="10" t="s">
        <v>64</v>
      </c>
      <c r="CA29" s="130">
        <f t="shared" si="119"/>
        <v>-1</v>
      </c>
      <c r="CB29" s="130">
        <f t="shared" si="120"/>
        <v>100000</v>
      </c>
      <c r="CC29" s="130">
        <f t="shared" si="121"/>
        <v>-1</v>
      </c>
      <c r="CD29" s="130">
        <f t="shared" si="122"/>
        <v>100000</v>
      </c>
      <c r="CE29" s="130">
        <f t="shared" si="123"/>
        <v>-1</v>
      </c>
      <c r="CF29" s="130">
        <f t="shared" si="124"/>
        <v>100000</v>
      </c>
      <c r="CG29" s="130">
        <f t="shared" si="125"/>
        <v>-1</v>
      </c>
      <c r="CH29" s="130">
        <f t="shared" si="126"/>
        <v>100000</v>
      </c>
      <c r="CI29" s="130">
        <f t="shared" si="127"/>
        <v>-1</v>
      </c>
      <c r="CJ29" s="130">
        <f t="shared" si="128"/>
        <v>100000</v>
      </c>
      <c r="CK29" s="130">
        <f t="shared" si="129"/>
        <v>-100000</v>
      </c>
      <c r="CL29" s="130">
        <f t="shared" si="130"/>
        <v>100000</v>
      </c>
      <c r="CM29" s="130">
        <f t="shared" si="131"/>
        <v>-1</v>
      </c>
      <c r="CN29" s="130">
        <f t="shared" si="132"/>
        <v>100000</v>
      </c>
      <c r="CO29" s="130">
        <f t="shared" si="133"/>
        <v>-1</v>
      </c>
      <c r="CP29" s="130">
        <f t="shared" si="134"/>
        <v>100000</v>
      </c>
      <c r="CQ29" s="131"/>
      <c r="CR29" s="130">
        <f t="shared" si="360"/>
        <v>-1</v>
      </c>
      <c r="CS29" s="130">
        <f t="shared" si="135"/>
        <v>100000</v>
      </c>
      <c r="CT29" s="130">
        <f t="shared" si="361"/>
        <v>-1</v>
      </c>
      <c r="CU29" s="130">
        <f t="shared" si="362"/>
        <v>100000</v>
      </c>
      <c r="CV29" s="130">
        <f t="shared" si="363"/>
        <v>-1</v>
      </c>
      <c r="CW29" s="130">
        <f t="shared" si="364"/>
        <v>100000</v>
      </c>
      <c r="CX29" s="130">
        <f t="shared" si="365"/>
        <v>-1</v>
      </c>
      <c r="CY29" s="130">
        <f t="shared" si="366"/>
        <v>100000</v>
      </c>
      <c r="CZ29" s="130">
        <f t="shared" si="367"/>
        <v>-1</v>
      </c>
      <c r="DA29" s="130">
        <f t="shared" si="368"/>
        <v>100000</v>
      </c>
      <c r="DB29" s="130">
        <f t="shared" si="369"/>
        <v>-100000</v>
      </c>
      <c r="DC29" s="130">
        <f t="shared" si="370"/>
        <v>100000</v>
      </c>
      <c r="DD29" s="130">
        <f t="shared" si="371"/>
        <v>-1</v>
      </c>
      <c r="DE29" s="130">
        <f t="shared" si="372"/>
        <v>100000</v>
      </c>
      <c r="DF29" s="130">
        <f t="shared" si="373"/>
        <v>-1</v>
      </c>
      <c r="DG29" s="130">
        <f t="shared" si="374"/>
        <v>100000</v>
      </c>
      <c r="DH29" s="131"/>
      <c r="DI29" s="130">
        <f t="shared" si="389"/>
        <v>-1</v>
      </c>
      <c r="DJ29" s="130">
        <f t="shared" si="136"/>
        <v>100000</v>
      </c>
      <c r="DK29" s="130">
        <f t="shared" si="390"/>
        <v>-1</v>
      </c>
      <c r="DL29" s="130">
        <f t="shared" si="391"/>
        <v>100000</v>
      </c>
      <c r="DM29" s="130">
        <f t="shared" si="392"/>
        <v>-1</v>
      </c>
      <c r="DN29" s="130">
        <f t="shared" si="393"/>
        <v>100000</v>
      </c>
      <c r="DO29" s="130">
        <f t="shared" si="394"/>
        <v>-1</v>
      </c>
      <c r="DP29" s="130">
        <f t="shared" si="395"/>
        <v>100000</v>
      </c>
      <c r="DQ29" s="130">
        <f t="shared" si="396"/>
        <v>-1</v>
      </c>
      <c r="DR29" s="130">
        <f t="shared" si="397"/>
        <v>100000</v>
      </c>
      <c r="DS29" s="130">
        <f t="shared" si="398"/>
        <v>-100000</v>
      </c>
      <c r="DT29" s="130">
        <f t="shared" si="399"/>
        <v>100000</v>
      </c>
      <c r="DU29" s="130">
        <f t="shared" si="400"/>
        <v>-1</v>
      </c>
      <c r="DV29" s="130">
        <f t="shared" si="401"/>
        <v>100000</v>
      </c>
      <c r="DW29" s="130">
        <f t="shared" si="402"/>
        <v>-1</v>
      </c>
      <c r="DX29" s="130">
        <f t="shared" si="403"/>
        <v>100000</v>
      </c>
      <c r="DY29" s="132"/>
      <c r="DZ29" s="115">
        <v>26</v>
      </c>
      <c r="EA29" s="115">
        <v>5</v>
      </c>
      <c r="EB29" s="10">
        <f t="shared" si="137"/>
        <v>17</v>
      </c>
      <c r="EC29" s="10">
        <f t="shared" si="138"/>
        <v>17</v>
      </c>
      <c r="ED29" s="10">
        <f t="shared" si="139"/>
        <v>17</v>
      </c>
      <c r="EE29" s="10">
        <f t="shared" si="140"/>
        <v>17</v>
      </c>
      <c r="EF29" s="10">
        <f t="shared" si="141"/>
        <v>17</v>
      </c>
      <c r="EG29" s="10">
        <f t="shared" si="142"/>
        <v>17</v>
      </c>
      <c r="EH29" s="10">
        <f t="shared" si="143"/>
        <v>17</v>
      </c>
      <c r="EI29" s="10">
        <f t="shared" si="144"/>
        <v>17</v>
      </c>
      <c r="EJ29" s="10">
        <f t="shared" si="145"/>
        <v>17</v>
      </c>
      <c r="EK29" s="10">
        <f t="shared" si="146"/>
        <v>17</v>
      </c>
      <c r="EL29" s="10">
        <f t="shared" si="147"/>
        <v>17</v>
      </c>
      <c r="EM29" s="10">
        <f t="shared" si="148"/>
        <v>17</v>
      </c>
      <c r="EN29" s="10">
        <f t="shared" si="149"/>
        <v>17</v>
      </c>
      <c r="EO29" s="10">
        <f t="shared" si="150"/>
        <v>17</v>
      </c>
      <c r="EP29" s="10">
        <f t="shared" si="151"/>
        <v>17</v>
      </c>
      <c r="EQ29" s="10">
        <f t="shared" si="152"/>
        <v>17</v>
      </c>
      <c r="ES29" s="10">
        <f t="shared" si="153"/>
        <v>17</v>
      </c>
      <c r="ET29" s="10">
        <f t="shared" si="154"/>
        <v>17</v>
      </c>
      <c r="EU29" s="10">
        <f t="shared" si="155"/>
        <v>17</v>
      </c>
      <c r="EV29" s="10">
        <f t="shared" si="154"/>
        <v>17</v>
      </c>
      <c r="EW29" s="10">
        <f t="shared" si="156"/>
        <v>17</v>
      </c>
      <c r="EX29" s="10">
        <f t="shared" si="157"/>
        <v>17</v>
      </c>
      <c r="EY29" s="10">
        <f t="shared" si="158"/>
        <v>17</v>
      </c>
      <c r="EZ29" s="10">
        <f t="shared" si="159"/>
        <v>17</v>
      </c>
      <c r="FA29" s="10">
        <f t="shared" si="160"/>
        <v>17</v>
      </c>
      <c r="FB29" s="10">
        <f t="shared" si="161"/>
        <v>17</v>
      </c>
      <c r="FC29" s="10">
        <f t="shared" si="162"/>
        <v>17</v>
      </c>
      <c r="FD29" s="10">
        <f t="shared" si="163"/>
        <v>17</v>
      </c>
      <c r="FE29" s="10">
        <f t="shared" si="164"/>
        <v>17</v>
      </c>
      <c r="FF29" s="10">
        <f t="shared" si="165"/>
        <v>17</v>
      </c>
      <c r="FG29" s="10">
        <f t="shared" si="166"/>
        <v>17</v>
      </c>
      <c r="FH29" s="10">
        <f t="shared" si="167"/>
        <v>17</v>
      </c>
      <c r="FJ29" s="10">
        <f t="shared" si="168"/>
        <v>17</v>
      </c>
      <c r="FK29" s="10">
        <f t="shared" si="169"/>
        <v>17</v>
      </c>
      <c r="FL29" s="10">
        <f t="shared" si="170"/>
        <v>17</v>
      </c>
      <c r="FM29" s="10">
        <f t="shared" si="171"/>
        <v>17</v>
      </c>
      <c r="FN29" s="10">
        <f t="shared" si="172"/>
        <v>17</v>
      </c>
      <c r="FO29" s="10">
        <f t="shared" si="173"/>
        <v>17</v>
      </c>
      <c r="FP29" s="10">
        <f t="shared" si="174"/>
        <v>17</v>
      </c>
      <c r="FQ29" s="10">
        <f t="shared" si="175"/>
        <v>17</v>
      </c>
      <c r="FR29" s="10">
        <f t="shared" si="176"/>
        <v>17</v>
      </c>
      <c r="FS29" s="10">
        <f t="shared" si="177"/>
        <v>17</v>
      </c>
      <c r="FT29" s="10">
        <f t="shared" si="178"/>
        <v>17</v>
      </c>
      <c r="FU29" s="10">
        <f t="shared" si="179"/>
        <v>17</v>
      </c>
      <c r="FV29" s="10">
        <f t="shared" si="180"/>
        <v>17</v>
      </c>
      <c r="FW29" s="10">
        <f t="shared" si="181"/>
        <v>17</v>
      </c>
      <c r="FX29" s="10">
        <f t="shared" si="182"/>
        <v>17</v>
      </c>
      <c r="FY29" s="10">
        <f t="shared" si="183"/>
        <v>17</v>
      </c>
      <c r="GA29" s="10">
        <f>IF(lg!$C$18=1,EB29,IF(lg!$C$18=2,ES29,FJ29))</f>
        <v>17</v>
      </c>
      <c r="GB29" s="10">
        <f>IF(lg!$C$18=1,EC29,IF(lg!$C$18=2,ET29,FK29))</f>
        <v>17</v>
      </c>
      <c r="GC29" s="10">
        <f>IF(lg!$C$18=1,ED29,IF(lg!$C$18=2,EU29,FL29))</f>
        <v>17</v>
      </c>
      <c r="GD29" s="10">
        <f>IF(lg!$C$18=1,EE29,IF(lg!$C$18=2,EV29,FM29))</f>
        <v>17</v>
      </c>
      <c r="GE29" s="10">
        <f>IF(lg!$C$18=1,EF29,IF(lg!$C$18=2,EW29,FN29))</f>
        <v>17</v>
      </c>
      <c r="GF29" s="10">
        <f>IF(lg!$C$18=1,EG29,IF(lg!$C$18=2,EX29,FO29))</f>
        <v>17</v>
      </c>
      <c r="GG29" s="10">
        <f>IF(lg!$C$18=1,EH29,IF(lg!$C$18=2,EY29,FP29))</f>
        <v>17</v>
      </c>
      <c r="GH29" s="10">
        <f>IF(lg!$C$18=1,EI29,IF(lg!$C$18=2,EZ29,FQ29))</f>
        <v>17</v>
      </c>
      <c r="GI29" s="10">
        <f>IF(lg!$C$18=1,EJ29,IF(lg!$C$18=2,FA29,FR29))</f>
        <v>17</v>
      </c>
      <c r="GJ29" s="10">
        <f>IF(lg!$C$18=1,EK29,IF(lg!$C$18=2,FB29,FS29))</f>
        <v>17</v>
      </c>
      <c r="GK29" s="10">
        <f>IF(lg!$C$18=1,EL29,IF(lg!$C$18=2,FC29,FT29))</f>
        <v>17</v>
      </c>
      <c r="GL29" s="10">
        <f>IF(lg!$C$18=1,EM29,IF(lg!$C$18=2,FD29,FU29))</f>
        <v>17</v>
      </c>
      <c r="GM29" s="10">
        <f>IF(lg!$C$18=1,EN29,IF(lg!$C$18=2,FE29,FV29))</f>
        <v>17</v>
      </c>
      <c r="GN29" s="10">
        <f>IF(lg!$C$18=1,EO29,IF(lg!$C$18=2,FF29,FW29))</f>
        <v>17</v>
      </c>
      <c r="GO29" s="10">
        <f>IF(lg!$C$18=1,EP29,IF(lg!$C$18=2,FG29,FX29))</f>
        <v>17</v>
      </c>
      <c r="GP29" s="10">
        <f>IF(lg!$C$18=1,EQ29,IF(lg!$C$18=2,FH29,FY29))</f>
        <v>17</v>
      </c>
      <c r="GR29" s="10" t="e">
        <f t="shared" si="184"/>
        <v>#N/A</v>
      </c>
      <c r="GS29" s="10" t="e">
        <f t="shared" si="31"/>
        <v>#N/A</v>
      </c>
      <c r="GT29" s="10" t="e">
        <f t="shared" si="32"/>
        <v>#N/A</v>
      </c>
      <c r="GU29" s="10" t="e">
        <f t="shared" si="33"/>
        <v>#N/A</v>
      </c>
      <c r="GV29" s="10" t="e">
        <f t="shared" si="34"/>
        <v>#N/A</v>
      </c>
      <c r="GW29" s="10" t="e">
        <f t="shared" si="35"/>
        <v>#N/A</v>
      </c>
      <c r="GX29" s="10" t="e">
        <f t="shared" si="36"/>
        <v>#N/A</v>
      </c>
      <c r="GY29" s="10" t="e">
        <f t="shared" si="37"/>
        <v>#N/A</v>
      </c>
      <c r="GZ29" s="10" t="e">
        <f t="shared" si="38"/>
        <v>#N/A</v>
      </c>
      <c r="HA29" s="10" t="e">
        <f t="shared" si="39"/>
        <v>#N/A</v>
      </c>
      <c r="HB29" s="10" t="e">
        <f t="shared" si="40"/>
        <v>#N/A</v>
      </c>
      <c r="HC29" s="10" t="e">
        <f t="shared" si="41"/>
        <v>#N/A</v>
      </c>
      <c r="HD29" s="10" t="e">
        <f t="shared" si="42"/>
        <v>#N/A</v>
      </c>
      <c r="HE29" s="10" t="e">
        <f t="shared" si="43"/>
        <v>#N/A</v>
      </c>
      <c r="HF29" s="10" t="e">
        <f t="shared" si="44"/>
        <v>#N/A</v>
      </c>
      <c r="HG29" s="10" t="e">
        <f t="shared" si="45"/>
        <v>#N/A</v>
      </c>
      <c r="HI29" s="10">
        <v>26</v>
      </c>
      <c r="HJ29" s="115">
        <f>IF(lg!$C$18=1,F29,IF(lg!$C$18=2,R29,AD29))</f>
        <v>0</v>
      </c>
      <c r="HK29" s="115">
        <f>IF(lg!$C$18=1,G29,IF(lg!$C$18=2,S29,AE29))</f>
        <v>0</v>
      </c>
      <c r="HL29" s="115">
        <f>IF(lg!$C$18=1,H29,IF(lg!$C$18=2,T29,AF29))</f>
        <v>0</v>
      </c>
      <c r="HM29" s="115">
        <f>IF(lg!$C$18=1,I29,IF(lg!$C$18=2,U29,AG29))</f>
        <v>0</v>
      </c>
      <c r="HN29" s="115">
        <f>IF(lg!$C$18=1,J29,IF(lg!$C$18=2,V29,AH29))</f>
        <v>0</v>
      </c>
      <c r="HO29" s="115">
        <f>IF(lg!$C$18=1,K29,IF(lg!$C$18=2,W29,AI29))</f>
        <v>0</v>
      </c>
      <c r="HP29" s="115">
        <f>IF(lg!$C$18=1,L29,IF(lg!$C$18=2,X29,AJ29))</f>
        <v>0</v>
      </c>
      <c r="HQ29" s="115">
        <f>IF(lg!$C$18=1,M29,IF(lg!$C$18=2,Y29,AK29))</f>
        <v>0</v>
      </c>
      <c r="HR29" s="115">
        <f>IF(lg!$C$18=1,N29,IF(lg!$C$18=2,Z29,AL29))</f>
        <v>0</v>
      </c>
      <c r="HS29" s="115">
        <f>IF(lg!$C$18=1,O29,IF(lg!$C$18=2,AA29,AM29))</f>
        <v>0</v>
      </c>
      <c r="HT29" s="115">
        <f>IF(lg!$C$18=1,P29,IF(lg!$C$18=2,AB29,AN29))</f>
        <v>0</v>
      </c>
      <c r="HV29" s="115">
        <f t="shared" si="185"/>
        <v>0</v>
      </c>
      <c r="HW29" s="115">
        <f t="shared" si="186"/>
        <v>0</v>
      </c>
      <c r="HX29" s="115">
        <f t="shared" si="187"/>
        <v>0</v>
      </c>
      <c r="HY29" s="115">
        <f t="shared" si="188"/>
        <v>0</v>
      </c>
      <c r="HZ29" s="115">
        <f t="shared" si="189"/>
        <v>0</v>
      </c>
      <c r="IA29" s="115">
        <f t="shared" si="190"/>
        <v>0</v>
      </c>
      <c r="IB29" s="115">
        <f t="shared" si="191"/>
        <v>0</v>
      </c>
      <c r="IC29" s="115">
        <f t="shared" si="192"/>
        <v>0</v>
      </c>
      <c r="ID29" s="115">
        <f t="shared" si="193"/>
        <v>0</v>
      </c>
      <c r="IE29" s="115">
        <f t="shared" si="194"/>
        <v>0</v>
      </c>
      <c r="IF29" s="115">
        <f t="shared" si="195"/>
        <v>0</v>
      </c>
      <c r="IG29" s="115">
        <f t="shared" si="196"/>
        <v>0</v>
      </c>
      <c r="IH29" s="115">
        <f t="shared" si="197"/>
        <v>0</v>
      </c>
      <c r="II29" s="115">
        <f t="shared" si="198"/>
        <v>0</v>
      </c>
      <c r="IJ29" s="115">
        <f t="shared" si="199"/>
        <v>0</v>
      </c>
      <c r="IK29" s="115">
        <f t="shared" si="200"/>
        <v>0</v>
      </c>
      <c r="IN29" s="36"/>
      <c r="IO29" s="36"/>
      <c r="IP29" s="67"/>
      <c r="IQ29" s="36"/>
      <c r="IR29" s="67"/>
      <c r="IS29" s="36"/>
      <c r="IT29" s="67"/>
      <c r="IU29" s="36"/>
      <c r="IV29" s="67"/>
      <c r="IW29" s="104"/>
      <c r="IX29" s="138"/>
      <c r="IY29" s="138"/>
      <c r="JB29" s="10">
        <f>IF(lg!$F$18=1,EB29,IF(lg!$F$18=2,ES29,FJ29))</f>
        <v>17</v>
      </c>
      <c r="JC29" s="10">
        <f>IF(lg!$F$18=1,EC29,IF(lg!$F$18=2,ET29,FK29))</f>
        <v>17</v>
      </c>
      <c r="JD29" s="10">
        <f>IF(lg!$F$18=1,ED29,IF(lg!$F$18=2,EU29,FL29))</f>
        <v>17</v>
      </c>
      <c r="JE29" s="10">
        <f>IF(lg!$F$18=1,EE29,IF(lg!$F$18=2,EV29,FM29))</f>
        <v>17</v>
      </c>
      <c r="JF29" s="10">
        <f>IF(lg!$F$18=1,EF29,IF(lg!$F$18=2,EW29,FN29))</f>
        <v>17</v>
      </c>
      <c r="JG29" s="10">
        <f>IF(lg!$F$18=1,EG29,IF(lg!$F$18=2,EX29,FO29))</f>
        <v>17</v>
      </c>
      <c r="JH29" s="10">
        <f>IF(lg!$F$18=1,EH29,IF(lg!$F$18=2,EY29,FP29))</f>
        <v>17</v>
      </c>
      <c r="JI29" s="10">
        <f>IF(lg!$F$18=1,EI29,IF(lg!$F$18=2,EZ29,FQ29))</f>
        <v>17</v>
      </c>
      <c r="JJ29" s="10">
        <f>IF(lg!$F$18=1,EJ29,IF(lg!$F$18=2,FA29,FR29))</f>
        <v>17</v>
      </c>
      <c r="JK29" s="10">
        <f>IF(lg!$F$18=1,EK29,IF(lg!$F$18=2,FB29,FS29))</f>
        <v>17</v>
      </c>
      <c r="JL29" s="10">
        <f>IF(lg!$F$18=1,EL29,IF(lg!$F$18=2,FC29,FT29))</f>
        <v>17</v>
      </c>
      <c r="JM29" s="10">
        <f>IF(lg!$F$18=1,EM29,IF(lg!$F$18=2,FD29,FU29))</f>
        <v>17</v>
      </c>
      <c r="JN29" s="10">
        <f>IF(lg!$F$18=1,EN29,IF(lg!$F$18=2,FE29,FV29))</f>
        <v>17</v>
      </c>
      <c r="JO29" s="10">
        <f>IF(lg!$F$18=1,EO29,IF(lg!$F$18=2,FF29,FW29))</f>
        <v>17</v>
      </c>
      <c r="JP29" s="10">
        <f>IF(lg!$F$18=1,EP29,IF(lg!$F$18=2,FG29,FX29))</f>
        <v>17</v>
      </c>
      <c r="JQ29" s="10">
        <f>IF(lg!$F$18=1,EQ29,IF(lg!$F$18=2,FH29,FY29))</f>
        <v>17</v>
      </c>
      <c r="JS29" s="10" t="e">
        <f t="shared" si="201"/>
        <v>#N/A</v>
      </c>
      <c r="JT29" s="10" t="e">
        <f t="shared" si="49"/>
        <v>#N/A</v>
      </c>
      <c r="JU29" s="10" t="e">
        <f t="shared" si="50"/>
        <v>#N/A</v>
      </c>
      <c r="JV29" s="10" t="e">
        <f t="shared" si="51"/>
        <v>#N/A</v>
      </c>
      <c r="JW29" s="10" t="e">
        <f t="shared" si="52"/>
        <v>#N/A</v>
      </c>
      <c r="JX29" s="10" t="e">
        <f t="shared" si="53"/>
        <v>#N/A</v>
      </c>
      <c r="JY29" s="10" t="e">
        <f t="shared" si="54"/>
        <v>#N/A</v>
      </c>
      <c r="JZ29" s="10" t="e">
        <f t="shared" si="55"/>
        <v>#N/A</v>
      </c>
      <c r="KA29" s="10" t="e">
        <f t="shared" si="56"/>
        <v>#N/A</v>
      </c>
      <c r="KB29" s="10" t="e">
        <f t="shared" si="57"/>
        <v>#N/A</v>
      </c>
      <c r="KC29" s="10" t="e">
        <f t="shared" si="58"/>
        <v>#N/A</v>
      </c>
      <c r="KD29" s="10" t="e">
        <f t="shared" si="59"/>
        <v>#N/A</v>
      </c>
      <c r="KE29" s="10" t="e">
        <f t="shared" si="60"/>
        <v>#N/A</v>
      </c>
      <c r="KF29" s="10" t="e">
        <f t="shared" si="61"/>
        <v>#N/A</v>
      </c>
      <c r="KG29" s="10" t="e">
        <f t="shared" si="62"/>
        <v>#N/A</v>
      </c>
      <c r="KH29" s="10" t="e">
        <f t="shared" si="63"/>
        <v>#N/A</v>
      </c>
      <c r="KL29" s="27">
        <v>0.05</v>
      </c>
      <c r="KM29" s="29">
        <v>26</v>
      </c>
      <c r="KN29" s="31">
        <f t="shared" si="202"/>
        <v>0</v>
      </c>
      <c r="KO29" s="152">
        <f t="shared" si="203"/>
        <v>0</v>
      </c>
      <c r="KP29" s="152">
        <f t="shared" si="204"/>
        <v>0</v>
      </c>
      <c r="KQ29" s="152">
        <f t="shared" si="205"/>
        <v>0</v>
      </c>
      <c r="KR29" s="28">
        <f t="shared" si="206"/>
        <v>-10000000000</v>
      </c>
      <c r="KS29" s="29"/>
      <c r="KT29" s="28"/>
      <c r="KU29" s="29">
        <f t="shared" si="408"/>
        <v>17</v>
      </c>
      <c r="KV29" s="152">
        <f t="shared" si="207"/>
        <v>0</v>
      </c>
      <c r="KW29" s="152">
        <f t="shared" si="208"/>
        <v>0</v>
      </c>
      <c r="KX29" s="152">
        <f t="shared" si="209"/>
        <v>0</v>
      </c>
      <c r="KY29" s="28">
        <f t="shared" si="210"/>
        <v>-10000000000</v>
      </c>
      <c r="KZ29" s="29"/>
      <c r="LA29" s="28"/>
      <c r="LB29" s="29">
        <f t="shared" si="409"/>
        <v>17</v>
      </c>
      <c r="LC29" s="152">
        <f t="shared" si="211"/>
        <v>0</v>
      </c>
      <c r="LD29" s="152">
        <f t="shared" si="212"/>
        <v>0</v>
      </c>
      <c r="LE29" s="152">
        <f t="shared" si="213"/>
        <v>0</v>
      </c>
      <c r="LF29" s="28">
        <f t="shared" si="214"/>
        <v>-10000000000</v>
      </c>
      <c r="LG29" s="29"/>
      <c r="LH29" s="28"/>
      <c r="LI29" s="29">
        <f t="shared" si="410"/>
        <v>17</v>
      </c>
      <c r="LJ29" s="152">
        <f t="shared" si="215"/>
        <v>0</v>
      </c>
      <c r="LK29" s="152">
        <f t="shared" si="216"/>
        <v>0</v>
      </c>
      <c r="LL29" s="152">
        <f t="shared" si="217"/>
        <v>0</v>
      </c>
      <c r="LM29" s="28">
        <f t="shared" si="218"/>
        <v>-10000000000</v>
      </c>
      <c r="LN29" s="29"/>
      <c r="LO29" s="28"/>
      <c r="LP29" s="29">
        <f t="shared" si="411"/>
        <v>17</v>
      </c>
      <c r="LQ29" s="152">
        <f t="shared" si="219"/>
        <v>0</v>
      </c>
      <c r="LR29" s="152">
        <f t="shared" si="220"/>
        <v>0</v>
      </c>
      <c r="LS29" s="152">
        <f t="shared" si="221"/>
        <v>0</v>
      </c>
      <c r="LT29" s="28">
        <f t="shared" si="222"/>
        <v>-10000000000</v>
      </c>
      <c r="LU29" s="29"/>
      <c r="LV29" s="28"/>
      <c r="LW29" s="29">
        <f t="shared" si="412"/>
        <v>17</v>
      </c>
      <c r="LX29" s="152">
        <f t="shared" si="223"/>
        <v>0</v>
      </c>
      <c r="LY29" s="152">
        <f t="shared" si="224"/>
        <v>0</v>
      </c>
      <c r="LZ29" s="152">
        <f t="shared" si="225"/>
        <v>0</v>
      </c>
      <c r="MA29" s="28">
        <f t="shared" si="226"/>
        <v>-10000000000</v>
      </c>
      <c r="MB29" s="29"/>
      <c r="MC29" s="28"/>
      <c r="MD29" s="29">
        <f t="shared" si="413"/>
        <v>17</v>
      </c>
      <c r="ME29" s="152">
        <f t="shared" si="227"/>
        <v>0</v>
      </c>
      <c r="MF29" s="152">
        <f t="shared" si="228"/>
        <v>0</v>
      </c>
      <c r="MG29" s="152">
        <f t="shared" si="229"/>
        <v>0</v>
      </c>
      <c r="MH29" s="28">
        <f t="shared" si="230"/>
        <v>-10000000000</v>
      </c>
      <c r="MI29" s="29"/>
      <c r="MJ29" s="28"/>
      <c r="MK29" s="29">
        <f t="shared" si="414"/>
        <v>17</v>
      </c>
      <c r="ML29" s="152">
        <f t="shared" si="231"/>
        <v>0</v>
      </c>
      <c r="MM29" s="152">
        <f t="shared" si="232"/>
        <v>0</v>
      </c>
      <c r="MN29" s="152">
        <f t="shared" si="233"/>
        <v>0</v>
      </c>
      <c r="MO29" s="28">
        <f t="shared" si="234"/>
        <v>-10000000000</v>
      </c>
      <c r="MP29" s="29"/>
      <c r="MQ29" s="28"/>
      <c r="MR29" s="29">
        <f t="shared" si="415"/>
        <v>17</v>
      </c>
      <c r="MS29" s="152">
        <f t="shared" si="235"/>
        <v>0</v>
      </c>
      <c r="MT29" s="152">
        <f t="shared" si="236"/>
        <v>0</v>
      </c>
      <c r="MU29" s="152">
        <f t="shared" si="237"/>
        <v>0</v>
      </c>
      <c r="MV29" s="28">
        <f t="shared" si="238"/>
        <v>-10000000000</v>
      </c>
      <c r="MW29" s="29"/>
      <c r="MX29" s="28"/>
      <c r="MY29" s="29">
        <f t="shared" si="416"/>
        <v>17</v>
      </c>
      <c r="MZ29" s="152">
        <f t="shared" si="239"/>
        <v>0</v>
      </c>
      <c r="NA29" s="152">
        <f t="shared" si="240"/>
        <v>0</v>
      </c>
      <c r="NB29" s="152">
        <f t="shared" si="241"/>
        <v>0</v>
      </c>
      <c r="NC29" s="28">
        <f t="shared" si="242"/>
        <v>-10000000000</v>
      </c>
      <c r="ND29" s="29"/>
      <c r="NE29" s="28"/>
      <c r="NF29" s="29">
        <f t="shared" si="417"/>
        <v>17</v>
      </c>
      <c r="NG29" s="152">
        <f t="shared" si="243"/>
        <v>0</v>
      </c>
      <c r="NH29" s="152">
        <f t="shared" si="244"/>
        <v>0</v>
      </c>
      <c r="NI29" s="152">
        <f t="shared" si="245"/>
        <v>0</v>
      </c>
      <c r="NJ29" s="28">
        <f t="shared" si="246"/>
        <v>-10000000000</v>
      </c>
      <c r="NK29" s="29"/>
      <c r="NL29" s="28"/>
      <c r="NM29" s="29">
        <f t="shared" si="418"/>
        <v>17</v>
      </c>
      <c r="NN29" s="152">
        <f t="shared" si="247"/>
        <v>0</v>
      </c>
      <c r="NO29" s="152">
        <f t="shared" si="248"/>
        <v>0</v>
      </c>
      <c r="NP29" s="152">
        <f t="shared" si="249"/>
        <v>0</v>
      </c>
      <c r="NQ29" s="28">
        <f t="shared" si="250"/>
        <v>-10000000000</v>
      </c>
      <c r="NR29" s="29"/>
      <c r="NS29" s="28"/>
      <c r="NT29" s="29">
        <f t="shared" si="419"/>
        <v>17</v>
      </c>
      <c r="NU29" s="152">
        <f t="shared" si="251"/>
        <v>0</v>
      </c>
      <c r="NV29" s="152">
        <f t="shared" si="252"/>
        <v>0</v>
      </c>
      <c r="NW29" s="152">
        <f t="shared" si="253"/>
        <v>0</v>
      </c>
      <c r="NX29" s="28">
        <f t="shared" si="254"/>
        <v>-10000000000</v>
      </c>
      <c r="NY29" s="29"/>
      <c r="NZ29" s="28"/>
      <c r="OA29" s="29">
        <f t="shared" si="420"/>
        <v>17</v>
      </c>
      <c r="OB29" s="152">
        <f t="shared" si="255"/>
        <v>0</v>
      </c>
      <c r="OC29" s="152">
        <f t="shared" si="256"/>
        <v>0</v>
      </c>
      <c r="OD29" s="152">
        <f t="shared" si="257"/>
        <v>0</v>
      </c>
      <c r="OE29" s="28">
        <f t="shared" si="258"/>
        <v>-10000000000</v>
      </c>
      <c r="OF29" s="29"/>
      <c r="OG29" s="28"/>
      <c r="OH29" s="29">
        <f t="shared" si="421"/>
        <v>17</v>
      </c>
      <c r="OI29" s="152">
        <f t="shared" si="259"/>
        <v>0</v>
      </c>
      <c r="OJ29" s="152">
        <f t="shared" si="260"/>
        <v>0</v>
      </c>
      <c r="OK29" s="152">
        <f t="shared" si="261"/>
        <v>0</v>
      </c>
      <c r="OL29" s="28">
        <f t="shared" si="262"/>
        <v>-10000000000</v>
      </c>
      <c r="OM29" s="29"/>
      <c r="ON29" s="28"/>
      <c r="OO29" s="29">
        <f t="shared" si="422"/>
        <v>17</v>
      </c>
      <c r="OP29" s="152">
        <f t="shared" si="263"/>
        <v>0</v>
      </c>
      <c r="OQ29" s="152">
        <f t="shared" si="264"/>
        <v>0</v>
      </c>
      <c r="OR29" s="152">
        <f t="shared" si="265"/>
        <v>0</v>
      </c>
      <c r="OS29" s="28">
        <f t="shared" si="266"/>
        <v>-10000000000</v>
      </c>
      <c r="OT29" s="29"/>
      <c r="OU29" s="28"/>
      <c r="OV29" s="29">
        <f t="shared" si="423"/>
        <v>17</v>
      </c>
      <c r="OW29" s="152">
        <f t="shared" si="267"/>
        <v>0</v>
      </c>
      <c r="OX29" s="152">
        <f t="shared" si="268"/>
        <v>0</v>
      </c>
      <c r="OY29" s="152">
        <f t="shared" si="269"/>
        <v>0</v>
      </c>
      <c r="OZ29" s="28">
        <f t="shared" si="270"/>
        <v>-10000000000</v>
      </c>
      <c r="PA29" s="29"/>
      <c r="PB29" s="28"/>
      <c r="PC29" s="29">
        <f t="shared" si="424"/>
        <v>17</v>
      </c>
      <c r="PD29" s="152">
        <f t="shared" si="271"/>
        <v>0</v>
      </c>
      <c r="PE29" s="152">
        <f t="shared" si="272"/>
        <v>0</v>
      </c>
      <c r="PF29" s="152">
        <f t="shared" si="273"/>
        <v>0</v>
      </c>
      <c r="PG29" s="28">
        <f t="shared" si="274"/>
        <v>-10000000000</v>
      </c>
      <c r="PH29" s="29"/>
      <c r="PI29" s="28"/>
      <c r="PJ29" s="29">
        <f t="shared" si="425"/>
        <v>17</v>
      </c>
      <c r="PK29" s="152">
        <f t="shared" si="275"/>
        <v>0</v>
      </c>
      <c r="PL29" s="152">
        <f t="shared" si="276"/>
        <v>0</v>
      </c>
      <c r="PM29" s="152">
        <f t="shared" si="277"/>
        <v>0</v>
      </c>
      <c r="PN29" s="28">
        <f t="shared" si="278"/>
        <v>-10000000000</v>
      </c>
      <c r="PO29" s="29"/>
      <c r="PP29" s="28"/>
      <c r="PQ29" s="29">
        <f t="shared" si="426"/>
        <v>17</v>
      </c>
      <c r="PR29" s="152">
        <f t="shared" si="279"/>
        <v>0</v>
      </c>
      <c r="PS29" s="152">
        <f t="shared" si="280"/>
        <v>0</v>
      </c>
      <c r="PT29" s="152">
        <f t="shared" si="281"/>
        <v>0</v>
      </c>
      <c r="PU29" s="28">
        <f t="shared" si="282"/>
        <v>-10000000000</v>
      </c>
      <c r="PV29" s="29"/>
      <c r="PW29" s="28"/>
      <c r="PX29" s="29">
        <f t="shared" si="427"/>
        <v>17</v>
      </c>
      <c r="PY29" s="152">
        <f t="shared" si="283"/>
        <v>0</v>
      </c>
      <c r="PZ29" s="152">
        <f t="shared" si="284"/>
        <v>0</v>
      </c>
      <c r="QA29" s="152">
        <f t="shared" si="285"/>
        <v>0</v>
      </c>
      <c r="QB29" s="28">
        <f t="shared" si="286"/>
        <v>-10000000000</v>
      </c>
      <c r="QC29" s="29"/>
      <c r="QD29" s="28"/>
      <c r="QE29" s="29">
        <f t="shared" si="428"/>
        <v>17</v>
      </c>
      <c r="QF29" s="152">
        <f t="shared" si="287"/>
        <v>0</v>
      </c>
      <c r="QG29" s="152">
        <f t="shared" si="288"/>
        <v>0</v>
      </c>
      <c r="QH29" s="152">
        <f t="shared" si="289"/>
        <v>0</v>
      </c>
      <c r="QI29" s="28">
        <f t="shared" si="290"/>
        <v>-10000000000</v>
      </c>
      <c r="QJ29" s="29"/>
      <c r="QK29" s="28"/>
      <c r="QL29" s="29">
        <f t="shared" si="429"/>
        <v>17</v>
      </c>
      <c r="QM29" s="152">
        <f t="shared" si="291"/>
        <v>0</v>
      </c>
      <c r="QN29" s="152">
        <f t="shared" si="292"/>
        <v>0</v>
      </c>
      <c r="QO29" s="152">
        <f t="shared" si="293"/>
        <v>0</v>
      </c>
      <c r="QP29" s="28">
        <f t="shared" si="294"/>
        <v>-10000000000</v>
      </c>
      <c r="QQ29" s="29"/>
      <c r="QR29" s="28"/>
      <c r="QS29" s="29">
        <f t="shared" si="430"/>
        <v>17</v>
      </c>
      <c r="QT29" s="152">
        <f t="shared" si="295"/>
        <v>0</v>
      </c>
      <c r="QU29" s="152">
        <f t="shared" si="296"/>
        <v>0</v>
      </c>
      <c r="QV29" s="152">
        <f t="shared" si="297"/>
        <v>0</v>
      </c>
      <c r="QW29" s="28">
        <f t="shared" si="298"/>
        <v>-10000000000</v>
      </c>
      <c r="QX29" s="29"/>
      <c r="QY29" s="28"/>
      <c r="QZ29" s="29">
        <f t="shared" si="431"/>
        <v>17</v>
      </c>
      <c r="RA29" s="152">
        <f t="shared" si="299"/>
        <v>0</v>
      </c>
      <c r="RB29" s="152">
        <f t="shared" si="300"/>
        <v>0</v>
      </c>
      <c r="RC29" s="152">
        <f t="shared" si="301"/>
        <v>0</v>
      </c>
      <c r="RD29" s="28">
        <f t="shared" si="302"/>
        <v>-10000000000</v>
      </c>
      <c r="RE29" s="29"/>
      <c r="RF29" s="28"/>
      <c r="RG29" s="29">
        <f t="shared" si="432"/>
        <v>17</v>
      </c>
      <c r="RH29" s="152">
        <f t="shared" si="303"/>
        <v>0</v>
      </c>
      <c r="RI29" s="152">
        <f t="shared" si="304"/>
        <v>0</v>
      </c>
      <c r="RJ29" s="152">
        <f t="shared" si="305"/>
        <v>0</v>
      </c>
      <c r="RK29" s="28">
        <f t="shared" si="306"/>
        <v>-10000000000</v>
      </c>
      <c r="RL29" s="29"/>
      <c r="RM29" s="28"/>
      <c r="RN29" s="29">
        <f t="shared" si="433"/>
        <v>17</v>
      </c>
      <c r="RO29" s="152">
        <f t="shared" si="307"/>
        <v>0</v>
      </c>
      <c r="RP29" s="152">
        <f t="shared" si="308"/>
        <v>0</v>
      </c>
      <c r="RQ29" s="152">
        <f t="shared" si="309"/>
        <v>0</v>
      </c>
      <c r="RR29" s="28">
        <f t="shared" si="310"/>
        <v>-10000000000</v>
      </c>
      <c r="RS29" s="29"/>
      <c r="RT29" s="28"/>
      <c r="RU29" s="29">
        <f t="shared" si="434"/>
        <v>17</v>
      </c>
      <c r="RV29" s="152">
        <f t="shared" si="311"/>
        <v>0</v>
      </c>
      <c r="RW29" s="152">
        <f t="shared" si="312"/>
        <v>0</v>
      </c>
      <c r="RX29" s="152">
        <f t="shared" si="313"/>
        <v>0</v>
      </c>
      <c r="RY29" s="28">
        <f t="shared" si="314"/>
        <v>-10000000000</v>
      </c>
      <c r="RZ29" s="29"/>
      <c r="SA29" s="28"/>
      <c r="SB29" s="29">
        <f t="shared" si="435"/>
        <v>17</v>
      </c>
      <c r="SC29" s="152">
        <f t="shared" si="315"/>
        <v>0</v>
      </c>
      <c r="SD29" s="152">
        <f t="shared" si="316"/>
        <v>0</v>
      </c>
      <c r="SE29" s="152">
        <f t="shared" si="317"/>
        <v>0</v>
      </c>
      <c r="SF29" s="28">
        <f t="shared" si="318"/>
        <v>-10000000000</v>
      </c>
      <c r="SG29" s="29"/>
      <c r="SH29" s="28"/>
      <c r="SI29" s="29">
        <f t="shared" si="436"/>
        <v>17</v>
      </c>
      <c r="SJ29" s="152">
        <f t="shared" si="319"/>
        <v>0</v>
      </c>
      <c r="SK29" s="152">
        <f t="shared" si="320"/>
        <v>0</v>
      </c>
      <c r="SL29" s="152">
        <f t="shared" si="321"/>
        <v>0</v>
      </c>
      <c r="SM29" s="28">
        <f t="shared" si="322"/>
        <v>-10000000000</v>
      </c>
      <c r="SN29" s="29"/>
      <c r="SO29" s="28"/>
      <c r="SP29" s="29">
        <f t="shared" si="437"/>
        <v>17</v>
      </c>
      <c r="SQ29" s="152">
        <f t="shared" si="323"/>
        <v>0</v>
      </c>
      <c r="SR29" s="152">
        <f t="shared" si="324"/>
        <v>0</v>
      </c>
      <c r="SS29" s="152">
        <f t="shared" si="325"/>
        <v>0</v>
      </c>
      <c r="ST29" s="28">
        <f t="shared" si="326"/>
        <v>-10000000000</v>
      </c>
      <c r="SU29" s="29"/>
      <c r="SV29" s="28"/>
      <c r="SW29" s="29">
        <f t="shared" si="438"/>
        <v>17</v>
      </c>
      <c r="SX29" s="152">
        <f t="shared" si="327"/>
        <v>0</v>
      </c>
      <c r="SY29" s="152">
        <f t="shared" si="328"/>
        <v>0</v>
      </c>
      <c r="SZ29" s="152">
        <f t="shared" si="329"/>
        <v>0</v>
      </c>
      <c r="TA29" s="28">
        <f t="shared" si="330"/>
        <v>-10000000000</v>
      </c>
      <c r="TB29" s="29"/>
      <c r="TC29" s="28"/>
      <c r="TD29" s="29">
        <f t="shared" si="439"/>
        <v>17</v>
      </c>
      <c r="TE29" s="152">
        <f t="shared" si="331"/>
        <v>0</v>
      </c>
      <c r="TF29" s="152">
        <f t="shared" si="332"/>
        <v>0</v>
      </c>
      <c r="TG29" s="152">
        <f t="shared" si="333"/>
        <v>0</v>
      </c>
      <c r="TH29" s="28">
        <f t="shared" si="334"/>
        <v>-10000000000</v>
      </c>
      <c r="TI29" s="29"/>
      <c r="TJ29" s="28"/>
      <c r="TK29" s="29">
        <f t="shared" si="440"/>
        <v>17</v>
      </c>
      <c r="TL29" s="152">
        <f t="shared" si="335"/>
        <v>0</v>
      </c>
      <c r="TM29" s="152">
        <f t="shared" si="336"/>
        <v>0</v>
      </c>
      <c r="TN29" s="152">
        <f t="shared" si="337"/>
        <v>0</v>
      </c>
      <c r="TO29" s="28">
        <f t="shared" si="338"/>
        <v>-10000000000</v>
      </c>
      <c r="TP29" s="29"/>
      <c r="TQ29" s="28"/>
      <c r="TR29" s="29">
        <f t="shared" si="441"/>
        <v>17</v>
      </c>
      <c r="TS29" s="152">
        <f t="shared" si="339"/>
        <v>0</v>
      </c>
      <c r="TT29" s="152">
        <f t="shared" si="340"/>
        <v>0</v>
      </c>
      <c r="TU29" s="152">
        <f t="shared" si="341"/>
        <v>0</v>
      </c>
      <c r="TV29" s="28">
        <f t="shared" si="342"/>
        <v>-10000000000</v>
      </c>
      <c r="TW29" s="29"/>
      <c r="TX29" s="28"/>
      <c r="TY29" s="29">
        <f t="shared" si="442"/>
        <v>17</v>
      </c>
      <c r="TZ29" s="152">
        <f t="shared" si="343"/>
        <v>0</v>
      </c>
      <c r="UA29" s="152">
        <f t="shared" si="344"/>
        <v>0</v>
      </c>
      <c r="UB29" s="152">
        <f t="shared" si="345"/>
        <v>0</v>
      </c>
      <c r="UC29" s="28">
        <f t="shared" si="346"/>
        <v>-10000000000</v>
      </c>
      <c r="UD29" s="29"/>
      <c r="UE29" s="28"/>
      <c r="UF29" s="29">
        <f t="shared" si="443"/>
        <v>17</v>
      </c>
      <c r="UG29" s="152">
        <f t="shared" si="347"/>
        <v>0</v>
      </c>
      <c r="UH29" s="152">
        <f t="shared" si="348"/>
        <v>0</v>
      </c>
      <c r="UI29" s="152">
        <f t="shared" si="349"/>
        <v>0</v>
      </c>
      <c r="UJ29" s="28">
        <f t="shared" si="350"/>
        <v>-10000000000</v>
      </c>
      <c r="UK29" s="29"/>
      <c r="UL29" s="28"/>
      <c r="UM29" s="29">
        <f t="shared" si="444"/>
        <v>17</v>
      </c>
      <c r="UN29" s="152">
        <f t="shared" si="351"/>
        <v>0</v>
      </c>
      <c r="UO29" s="152">
        <f t="shared" si="352"/>
        <v>0</v>
      </c>
      <c r="UP29" s="152">
        <f t="shared" si="353"/>
        <v>0</v>
      </c>
      <c r="UQ29" s="28">
        <f t="shared" si="354"/>
        <v>-10000000000</v>
      </c>
      <c r="UR29" s="29"/>
      <c r="US29" s="28"/>
      <c r="UT29" s="29">
        <f t="shared" si="445"/>
        <v>17</v>
      </c>
      <c r="UU29" s="129"/>
      <c r="UV29" s="129">
        <f t="shared" si="355"/>
        <v>0</v>
      </c>
      <c r="UW29" s="129">
        <f t="shared" si="356"/>
        <v>17</v>
      </c>
      <c r="UX29" s="129">
        <f t="shared" ca="1" si="446"/>
        <v>17</v>
      </c>
      <c r="UY29" s="129">
        <f t="shared" ca="1" si="446"/>
        <v>17</v>
      </c>
      <c r="UZ29" s="129">
        <f t="shared" ca="1" si="446"/>
        <v>17</v>
      </c>
      <c r="VA29" s="129">
        <f t="shared" ca="1" si="446"/>
        <v>17</v>
      </c>
      <c r="VB29" s="129">
        <f t="shared" ca="1" si="446"/>
        <v>17</v>
      </c>
      <c r="VC29" s="129">
        <f t="shared" ca="1" si="446"/>
        <v>17</v>
      </c>
      <c r="VD29" s="129">
        <f t="shared" ca="1" si="446"/>
        <v>17</v>
      </c>
      <c r="VE29" s="129">
        <f t="shared" ca="1" si="446"/>
        <v>17</v>
      </c>
      <c r="VF29" s="129">
        <f t="shared" ca="1" si="446"/>
        <v>17</v>
      </c>
      <c r="VG29" s="129">
        <f t="shared" ca="1" si="446"/>
        <v>17</v>
      </c>
      <c r="VH29" s="129">
        <f t="shared" ca="1" si="446"/>
        <v>17</v>
      </c>
      <c r="VI29" s="129">
        <f t="shared" ca="1" si="446"/>
        <v>17</v>
      </c>
      <c r="VJ29" s="129">
        <f t="shared" ca="1" si="446"/>
        <v>17</v>
      </c>
      <c r="VK29" s="129">
        <f t="shared" ca="1" si="446"/>
        <v>17</v>
      </c>
      <c r="VL29" s="129">
        <f t="shared" ca="1" si="446"/>
        <v>17</v>
      </c>
      <c r="VM29" s="129">
        <f t="shared" ca="1" si="446"/>
        <v>17</v>
      </c>
      <c r="VN29" s="129">
        <f t="shared" ca="1" si="406"/>
        <v>17</v>
      </c>
      <c r="VO29" s="129">
        <f t="shared" ca="1" si="406"/>
        <v>17</v>
      </c>
      <c r="VP29" s="129">
        <f t="shared" ca="1" si="406"/>
        <v>17</v>
      </c>
      <c r="VQ29" s="129">
        <f t="shared" ca="1" si="406"/>
        <v>17</v>
      </c>
      <c r="VR29" s="129">
        <f t="shared" ca="1" si="406"/>
        <v>17</v>
      </c>
      <c r="VS29" s="129">
        <f t="shared" ca="1" si="406"/>
        <v>17</v>
      </c>
      <c r="VT29" s="129">
        <f t="shared" ca="1" si="406"/>
        <v>17</v>
      </c>
      <c r="VU29" s="129">
        <f t="shared" ca="1" si="406"/>
        <v>17</v>
      </c>
      <c r="VV29" s="129">
        <f t="shared" ca="1" si="406"/>
        <v>17</v>
      </c>
      <c r="VW29" s="129">
        <f t="shared" ca="1" si="406"/>
        <v>17</v>
      </c>
      <c r="VX29" s="129">
        <f t="shared" ca="1" si="406"/>
        <v>17</v>
      </c>
      <c r="VY29" s="129">
        <f t="shared" ca="1" si="406"/>
        <v>17</v>
      </c>
      <c r="VZ29" s="129">
        <f t="shared" ca="1" si="406"/>
        <v>17</v>
      </c>
      <c r="WA29" s="129">
        <f t="shared" ca="1" si="406"/>
        <v>17</v>
      </c>
      <c r="WB29" s="129">
        <f t="shared" ca="1" si="406"/>
        <v>17</v>
      </c>
      <c r="WC29" s="129">
        <f t="shared" ca="1" si="406"/>
        <v>17</v>
      </c>
      <c r="WD29" s="129">
        <f t="shared" ca="1" si="407"/>
        <v>17</v>
      </c>
      <c r="WE29" s="129">
        <f t="shared" ca="1" si="66"/>
        <v>17</v>
      </c>
      <c r="WF29" s="129">
        <f t="shared" ca="1" si="66"/>
        <v>17</v>
      </c>
      <c r="WG29" s="129">
        <f t="shared" ca="1" si="66"/>
        <v>17</v>
      </c>
      <c r="WH29" s="129">
        <f t="shared" ca="1" si="66"/>
        <v>17</v>
      </c>
      <c r="WK29" s="87">
        <f t="shared" si="358"/>
        <v>0</v>
      </c>
      <c r="WL29" s="87">
        <v>26</v>
      </c>
      <c r="WM29" s="87">
        <v>26</v>
      </c>
      <c r="WN29" s="87">
        <f>IF($WI$3&gt;=WN$3,UW29,NA())</f>
        <v>17</v>
      </c>
      <c r="WO29" s="87">
        <f ca="1">IF($WI$3&gt;=WO$3,UX29,NA())</f>
        <v>17</v>
      </c>
      <c r="WP29" s="87">
        <f ca="1">IF($WI$3&gt;=WP$3,UY29,NA())</f>
        <v>17</v>
      </c>
      <c r="WQ29" s="87">
        <f ca="1">IF($WI$3&gt;=WQ$3,UZ29,NA())</f>
        <v>17</v>
      </c>
      <c r="WR29" s="87">
        <f ca="1">IF($WI$3&gt;=WR$3,VA29,NA())</f>
        <v>17</v>
      </c>
      <c r="WS29" s="87">
        <f ca="1">IF($WI$3&gt;=WS$3,VB29,NA())</f>
        <v>17</v>
      </c>
      <c r="WT29" s="87">
        <f ca="1">IF($WI$3&gt;=WT$3,VC29,NA())</f>
        <v>17</v>
      </c>
      <c r="WU29" s="87">
        <f ca="1">IF($WI$3&gt;=WU$3,VD29,NA())</f>
        <v>17</v>
      </c>
      <c r="WV29" s="87">
        <f ca="1">IF($WI$3&gt;=WV$3,VE29,NA())</f>
        <v>17</v>
      </c>
      <c r="WW29" s="87">
        <f ca="1">IF($WI$3&gt;=WW$3,VF29,NA())</f>
        <v>17</v>
      </c>
      <c r="WX29" s="87">
        <f ca="1">IF($WI$3&gt;=WX$3,VG29,NA())</f>
        <v>17</v>
      </c>
      <c r="WY29" s="87">
        <f ca="1">IF($WI$3&gt;=WY$3,VH29,NA())</f>
        <v>17</v>
      </c>
      <c r="WZ29" s="87">
        <f ca="1">IF($WI$3&gt;=WZ$3,VI29,NA())</f>
        <v>17</v>
      </c>
      <c r="XA29" s="87">
        <f ca="1">IF($WI$3&gt;=XA$3,VJ29,NA())</f>
        <v>17</v>
      </c>
      <c r="XB29" s="87">
        <f ca="1">IF($WI$3&gt;=XB$3,VK29,NA())</f>
        <v>17</v>
      </c>
      <c r="XC29" s="87">
        <f ca="1">IF($WI$3&gt;=XC$3,VL29,NA())</f>
        <v>17</v>
      </c>
      <c r="XD29" s="87">
        <f ca="1">IF($WI$3&gt;=XD$3,VM29,NA())</f>
        <v>17</v>
      </c>
      <c r="XE29" s="87">
        <f ca="1">IF($WI$3&gt;=XE$3,VN29,NA())</f>
        <v>17</v>
      </c>
      <c r="XF29" s="87">
        <f ca="1">IF($WI$3&gt;=XF$3,VO29,NA())</f>
        <v>17</v>
      </c>
      <c r="XG29" s="87">
        <f ca="1">IF($WI$3&gt;=XG$3,VP29,NA())</f>
        <v>17</v>
      </c>
      <c r="XH29" s="87">
        <f ca="1">IF($WI$3&gt;=XH$3,VQ29,NA())</f>
        <v>17</v>
      </c>
      <c r="XI29" s="87" t="e">
        <f>IF($WI$3&gt;=XI$3,VR29,NA())</f>
        <v>#N/A</v>
      </c>
      <c r="XJ29" s="87" t="e">
        <f>IF($WI$3&gt;=XJ$3,VS29,NA())</f>
        <v>#N/A</v>
      </c>
      <c r="XK29" s="87" t="e">
        <f>IF($WI$3&gt;=XK$3,VT29,NA())</f>
        <v>#N/A</v>
      </c>
      <c r="XL29" s="87" t="e">
        <f>IF($WI$3&gt;=XL$3,VU29,NA())</f>
        <v>#N/A</v>
      </c>
      <c r="XM29" s="87" t="e">
        <f>IF($WI$3&gt;=XM$3,VV29,NA())</f>
        <v>#N/A</v>
      </c>
      <c r="XN29" s="87" t="e">
        <f>IF($WI$3&gt;=XN$3,VW29,NA())</f>
        <v>#N/A</v>
      </c>
      <c r="XO29" s="87" t="e">
        <f>IF($WI$3&gt;=XO$3,VX29,NA())</f>
        <v>#N/A</v>
      </c>
      <c r="XP29" s="87" t="e">
        <f>IF($WI$3&gt;=XP$3,VY29,NA())</f>
        <v>#N/A</v>
      </c>
      <c r="XQ29" s="87" t="e">
        <f>IF($WI$3&gt;=XQ$3,VZ29,NA())</f>
        <v>#N/A</v>
      </c>
      <c r="XR29" s="87" t="e">
        <f>IF($WI$3&gt;=XR$3,WA29,NA())</f>
        <v>#N/A</v>
      </c>
      <c r="XS29" s="87" t="e">
        <f>IF($WI$3&gt;=XS$3,WB29,NA())</f>
        <v>#N/A</v>
      </c>
      <c r="XT29" s="87" t="e">
        <f>IF($WI$3&gt;=XT$3,WC29,NA())</f>
        <v>#N/A</v>
      </c>
      <c r="XU29" s="87" t="e">
        <f>IF($WI$3&gt;=XU$3,WD29,NA())</f>
        <v>#N/A</v>
      </c>
      <c r="XV29" s="87" t="e">
        <f>IF($WI$3&gt;=XV$3,WE29,NA())</f>
        <v>#N/A</v>
      </c>
      <c r="XW29" s="87" t="e">
        <f>IF($WI$3&gt;=XW$3,WF29,NA())</f>
        <v>#N/A</v>
      </c>
      <c r="XX29" s="87" t="e">
        <f>IF($WI$3&gt;=XX$3,WG29,NA())</f>
        <v>#N/A</v>
      </c>
      <c r="XY29" s="87" t="e">
        <f>IF($WI$3&gt;=XY$3,WH29,NA())</f>
        <v>#N/A</v>
      </c>
      <c r="YE29" s="87"/>
      <c r="YF29" s="87"/>
    </row>
    <row r="30" spans="4:723">
      <c r="D30" s="29"/>
      <c r="E30" s="136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5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5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137"/>
      <c r="AP30" s="27"/>
      <c r="AQ30" s="28"/>
      <c r="AR30" s="29"/>
      <c r="AS30" s="28"/>
      <c r="AT30" s="29"/>
      <c r="AU30" s="30"/>
      <c r="AV30" s="29"/>
      <c r="AW30" s="29"/>
      <c r="AX30" s="29"/>
      <c r="AY30" s="29"/>
      <c r="AZ30" s="29"/>
      <c r="BA30" s="29"/>
      <c r="BB30" s="29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90"/>
      <c r="BN30" s="90"/>
      <c r="BO30" s="90"/>
      <c r="BP30" s="90"/>
      <c r="BS30" s="10" t="s">
        <v>53</v>
      </c>
      <c r="BT30" s="123">
        <v>0.29166666666666802</v>
      </c>
      <c r="BU30" s="123">
        <f t="shared" si="405"/>
        <v>0.4583333333333347</v>
      </c>
      <c r="BV30" s="10" t="s">
        <v>64</v>
      </c>
      <c r="CA30" s="130">
        <f t="shared" si="119"/>
        <v>-1</v>
      </c>
      <c r="CB30" s="130">
        <f t="shared" si="120"/>
        <v>100000</v>
      </c>
      <c r="CC30" s="130">
        <f t="shared" si="121"/>
        <v>-1</v>
      </c>
      <c r="CD30" s="130">
        <f t="shared" si="122"/>
        <v>100000</v>
      </c>
      <c r="CE30" s="130">
        <f t="shared" si="123"/>
        <v>-1</v>
      </c>
      <c r="CF30" s="130">
        <f t="shared" si="124"/>
        <v>100000</v>
      </c>
      <c r="CG30" s="130">
        <f t="shared" si="125"/>
        <v>-1</v>
      </c>
      <c r="CH30" s="130">
        <f t="shared" si="126"/>
        <v>100000</v>
      </c>
      <c r="CI30" s="130">
        <f t="shared" si="127"/>
        <v>-1</v>
      </c>
      <c r="CJ30" s="130">
        <f t="shared" si="128"/>
        <v>100000</v>
      </c>
      <c r="CK30" s="130">
        <f t="shared" si="129"/>
        <v>-100000</v>
      </c>
      <c r="CL30" s="130">
        <f t="shared" si="130"/>
        <v>100000</v>
      </c>
      <c r="CM30" s="130">
        <f t="shared" si="131"/>
        <v>-1</v>
      </c>
      <c r="CN30" s="130">
        <f t="shared" si="132"/>
        <v>100000</v>
      </c>
      <c r="CO30" s="130">
        <f t="shared" si="133"/>
        <v>-1</v>
      </c>
      <c r="CP30" s="130">
        <f t="shared" si="134"/>
        <v>100000</v>
      </c>
      <c r="CQ30" s="131"/>
      <c r="CR30" s="130">
        <f t="shared" si="360"/>
        <v>-1</v>
      </c>
      <c r="CS30" s="130">
        <f t="shared" si="135"/>
        <v>100000</v>
      </c>
      <c r="CT30" s="130">
        <f t="shared" si="361"/>
        <v>-1</v>
      </c>
      <c r="CU30" s="130">
        <f t="shared" si="362"/>
        <v>100000</v>
      </c>
      <c r="CV30" s="130">
        <f t="shared" si="363"/>
        <v>-1</v>
      </c>
      <c r="CW30" s="130">
        <f t="shared" si="364"/>
        <v>100000</v>
      </c>
      <c r="CX30" s="130">
        <f t="shared" si="365"/>
        <v>-1</v>
      </c>
      <c r="CY30" s="130">
        <f t="shared" si="366"/>
        <v>100000</v>
      </c>
      <c r="CZ30" s="130">
        <f t="shared" si="367"/>
        <v>-1</v>
      </c>
      <c r="DA30" s="130">
        <f t="shared" si="368"/>
        <v>100000</v>
      </c>
      <c r="DB30" s="130">
        <f t="shared" si="369"/>
        <v>-100000</v>
      </c>
      <c r="DC30" s="130">
        <f t="shared" si="370"/>
        <v>100000</v>
      </c>
      <c r="DD30" s="130">
        <f t="shared" si="371"/>
        <v>-1</v>
      </c>
      <c r="DE30" s="130">
        <f t="shared" si="372"/>
        <v>100000</v>
      </c>
      <c r="DF30" s="130">
        <f t="shared" si="373"/>
        <v>-1</v>
      </c>
      <c r="DG30" s="130">
        <f t="shared" si="374"/>
        <v>100000</v>
      </c>
      <c r="DH30" s="131"/>
      <c r="DI30" s="130">
        <f t="shared" si="389"/>
        <v>-1</v>
      </c>
      <c r="DJ30" s="130">
        <f t="shared" si="136"/>
        <v>100000</v>
      </c>
      <c r="DK30" s="130">
        <f t="shared" si="390"/>
        <v>-1</v>
      </c>
      <c r="DL30" s="130">
        <f t="shared" si="391"/>
        <v>100000</v>
      </c>
      <c r="DM30" s="130">
        <f t="shared" si="392"/>
        <v>-1</v>
      </c>
      <c r="DN30" s="130">
        <f t="shared" si="393"/>
        <v>100000</v>
      </c>
      <c r="DO30" s="130">
        <f t="shared" si="394"/>
        <v>-1</v>
      </c>
      <c r="DP30" s="130">
        <f t="shared" si="395"/>
        <v>100000</v>
      </c>
      <c r="DQ30" s="130">
        <f t="shared" si="396"/>
        <v>-1</v>
      </c>
      <c r="DR30" s="130">
        <f t="shared" si="397"/>
        <v>100000</v>
      </c>
      <c r="DS30" s="130">
        <f t="shared" si="398"/>
        <v>-100000</v>
      </c>
      <c r="DT30" s="130">
        <f t="shared" si="399"/>
        <v>100000</v>
      </c>
      <c r="DU30" s="130">
        <f t="shared" si="400"/>
        <v>-1</v>
      </c>
      <c r="DV30" s="130">
        <f t="shared" si="401"/>
        <v>100000</v>
      </c>
      <c r="DW30" s="130">
        <f t="shared" si="402"/>
        <v>-1</v>
      </c>
      <c r="DX30" s="130">
        <f t="shared" si="403"/>
        <v>100000</v>
      </c>
      <c r="DY30" s="132"/>
      <c r="DZ30" s="115">
        <v>27</v>
      </c>
      <c r="EA30" s="115">
        <v>4</v>
      </c>
      <c r="EB30" s="10">
        <f t="shared" si="137"/>
        <v>17</v>
      </c>
      <c r="EC30" s="10">
        <f t="shared" si="138"/>
        <v>17</v>
      </c>
      <c r="ED30" s="10">
        <f t="shared" si="139"/>
        <v>17</v>
      </c>
      <c r="EE30" s="10">
        <f t="shared" si="140"/>
        <v>17</v>
      </c>
      <c r="EF30" s="10">
        <f t="shared" si="141"/>
        <v>17</v>
      </c>
      <c r="EG30" s="10">
        <f t="shared" si="142"/>
        <v>17</v>
      </c>
      <c r="EH30" s="10">
        <f t="shared" si="143"/>
        <v>17</v>
      </c>
      <c r="EI30" s="10">
        <f t="shared" si="144"/>
        <v>17</v>
      </c>
      <c r="EJ30" s="10">
        <f t="shared" si="145"/>
        <v>17</v>
      </c>
      <c r="EK30" s="10">
        <f t="shared" si="146"/>
        <v>17</v>
      </c>
      <c r="EL30" s="10">
        <f t="shared" si="147"/>
        <v>17</v>
      </c>
      <c r="EM30" s="10">
        <f t="shared" si="148"/>
        <v>17</v>
      </c>
      <c r="EN30" s="10">
        <f t="shared" si="149"/>
        <v>17</v>
      </c>
      <c r="EO30" s="10">
        <f t="shared" si="150"/>
        <v>17</v>
      </c>
      <c r="EP30" s="10">
        <f t="shared" si="151"/>
        <v>17</v>
      </c>
      <c r="EQ30" s="10">
        <f t="shared" si="152"/>
        <v>17</v>
      </c>
      <c r="ES30" s="10">
        <f t="shared" si="153"/>
        <v>17</v>
      </c>
      <c r="ET30" s="10">
        <f t="shared" si="154"/>
        <v>17</v>
      </c>
      <c r="EU30" s="10">
        <f t="shared" si="155"/>
        <v>17</v>
      </c>
      <c r="EV30" s="10">
        <f t="shared" si="154"/>
        <v>17</v>
      </c>
      <c r="EW30" s="10">
        <f t="shared" si="156"/>
        <v>17</v>
      </c>
      <c r="EX30" s="10">
        <f t="shared" si="157"/>
        <v>17</v>
      </c>
      <c r="EY30" s="10">
        <f t="shared" si="158"/>
        <v>17</v>
      </c>
      <c r="EZ30" s="10">
        <f t="shared" si="159"/>
        <v>17</v>
      </c>
      <c r="FA30" s="10">
        <f t="shared" si="160"/>
        <v>17</v>
      </c>
      <c r="FB30" s="10">
        <f t="shared" si="161"/>
        <v>17</v>
      </c>
      <c r="FC30" s="10">
        <f t="shared" si="162"/>
        <v>17</v>
      </c>
      <c r="FD30" s="10">
        <f t="shared" si="163"/>
        <v>17</v>
      </c>
      <c r="FE30" s="10">
        <f t="shared" si="164"/>
        <v>17</v>
      </c>
      <c r="FF30" s="10">
        <f t="shared" si="165"/>
        <v>17</v>
      </c>
      <c r="FG30" s="10">
        <f t="shared" si="166"/>
        <v>17</v>
      </c>
      <c r="FH30" s="10">
        <f t="shared" si="167"/>
        <v>17</v>
      </c>
      <c r="FJ30" s="10">
        <f t="shared" si="168"/>
        <v>17</v>
      </c>
      <c r="FK30" s="10">
        <f t="shared" si="169"/>
        <v>17</v>
      </c>
      <c r="FL30" s="10">
        <f t="shared" si="170"/>
        <v>17</v>
      </c>
      <c r="FM30" s="10">
        <f t="shared" si="171"/>
        <v>17</v>
      </c>
      <c r="FN30" s="10">
        <f t="shared" si="172"/>
        <v>17</v>
      </c>
      <c r="FO30" s="10">
        <f t="shared" si="173"/>
        <v>17</v>
      </c>
      <c r="FP30" s="10">
        <f t="shared" si="174"/>
        <v>17</v>
      </c>
      <c r="FQ30" s="10">
        <f t="shared" si="175"/>
        <v>17</v>
      </c>
      <c r="FR30" s="10">
        <f t="shared" si="176"/>
        <v>17</v>
      </c>
      <c r="FS30" s="10">
        <f t="shared" si="177"/>
        <v>17</v>
      </c>
      <c r="FT30" s="10">
        <f t="shared" si="178"/>
        <v>17</v>
      </c>
      <c r="FU30" s="10">
        <f t="shared" si="179"/>
        <v>17</v>
      </c>
      <c r="FV30" s="10">
        <f t="shared" si="180"/>
        <v>17</v>
      </c>
      <c r="FW30" s="10">
        <f t="shared" si="181"/>
        <v>17</v>
      </c>
      <c r="FX30" s="10">
        <f t="shared" si="182"/>
        <v>17</v>
      </c>
      <c r="FY30" s="10">
        <f t="shared" si="183"/>
        <v>17</v>
      </c>
      <c r="GA30" s="10">
        <f>IF(lg!$C$18=1,EB30,IF(lg!$C$18=2,ES30,FJ30))</f>
        <v>17</v>
      </c>
      <c r="GB30" s="10">
        <f>IF(lg!$C$18=1,EC30,IF(lg!$C$18=2,ET30,FK30))</f>
        <v>17</v>
      </c>
      <c r="GC30" s="10">
        <f>IF(lg!$C$18=1,ED30,IF(lg!$C$18=2,EU30,FL30))</f>
        <v>17</v>
      </c>
      <c r="GD30" s="10">
        <f>IF(lg!$C$18=1,EE30,IF(lg!$C$18=2,EV30,FM30))</f>
        <v>17</v>
      </c>
      <c r="GE30" s="10">
        <f>IF(lg!$C$18=1,EF30,IF(lg!$C$18=2,EW30,FN30))</f>
        <v>17</v>
      </c>
      <c r="GF30" s="10">
        <f>IF(lg!$C$18=1,EG30,IF(lg!$C$18=2,EX30,FO30))</f>
        <v>17</v>
      </c>
      <c r="GG30" s="10">
        <f>IF(lg!$C$18=1,EH30,IF(lg!$C$18=2,EY30,FP30))</f>
        <v>17</v>
      </c>
      <c r="GH30" s="10">
        <f>IF(lg!$C$18=1,EI30,IF(lg!$C$18=2,EZ30,FQ30))</f>
        <v>17</v>
      </c>
      <c r="GI30" s="10">
        <f>IF(lg!$C$18=1,EJ30,IF(lg!$C$18=2,FA30,FR30))</f>
        <v>17</v>
      </c>
      <c r="GJ30" s="10">
        <f>IF(lg!$C$18=1,EK30,IF(lg!$C$18=2,FB30,FS30))</f>
        <v>17</v>
      </c>
      <c r="GK30" s="10">
        <f>IF(lg!$C$18=1,EL30,IF(lg!$C$18=2,FC30,FT30))</f>
        <v>17</v>
      </c>
      <c r="GL30" s="10">
        <f>IF(lg!$C$18=1,EM30,IF(lg!$C$18=2,FD30,FU30))</f>
        <v>17</v>
      </c>
      <c r="GM30" s="10">
        <f>IF(lg!$C$18=1,EN30,IF(lg!$C$18=2,FE30,FV30))</f>
        <v>17</v>
      </c>
      <c r="GN30" s="10">
        <f>IF(lg!$C$18=1,EO30,IF(lg!$C$18=2,FF30,FW30))</f>
        <v>17</v>
      </c>
      <c r="GO30" s="10">
        <f>IF(lg!$C$18=1,EP30,IF(lg!$C$18=2,FG30,FX30))</f>
        <v>17</v>
      </c>
      <c r="GP30" s="10">
        <f>IF(lg!$C$18=1,EQ30,IF(lg!$C$18=2,FH30,FY30))</f>
        <v>17</v>
      </c>
      <c r="GR30" s="10" t="e">
        <f t="shared" si="184"/>
        <v>#N/A</v>
      </c>
      <c r="GS30" s="10" t="e">
        <f t="shared" si="31"/>
        <v>#N/A</v>
      </c>
      <c r="GT30" s="10" t="e">
        <f t="shared" si="32"/>
        <v>#N/A</v>
      </c>
      <c r="GU30" s="10" t="e">
        <f t="shared" si="33"/>
        <v>#N/A</v>
      </c>
      <c r="GV30" s="10" t="e">
        <f t="shared" si="34"/>
        <v>#N/A</v>
      </c>
      <c r="GW30" s="10" t="e">
        <f t="shared" si="35"/>
        <v>#N/A</v>
      </c>
      <c r="GX30" s="10" t="e">
        <f t="shared" si="36"/>
        <v>#N/A</v>
      </c>
      <c r="GY30" s="10" t="e">
        <f t="shared" si="37"/>
        <v>#N/A</v>
      </c>
      <c r="GZ30" s="10" t="e">
        <f t="shared" si="38"/>
        <v>#N/A</v>
      </c>
      <c r="HA30" s="10" t="e">
        <f t="shared" si="39"/>
        <v>#N/A</v>
      </c>
      <c r="HB30" s="10" t="e">
        <f t="shared" si="40"/>
        <v>#N/A</v>
      </c>
      <c r="HC30" s="10" t="e">
        <f t="shared" si="41"/>
        <v>#N/A</v>
      </c>
      <c r="HD30" s="10" t="e">
        <f t="shared" si="42"/>
        <v>#N/A</v>
      </c>
      <c r="HE30" s="10" t="e">
        <f t="shared" si="43"/>
        <v>#N/A</v>
      </c>
      <c r="HF30" s="10" t="e">
        <f t="shared" si="44"/>
        <v>#N/A</v>
      </c>
      <c r="HG30" s="10" t="e">
        <f t="shared" si="45"/>
        <v>#N/A</v>
      </c>
      <c r="HI30" s="10">
        <v>27</v>
      </c>
      <c r="HJ30" s="115">
        <f>IF(lg!$C$18=1,F30,IF(lg!$C$18=2,R30,AD30))</f>
        <v>0</v>
      </c>
      <c r="HK30" s="115">
        <f>IF(lg!$C$18=1,G30,IF(lg!$C$18=2,S30,AE30))</f>
        <v>0</v>
      </c>
      <c r="HL30" s="115">
        <f>IF(lg!$C$18=1,H30,IF(lg!$C$18=2,T30,AF30))</f>
        <v>0</v>
      </c>
      <c r="HM30" s="115">
        <f>IF(lg!$C$18=1,I30,IF(lg!$C$18=2,U30,AG30))</f>
        <v>0</v>
      </c>
      <c r="HN30" s="115">
        <f>IF(lg!$C$18=1,J30,IF(lg!$C$18=2,V30,AH30))</f>
        <v>0</v>
      </c>
      <c r="HO30" s="115">
        <f>IF(lg!$C$18=1,K30,IF(lg!$C$18=2,W30,AI30))</f>
        <v>0</v>
      </c>
      <c r="HP30" s="115">
        <f>IF(lg!$C$18=1,L30,IF(lg!$C$18=2,X30,AJ30))</f>
        <v>0</v>
      </c>
      <c r="HQ30" s="115">
        <f>IF(lg!$C$18=1,M30,IF(lg!$C$18=2,Y30,AK30))</f>
        <v>0</v>
      </c>
      <c r="HR30" s="115">
        <f>IF(lg!$C$18=1,N30,IF(lg!$C$18=2,Z30,AL30))</f>
        <v>0</v>
      </c>
      <c r="HS30" s="115">
        <f>IF(lg!$C$18=1,O30,IF(lg!$C$18=2,AA30,AM30))</f>
        <v>0</v>
      </c>
      <c r="HT30" s="115">
        <f>IF(lg!$C$18=1,P30,IF(lg!$C$18=2,AB30,AN30))</f>
        <v>0</v>
      </c>
      <c r="HV30" s="115">
        <f t="shared" si="185"/>
        <v>0</v>
      </c>
      <c r="HW30" s="115">
        <f t="shared" si="186"/>
        <v>0</v>
      </c>
      <c r="HX30" s="115">
        <f t="shared" si="187"/>
        <v>0</v>
      </c>
      <c r="HY30" s="115">
        <f t="shared" si="188"/>
        <v>0</v>
      </c>
      <c r="HZ30" s="115">
        <f t="shared" si="189"/>
        <v>0</v>
      </c>
      <c r="IA30" s="115">
        <f t="shared" si="190"/>
        <v>0</v>
      </c>
      <c r="IB30" s="115">
        <f t="shared" si="191"/>
        <v>0</v>
      </c>
      <c r="IC30" s="115">
        <f t="shared" si="192"/>
        <v>0</v>
      </c>
      <c r="ID30" s="115">
        <f t="shared" si="193"/>
        <v>0</v>
      </c>
      <c r="IE30" s="115">
        <f t="shared" si="194"/>
        <v>0</v>
      </c>
      <c r="IF30" s="115">
        <f t="shared" si="195"/>
        <v>0</v>
      </c>
      <c r="IG30" s="115">
        <f t="shared" si="196"/>
        <v>0</v>
      </c>
      <c r="IH30" s="115">
        <f t="shared" si="197"/>
        <v>0</v>
      </c>
      <c r="II30" s="115">
        <f t="shared" si="198"/>
        <v>0</v>
      </c>
      <c r="IJ30" s="115">
        <f t="shared" si="199"/>
        <v>0</v>
      </c>
      <c r="IK30" s="115">
        <f t="shared" si="200"/>
        <v>0</v>
      </c>
      <c r="IN30" s="77"/>
      <c r="IO30" s="77" t="s">
        <v>127</v>
      </c>
      <c r="IP30" s="67">
        <f>IF(lg!$F$18=1,IP4,IF(lg!$F$18=2,IP12,IP20))</f>
        <v>43</v>
      </c>
      <c r="IQ30" s="67">
        <f>IF(lg!$F$18=1,IQ4,IF(lg!$F$18=2,IQ12,IQ20))</f>
        <v>20</v>
      </c>
      <c r="IR30" s="134">
        <f>IF(lg!$F$18=1,IR4,IF(lg!$F$18=2,IR12,IR20))</f>
        <v>2.15</v>
      </c>
      <c r="IS30" s="133">
        <f>IF(lg!$F$18=1,IS4,IF(lg!$F$18=2,IS12,IS20))</f>
        <v>1</v>
      </c>
      <c r="IT30" s="67"/>
      <c r="IU30" s="77" t="s">
        <v>127</v>
      </c>
      <c r="IV30" s="67">
        <f>IF(lg!$F$18=1,IV4,IF(lg!$F$18=2,IV12,IV20))</f>
        <v>33</v>
      </c>
      <c r="IW30" s="67">
        <f>IF(lg!$F$18=1,IW4,IF(lg!$F$18=2,IW12,IW20))</f>
        <v>19</v>
      </c>
      <c r="IX30" s="134">
        <f>IF(lg!$F$18=1,IX4,IF(lg!$F$18=2,IX12,IX20))</f>
        <v>1.736842105263158</v>
      </c>
      <c r="IY30" s="133">
        <f>IF(lg!$F$18=1,IY4,IF(lg!$F$18=2,IY12,IY20))</f>
        <v>4</v>
      </c>
      <c r="IZ30" s="133"/>
      <c r="JB30" s="10">
        <f>IF(lg!$F$18=1,EB30,IF(lg!$F$18=2,ES30,FJ30))</f>
        <v>17</v>
      </c>
      <c r="JC30" s="10">
        <f>IF(lg!$F$18=1,EC30,IF(lg!$F$18=2,ET30,FK30))</f>
        <v>17</v>
      </c>
      <c r="JD30" s="10">
        <f>IF(lg!$F$18=1,ED30,IF(lg!$F$18=2,EU30,FL30))</f>
        <v>17</v>
      </c>
      <c r="JE30" s="10">
        <f>IF(lg!$F$18=1,EE30,IF(lg!$F$18=2,EV30,FM30))</f>
        <v>17</v>
      </c>
      <c r="JF30" s="10">
        <f>IF(lg!$F$18=1,EF30,IF(lg!$F$18=2,EW30,FN30))</f>
        <v>17</v>
      </c>
      <c r="JG30" s="10">
        <f>IF(lg!$F$18=1,EG30,IF(lg!$F$18=2,EX30,FO30))</f>
        <v>17</v>
      </c>
      <c r="JH30" s="10">
        <f>IF(lg!$F$18=1,EH30,IF(lg!$F$18=2,EY30,FP30))</f>
        <v>17</v>
      </c>
      <c r="JI30" s="10">
        <f>IF(lg!$F$18=1,EI30,IF(lg!$F$18=2,EZ30,FQ30))</f>
        <v>17</v>
      </c>
      <c r="JJ30" s="10">
        <f>IF(lg!$F$18=1,EJ30,IF(lg!$F$18=2,FA30,FR30))</f>
        <v>17</v>
      </c>
      <c r="JK30" s="10">
        <f>IF(lg!$F$18=1,EK30,IF(lg!$F$18=2,FB30,FS30))</f>
        <v>17</v>
      </c>
      <c r="JL30" s="10">
        <f>IF(lg!$F$18=1,EL30,IF(lg!$F$18=2,FC30,FT30))</f>
        <v>17</v>
      </c>
      <c r="JM30" s="10">
        <f>IF(lg!$F$18=1,EM30,IF(lg!$F$18=2,FD30,FU30))</f>
        <v>17</v>
      </c>
      <c r="JN30" s="10">
        <f>IF(lg!$F$18=1,EN30,IF(lg!$F$18=2,FE30,FV30))</f>
        <v>17</v>
      </c>
      <c r="JO30" s="10">
        <f>IF(lg!$F$18=1,EO30,IF(lg!$F$18=2,FF30,FW30))</f>
        <v>17</v>
      </c>
      <c r="JP30" s="10">
        <f>IF(lg!$F$18=1,EP30,IF(lg!$F$18=2,FG30,FX30))</f>
        <v>17</v>
      </c>
      <c r="JQ30" s="10">
        <f>IF(lg!$F$18=1,EQ30,IF(lg!$F$18=2,FH30,FY30))</f>
        <v>17</v>
      </c>
      <c r="JS30" s="10" t="e">
        <f t="shared" si="201"/>
        <v>#N/A</v>
      </c>
      <c r="JT30" s="10" t="e">
        <f t="shared" si="49"/>
        <v>#N/A</v>
      </c>
      <c r="JU30" s="10" t="e">
        <f t="shared" si="50"/>
        <v>#N/A</v>
      </c>
      <c r="JV30" s="10" t="e">
        <f t="shared" si="51"/>
        <v>#N/A</v>
      </c>
      <c r="JW30" s="10" t="e">
        <f t="shared" si="52"/>
        <v>#N/A</v>
      </c>
      <c r="JX30" s="10" t="e">
        <f t="shared" si="53"/>
        <v>#N/A</v>
      </c>
      <c r="JY30" s="10" t="e">
        <f t="shared" si="54"/>
        <v>#N/A</v>
      </c>
      <c r="JZ30" s="10" t="e">
        <f t="shared" si="55"/>
        <v>#N/A</v>
      </c>
      <c r="KA30" s="10" t="e">
        <f t="shared" si="56"/>
        <v>#N/A</v>
      </c>
      <c r="KB30" s="10" t="e">
        <f t="shared" si="57"/>
        <v>#N/A</v>
      </c>
      <c r="KC30" s="10" t="e">
        <f t="shared" si="58"/>
        <v>#N/A</v>
      </c>
      <c r="KD30" s="10" t="e">
        <f t="shared" si="59"/>
        <v>#N/A</v>
      </c>
      <c r="KE30" s="10" t="e">
        <f t="shared" si="60"/>
        <v>#N/A</v>
      </c>
      <c r="KF30" s="10" t="e">
        <f t="shared" si="61"/>
        <v>#N/A</v>
      </c>
      <c r="KG30" s="10" t="e">
        <f t="shared" si="62"/>
        <v>#N/A</v>
      </c>
      <c r="KH30" s="10" t="e">
        <f t="shared" si="63"/>
        <v>#N/A</v>
      </c>
      <c r="KL30" s="27">
        <v>0.04</v>
      </c>
      <c r="KM30" s="29">
        <v>27</v>
      </c>
      <c r="KN30" s="31">
        <f t="shared" si="202"/>
        <v>0</v>
      </c>
      <c r="KO30" s="152">
        <f t="shared" si="203"/>
        <v>0</v>
      </c>
      <c r="KP30" s="152">
        <f t="shared" si="204"/>
        <v>0</v>
      </c>
      <c r="KQ30" s="152">
        <f t="shared" si="205"/>
        <v>0</v>
      </c>
      <c r="KR30" s="28">
        <f t="shared" si="206"/>
        <v>-10000000000</v>
      </c>
      <c r="KS30" s="29"/>
      <c r="KT30" s="28"/>
      <c r="KU30" s="29">
        <f t="shared" si="408"/>
        <v>17</v>
      </c>
      <c r="KV30" s="152">
        <f t="shared" si="207"/>
        <v>0</v>
      </c>
      <c r="KW30" s="152">
        <f t="shared" si="208"/>
        <v>0</v>
      </c>
      <c r="KX30" s="152">
        <f t="shared" si="209"/>
        <v>0</v>
      </c>
      <c r="KY30" s="28">
        <f t="shared" si="210"/>
        <v>-10000000000</v>
      </c>
      <c r="KZ30" s="29"/>
      <c r="LA30" s="28"/>
      <c r="LB30" s="29">
        <f t="shared" si="409"/>
        <v>17</v>
      </c>
      <c r="LC30" s="152">
        <f t="shared" si="211"/>
        <v>0</v>
      </c>
      <c r="LD30" s="152">
        <f t="shared" si="212"/>
        <v>0</v>
      </c>
      <c r="LE30" s="152">
        <f t="shared" si="213"/>
        <v>0</v>
      </c>
      <c r="LF30" s="28">
        <f t="shared" si="214"/>
        <v>-10000000000</v>
      </c>
      <c r="LG30" s="29"/>
      <c r="LH30" s="28"/>
      <c r="LI30" s="29">
        <f t="shared" si="410"/>
        <v>17</v>
      </c>
      <c r="LJ30" s="152">
        <f t="shared" si="215"/>
        <v>0</v>
      </c>
      <c r="LK30" s="152">
        <f t="shared" si="216"/>
        <v>0</v>
      </c>
      <c r="LL30" s="152">
        <f t="shared" si="217"/>
        <v>0</v>
      </c>
      <c r="LM30" s="28">
        <f t="shared" si="218"/>
        <v>-10000000000</v>
      </c>
      <c r="LN30" s="29"/>
      <c r="LO30" s="28"/>
      <c r="LP30" s="29">
        <f t="shared" si="411"/>
        <v>17</v>
      </c>
      <c r="LQ30" s="152">
        <f t="shared" si="219"/>
        <v>0</v>
      </c>
      <c r="LR30" s="152">
        <f t="shared" si="220"/>
        <v>0</v>
      </c>
      <c r="LS30" s="152">
        <f t="shared" si="221"/>
        <v>0</v>
      </c>
      <c r="LT30" s="28">
        <f t="shared" si="222"/>
        <v>-10000000000</v>
      </c>
      <c r="LU30" s="29"/>
      <c r="LV30" s="28"/>
      <c r="LW30" s="29">
        <f t="shared" si="412"/>
        <v>17</v>
      </c>
      <c r="LX30" s="152">
        <f t="shared" si="223"/>
        <v>0</v>
      </c>
      <c r="LY30" s="152">
        <f t="shared" si="224"/>
        <v>0</v>
      </c>
      <c r="LZ30" s="152">
        <f t="shared" si="225"/>
        <v>0</v>
      </c>
      <c r="MA30" s="28">
        <f t="shared" si="226"/>
        <v>-10000000000</v>
      </c>
      <c r="MB30" s="29"/>
      <c r="MC30" s="28"/>
      <c r="MD30" s="29">
        <f t="shared" si="413"/>
        <v>17</v>
      </c>
      <c r="ME30" s="152">
        <f t="shared" si="227"/>
        <v>0</v>
      </c>
      <c r="MF30" s="152">
        <f t="shared" si="228"/>
        <v>0</v>
      </c>
      <c r="MG30" s="152">
        <f t="shared" si="229"/>
        <v>0</v>
      </c>
      <c r="MH30" s="28">
        <f t="shared" si="230"/>
        <v>-10000000000</v>
      </c>
      <c r="MI30" s="29"/>
      <c r="MJ30" s="28"/>
      <c r="MK30" s="29">
        <f t="shared" si="414"/>
        <v>17</v>
      </c>
      <c r="ML30" s="152">
        <f t="shared" si="231"/>
        <v>0</v>
      </c>
      <c r="MM30" s="152">
        <f t="shared" si="232"/>
        <v>0</v>
      </c>
      <c r="MN30" s="152">
        <f t="shared" si="233"/>
        <v>0</v>
      </c>
      <c r="MO30" s="28">
        <f t="shared" si="234"/>
        <v>-10000000000</v>
      </c>
      <c r="MP30" s="29"/>
      <c r="MQ30" s="28"/>
      <c r="MR30" s="29">
        <f t="shared" si="415"/>
        <v>17</v>
      </c>
      <c r="MS30" s="152">
        <f t="shared" si="235"/>
        <v>0</v>
      </c>
      <c r="MT30" s="152">
        <f t="shared" si="236"/>
        <v>0</v>
      </c>
      <c r="MU30" s="152">
        <f t="shared" si="237"/>
        <v>0</v>
      </c>
      <c r="MV30" s="28">
        <f t="shared" si="238"/>
        <v>-10000000000</v>
      </c>
      <c r="MW30" s="29"/>
      <c r="MX30" s="28"/>
      <c r="MY30" s="29">
        <f t="shared" si="416"/>
        <v>17</v>
      </c>
      <c r="MZ30" s="152">
        <f t="shared" si="239"/>
        <v>0</v>
      </c>
      <c r="NA30" s="152">
        <f t="shared" si="240"/>
        <v>0</v>
      </c>
      <c r="NB30" s="152">
        <f t="shared" si="241"/>
        <v>0</v>
      </c>
      <c r="NC30" s="28">
        <f t="shared" si="242"/>
        <v>-10000000000</v>
      </c>
      <c r="ND30" s="29"/>
      <c r="NE30" s="28"/>
      <c r="NF30" s="29">
        <f t="shared" si="417"/>
        <v>17</v>
      </c>
      <c r="NG30" s="152">
        <f t="shared" si="243"/>
        <v>0</v>
      </c>
      <c r="NH30" s="152">
        <f t="shared" si="244"/>
        <v>0</v>
      </c>
      <c r="NI30" s="152">
        <f t="shared" si="245"/>
        <v>0</v>
      </c>
      <c r="NJ30" s="28">
        <f t="shared" si="246"/>
        <v>-10000000000</v>
      </c>
      <c r="NK30" s="29"/>
      <c r="NL30" s="28"/>
      <c r="NM30" s="29">
        <f t="shared" si="418"/>
        <v>17</v>
      </c>
      <c r="NN30" s="152">
        <f t="shared" si="247"/>
        <v>0</v>
      </c>
      <c r="NO30" s="152">
        <f t="shared" si="248"/>
        <v>0</v>
      </c>
      <c r="NP30" s="152">
        <f t="shared" si="249"/>
        <v>0</v>
      </c>
      <c r="NQ30" s="28">
        <f t="shared" si="250"/>
        <v>-10000000000</v>
      </c>
      <c r="NR30" s="29"/>
      <c r="NS30" s="28"/>
      <c r="NT30" s="29">
        <f t="shared" si="419"/>
        <v>17</v>
      </c>
      <c r="NU30" s="152">
        <f t="shared" si="251"/>
        <v>0</v>
      </c>
      <c r="NV30" s="152">
        <f t="shared" si="252"/>
        <v>0</v>
      </c>
      <c r="NW30" s="152">
        <f t="shared" si="253"/>
        <v>0</v>
      </c>
      <c r="NX30" s="28">
        <f t="shared" si="254"/>
        <v>-10000000000</v>
      </c>
      <c r="NY30" s="29"/>
      <c r="NZ30" s="28"/>
      <c r="OA30" s="29">
        <f t="shared" si="420"/>
        <v>17</v>
      </c>
      <c r="OB30" s="152">
        <f t="shared" si="255"/>
        <v>0</v>
      </c>
      <c r="OC30" s="152">
        <f t="shared" si="256"/>
        <v>0</v>
      </c>
      <c r="OD30" s="152">
        <f t="shared" si="257"/>
        <v>0</v>
      </c>
      <c r="OE30" s="28">
        <f t="shared" si="258"/>
        <v>-10000000000</v>
      </c>
      <c r="OF30" s="29"/>
      <c r="OG30" s="28"/>
      <c r="OH30" s="29">
        <f t="shared" si="421"/>
        <v>17</v>
      </c>
      <c r="OI30" s="152">
        <f t="shared" si="259"/>
        <v>0</v>
      </c>
      <c r="OJ30" s="152">
        <f t="shared" si="260"/>
        <v>0</v>
      </c>
      <c r="OK30" s="152">
        <f t="shared" si="261"/>
        <v>0</v>
      </c>
      <c r="OL30" s="28">
        <f t="shared" si="262"/>
        <v>-10000000000</v>
      </c>
      <c r="OM30" s="29"/>
      <c r="ON30" s="28"/>
      <c r="OO30" s="29">
        <f t="shared" si="422"/>
        <v>17</v>
      </c>
      <c r="OP30" s="152">
        <f t="shared" si="263"/>
        <v>0</v>
      </c>
      <c r="OQ30" s="152">
        <f t="shared" si="264"/>
        <v>0</v>
      </c>
      <c r="OR30" s="152">
        <f t="shared" si="265"/>
        <v>0</v>
      </c>
      <c r="OS30" s="28">
        <f t="shared" si="266"/>
        <v>-10000000000</v>
      </c>
      <c r="OT30" s="29"/>
      <c r="OU30" s="28"/>
      <c r="OV30" s="29">
        <f t="shared" si="423"/>
        <v>17</v>
      </c>
      <c r="OW30" s="152">
        <f t="shared" si="267"/>
        <v>0</v>
      </c>
      <c r="OX30" s="152">
        <f t="shared" si="268"/>
        <v>0</v>
      </c>
      <c r="OY30" s="152">
        <f t="shared" si="269"/>
        <v>0</v>
      </c>
      <c r="OZ30" s="28">
        <f t="shared" si="270"/>
        <v>-10000000000</v>
      </c>
      <c r="PA30" s="29"/>
      <c r="PB30" s="28"/>
      <c r="PC30" s="29">
        <f t="shared" si="424"/>
        <v>17</v>
      </c>
      <c r="PD30" s="152">
        <f t="shared" si="271"/>
        <v>0</v>
      </c>
      <c r="PE30" s="152">
        <f t="shared" si="272"/>
        <v>0</v>
      </c>
      <c r="PF30" s="152">
        <f t="shared" si="273"/>
        <v>0</v>
      </c>
      <c r="PG30" s="28">
        <f t="shared" si="274"/>
        <v>-10000000000</v>
      </c>
      <c r="PH30" s="29"/>
      <c r="PI30" s="28"/>
      <c r="PJ30" s="29">
        <f t="shared" si="425"/>
        <v>17</v>
      </c>
      <c r="PK30" s="152">
        <f t="shared" si="275"/>
        <v>0</v>
      </c>
      <c r="PL30" s="152">
        <f t="shared" si="276"/>
        <v>0</v>
      </c>
      <c r="PM30" s="152">
        <f t="shared" si="277"/>
        <v>0</v>
      </c>
      <c r="PN30" s="28">
        <f t="shared" si="278"/>
        <v>-10000000000</v>
      </c>
      <c r="PO30" s="29"/>
      <c r="PP30" s="28"/>
      <c r="PQ30" s="29">
        <f t="shared" si="426"/>
        <v>17</v>
      </c>
      <c r="PR30" s="152">
        <f t="shared" si="279"/>
        <v>0</v>
      </c>
      <c r="PS30" s="152">
        <f t="shared" si="280"/>
        <v>0</v>
      </c>
      <c r="PT30" s="152">
        <f t="shared" si="281"/>
        <v>0</v>
      </c>
      <c r="PU30" s="28">
        <f t="shared" si="282"/>
        <v>-10000000000</v>
      </c>
      <c r="PV30" s="29"/>
      <c r="PW30" s="28"/>
      <c r="PX30" s="29">
        <f t="shared" si="427"/>
        <v>17</v>
      </c>
      <c r="PY30" s="152">
        <f t="shared" si="283"/>
        <v>0</v>
      </c>
      <c r="PZ30" s="152">
        <f t="shared" si="284"/>
        <v>0</v>
      </c>
      <c r="QA30" s="152">
        <f t="shared" si="285"/>
        <v>0</v>
      </c>
      <c r="QB30" s="28">
        <f t="shared" si="286"/>
        <v>-10000000000</v>
      </c>
      <c r="QC30" s="29"/>
      <c r="QD30" s="28"/>
      <c r="QE30" s="29">
        <f t="shared" si="428"/>
        <v>17</v>
      </c>
      <c r="QF30" s="152">
        <f t="shared" si="287"/>
        <v>0</v>
      </c>
      <c r="QG30" s="152">
        <f t="shared" si="288"/>
        <v>0</v>
      </c>
      <c r="QH30" s="152">
        <f t="shared" si="289"/>
        <v>0</v>
      </c>
      <c r="QI30" s="28">
        <f t="shared" si="290"/>
        <v>-10000000000</v>
      </c>
      <c r="QJ30" s="29"/>
      <c r="QK30" s="28"/>
      <c r="QL30" s="29">
        <f t="shared" si="429"/>
        <v>17</v>
      </c>
      <c r="QM30" s="152">
        <f t="shared" si="291"/>
        <v>0</v>
      </c>
      <c r="QN30" s="152">
        <f t="shared" si="292"/>
        <v>0</v>
      </c>
      <c r="QO30" s="152">
        <f t="shared" si="293"/>
        <v>0</v>
      </c>
      <c r="QP30" s="28">
        <f t="shared" si="294"/>
        <v>-10000000000</v>
      </c>
      <c r="QQ30" s="29"/>
      <c r="QR30" s="28"/>
      <c r="QS30" s="29">
        <f t="shared" si="430"/>
        <v>17</v>
      </c>
      <c r="QT30" s="152">
        <f t="shared" si="295"/>
        <v>0</v>
      </c>
      <c r="QU30" s="152">
        <f t="shared" si="296"/>
        <v>0</v>
      </c>
      <c r="QV30" s="152">
        <f t="shared" si="297"/>
        <v>0</v>
      </c>
      <c r="QW30" s="28">
        <f t="shared" si="298"/>
        <v>-10000000000</v>
      </c>
      <c r="QX30" s="29"/>
      <c r="QY30" s="28"/>
      <c r="QZ30" s="29">
        <f t="shared" si="431"/>
        <v>17</v>
      </c>
      <c r="RA30" s="152">
        <f t="shared" si="299"/>
        <v>0</v>
      </c>
      <c r="RB30" s="152">
        <f t="shared" si="300"/>
        <v>0</v>
      </c>
      <c r="RC30" s="152">
        <f t="shared" si="301"/>
        <v>0</v>
      </c>
      <c r="RD30" s="28">
        <f t="shared" si="302"/>
        <v>-10000000000</v>
      </c>
      <c r="RE30" s="29"/>
      <c r="RF30" s="28"/>
      <c r="RG30" s="29">
        <f t="shared" si="432"/>
        <v>17</v>
      </c>
      <c r="RH30" s="152">
        <f t="shared" si="303"/>
        <v>0</v>
      </c>
      <c r="RI30" s="152">
        <f t="shared" si="304"/>
        <v>0</v>
      </c>
      <c r="RJ30" s="152">
        <f t="shared" si="305"/>
        <v>0</v>
      </c>
      <c r="RK30" s="28">
        <f t="shared" si="306"/>
        <v>-10000000000</v>
      </c>
      <c r="RL30" s="29"/>
      <c r="RM30" s="28"/>
      <c r="RN30" s="29">
        <f t="shared" si="433"/>
        <v>17</v>
      </c>
      <c r="RO30" s="152">
        <f t="shared" si="307"/>
        <v>0</v>
      </c>
      <c r="RP30" s="152">
        <f t="shared" si="308"/>
        <v>0</v>
      </c>
      <c r="RQ30" s="152">
        <f t="shared" si="309"/>
        <v>0</v>
      </c>
      <c r="RR30" s="28">
        <f t="shared" si="310"/>
        <v>-10000000000</v>
      </c>
      <c r="RS30" s="29"/>
      <c r="RT30" s="28"/>
      <c r="RU30" s="29">
        <f t="shared" si="434"/>
        <v>17</v>
      </c>
      <c r="RV30" s="152">
        <f t="shared" si="311"/>
        <v>0</v>
      </c>
      <c r="RW30" s="152">
        <f t="shared" si="312"/>
        <v>0</v>
      </c>
      <c r="RX30" s="152">
        <f t="shared" si="313"/>
        <v>0</v>
      </c>
      <c r="RY30" s="28">
        <f t="shared" si="314"/>
        <v>-10000000000</v>
      </c>
      <c r="RZ30" s="29"/>
      <c r="SA30" s="28"/>
      <c r="SB30" s="29">
        <f t="shared" si="435"/>
        <v>17</v>
      </c>
      <c r="SC30" s="152">
        <f t="shared" si="315"/>
        <v>0</v>
      </c>
      <c r="SD30" s="152">
        <f t="shared" si="316"/>
        <v>0</v>
      </c>
      <c r="SE30" s="152">
        <f t="shared" si="317"/>
        <v>0</v>
      </c>
      <c r="SF30" s="28">
        <f t="shared" si="318"/>
        <v>-10000000000</v>
      </c>
      <c r="SG30" s="29"/>
      <c r="SH30" s="28"/>
      <c r="SI30" s="29">
        <f t="shared" si="436"/>
        <v>17</v>
      </c>
      <c r="SJ30" s="152">
        <f t="shared" si="319"/>
        <v>0</v>
      </c>
      <c r="SK30" s="152">
        <f t="shared" si="320"/>
        <v>0</v>
      </c>
      <c r="SL30" s="152">
        <f t="shared" si="321"/>
        <v>0</v>
      </c>
      <c r="SM30" s="28">
        <f t="shared" si="322"/>
        <v>-10000000000</v>
      </c>
      <c r="SN30" s="29"/>
      <c r="SO30" s="28"/>
      <c r="SP30" s="29">
        <f t="shared" si="437"/>
        <v>17</v>
      </c>
      <c r="SQ30" s="152">
        <f t="shared" si="323"/>
        <v>0</v>
      </c>
      <c r="SR30" s="152">
        <f t="shared" si="324"/>
        <v>0</v>
      </c>
      <c r="SS30" s="152">
        <f t="shared" si="325"/>
        <v>0</v>
      </c>
      <c r="ST30" s="28">
        <f t="shared" si="326"/>
        <v>-10000000000</v>
      </c>
      <c r="SU30" s="29"/>
      <c r="SV30" s="28"/>
      <c r="SW30" s="29">
        <f t="shared" si="438"/>
        <v>17</v>
      </c>
      <c r="SX30" s="152">
        <f t="shared" si="327"/>
        <v>0</v>
      </c>
      <c r="SY30" s="152">
        <f t="shared" si="328"/>
        <v>0</v>
      </c>
      <c r="SZ30" s="152">
        <f t="shared" si="329"/>
        <v>0</v>
      </c>
      <c r="TA30" s="28">
        <f t="shared" si="330"/>
        <v>-10000000000</v>
      </c>
      <c r="TB30" s="29"/>
      <c r="TC30" s="28"/>
      <c r="TD30" s="29">
        <f t="shared" si="439"/>
        <v>17</v>
      </c>
      <c r="TE30" s="152">
        <f t="shared" si="331"/>
        <v>0</v>
      </c>
      <c r="TF30" s="152">
        <f t="shared" si="332"/>
        <v>0</v>
      </c>
      <c r="TG30" s="152">
        <f t="shared" si="333"/>
        <v>0</v>
      </c>
      <c r="TH30" s="28">
        <f t="shared" si="334"/>
        <v>-10000000000</v>
      </c>
      <c r="TI30" s="29"/>
      <c r="TJ30" s="28"/>
      <c r="TK30" s="29">
        <f t="shared" si="440"/>
        <v>17</v>
      </c>
      <c r="TL30" s="152">
        <f t="shared" si="335"/>
        <v>0</v>
      </c>
      <c r="TM30" s="152">
        <f t="shared" si="336"/>
        <v>0</v>
      </c>
      <c r="TN30" s="152">
        <f t="shared" si="337"/>
        <v>0</v>
      </c>
      <c r="TO30" s="28">
        <f t="shared" si="338"/>
        <v>-10000000000</v>
      </c>
      <c r="TP30" s="29"/>
      <c r="TQ30" s="28"/>
      <c r="TR30" s="29">
        <f t="shared" si="441"/>
        <v>17</v>
      </c>
      <c r="TS30" s="152">
        <f t="shared" si="339"/>
        <v>0</v>
      </c>
      <c r="TT30" s="152">
        <f t="shared" si="340"/>
        <v>0</v>
      </c>
      <c r="TU30" s="152">
        <f t="shared" si="341"/>
        <v>0</v>
      </c>
      <c r="TV30" s="28">
        <f t="shared" si="342"/>
        <v>-10000000000</v>
      </c>
      <c r="TW30" s="29"/>
      <c r="TX30" s="28"/>
      <c r="TY30" s="29">
        <f t="shared" si="442"/>
        <v>17</v>
      </c>
      <c r="TZ30" s="152">
        <f t="shared" si="343"/>
        <v>0</v>
      </c>
      <c r="UA30" s="152">
        <f t="shared" si="344"/>
        <v>0</v>
      </c>
      <c r="UB30" s="152">
        <f t="shared" si="345"/>
        <v>0</v>
      </c>
      <c r="UC30" s="28">
        <f t="shared" si="346"/>
        <v>-10000000000</v>
      </c>
      <c r="UD30" s="29"/>
      <c r="UE30" s="28"/>
      <c r="UF30" s="29">
        <f t="shared" si="443"/>
        <v>17</v>
      </c>
      <c r="UG30" s="152">
        <f t="shared" si="347"/>
        <v>0</v>
      </c>
      <c r="UH30" s="152">
        <f t="shared" si="348"/>
        <v>0</v>
      </c>
      <c r="UI30" s="152">
        <f t="shared" si="349"/>
        <v>0</v>
      </c>
      <c r="UJ30" s="28">
        <f t="shared" si="350"/>
        <v>-10000000000</v>
      </c>
      <c r="UK30" s="29"/>
      <c r="UL30" s="28"/>
      <c r="UM30" s="29">
        <f t="shared" si="444"/>
        <v>17</v>
      </c>
      <c r="UN30" s="152">
        <f t="shared" si="351"/>
        <v>0</v>
      </c>
      <c r="UO30" s="152">
        <f t="shared" si="352"/>
        <v>0</v>
      </c>
      <c r="UP30" s="152">
        <f t="shared" si="353"/>
        <v>0</v>
      </c>
      <c r="UQ30" s="28">
        <f t="shared" si="354"/>
        <v>-10000000000</v>
      </c>
      <c r="UR30" s="29"/>
      <c r="US30" s="28"/>
      <c r="UT30" s="29">
        <f t="shared" si="445"/>
        <v>17</v>
      </c>
      <c r="UU30" s="129"/>
      <c r="UV30" s="129">
        <f t="shared" si="355"/>
        <v>0</v>
      </c>
      <c r="UW30" s="129">
        <f t="shared" si="356"/>
        <v>17</v>
      </c>
      <c r="UX30" s="129">
        <f t="shared" ca="1" si="446"/>
        <v>17</v>
      </c>
      <c r="UY30" s="129">
        <f t="shared" ca="1" si="446"/>
        <v>17</v>
      </c>
      <c r="UZ30" s="129">
        <f t="shared" ca="1" si="446"/>
        <v>17</v>
      </c>
      <c r="VA30" s="129">
        <f t="shared" ca="1" si="446"/>
        <v>17</v>
      </c>
      <c r="VB30" s="129">
        <f t="shared" ca="1" si="446"/>
        <v>17</v>
      </c>
      <c r="VC30" s="129">
        <f t="shared" ca="1" si="446"/>
        <v>17</v>
      </c>
      <c r="VD30" s="129">
        <f t="shared" ca="1" si="446"/>
        <v>17</v>
      </c>
      <c r="VE30" s="129">
        <f t="shared" ca="1" si="446"/>
        <v>17</v>
      </c>
      <c r="VF30" s="129">
        <f t="shared" ca="1" si="446"/>
        <v>17</v>
      </c>
      <c r="VG30" s="129">
        <f t="shared" ca="1" si="446"/>
        <v>17</v>
      </c>
      <c r="VH30" s="129">
        <f t="shared" ca="1" si="446"/>
        <v>17</v>
      </c>
      <c r="VI30" s="129">
        <f t="shared" ca="1" si="446"/>
        <v>17</v>
      </c>
      <c r="VJ30" s="129">
        <f t="shared" ca="1" si="446"/>
        <v>17</v>
      </c>
      <c r="VK30" s="129">
        <f t="shared" ca="1" si="446"/>
        <v>17</v>
      </c>
      <c r="VL30" s="129">
        <f t="shared" ca="1" si="446"/>
        <v>17</v>
      </c>
      <c r="VM30" s="129">
        <f t="shared" ca="1" si="446"/>
        <v>17</v>
      </c>
      <c r="VN30" s="129">
        <f t="shared" ca="1" si="406"/>
        <v>17</v>
      </c>
      <c r="VO30" s="129">
        <f t="shared" ca="1" si="406"/>
        <v>17</v>
      </c>
      <c r="VP30" s="129">
        <f t="shared" ca="1" si="406"/>
        <v>17</v>
      </c>
      <c r="VQ30" s="129">
        <f t="shared" ca="1" si="406"/>
        <v>17</v>
      </c>
      <c r="VR30" s="129">
        <f t="shared" ca="1" si="406"/>
        <v>17</v>
      </c>
      <c r="VS30" s="129">
        <f t="shared" ca="1" si="406"/>
        <v>17</v>
      </c>
      <c r="VT30" s="129">
        <f t="shared" ca="1" si="406"/>
        <v>17</v>
      </c>
      <c r="VU30" s="129">
        <f t="shared" ca="1" si="406"/>
        <v>17</v>
      </c>
      <c r="VV30" s="129">
        <f t="shared" ca="1" si="406"/>
        <v>17</v>
      </c>
      <c r="VW30" s="129">
        <f t="shared" ca="1" si="406"/>
        <v>17</v>
      </c>
      <c r="VX30" s="129">
        <f t="shared" ca="1" si="406"/>
        <v>17</v>
      </c>
      <c r="VY30" s="129">
        <f t="shared" ca="1" si="406"/>
        <v>17</v>
      </c>
      <c r="VZ30" s="129">
        <f t="shared" ca="1" si="406"/>
        <v>17</v>
      </c>
      <c r="WA30" s="129">
        <f t="shared" ca="1" si="406"/>
        <v>17</v>
      </c>
      <c r="WB30" s="129">
        <f t="shared" ca="1" si="406"/>
        <v>17</v>
      </c>
      <c r="WC30" s="129">
        <f t="shared" ca="1" si="406"/>
        <v>17</v>
      </c>
      <c r="WD30" s="129">
        <f t="shared" ca="1" si="407"/>
        <v>17</v>
      </c>
      <c r="WE30" s="129">
        <f t="shared" ca="1" si="66"/>
        <v>17</v>
      </c>
      <c r="WF30" s="129">
        <f t="shared" ca="1" si="66"/>
        <v>17</v>
      </c>
      <c r="WG30" s="129">
        <f t="shared" ca="1" si="66"/>
        <v>17</v>
      </c>
      <c r="WH30" s="129">
        <f t="shared" ca="1" si="66"/>
        <v>17</v>
      </c>
      <c r="WJ30" s="87"/>
      <c r="WK30" s="87">
        <f t="shared" si="358"/>
        <v>0</v>
      </c>
      <c r="WL30" s="87">
        <v>27</v>
      </c>
      <c r="WM30" s="87">
        <v>27</v>
      </c>
      <c r="WN30" s="87">
        <f>IF($WI$3&gt;=WN$3,UW30,NA())</f>
        <v>17</v>
      </c>
      <c r="WO30" s="87">
        <f ca="1">IF($WI$3&gt;=WO$3,UX30,NA())</f>
        <v>17</v>
      </c>
      <c r="WP30" s="87">
        <f ca="1">IF($WI$3&gt;=WP$3,UY30,NA())</f>
        <v>17</v>
      </c>
      <c r="WQ30" s="87">
        <f ca="1">IF($WI$3&gt;=WQ$3,UZ30,NA())</f>
        <v>17</v>
      </c>
      <c r="WR30" s="87">
        <f ca="1">IF($WI$3&gt;=WR$3,VA30,NA())</f>
        <v>17</v>
      </c>
      <c r="WS30" s="87">
        <f ca="1">IF($WI$3&gt;=WS$3,VB30,NA())</f>
        <v>17</v>
      </c>
      <c r="WT30" s="87">
        <f ca="1">IF($WI$3&gt;=WT$3,VC30,NA())</f>
        <v>17</v>
      </c>
      <c r="WU30" s="87">
        <f ca="1">IF($WI$3&gt;=WU$3,VD30,NA())</f>
        <v>17</v>
      </c>
      <c r="WV30" s="87">
        <f ca="1">IF($WI$3&gt;=WV$3,VE30,NA())</f>
        <v>17</v>
      </c>
      <c r="WW30" s="87">
        <f ca="1">IF($WI$3&gt;=WW$3,VF30,NA())</f>
        <v>17</v>
      </c>
      <c r="WX30" s="87">
        <f ca="1">IF($WI$3&gt;=WX$3,VG30,NA())</f>
        <v>17</v>
      </c>
      <c r="WY30" s="87">
        <f ca="1">IF($WI$3&gt;=WY$3,VH30,NA())</f>
        <v>17</v>
      </c>
      <c r="WZ30" s="87">
        <f ca="1">IF($WI$3&gt;=WZ$3,VI30,NA())</f>
        <v>17</v>
      </c>
      <c r="XA30" s="87">
        <f ca="1">IF($WI$3&gt;=XA$3,VJ30,NA())</f>
        <v>17</v>
      </c>
      <c r="XB30" s="87">
        <f ca="1">IF($WI$3&gt;=XB$3,VK30,NA())</f>
        <v>17</v>
      </c>
      <c r="XC30" s="87">
        <f ca="1">IF($WI$3&gt;=XC$3,VL30,NA())</f>
        <v>17</v>
      </c>
      <c r="XD30" s="87">
        <f ca="1">IF($WI$3&gt;=XD$3,VM30,NA())</f>
        <v>17</v>
      </c>
      <c r="XE30" s="87">
        <f ca="1">IF($WI$3&gt;=XE$3,VN30,NA())</f>
        <v>17</v>
      </c>
      <c r="XF30" s="87">
        <f ca="1">IF($WI$3&gt;=XF$3,VO30,NA())</f>
        <v>17</v>
      </c>
      <c r="XG30" s="87">
        <f ca="1">IF($WI$3&gt;=XG$3,VP30,NA())</f>
        <v>17</v>
      </c>
      <c r="XH30" s="87">
        <f ca="1">IF($WI$3&gt;=XH$3,VQ30,NA())</f>
        <v>17</v>
      </c>
      <c r="XI30" s="87" t="e">
        <f>IF($WI$3&gt;=XI$3,VR30,NA())</f>
        <v>#N/A</v>
      </c>
      <c r="XJ30" s="87" t="e">
        <f>IF($WI$3&gt;=XJ$3,VS30,NA())</f>
        <v>#N/A</v>
      </c>
      <c r="XK30" s="87" t="e">
        <f>IF($WI$3&gt;=XK$3,VT30,NA())</f>
        <v>#N/A</v>
      </c>
      <c r="XL30" s="87" t="e">
        <f>IF($WI$3&gt;=XL$3,VU30,NA())</f>
        <v>#N/A</v>
      </c>
      <c r="XM30" s="87" t="e">
        <f>IF($WI$3&gt;=XM$3,VV30,NA())</f>
        <v>#N/A</v>
      </c>
      <c r="XN30" s="87" t="e">
        <f>IF($WI$3&gt;=XN$3,VW30,NA())</f>
        <v>#N/A</v>
      </c>
      <c r="XO30" s="87" t="e">
        <f>IF($WI$3&gt;=XO$3,VX30,NA())</f>
        <v>#N/A</v>
      </c>
      <c r="XP30" s="87" t="e">
        <f>IF($WI$3&gt;=XP$3,VY30,NA())</f>
        <v>#N/A</v>
      </c>
      <c r="XQ30" s="87" t="e">
        <f>IF($WI$3&gt;=XQ$3,VZ30,NA())</f>
        <v>#N/A</v>
      </c>
      <c r="XR30" s="87" t="e">
        <f>IF($WI$3&gt;=XR$3,WA30,NA())</f>
        <v>#N/A</v>
      </c>
      <c r="XS30" s="87" t="e">
        <f>IF($WI$3&gt;=XS$3,WB30,NA())</f>
        <v>#N/A</v>
      </c>
      <c r="XT30" s="87" t="e">
        <f>IF($WI$3&gt;=XT$3,WC30,NA())</f>
        <v>#N/A</v>
      </c>
      <c r="XU30" s="87" t="e">
        <f>IF($WI$3&gt;=XU$3,WD30,NA())</f>
        <v>#N/A</v>
      </c>
      <c r="XV30" s="87" t="e">
        <f>IF($WI$3&gt;=XV$3,WE30,NA())</f>
        <v>#N/A</v>
      </c>
      <c r="XW30" s="87" t="e">
        <f>IF($WI$3&gt;=XW$3,WF30,NA())</f>
        <v>#N/A</v>
      </c>
      <c r="XX30" s="87" t="e">
        <f>IF($WI$3&gt;=XX$3,WG30,NA())</f>
        <v>#N/A</v>
      </c>
      <c r="XY30" s="87" t="e">
        <f>IF($WI$3&gt;=XY$3,WH30,NA())</f>
        <v>#N/A</v>
      </c>
      <c r="YE30" s="87"/>
      <c r="YF30" s="87"/>
    </row>
    <row r="31" spans="4:723">
      <c r="D31" s="29"/>
      <c r="E31" s="136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5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5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137"/>
      <c r="AP31" s="27"/>
      <c r="AQ31" s="28"/>
      <c r="AR31" s="29"/>
      <c r="AS31" s="28"/>
      <c r="AT31" s="29"/>
      <c r="AU31" s="30"/>
      <c r="AV31" s="29"/>
      <c r="AW31" s="29"/>
      <c r="AX31" s="29"/>
      <c r="AY31" s="29"/>
      <c r="AZ31" s="29"/>
      <c r="BA31" s="29"/>
      <c r="BB31" s="29"/>
      <c r="BC31" s="90"/>
      <c r="BD31" s="90"/>
      <c r="BE31" s="90"/>
      <c r="BF31" s="90"/>
      <c r="BG31" s="90"/>
      <c r="BH31" s="90"/>
      <c r="BI31" s="90"/>
      <c r="BJ31" s="90"/>
      <c r="BK31" s="90"/>
      <c r="BL31" s="90"/>
      <c r="BM31" s="90"/>
      <c r="BN31" s="90"/>
      <c r="BO31" s="90"/>
      <c r="BP31" s="90"/>
      <c r="BS31" s="10" t="s">
        <v>54</v>
      </c>
      <c r="BT31" s="123">
        <v>0.33333333333333498</v>
      </c>
      <c r="BU31" s="123">
        <f t="shared" si="405"/>
        <v>0.50000000000000167</v>
      </c>
      <c r="BV31" s="10" t="s">
        <v>64</v>
      </c>
      <c r="CA31" s="130">
        <f t="shared" si="119"/>
        <v>-1</v>
      </c>
      <c r="CB31" s="130">
        <f t="shared" si="120"/>
        <v>100000</v>
      </c>
      <c r="CC31" s="130">
        <f t="shared" si="121"/>
        <v>-1</v>
      </c>
      <c r="CD31" s="130">
        <f t="shared" si="122"/>
        <v>100000</v>
      </c>
      <c r="CE31" s="130">
        <f t="shared" si="123"/>
        <v>-1</v>
      </c>
      <c r="CF31" s="130">
        <f t="shared" si="124"/>
        <v>100000</v>
      </c>
      <c r="CG31" s="130">
        <f t="shared" si="125"/>
        <v>-1</v>
      </c>
      <c r="CH31" s="130">
        <f t="shared" si="126"/>
        <v>100000</v>
      </c>
      <c r="CI31" s="130">
        <f t="shared" si="127"/>
        <v>-1</v>
      </c>
      <c r="CJ31" s="130">
        <f t="shared" si="128"/>
        <v>100000</v>
      </c>
      <c r="CK31" s="130">
        <f t="shared" si="129"/>
        <v>-100000</v>
      </c>
      <c r="CL31" s="130">
        <f t="shared" si="130"/>
        <v>100000</v>
      </c>
      <c r="CM31" s="130">
        <f t="shared" si="131"/>
        <v>-1</v>
      </c>
      <c r="CN31" s="130">
        <f t="shared" si="132"/>
        <v>100000</v>
      </c>
      <c r="CO31" s="130">
        <f t="shared" si="133"/>
        <v>-1</v>
      </c>
      <c r="CP31" s="130">
        <f t="shared" si="134"/>
        <v>100000</v>
      </c>
      <c r="CQ31" s="131"/>
      <c r="CR31" s="130">
        <f t="shared" si="360"/>
        <v>-1</v>
      </c>
      <c r="CS31" s="130">
        <f t="shared" si="135"/>
        <v>100000</v>
      </c>
      <c r="CT31" s="130">
        <f t="shared" si="361"/>
        <v>-1</v>
      </c>
      <c r="CU31" s="130">
        <f t="shared" si="362"/>
        <v>100000</v>
      </c>
      <c r="CV31" s="130">
        <f t="shared" si="363"/>
        <v>-1</v>
      </c>
      <c r="CW31" s="130">
        <f t="shared" si="364"/>
        <v>100000</v>
      </c>
      <c r="CX31" s="130">
        <f t="shared" si="365"/>
        <v>-1</v>
      </c>
      <c r="CY31" s="130">
        <f t="shared" si="366"/>
        <v>100000</v>
      </c>
      <c r="CZ31" s="130">
        <f t="shared" si="367"/>
        <v>-1</v>
      </c>
      <c r="DA31" s="130">
        <f t="shared" si="368"/>
        <v>100000</v>
      </c>
      <c r="DB31" s="130">
        <f t="shared" si="369"/>
        <v>-100000</v>
      </c>
      <c r="DC31" s="130">
        <f t="shared" si="370"/>
        <v>100000</v>
      </c>
      <c r="DD31" s="130">
        <f t="shared" si="371"/>
        <v>-1</v>
      </c>
      <c r="DE31" s="130">
        <f t="shared" si="372"/>
        <v>100000</v>
      </c>
      <c r="DF31" s="130">
        <f t="shared" si="373"/>
        <v>-1</v>
      </c>
      <c r="DG31" s="130">
        <f t="shared" si="374"/>
        <v>100000</v>
      </c>
      <c r="DH31" s="131"/>
      <c r="DI31" s="130">
        <f t="shared" si="389"/>
        <v>-1</v>
      </c>
      <c r="DJ31" s="130">
        <f t="shared" si="136"/>
        <v>100000</v>
      </c>
      <c r="DK31" s="130">
        <f t="shared" si="390"/>
        <v>-1</v>
      </c>
      <c r="DL31" s="130">
        <f t="shared" si="391"/>
        <v>100000</v>
      </c>
      <c r="DM31" s="130">
        <f t="shared" si="392"/>
        <v>-1</v>
      </c>
      <c r="DN31" s="130">
        <f t="shared" si="393"/>
        <v>100000</v>
      </c>
      <c r="DO31" s="130">
        <f t="shared" si="394"/>
        <v>-1</v>
      </c>
      <c r="DP31" s="130">
        <f t="shared" si="395"/>
        <v>100000</v>
      </c>
      <c r="DQ31" s="130">
        <f t="shared" si="396"/>
        <v>-1</v>
      </c>
      <c r="DR31" s="130">
        <f t="shared" si="397"/>
        <v>100000</v>
      </c>
      <c r="DS31" s="130">
        <f t="shared" si="398"/>
        <v>-100000</v>
      </c>
      <c r="DT31" s="130">
        <f t="shared" si="399"/>
        <v>100000</v>
      </c>
      <c r="DU31" s="130">
        <f t="shared" si="400"/>
        <v>-1</v>
      </c>
      <c r="DV31" s="130">
        <f t="shared" si="401"/>
        <v>100000</v>
      </c>
      <c r="DW31" s="130">
        <f t="shared" si="402"/>
        <v>-1</v>
      </c>
      <c r="DX31" s="130">
        <f t="shared" si="403"/>
        <v>100000</v>
      </c>
      <c r="DY31" s="132"/>
      <c r="DZ31" s="115">
        <v>28</v>
      </c>
      <c r="EA31" s="115">
        <v>3</v>
      </c>
      <c r="EB31" s="10">
        <f t="shared" si="137"/>
        <v>17</v>
      </c>
      <c r="EC31" s="10">
        <f t="shared" si="138"/>
        <v>17</v>
      </c>
      <c r="ED31" s="10">
        <f t="shared" si="139"/>
        <v>17</v>
      </c>
      <c r="EE31" s="10">
        <f t="shared" si="140"/>
        <v>17</v>
      </c>
      <c r="EF31" s="10">
        <f t="shared" si="141"/>
        <v>17</v>
      </c>
      <c r="EG31" s="10">
        <f t="shared" si="142"/>
        <v>17</v>
      </c>
      <c r="EH31" s="10">
        <f t="shared" si="143"/>
        <v>17</v>
      </c>
      <c r="EI31" s="10">
        <f t="shared" si="144"/>
        <v>17</v>
      </c>
      <c r="EJ31" s="10">
        <f t="shared" si="145"/>
        <v>17</v>
      </c>
      <c r="EK31" s="10">
        <f t="shared" si="146"/>
        <v>17</v>
      </c>
      <c r="EL31" s="10">
        <f t="shared" si="147"/>
        <v>17</v>
      </c>
      <c r="EM31" s="10">
        <f t="shared" si="148"/>
        <v>17</v>
      </c>
      <c r="EN31" s="10">
        <f t="shared" si="149"/>
        <v>17</v>
      </c>
      <c r="EO31" s="10">
        <f t="shared" si="150"/>
        <v>17</v>
      </c>
      <c r="EP31" s="10">
        <f t="shared" si="151"/>
        <v>17</v>
      </c>
      <c r="EQ31" s="10">
        <f t="shared" si="152"/>
        <v>17</v>
      </c>
      <c r="ES31" s="10">
        <f t="shared" si="153"/>
        <v>17</v>
      </c>
      <c r="ET31" s="10">
        <f t="shared" si="154"/>
        <v>17</v>
      </c>
      <c r="EU31" s="10">
        <f t="shared" si="155"/>
        <v>17</v>
      </c>
      <c r="EV31" s="10">
        <f t="shared" si="154"/>
        <v>17</v>
      </c>
      <c r="EW31" s="10">
        <f t="shared" si="156"/>
        <v>17</v>
      </c>
      <c r="EX31" s="10">
        <f t="shared" si="157"/>
        <v>17</v>
      </c>
      <c r="EY31" s="10">
        <f t="shared" si="158"/>
        <v>17</v>
      </c>
      <c r="EZ31" s="10">
        <f t="shared" si="159"/>
        <v>17</v>
      </c>
      <c r="FA31" s="10">
        <f t="shared" si="160"/>
        <v>17</v>
      </c>
      <c r="FB31" s="10">
        <f t="shared" si="161"/>
        <v>17</v>
      </c>
      <c r="FC31" s="10">
        <f t="shared" si="162"/>
        <v>17</v>
      </c>
      <c r="FD31" s="10">
        <f t="shared" si="163"/>
        <v>17</v>
      </c>
      <c r="FE31" s="10">
        <f t="shared" si="164"/>
        <v>17</v>
      </c>
      <c r="FF31" s="10">
        <f t="shared" si="165"/>
        <v>17</v>
      </c>
      <c r="FG31" s="10">
        <f t="shared" si="166"/>
        <v>17</v>
      </c>
      <c r="FH31" s="10">
        <f t="shared" si="167"/>
        <v>17</v>
      </c>
      <c r="FJ31" s="10">
        <f t="shared" si="168"/>
        <v>17</v>
      </c>
      <c r="FK31" s="10">
        <f t="shared" si="169"/>
        <v>17</v>
      </c>
      <c r="FL31" s="10">
        <f t="shared" si="170"/>
        <v>17</v>
      </c>
      <c r="FM31" s="10">
        <f t="shared" si="171"/>
        <v>17</v>
      </c>
      <c r="FN31" s="10">
        <f t="shared" si="172"/>
        <v>17</v>
      </c>
      <c r="FO31" s="10">
        <f t="shared" si="173"/>
        <v>17</v>
      </c>
      <c r="FP31" s="10">
        <f t="shared" si="174"/>
        <v>17</v>
      </c>
      <c r="FQ31" s="10">
        <f t="shared" si="175"/>
        <v>17</v>
      </c>
      <c r="FR31" s="10">
        <f t="shared" si="176"/>
        <v>17</v>
      </c>
      <c r="FS31" s="10">
        <f t="shared" si="177"/>
        <v>17</v>
      </c>
      <c r="FT31" s="10">
        <f t="shared" si="178"/>
        <v>17</v>
      </c>
      <c r="FU31" s="10">
        <f t="shared" si="179"/>
        <v>17</v>
      </c>
      <c r="FV31" s="10">
        <f t="shared" si="180"/>
        <v>17</v>
      </c>
      <c r="FW31" s="10">
        <f t="shared" si="181"/>
        <v>17</v>
      </c>
      <c r="FX31" s="10">
        <f t="shared" si="182"/>
        <v>17</v>
      </c>
      <c r="FY31" s="10">
        <f t="shared" si="183"/>
        <v>17</v>
      </c>
      <c r="GA31" s="10">
        <f>IF(lg!$C$18=1,EB31,IF(lg!$C$18=2,ES31,FJ31))</f>
        <v>17</v>
      </c>
      <c r="GB31" s="10">
        <f>IF(lg!$C$18=1,EC31,IF(lg!$C$18=2,ET31,FK31))</f>
        <v>17</v>
      </c>
      <c r="GC31" s="10">
        <f>IF(lg!$C$18=1,ED31,IF(lg!$C$18=2,EU31,FL31))</f>
        <v>17</v>
      </c>
      <c r="GD31" s="10">
        <f>IF(lg!$C$18=1,EE31,IF(lg!$C$18=2,EV31,FM31))</f>
        <v>17</v>
      </c>
      <c r="GE31" s="10">
        <f>IF(lg!$C$18=1,EF31,IF(lg!$C$18=2,EW31,FN31))</f>
        <v>17</v>
      </c>
      <c r="GF31" s="10">
        <f>IF(lg!$C$18=1,EG31,IF(lg!$C$18=2,EX31,FO31))</f>
        <v>17</v>
      </c>
      <c r="GG31" s="10">
        <f>IF(lg!$C$18=1,EH31,IF(lg!$C$18=2,EY31,FP31))</f>
        <v>17</v>
      </c>
      <c r="GH31" s="10">
        <f>IF(lg!$C$18=1,EI31,IF(lg!$C$18=2,EZ31,FQ31))</f>
        <v>17</v>
      </c>
      <c r="GI31" s="10">
        <f>IF(lg!$C$18=1,EJ31,IF(lg!$C$18=2,FA31,FR31))</f>
        <v>17</v>
      </c>
      <c r="GJ31" s="10">
        <f>IF(lg!$C$18=1,EK31,IF(lg!$C$18=2,FB31,FS31))</f>
        <v>17</v>
      </c>
      <c r="GK31" s="10">
        <f>IF(lg!$C$18=1,EL31,IF(lg!$C$18=2,FC31,FT31))</f>
        <v>17</v>
      </c>
      <c r="GL31" s="10">
        <f>IF(lg!$C$18=1,EM31,IF(lg!$C$18=2,FD31,FU31))</f>
        <v>17</v>
      </c>
      <c r="GM31" s="10">
        <f>IF(lg!$C$18=1,EN31,IF(lg!$C$18=2,FE31,FV31))</f>
        <v>17</v>
      </c>
      <c r="GN31" s="10">
        <f>IF(lg!$C$18=1,EO31,IF(lg!$C$18=2,FF31,FW31))</f>
        <v>17</v>
      </c>
      <c r="GO31" s="10">
        <f>IF(lg!$C$18=1,EP31,IF(lg!$C$18=2,FG31,FX31))</f>
        <v>17</v>
      </c>
      <c r="GP31" s="10">
        <f>IF(lg!$C$18=1,EQ31,IF(lg!$C$18=2,FH31,FY31))</f>
        <v>17</v>
      </c>
      <c r="GR31" s="10" t="e">
        <f t="shared" si="184"/>
        <v>#N/A</v>
      </c>
      <c r="GS31" s="10" t="e">
        <f t="shared" si="31"/>
        <v>#N/A</v>
      </c>
      <c r="GT31" s="10" t="e">
        <f t="shared" si="32"/>
        <v>#N/A</v>
      </c>
      <c r="GU31" s="10" t="e">
        <f t="shared" si="33"/>
        <v>#N/A</v>
      </c>
      <c r="GV31" s="10" t="e">
        <f t="shared" si="34"/>
        <v>#N/A</v>
      </c>
      <c r="GW31" s="10" t="e">
        <f t="shared" si="35"/>
        <v>#N/A</v>
      </c>
      <c r="GX31" s="10" t="e">
        <f t="shared" si="36"/>
        <v>#N/A</v>
      </c>
      <c r="GY31" s="10" t="e">
        <f t="shared" si="37"/>
        <v>#N/A</v>
      </c>
      <c r="GZ31" s="10" t="e">
        <f t="shared" si="38"/>
        <v>#N/A</v>
      </c>
      <c r="HA31" s="10" t="e">
        <f t="shared" si="39"/>
        <v>#N/A</v>
      </c>
      <c r="HB31" s="10" t="e">
        <f t="shared" si="40"/>
        <v>#N/A</v>
      </c>
      <c r="HC31" s="10" t="e">
        <f t="shared" si="41"/>
        <v>#N/A</v>
      </c>
      <c r="HD31" s="10" t="e">
        <f t="shared" si="42"/>
        <v>#N/A</v>
      </c>
      <c r="HE31" s="10" t="e">
        <f t="shared" si="43"/>
        <v>#N/A</v>
      </c>
      <c r="HF31" s="10" t="e">
        <f t="shared" si="44"/>
        <v>#N/A</v>
      </c>
      <c r="HG31" s="10" t="e">
        <f t="shared" si="45"/>
        <v>#N/A</v>
      </c>
      <c r="HI31" s="10">
        <v>28</v>
      </c>
      <c r="HJ31" s="115">
        <f>IF(lg!$C$18=1,F31,IF(lg!$C$18=2,R31,AD31))</f>
        <v>0</v>
      </c>
      <c r="HK31" s="115">
        <f>IF(lg!$C$18=1,G31,IF(lg!$C$18=2,S31,AE31))</f>
        <v>0</v>
      </c>
      <c r="HL31" s="115">
        <f>IF(lg!$C$18=1,H31,IF(lg!$C$18=2,T31,AF31))</f>
        <v>0</v>
      </c>
      <c r="HM31" s="115">
        <f>IF(lg!$C$18=1,I31,IF(lg!$C$18=2,U31,AG31))</f>
        <v>0</v>
      </c>
      <c r="HN31" s="115">
        <f>IF(lg!$C$18=1,J31,IF(lg!$C$18=2,V31,AH31))</f>
        <v>0</v>
      </c>
      <c r="HO31" s="115">
        <f>IF(lg!$C$18=1,K31,IF(lg!$C$18=2,W31,AI31))</f>
        <v>0</v>
      </c>
      <c r="HP31" s="115">
        <f>IF(lg!$C$18=1,L31,IF(lg!$C$18=2,X31,AJ31))</f>
        <v>0</v>
      </c>
      <c r="HQ31" s="115">
        <f>IF(lg!$C$18=1,M31,IF(lg!$C$18=2,Y31,AK31))</f>
        <v>0</v>
      </c>
      <c r="HR31" s="115">
        <f>IF(lg!$C$18=1,N31,IF(lg!$C$18=2,Z31,AL31))</f>
        <v>0</v>
      </c>
      <c r="HS31" s="115">
        <f>IF(lg!$C$18=1,O31,IF(lg!$C$18=2,AA31,AM31))</f>
        <v>0</v>
      </c>
      <c r="HT31" s="115">
        <f>IF(lg!$C$18=1,P31,IF(lg!$C$18=2,AB31,AN31))</f>
        <v>0</v>
      </c>
      <c r="HV31" s="115">
        <f t="shared" si="185"/>
        <v>0</v>
      </c>
      <c r="HW31" s="115">
        <f t="shared" si="186"/>
        <v>0</v>
      </c>
      <c r="HX31" s="115">
        <f t="shared" si="187"/>
        <v>0</v>
      </c>
      <c r="HY31" s="115">
        <f t="shared" si="188"/>
        <v>0</v>
      </c>
      <c r="HZ31" s="115">
        <f t="shared" si="189"/>
        <v>0</v>
      </c>
      <c r="IA31" s="115">
        <f t="shared" si="190"/>
        <v>0</v>
      </c>
      <c r="IB31" s="115">
        <f t="shared" si="191"/>
        <v>0</v>
      </c>
      <c r="IC31" s="115">
        <f t="shared" si="192"/>
        <v>0</v>
      </c>
      <c r="ID31" s="115">
        <f t="shared" si="193"/>
        <v>0</v>
      </c>
      <c r="IE31" s="115">
        <f t="shared" si="194"/>
        <v>0</v>
      </c>
      <c r="IF31" s="115">
        <f t="shared" si="195"/>
        <v>0</v>
      </c>
      <c r="IG31" s="115">
        <f t="shared" si="196"/>
        <v>0</v>
      </c>
      <c r="IH31" s="115">
        <f t="shared" si="197"/>
        <v>0</v>
      </c>
      <c r="II31" s="115">
        <f t="shared" si="198"/>
        <v>0</v>
      </c>
      <c r="IJ31" s="115">
        <f t="shared" si="199"/>
        <v>0</v>
      </c>
      <c r="IK31" s="115">
        <f t="shared" si="200"/>
        <v>0</v>
      </c>
      <c r="IN31" s="77"/>
      <c r="IO31" s="77" t="s">
        <v>69</v>
      </c>
      <c r="IP31" s="67">
        <f>IF(lg!$F$18=1,IP5,IF(lg!$F$18=2,IP13,IP21))</f>
        <v>13</v>
      </c>
      <c r="IQ31" s="67">
        <f>IF(lg!$F$18=1,IQ5,IF(lg!$F$18=2,IQ13,IQ21))</f>
        <v>20</v>
      </c>
      <c r="IR31" s="134">
        <f>IF(lg!$F$18=1,IR5,IF(lg!$F$18=2,IR13,IR21))</f>
        <v>0.65</v>
      </c>
      <c r="IS31" s="133">
        <f>IF(lg!$F$18=1,IS5,IF(lg!$F$18=2,IS13,IS21))</f>
        <v>1</v>
      </c>
      <c r="IT31" s="67"/>
      <c r="IU31" s="77" t="s">
        <v>69</v>
      </c>
      <c r="IV31" s="67">
        <f>IF(lg!$F$18=1,IV5,IF(lg!$F$18=2,IV13,IV21))</f>
        <v>8</v>
      </c>
      <c r="IW31" s="67">
        <f>IF(lg!$F$18=1,IW5,IF(lg!$F$18=2,IW13,IW21))</f>
        <v>19</v>
      </c>
      <c r="IX31" s="134">
        <f>IF(lg!$F$18=1,IX5,IF(lg!$F$18=2,IX13,IX21))</f>
        <v>0.42105263157894735</v>
      </c>
      <c r="IY31" s="133">
        <f>IF(lg!$F$18=1,IY5,IF(lg!$F$18=2,IY13,IY21))</f>
        <v>5</v>
      </c>
      <c r="IZ31" s="133"/>
      <c r="JB31" s="10">
        <f>IF(lg!$F$18=1,EB31,IF(lg!$F$18=2,ES31,FJ31))</f>
        <v>17</v>
      </c>
      <c r="JC31" s="10">
        <f>IF(lg!$F$18=1,EC31,IF(lg!$F$18=2,ET31,FK31))</f>
        <v>17</v>
      </c>
      <c r="JD31" s="10">
        <f>IF(lg!$F$18=1,ED31,IF(lg!$F$18=2,EU31,FL31))</f>
        <v>17</v>
      </c>
      <c r="JE31" s="10">
        <f>IF(lg!$F$18=1,EE31,IF(lg!$F$18=2,EV31,FM31))</f>
        <v>17</v>
      </c>
      <c r="JF31" s="10">
        <f>IF(lg!$F$18=1,EF31,IF(lg!$F$18=2,EW31,FN31))</f>
        <v>17</v>
      </c>
      <c r="JG31" s="10">
        <f>IF(lg!$F$18=1,EG31,IF(lg!$F$18=2,EX31,FO31))</f>
        <v>17</v>
      </c>
      <c r="JH31" s="10">
        <f>IF(lg!$F$18=1,EH31,IF(lg!$F$18=2,EY31,FP31))</f>
        <v>17</v>
      </c>
      <c r="JI31" s="10">
        <f>IF(lg!$F$18=1,EI31,IF(lg!$F$18=2,EZ31,FQ31))</f>
        <v>17</v>
      </c>
      <c r="JJ31" s="10">
        <f>IF(lg!$F$18=1,EJ31,IF(lg!$F$18=2,FA31,FR31))</f>
        <v>17</v>
      </c>
      <c r="JK31" s="10">
        <f>IF(lg!$F$18=1,EK31,IF(lg!$F$18=2,FB31,FS31))</f>
        <v>17</v>
      </c>
      <c r="JL31" s="10">
        <f>IF(lg!$F$18=1,EL31,IF(lg!$F$18=2,FC31,FT31))</f>
        <v>17</v>
      </c>
      <c r="JM31" s="10">
        <f>IF(lg!$F$18=1,EM31,IF(lg!$F$18=2,FD31,FU31))</f>
        <v>17</v>
      </c>
      <c r="JN31" s="10">
        <f>IF(lg!$F$18=1,EN31,IF(lg!$F$18=2,FE31,FV31))</f>
        <v>17</v>
      </c>
      <c r="JO31" s="10">
        <f>IF(lg!$F$18=1,EO31,IF(lg!$F$18=2,FF31,FW31))</f>
        <v>17</v>
      </c>
      <c r="JP31" s="10">
        <f>IF(lg!$F$18=1,EP31,IF(lg!$F$18=2,FG31,FX31))</f>
        <v>17</v>
      </c>
      <c r="JQ31" s="10">
        <f>IF(lg!$F$18=1,EQ31,IF(lg!$F$18=2,FH31,FY31))</f>
        <v>17</v>
      </c>
      <c r="JS31" s="10" t="e">
        <f t="shared" si="201"/>
        <v>#N/A</v>
      </c>
      <c r="JT31" s="10" t="e">
        <f t="shared" si="49"/>
        <v>#N/A</v>
      </c>
      <c r="JU31" s="10" t="e">
        <f t="shared" si="50"/>
        <v>#N/A</v>
      </c>
      <c r="JV31" s="10" t="e">
        <f t="shared" si="51"/>
        <v>#N/A</v>
      </c>
      <c r="JW31" s="10" t="e">
        <f t="shared" si="52"/>
        <v>#N/A</v>
      </c>
      <c r="JX31" s="10" t="e">
        <f t="shared" si="53"/>
        <v>#N/A</v>
      </c>
      <c r="JY31" s="10" t="e">
        <f t="shared" si="54"/>
        <v>#N/A</v>
      </c>
      <c r="JZ31" s="10" t="e">
        <f t="shared" si="55"/>
        <v>#N/A</v>
      </c>
      <c r="KA31" s="10" t="e">
        <f t="shared" si="56"/>
        <v>#N/A</v>
      </c>
      <c r="KB31" s="10" t="e">
        <f t="shared" si="57"/>
        <v>#N/A</v>
      </c>
      <c r="KC31" s="10" t="e">
        <f t="shared" si="58"/>
        <v>#N/A</v>
      </c>
      <c r="KD31" s="10" t="e">
        <f t="shared" si="59"/>
        <v>#N/A</v>
      </c>
      <c r="KE31" s="10" t="e">
        <f t="shared" si="60"/>
        <v>#N/A</v>
      </c>
      <c r="KF31" s="10" t="e">
        <f t="shared" si="61"/>
        <v>#N/A</v>
      </c>
      <c r="KG31" s="10" t="e">
        <f t="shared" si="62"/>
        <v>#N/A</v>
      </c>
      <c r="KH31" s="10" t="e">
        <f t="shared" si="63"/>
        <v>#N/A</v>
      </c>
      <c r="KL31" s="27">
        <v>0.03</v>
      </c>
      <c r="KM31" s="29">
        <v>28</v>
      </c>
      <c r="KN31" s="31">
        <f t="shared" si="202"/>
        <v>0</v>
      </c>
      <c r="KO31" s="152">
        <f t="shared" si="203"/>
        <v>0</v>
      </c>
      <c r="KP31" s="152">
        <f t="shared" si="204"/>
        <v>0</v>
      </c>
      <c r="KQ31" s="152">
        <f t="shared" si="205"/>
        <v>0</v>
      </c>
      <c r="KR31" s="28">
        <f t="shared" si="206"/>
        <v>-10000000000</v>
      </c>
      <c r="KS31" s="29"/>
      <c r="KT31" s="28"/>
      <c r="KU31" s="29">
        <f t="shared" si="408"/>
        <v>17</v>
      </c>
      <c r="KV31" s="152">
        <f t="shared" si="207"/>
        <v>0</v>
      </c>
      <c r="KW31" s="152">
        <f t="shared" si="208"/>
        <v>0</v>
      </c>
      <c r="KX31" s="152">
        <f t="shared" si="209"/>
        <v>0</v>
      </c>
      <c r="KY31" s="28">
        <f t="shared" si="210"/>
        <v>-10000000000</v>
      </c>
      <c r="KZ31" s="29"/>
      <c r="LA31" s="28"/>
      <c r="LB31" s="29">
        <f t="shared" si="409"/>
        <v>17</v>
      </c>
      <c r="LC31" s="152">
        <f t="shared" si="211"/>
        <v>0</v>
      </c>
      <c r="LD31" s="152">
        <f t="shared" si="212"/>
        <v>0</v>
      </c>
      <c r="LE31" s="152">
        <f t="shared" si="213"/>
        <v>0</v>
      </c>
      <c r="LF31" s="28">
        <f t="shared" si="214"/>
        <v>-10000000000</v>
      </c>
      <c r="LG31" s="29"/>
      <c r="LH31" s="28"/>
      <c r="LI31" s="29">
        <f t="shared" si="410"/>
        <v>17</v>
      </c>
      <c r="LJ31" s="152">
        <f t="shared" si="215"/>
        <v>0</v>
      </c>
      <c r="LK31" s="152">
        <f t="shared" si="216"/>
        <v>0</v>
      </c>
      <c r="LL31" s="152">
        <f t="shared" si="217"/>
        <v>0</v>
      </c>
      <c r="LM31" s="28">
        <f t="shared" si="218"/>
        <v>-10000000000</v>
      </c>
      <c r="LN31" s="29"/>
      <c r="LO31" s="28"/>
      <c r="LP31" s="29">
        <f t="shared" si="411"/>
        <v>17</v>
      </c>
      <c r="LQ31" s="152">
        <f t="shared" si="219"/>
        <v>0</v>
      </c>
      <c r="LR31" s="152">
        <f t="shared" si="220"/>
        <v>0</v>
      </c>
      <c r="LS31" s="152">
        <f t="shared" si="221"/>
        <v>0</v>
      </c>
      <c r="LT31" s="28">
        <f t="shared" si="222"/>
        <v>-10000000000</v>
      </c>
      <c r="LU31" s="29"/>
      <c r="LV31" s="28"/>
      <c r="LW31" s="29">
        <f t="shared" si="412"/>
        <v>17</v>
      </c>
      <c r="LX31" s="152">
        <f t="shared" si="223"/>
        <v>0</v>
      </c>
      <c r="LY31" s="152">
        <f t="shared" si="224"/>
        <v>0</v>
      </c>
      <c r="LZ31" s="152">
        <f t="shared" si="225"/>
        <v>0</v>
      </c>
      <c r="MA31" s="28">
        <f t="shared" si="226"/>
        <v>-10000000000</v>
      </c>
      <c r="MB31" s="29"/>
      <c r="MC31" s="28"/>
      <c r="MD31" s="29">
        <f t="shared" si="413"/>
        <v>17</v>
      </c>
      <c r="ME31" s="152">
        <f t="shared" si="227"/>
        <v>0</v>
      </c>
      <c r="MF31" s="152">
        <f t="shared" si="228"/>
        <v>0</v>
      </c>
      <c r="MG31" s="152">
        <f t="shared" si="229"/>
        <v>0</v>
      </c>
      <c r="MH31" s="28">
        <f t="shared" si="230"/>
        <v>-10000000000</v>
      </c>
      <c r="MI31" s="29"/>
      <c r="MJ31" s="28"/>
      <c r="MK31" s="29">
        <f t="shared" si="414"/>
        <v>17</v>
      </c>
      <c r="ML31" s="152">
        <f t="shared" si="231"/>
        <v>0</v>
      </c>
      <c r="MM31" s="152">
        <f t="shared" si="232"/>
        <v>0</v>
      </c>
      <c r="MN31" s="152">
        <f t="shared" si="233"/>
        <v>0</v>
      </c>
      <c r="MO31" s="28">
        <f t="shared" si="234"/>
        <v>-10000000000</v>
      </c>
      <c r="MP31" s="29"/>
      <c r="MQ31" s="28"/>
      <c r="MR31" s="29">
        <f t="shared" si="415"/>
        <v>17</v>
      </c>
      <c r="MS31" s="152">
        <f t="shared" si="235"/>
        <v>0</v>
      </c>
      <c r="MT31" s="152">
        <f t="shared" si="236"/>
        <v>0</v>
      </c>
      <c r="MU31" s="152">
        <f t="shared" si="237"/>
        <v>0</v>
      </c>
      <c r="MV31" s="28">
        <f t="shared" si="238"/>
        <v>-10000000000</v>
      </c>
      <c r="MW31" s="29"/>
      <c r="MX31" s="28"/>
      <c r="MY31" s="29">
        <f t="shared" si="416"/>
        <v>17</v>
      </c>
      <c r="MZ31" s="152">
        <f t="shared" si="239"/>
        <v>0</v>
      </c>
      <c r="NA31" s="152">
        <f t="shared" si="240"/>
        <v>0</v>
      </c>
      <c r="NB31" s="152">
        <f t="shared" si="241"/>
        <v>0</v>
      </c>
      <c r="NC31" s="28">
        <f t="shared" si="242"/>
        <v>-10000000000</v>
      </c>
      <c r="ND31" s="29"/>
      <c r="NE31" s="28"/>
      <c r="NF31" s="29">
        <f t="shared" si="417"/>
        <v>17</v>
      </c>
      <c r="NG31" s="152">
        <f t="shared" si="243"/>
        <v>0</v>
      </c>
      <c r="NH31" s="152">
        <f t="shared" si="244"/>
        <v>0</v>
      </c>
      <c r="NI31" s="152">
        <f t="shared" si="245"/>
        <v>0</v>
      </c>
      <c r="NJ31" s="28">
        <f t="shared" si="246"/>
        <v>-10000000000</v>
      </c>
      <c r="NK31" s="29"/>
      <c r="NL31" s="28"/>
      <c r="NM31" s="29">
        <f t="shared" si="418"/>
        <v>17</v>
      </c>
      <c r="NN31" s="152">
        <f t="shared" si="247"/>
        <v>0</v>
      </c>
      <c r="NO31" s="152">
        <f t="shared" si="248"/>
        <v>0</v>
      </c>
      <c r="NP31" s="152">
        <f t="shared" si="249"/>
        <v>0</v>
      </c>
      <c r="NQ31" s="28">
        <f t="shared" si="250"/>
        <v>-10000000000</v>
      </c>
      <c r="NR31" s="29"/>
      <c r="NS31" s="28"/>
      <c r="NT31" s="29">
        <f t="shared" si="419"/>
        <v>17</v>
      </c>
      <c r="NU31" s="152">
        <f t="shared" si="251"/>
        <v>0</v>
      </c>
      <c r="NV31" s="152">
        <f t="shared" si="252"/>
        <v>0</v>
      </c>
      <c r="NW31" s="152">
        <f t="shared" si="253"/>
        <v>0</v>
      </c>
      <c r="NX31" s="28">
        <f t="shared" si="254"/>
        <v>-10000000000</v>
      </c>
      <c r="NY31" s="29"/>
      <c r="NZ31" s="28"/>
      <c r="OA31" s="29">
        <f t="shared" si="420"/>
        <v>17</v>
      </c>
      <c r="OB31" s="152">
        <f t="shared" si="255"/>
        <v>0</v>
      </c>
      <c r="OC31" s="152">
        <f t="shared" si="256"/>
        <v>0</v>
      </c>
      <c r="OD31" s="152">
        <f t="shared" si="257"/>
        <v>0</v>
      </c>
      <c r="OE31" s="28">
        <f t="shared" si="258"/>
        <v>-10000000000</v>
      </c>
      <c r="OF31" s="29"/>
      <c r="OG31" s="28"/>
      <c r="OH31" s="29">
        <f t="shared" si="421"/>
        <v>17</v>
      </c>
      <c r="OI31" s="152">
        <f t="shared" si="259"/>
        <v>0</v>
      </c>
      <c r="OJ31" s="152">
        <f t="shared" si="260"/>
        <v>0</v>
      </c>
      <c r="OK31" s="152">
        <f t="shared" si="261"/>
        <v>0</v>
      </c>
      <c r="OL31" s="28">
        <f t="shared" si="262"/>
        <v>-10000000000</v>
      </c>
      <c r="OM31" s="29"/>
      <c r="ON31" s="28"/>
      <c r="OO31" s="29">
        <f t="shared" si="422"/>
        <v>17</v>
      </c>
      <c r="OP31" s="152">
        <f t="shared" si="263"/>
        <v>0</v>
      </c>
      <c r="OQ31" s="152">
        <f t="shared" si="264"/>
        <v>0</v>
      </c>
      <c r="OR31" s="152">
        <f t="shared" si="265"/>
        <v>0</v>
      </c>
      <c r="OS31" s="28">
        <f t="shared" si="266"/>
        <v>-10000000000</v>
      </c>
      <c r="OT31" s="29"/>
      <c r="OU31" s="28"/>
      <c r="OV31" s="29">
        <f t="shared" si="423"/>
        <v>17</v>
      </c>
      <c r="OW31" s="152">
        <f t="shared" si="267"/>
        <v>0</v>
      </c>
      <c r="OX31" s="152">
        <f t="shared" si="268"/>
        <v>0</v>
      </c>
      <c r="OY31" s="152">
        <f t="shared" si="269"/>
        <v>0</v>
      </c>
      <c r="OZ31" s="28">
        <f t="shared" si="270"/>
        <v>-10000000000</v>
      </c>
      <c r="PA31" s="29"/>
      <c r="PB31" s="28"/>
      <c r="PC31" s="29">
        <f t="shared" si="424"/>
        <v>17</v>
      </c>
      <c r="PD31" s="152">
        <f t="shared" si="271"/>
        <v>0</v>
      </c>
      <c r="PE31" s="152">
        <f t="shared" si="272"/>
        <v>0</v>
      </c>
      <c r="PF31" s="152">
        <f t="shared" si="273"/>
        <v>0</v>
      </c>
      <c r="PG31" s="28">
        <f t="shared" si="274"/>
        <v>-10000000000</v>
      </c>
      <c r="PH31" s="29"/>
      <c r="PI31" s="28"/>
      <c r="PJ31" s="29">
        <f t="shared" si="425"/>
        <v>17</v>
      </c>
      <c r="PK31" s="152">
        <f t="shared" si="275"/>
        <v>0</v>
      </c>
      <c r="PL31" s="152">
        <f t="shared" si="276"/>
        <v>0</v>
      </c>
      <c r="PM31" s="152">
        <f t="shared" si="277"/>
        <v>0</v>
      </c>
      <c r="PN31" s="28">
        <f t="shared" si="278"/>
        <v>-10000000000</v>
      </c>
      <c r="PO31" s="29"/>
      <c r="PP31" s="28"/>
      <c r="PQ31" s="29">
        <f t="shared" si="426"/>
        <v>17</v>
      </c>
      <c r="PR31" s="152">
        <f t="shared" si="279"/>
        <v>0</v>
      </c>
      <c r="PS31" s="152">
        <f t="shared" si="280"/>
        <v>0</v>
      </c>
      <c r="PT31" s="152">
        <f t="shared" si="281"/>
        <v>0</v>
      </c>
      <c r="PU31" s="28">
        <f t="shared" si="282"/>
        <v>-10000000000</v>
      </c>
      <c r="PV31" s="29"/>
      <c r="PW31" s="28"/>
      <c r="PX31" s="29">
        <f t="shared" si="427"/>
        <v>17</v>
      </c>
      <c r="PY31" s="152">
        <f t="shared" si="283"/>
        <v>0</v>
      </c>
      <c r="PZ31" s="152">
        <f t="shared" si="284"/>
        <v>0</v>
      </c>
      <c r="QA31" s="152">
        <f t="shared" si="285"/>
        <v>0</v>
      </c>
      <c r="QB31" s="28">
        <f t="shared" si="286"/>
        <v>-10000000000</v>
      </c>
      <c r="QC31" s="29"/>
      <c r="QD31" s="28"/>
      <c r="QE31" s="29">
        <f t="shared" si="428"/>
        <v>17</v>
      </c>
      <c r="QF31" s="152">
        <f t="shared" si="287"/>
        <v>0</v>
      </c>
      <c r="QG31" s="152">
        <f t="shared" si="288"/>
        <v>0</v>
      </c>
      <c r="QH31" s="152">
        <f t="shared" si="289"/>
        <v>0</v>
      </c>
      <c r="QI31" s="28">
        <f t="shared" si="290"/>
        <v>-10000000000</v>
      </c>
      <c r="QJ31" s="29"/>
      <c r="QK31" s="28"/>
      <c r="QL31" s="29">
        <f t="shared" si="429"/>
        <v>17</v>
      </c>
      <c r="QM31" s="152">
        <f t="shared" si="291"/>
        <v>0</v>
      </c>
      <c r="QN31" s="152">
        <f t="shared" si="292"/>
        <v>0</v>
      </c>
      <c r="QO31" s="152">
        <f t="shared" si="293"/>
        <v>0</v>
      </c>
      <c r="QP31" s="28">
        <f t="shared" si="294"/>
        <v>-10000000000</v>
      </c>
      <c r="QQ31" s="29"/>
      <c r="QR31" s="28"/>
      <c r="QS31" s="29">
        <f t="shared" si="430"/>
        <v>17</v>
      </c>
      <c r="QT31" s="152">
        <f t="shared" si="295"/>
        <v>0</v>
      </c>
      <c r="QU31" s="152">
        <f t="shared" si="296"/>
        <v>0</v>
      </c>
      <c r="QV31" s="152">
        <f t="shared" si="297"/>
        <v>0</v>
      </c>
      <c r="QW31" s="28">
        <f t="shared" si="298"/>
        <v>-10000000000</v>
      </c>
      <c r="QX31" s="29"/>
      <c r="QY31" s="28"/>
      <c r="QZ31" s="29">
        <f t="shared" si="431"/>
        <v>17</v>
      </c>
      <c r="RA31" s="152">
        <f t="shared" si="299"/>
        <v>0</v>
      </c>
      <c r="RB31" s="152">
        <f t="shared" si="300"/>
        <v>0</v>
      </c>
      <c r="RC31" s="152">
        <f t="shared" si="301"/>
        <v>0</v>
      </c>
      <c r="RD31" s="28">
        <f t="shared" si="302"/>
        <v>-10000000000</v>
      </c>
      <c r="RE31" s="29"/>
      <c r="RF31" s="28"/>
      <c r="RG31" s="29">
        <f t="shared" si="432"/>
        <v>17</v>
      </c>
      <c r="RH31" s="152">
        <f t="shared" si="303"/>
        <v>0</v>
      </c>
      <c r="RI31" s="152">
        <f t="shared" si="304"/>
        <v>0</v>
      </c>
      <c r="RJ31" s="152">
        <f t="shared" si="305"/>
        <v>0</v>
      </c>
      <c r="RK31" s="28">
        <f t="shared" si="306"/>
        <v>-10000000000</v>
      </c>
      <c r="RL31" s="29"/>
      <c r="RM31" s="28"/>
      <c r="RN31" s="29">
        <f t="shared" si="433"/>
        <v>17</v>
      </c>
      <c r="RO31" s="152">
        <f t="shared" si="307"/>
        <v>0</v>
      </c>
      <c r="RP31" s="152">
        <f t="shared" si="308"/>
        <v>0</v>
      </c>
      <c r="RQ31" s="152">
        <f t="shared" si="309"/>
        <v>0</v>
      </c>
      <c r="RR31" s="28">
        <f t="shared" si="310"/>
        <v>-10000000000</v>
      </c>
      <c r="RS31" s="29"/>
      <c r="RT31" s="28"/>
      <c r="RU31" s="29">
        <f t="shared" si="434"/>
        <v>17</v>
      </c>
      <c r="RV31" s="152">
        <f t="shared" si="311"/>
        <v>0</v>
      </c>
      <c r="RW31" s="152">
        <f t="shared" si="312"/>
        <v>0</v>
      </c>
      <c r="RX31" s="152">
        <f t="shared" si="313"/>
        <v>0</v>
      </c>
      <c r="RY31" s="28">
        <f t="shared" si="314"/>
        <v>-10000000000</v>
      </c>
      <c r="RZ31" s="29"/>
      <c r="SA31" s="28"/>
      <c r="SB31" s="29">
        <f t="shared" si="435"/>
        <v>17</v>
      </c>
      <c r="SC31" s="152">
        <f t="shared" si="315"/>
        <v>0</v>
      </c>
      <c r="SD31" s="152">
        <f t="shared" si="316"/>
        <v>0</v>
      </c>
      <c r="SE31" s="152">
        <f t="shared" si="317"/>
        <v>0</v>
      </c>
      <c r="SF31" s="28">
        <f t="shared" si="318"/>
        <v>-10000000000</v>
      </c>
      <c r="SG31" s="29"/>
      <c r="SH31" s="28"/>
      <c r="SI31" s="29">
        <f t="shared" si="436"/>
        <v>17</v>
      </c>
      <c r="SJ31" s="152">
        <f t="shared" si="319"/>
        <v>0</v>
      </c>
      <c r="SK31" s="152">
        <f t="shared" si="320"/>
        <v>0</v>
      </c>
      <c r="SL31" s="152">
        <f t="shared" si="321"/>
        <v>0</v>
      </c>
      <c r="SM31" s="28">
        <f t="shared" si="322"/>
        <v>-10000000000</v>
      </c>
      <c r="SN31" s="29"/>
      <c r="SO31" s="28"/>
      <c r="SP31" s="29">
        <f t="shared" si="437"/>
        <v>17</v>
      </c>
      <c r="SQ31" s="152">
        <f t="shared" si="323"/>
        <v>0</v>
      </c>
      <c r="SR31" s="152">
        <f t="shared" si="324"/>
        <v>0</v>
      </c>
      <c r="SS31" s="152">
        <f t="shared" si="325"/>
        <v>0</v>
      </c>
      <c r="ST31" s="28">
        <f t="shared" si="326"/>
        <v>-10000000000</v>
      </c>
      <c r="SU31" s="29"/>
      <c r="SV31" s="28"/>
      <c r="SW31" s="29">
        <f t="shared" si="438"/>
        <v>17</v>
      </c>
      <c r="SX31" s="152">
        <f t="shared" si="327"/>
        <v>0</v>
      </c>
      <c r="SY31" s="152">
        <f t="shared" si="328"/>
        <v>0</v>
      </c>
      <c r="SZ31" s="152">
        <f t="shared" si="329"/>
        <v>0</v>
      </c>
      <c r="TA31" s="28">
        <f t="shared" si="330"/>
        <v>-10000000000</v>
      </c>
      <c r="TB31" s="29"/>
      <c r="TC31" s="28"/>
      <c r="TD31" s="29">
        <f t="shared" si="439"/>
        <v>17</v>
      </c>
      <c r="TE31" s="152">
        <f t="shared" si="331"/>
        <v>0</v>
      </c>
      <c r="TF31" s="152">
        <f t="shared" si="332"/>
        <v>0</v>
      </c>
      <c r="TG31" s="152">
        <f t="shared" si="333"/>
        <v>0</v>
      </c>
      <c r="TH31" s="28">
        <f t="shared" si="334"/>
        <v>-10000000000</v>
      </c>
      <c r="TI31" s="29"/>
      <c r="TJ31" s="28"/>
      <c r="TK31" s="29">
        <f t="shared" si="440"/>
        <v>17</v>
      </c>
      <c r="TL31" s="152">
        <f t="shared" si="335"/>
        <v>0</v>
      </c>
      <c r="TM31" s="152">
        <f t="shared" si="336"/>
        <v>0</v>
      </c>
      <c r="TN31" s="152">
        <f t="shared" si="337"/>
        <v>0</v>
      </c>
      <c r="TO31" s="28">
        <f t="shared" si="338"/>
        <v>-10000000000</v>
      </c>
      <c r="TP31" s="29"/>
      <c r="TQ31" s="28"/>
      <c r="TR31" s="29">
        <f t="shared" si="441"/>
        <v>17</v>
      </c>
      <c r="TS31" s="152">
        <f t="shared" si="339"/>
        <v>0</v>
      </c>
      <c r="TT31" s="152">
        <f t="shared" si="340"/>
        <v>0</v>
      </c>
      <c r="TU31" s="152">
        <f t="shared" si="341"/>
        <v>0</v>
      </c>
      <c r="TV31" s="28">
        <f t="shared" si="342"/>
        <v>-10000000000</v>
      </c>
      <c r="TW31" s="29"/>
      <c r="TX31" s="28"/>
      <c r="TY31" s="29">
        <f t="shared" si="442"/>
        <v>17</v>
      </c>
      <c r="TZ31" s="152">
        <f t="shared" si="343"/>
        <v>0</v>
      </c>
      <c r="UA31" s="152">
        <f t="shared" si="344"/>
        <v>0</v>
      </c>
      <c r="UB31" s="152">
        <f t="shared" si="345"/>
        <v>0</v>
      </c>
      <c r="UC31" s="28">
        <f t="shared" si="346"/>
        <v>-10000000000</v>
      </c>
      <c r="UD31" s="29"/>
      <c r="UE31" s="28"/>
      <c r="UF31" s="29">
        <f t="shared" si="443"/>
        <v>17</v>
      </c>
      <c r="UG31" s="152">
        <f t="shared" si="347"/>
        <v>0</v>
      </c>
      <c r="UH31" s="152">
        <f t="shared" si="348"/>
        <v>0</v>
      </c>
      <c r="UI31" s="152">
        <f t="shared" si="349"/>
        <v>0</v>
      </c>
      <c r="UJ31" s="28">
        <f t="shared" si="350"/>
        <v>-10000000000</v>
      </c>
      <c r="UK31" s="29"/>
      <c r="UL31" s="28"/>
      <c r="UM31" s="29">
        <f t="shared" si="444"/>
        <v>17</v>
      </c>
      <c r="UN31" s="152">
        <f t="shared" si="351"/>
        <v>0</v>
      </c>
      <c r="UO31" s="152">
        <f t="shared" si="352"/>
        <v>0</v>
      </c>
      <c r="UP31" s="152">
        <f t="shared" si="353"/>
        <v>0</v>
      </c>
      <c r="UQ31" s="28">
        <f t="shared" si="354"/>
        <v>-10000000000</v>
      </c>
      <c r="UR31" s="29"/>
      <c r="US31" s="28"/>
      <c r="UT31" s="29">
        <f t="shared" si="445"/>
        <v>17</v>
      </c>
      <c r="UU31" s="129"/>
      <c r="UV31" s="129">
        <f t="shared" si="355"/>
        <v>0</v>
      </c>
      <c r="UW31" s="129">
        <f t="shared" si="356"/>
        <v>17</v>
      </c>
      <c r="UX31" s="129">
        <f t="shared" ca="1" si="446"/>
        <v>17</v>
      </c>
      <c r="UY31" s="129">
        <f t="shared" ca="1" si="446"/>
        <v>17</v>
      </c>
      <c r="UZ31" s="129">
        <f t="shared" ca="1" si="446"/>
        <v>17</v>
      </c>
      <c r="VA31" s="129">
        <f t="shared" ca="1" si="446"/>
        <v>17</v>
      </c>
      <c r="VB31" s="129">
        <f t="shared" ca="1" si="446"/>
        <v>17</v>
      </c>
      <c r="VC31" s="129">
        <f t="shared" ca="1" si="446"/>
        <v>17</v>
      </c>
      <c r="VD31" s="129">
        <f t="shared" ca="1" si="446"/>
        <v>17</v>
      </c>
      <c r="VE31" s="129">
        <f t="shared" ca="1" si="446"/>
        <v>17</v>
      </c>
      <c r="VF31" s="129">
        <f t="shared" ca="1" si="446"/>
        <v>17</v>
      </c>
      <c r="VG31" s="129">
        <f t="shared" ca="1" si="446"/>
        <v>17</v>
      </c>
      <c r="VH31" s="129">
        <f t="shared" ca="1" si="446"/>
        <v>17</v>
      </c>
      <c r="VI31" s="129">
        <f t="shared" ca="1" si="446"/>
        <v>17</v>
      </c>
      <c r="VJ31" s="129">
        <f t="shared" ca="1" si="446"/>
        <v>17</v>
      </c>
      <c r="VK31" s="129">
        <f t="shared" ca="1" si="446"/>
        <v>17</v>
      </c>
      <c r="VL31" s="129">
        <f t="shared" ca="1" si="446"/>
        <v>17</v>
      </c>
      <c r="VM31" s="129">
        <f t="shared" ca="1" si="446"/>
        <v>17</v>
      </c>
      <c r="VN31" s="129">
        <f t="shared" ca="1" si="406"/>
        <v>17</v>
      </c>
      <c r="VO31" s="129">
        <f t="shared" ca="1" si="406"/>
        <v>17</v>
      </c>
      <c r="VP31" s="129">
        <f t="shared" ca="1" si="406"/>
        <v>17</v>
      </c>
      <c r="VQ31" s="129">
        <f t="shared" ca="1" si="406"/>
        <v>17</v>
      </c>
      <c r="VR31" s="129">
        <f t="shared" ca="1" si="406"/>
        <v>17</v>
      </c>
      <c r="VS31" s="129">
        <f t="shared" ca="1" si="406"/>
        <v>17</v>
      </c>
      <c r="VT31" s="129">
        <f t="shared" ca="1" si="406"/>
        <v>17</v>
      </c>
      <c r="VU31" s="129">
        <f t="shared" ca="1" si="406"/>
        <v>17</v>
      </c>
      <c r="VV31" s="129">
        <f t="shared" ca="1" si="406"/>
        <v>17</v>
      </c>
      <c r="VW31" s="129">
        <f t="shared" ca="1" si="406"/>
        <v>17</v>
      </c>
      <c r="VX31" s="129">
        <f t="shared" ca="1" si="406"/>
        <v>17</v>
      </c>
      <c r="VY31" s="129">
        <f t="shared" ca="1" si="406"/>
        <v>17</v>
      </c>
      <c r="VZ31" s="129">
        <f t="shared" ca="1" si="406"/>
        <v>17</v>
      </c>
      <c r="WA31" s="129">
        <f t="shared" ca="1" si="406"/>
        <v>17</v>
      </c>
      <c r="WB31" s="129">
        <f t="shared" ca="1" si="406"/>
        <v>17</v>
      </c>
      <c r="WC31" s="129">
        <f t="shared" ca="1" si="406"/>
        <v>17</v>
      </c>
      <c r="WD31" s="129">
        <f t="shared" ca="1" si="407"/>
        <v>17</v>
      </c>
      <c r="WE31" s="129">
        <f t="shared" ca="1" si="66"/>
        <v>17</v>
      </c>
      <c r="WF31" s="129">
        <f t="shared" ca="1" si="66"/>
        <v>17</v>
      </c>
      <c r="WG31" s="129">
        <f t="shared" ca="1" si="66"/>
        <v>17</v>
      </c>
      <c r="WH31" s="129">
        <f t="shared" ca="1" si="66"/>
        <v>17</v>
      </c>
      <c r="WK31" s="87">
        <f t="shared" si="358"/>
        <v>0</v>
      </c>
      <c r="WL31" s="87">
        <v>28</v>
      </c>
      <c r="WM31" s="87">
        <v>28</v>
      </c>
      <c r="WN31" s="87">
        <f>IF($WI$3&gt;=WN$3,UW31,NA())</f>
        <v>17</v>
      </c>
      <c r="WO31" s="87">
        <f ca="1">IF($WI$3&gt;=WO$3,UX31,NA())</f>
        <v>17</v>
      </c>
      <c r="WP31" s="87">
        <f ca="1">IF($WI$3&gt;=WP$3,UY31,NA())</f>
        <v>17</v>
      </c>
      <c r="WQ31" s="87">
        <f ca="1">IF($WI$3&gt;=WQ$3,UZ31,NA())</f>
        <v>17</v>
      </c>
      <c r="WR31" s="87">
        <f ca="1">IF($WI$3&gt;=WR$3,VA31,NA())</f>
        <v>17</v>
      </c>
      <c r="WS31" s="87">
        <f ca="1">IF($WI$3&gt;=WS$3,VB31,NA())</f>
        <v>17</v>
      </c>
      <c r="WT31" s="87">
        <f ca="1">IF($WI$3&gt;=WT$3,VC31,NA())</f>
        <v>17</v>
      </c>
      <c r="WU31" s="87">
        <f ca="1">IF($WI$3&gt;=WU$3,VD31,NA())</f>
        <v>17</v>
      </c>
      <c r="WV31" s="87">
        <f ca="1">IF($WI$3&gt;=WV$3,VE31,NA())</f>
        <v>17</v>
      </c>
      <c r="WW31" s="87">
        <f ca="1">IF($WI$3&gt;=WW$3,VF31,NA())</f>
        <v>17</v>
      </c>
      <c r="WX31" s="87">
        <f ca="1">IF($WI$3&gt;=WX$3,VG31,NA())</f>
        <v>17</v>
      </c>
      <c r="WY31" s="87">
        <f ca="1">IF($WI$3&gt;=WY$3,VH31,NA())</f>
        <v>17</v>
      </c>
      <c r="WZ31" s="87">
        <f ca="1">IF($WI$3&gt;=WZ$3,VI31,NA())</f>
        <v>17</v>
      </c>
      <c r="XA31" s="87">
        <f ca="1">IF($WI$3&gt;=XA$3,VJ31,NA())</f>
        <v>17</v>
      </c>
      <c r="XB31" s="87">
        <f ca="1">IF($WI$3&gt;=XB$3,VK31,NA())</f>
        <v>17</v>
      </c>
      <c r="XC31" s="87">
        <f ca="1">IF($WI$3&gt;=XC$3,VL31,NA())</f>
        <v>17</v>
      </c>
      <c r="XD31" s="87">
        <f ca="1">IF($WI$3&gt;=XD$3,VM31,NA())</f>
        <v>17</v>
      </c>
      <c r="XE31" s="87">
        <f ca="1">IF($WI$3&gt;=XE$3,VN31,NA())</f>
        <v>17</v>
      </c>
      <c r="XF31" s="87">
        <f ca="1">IF($WI$3&gt;=XF$3,VO31,NA())</f>
        <v>17</v>
      </c>
      <c r="XG31" s="87">
        <f ca="1">IF($WI$3&gt;=XG$3,VP31,NA())</f>
        <v>17</v>
      </c>
      <c r="XH31" s="87">
        <f ca="1">IF($WI$3&gt;=XH$3,VQ31,NA())</f>
        <v>17</v>
      </c>
      <c r="XI31" s="87" t="e">
        <f>IF($WI$3&gt;=XI$3,VR31,NA())</f>
        <v>#N/A</v>
      </c>
      <c r="XJ31" s="87" t="e">
        <f>IF($WI$3&gt;=XJ$3,VS31,NA())</f>
        <v>#N/A</v>
      </c>
      <c r="XK31" s="87" t="e">
        <f>IF($WI$3&gt;=XK$3,VT31,NA())</f>
        <v>#N/A</v>
      </c>
      <c r="XL31" s="87" t="e">
        <f>IF($WI$3&gt;=XL$3,VU31,NA())</f>
        <v>#N/A</v>
      </c>
      <c r="XM31" s="87" t="e">
        <f>IF($WI$3&gt;=XM$3,VV31,NA())</f>
        <v>#N/A</v>
      </c>
      <c r="XN31" s="87" t="e">
        <f>IF($WI$3&gt;=XN$3,VW31,NA())</f>
        <v>#N/A</v>
      </c>
      <c r="XO31" s="87" t="e">
        <f>IF($WI$3&gt;=XO$3,VX31,NA())</f>
        <v>#N/A</v>
      </c>
      <c r="XP31" s="87" t="e">
        <f>IF($WI$3&gt;=XP$3,VY31,NA())</f>
        <v>#N/A</v>
      </c>
      <c r="XQ31" s="87" t="e">
        <f>IF($WI$3&gt;=XQ$3,VZ31,NA())</f>
        <v>#N/A</v>
      </c>
      <c r="XR31" s="87" t="e">
        <f>IF($WI$3&gt;=XR$3,WA31,NA())</f>
        <v>#N/A</v>
      </c>
      <c r="XS31" s="87" t="e">
        <f>IF($WI$3&gt;=XS$3,WB31,NA())</f>
        <v>#N/A</v>
      </c>
      <c r="XT31" s="87" t="e">
        <f>IF($WI$3&gt;=XT$3,WC31,NA())</f>
        <v>#N/A</v>
      </c>
      <c r="XU31" s="87" t="e">
        <f>IF($WI$3&gt;=XU$3,WD31,NA())</f>
        <v>#N/A</v>
      </c>
      <c r="XV31" s="87" t="e">
        <f>IF($WI$3&gt;=XV$3,WE31,NA())</f>
        <v>#N/A</v>
      </c>
      <c r="XW31" s="87" t="e">
        <f>IF($WI$3&gt;=XW$3,WF31,NA())</f>
        <v>#N/A</v>
      </c>
      <c r="XX31" s="87" t="e">
        <f>IF($WI$3&gt;=XX$3,WG31,NA())</f>
        <v>#N/A</v>
      </c>
      <c r="XY31" s="87" t="e">
        <f>IF($WI$3&gt;=XY$3,WH31,NA())</f>
        <v>#N/A</v>
      </c>
      <c r="YE31" s="87"/>
      <c r="YF31" s="87"/>
    </row>
    <row r="32" spans="4:723">
      <c r="D32" s="29"/>
      <c r="E32" s="136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5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5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137"/>
      <c r="AP32" s="27"/>
      <c r="AQ32" s="28"/>
      <c r="AR32" s="29"/>
      <c r="AS32" s="28"/>
      <c r="AT32" s="29"/>
      <c r="AU32" s="30"/>
      <c r="AV32" s="29"/>
      <c r="AW32" s="29"/>
      <c r="AX32" s="29"/>
      <c r="AY32" s="29"/>
      <c r="AZ32" s="29"/>
      <c r="BA32" s="29"/>
      <c r="BB32" s="29"/>
      <c r="BC32" s="90"/>
      <c r="BD32" s="90"/>
      <c r="BE32" s="90"/>
      <c r="BF32" s="90"/>
      <c r="BG32" s="90"/>
      <c r="BH32" s="90"/>
      <c r="BI32" s="90"/>
      <c r="BJ32" s="90"/>
      <c r="BK32" s="90"/>
      <c r="BL32" s="90"/>
      <c r="BM32" s="90"/>
      <c r="BN32" s="90"/>
      <c r="BO32" s="90"/>
      <c r="BP32" s="90"/>
      <c r="BS32" s="10" t="s">
        <v>55</v>
      </c>
      <c r="BT32" s="123">
        <v>0.375000000000002</v>
      </c>
      <c r="BU32" s="123">
        <f t="shared" si="405"/>
        <v>0.54166666666666863</v>
      </c>
      <c r="BV32" s="10" t="s">
        <v>64</v>
      </c>
      <c r="CA32" s="130">
        <f t="shared" si="119"/>
        <v>-1</v>
      </c>
      <c r="CB32" s="130">
        <f t="shared" si="120"/>
        <v>100000</v>
      </c>
      <c r="CC32" s="130">
        <f t="shared" si="121"/>
        <v>-1</v>
      </c>
      <c r="CD32" s="130">
        <f t="shared" si="122"/>
        <v>100000</v>
      </c>
      <c r="CE32" s="130">
        <f t="shared" si="123"/>
        <v>-1</v>
      </c>
      <c r="CF32" s="130">
        <f t="shared" si="124"/>
        <v>100000</v>
      </c>
      <c r="CG32" s="130">
        <f t="shared" si="125"/>
        <v>-1</v>
      </c>
      <c r="CH32" s="130">
        <f t="shared" si="126"/>
        <v>100000</v>
      </c>
      <c r="CI32" s="130">
        <f t="shared" si="127"/>
        <v>-1</v>
      </c>
      <c r="CJ32" s="130">
        <f t="shared" si="128"/>
        <v>100000</v>
      </c>
      <c r="CK32" s="130">
        <f t="shared" si="129"/>
        <v>-100000</v>
      </c>
      <c r="CL32" s="130">
        <f t="shared" si="130"/>
        <v>100000</v>
      </c>
      <c r="CM32" s="130">
        <f t="shared" si="131"/>
        <v>-1</v>
      </c>
      <c r="CN32" s="130">
        <f t="shared" si="132"/>
        <v>100000</v>
      </c>
      <c r="CO32" s="130">
        <f t="shared" si="133"/>
        <v>-1</v>
      </c>
      <c r="CP32" s="130">
        <f t="shared" si="134"/>
        <v>100000</v>
      </c>
      <c r="CQ32" s="131"/>
      <c r="CR32" s="130">
        <f t="shared" si="360"/>
        <v>-1</v>
      </c>
      <c r="CS32" s="130">
        <f t="shared" si="135"/>
        <v>100000</v>
      </c>
      <c r="CT32" s="130">
        <f t="shared" si="361"/>
        <v>-1</v>
      </c>
      <c r="CU32" s="130">
        <f t="shared" si="362"/>
        <v>100000</v>
      </c>
      <c r="CV32" s="130">
        <f t="shared" si="363"/>
        <v>-1</v>
      </c>
      <c r="CW32" s="130">
        <f t="shared" si="364"/>
        <v>100000</v>
      </c>
      <c r="CX32" s="130">
        <f t="shared" si="365"/>
        <v>-1</v>
      </c>
      <c r="CY32" s="130">
        <f t="shared" si="366"/>
        <v>100000</v>
      </c>
      <c r="CZ32" s="130">
        <f t="shared" si="367"/>
        <v>-1</v>
      </c>
      <c r="DA32" s="130">
        <f t="shared" si="368"/>
        <v>100000</v>
      </c>
      <c r="DB32" s="130">
        <f t="shared" si="369"/>
        <v>-100000</v>
      </c>
      <c r="DC32" s="130">
        <f t="shared" si="370"/>
        <v>100000</v>
      </c>
      <c r="DD32" s="130">
        <f t="shared" si="371"/>
        <v>-1</v>
      </c>
      <c r="DE32" s="130">
        <f t="shared" si="372"/>
        <v>100000</v>
      </c>
      <c r="DF32" s="130">
        <f t="shared" si="373"/>
        <v>-1</v>
      </c>
      <c r="DG32" s="130">
        <f t="shared" si="374"/>
        <v>100000</v>
      </c>
      <c r="DH32" s="131"/>
      <c r="DI32" s="130">
        <f t="shared" si="389"/>
        <v>-1</v>
      </c>
      <c r="DJ32" s="130">
        <f t="shared" si="136"/>
        <v>100000</v>
      </c>
      <c r="DK32" s="130">
        <f t="shared" si="390"/>
        <v>-1</v>
      </c>
      <c r="DL32" s="130">
        <f t="shared" si="391"/>
        <v>100000</v>
      </c>
      <c r="DM32" s="130">
        <f t="shared" si="392"/>
        <v>-1</v>
      </c>
      <c r="DN32" s="130">
        <f t="shared" si="393"/>
        <v>100000</v>
      </c>
      <c r="DO32" s="130">
        <f t="shared" si="394"/>
        <v>-1</v>
      </c>
      <c r="DP32" s="130">
        <f t="shared" si="395"/>
        <v>100000</v>
      </c>
      <c r="DQ32" s="130">
        <f t="shared" si="396"/>
        <v>-1</v>
      </c>
      <c r="DR32" s="130">
        <f t="shared" si="397"/>
        <v>100000</v>
      </c>
      <c r="DS32" s="130">
        <f t="shared" si="398"/>
        <v>-100000</v>
      </c>
      <c r="DT32" s="130">
        <f t="shared" si="399"/>
        <v>100000</v>
      </c>
      <c r="DU32" s="130">
        <f t="shared" si="400"/>
        <v>-1</v>
      </c>
      <c r="DV32" s="130">
        <f t="shared" si="401"/>
        <v>100000</v>
      </c>
      <c r="DW32" s="130">
        <f t="shared" si="402"/>
        <v>-1</v>
      </c>
      <c r="DX32" s="130">
        <f t="shared" si="403"/>
        <v>100000</v>
      </c>
      <c r="DY32" s="132"/>
      <c r="DZ32" s="115">
        <v>29</v>
      </c>
      <c r="EA32" s="115">
        <v>2</v>
      </c>
      <c r="EB32" s="10">
        <f t="shared" si="137"/>
        <v>17</v>
      </c>
      <c r="EC32" s="10">
        <f t="shared" si="138"/>
        <v>17</v>
      </c>
      <c r="ED32" s="10">
        <f t="shared" si="139"/>
        <v>17</v>
      </c>
      <c r="EE32" s="10">
        <f t="shared" si="140"/>
        <v>17</v>
      </c>
      <c r="EF32" s="10">
        <f t="shared" si="141"/>
        <v>17</v>
      </c>
      <c r="EG32" s="10">
        <f t="shared" si="142"/>
        <v>17</v>
      </c>
      <c r="EH32" s="10">
        <f t="shared" si="143"/>
        <v>17</v>
      </c>
      <c r="EI32" s="10">
        <f t="shared" si="144"/>
        <v>17</v>
      </c>
      <c r="EJ32" s="10">
        <f t="shared" si="145"/>
        <v>17</v>
      </c>
      <c r="EK32" s="10">
        <f t="shared" si="146"/>
        <v>17</v>
      </c>
      <c r="EL32" s="10">
        <f t="shared" si="147"/>
        <v>17</v>
      </c>
      <c r="EM32" s="10">
        <f t="shared" si="148"/>
        <v>17</v>
      </c>
      <c r="EN32" s="10">
        <f t="shared" si="149"/>
        <v>17</v>
      </c>
      <c r="EO32" s="10">
        <f t="shared" si="150"/>
        <v>17</v>
      </c>
      <c r="EP32" s="10">
        <f t="shared" si="151"/>
        <v>17</v>
      </c>
      <c r="EQ32" s="10">
        <f t="shared" si="152"/>
        <v>17</v>
      </c>
      <c r="ES32" s="10">
        <f t="shared" si="153"/>
        <v>17</v>
      </c>
      <c r="ET32" s="10">
        <f t="shared" si="154"/>
        <v>17</v>
      </c>
      <c r="EU32" s="10">
        <f t="shared" si="155"/>
        <v>17</v>
      </c>
      <c r="EV32" s="10">
        <f t="shared" si="154"/>
        <v>17</v>
      </c>
      <c r="EW32" s="10">
        <f t="shared" si="156"/>
        <v>17</v>
      </c>
      <c r="EX32" s="10">
        <f t="shared" si="157"/>
        <v>17</v>
      </c>
      <c r="EY32" s="10">
        <f t="shared" si="158"/>
        <v>17</v>
      </c>
      <c r="EZ32" s="10">
        <f t="shared" si="159"/>
        <v>17</v>
      </c>
      <c r="FA32" s="10">
        <f t="shared" si="160"/>
        <v>17</v>
      </c>
      <c r="FB32" s="10">
        <f t="shared" si="161"/>
        <v>17</v>
      </c>
      <c r="FC32" s="10">
        <f t="shared" si="162"/>
        <v>17</v>
      </c>
      <c r="FD32" s="10">
        <f t="shared" si="163"/>
        <v>17</v>
      </c>
      <c r="FE32" s="10">
        <f t="shared" si="164"/>
        <v>17</v>
      </c>
      <c r="FF32" s="10">
        <f t="shared" si="165"/>
        <v>17</v>
      </c>
      <c r="FG32" s="10">
        <f t="shared" si="166"/>
        <v>17</v>
      </c>
      <c r="FH32" s="10">
        <f t="shared" si="167"/>
        <v>17</v>
      </c>
      <c r="FJ32" s="10">
        <f t="shared" si="168"/>
        <v>17</v>
      </c>
      <c r="FK32" s="10">
        <f t="shared" si="169"/>
        <v>17</v>
      </c>
      <c r="FL32" s="10">
        <f t="shared" si="170"/>
        <v>17</v>
      </c>
      <c r="FM32" s="10">
        <f t="shared" si="171"/>
        <v>17</v>
      </c>
      <c r="FN32" s="10">
        <f t="shared" si="172"/>
        <v>17</v>
      </c>
      <c r="FO32" s="10">
        <f t="shared" si="173"/>
        <v>17</v>
      </c>
      <c r="FP32" s="10">
        <f t="shared" si="174"/>
        <v>17</v>
      </c>
      <c r="FQ32" s="10">
        <f t="shared" si="175"/>
        <v>17</v>
      </c>
      <c r="FR32" s="10">
        <f t="shared" si="176"/>
        <v>17</v>
      </c>
      <c r="FS32" s="10">
        <f t="shared" si="177"/>
        <v>17</v>
      </c>
      <c r="FT32" s="10">
        <f t="shared" si="178"/>
        <v>17</v>
      </c>
      <c r="FU32" s="10">
        <f t="shared" si="179"/>
        <v>17</v>
      </c>
      <c r="FV32" s="10">
        <f t="shared" si="180"/>
        <v>17</v>
      </c>
      <c r="FW32" s="10">
        <f t="shared" si="181"/>
        <v>17</v>
      </c>
      <c r="FX32" s="10">
        <f t="shared" si="182"/>
        <v>17</v>
      </c>
      <c r="FY32" s="10">
        <f t="shared" si="183"/>
        <v>17</v>
      </c>
      <c r="GA32" s="10">
        <f>IF(lg!$C$18=1,EB32,IF(lg!$C$18=2,ES32,FJ32))</f>
        <v>17</v>
      </c>
      <c r="GB32" s="10">
        <f>IF(lg!$C$18=1,EC32,IF(lg!$C$18=2,ET32,FK32))</f>
        <v>17</v>
      </c>
      <c r="GC32" s="10">
        <f>IF(lg!$C$18=1,ED32,IF(lg!$C$18=2,EU32,FL32))</f>
        <v>17</v>
      </c>
      <c r="GD32" s="10">
        <f>IF(lg!$C$18=1,EE32,IF(lg!$C$18=2,EV32,FM32))</f>
        <v>17</v>
      </c>
      <c r="GE32" s="10">
        <f>IF(lg!$C$18=1,EF32,IF(lg!$C$18=2,EW32,FN32))</f>
        <v>17</v>
      </c>
      <c r="GF32" s="10">
        <f>IF(lg!$C$18=1,EG32,IF(lg!$C$18=2,EX32,FO32))</f>
        <v>17</v>
      </c>
      <c r="GG32" s="10">
        <f>IF(lg!$C$18=1,EH32,IF(lg!$C$18=2,EY32,FP32))</f>
        <v>17</v>
      </c>
      <c r="GH32" s="10">
        <f>IF(lg!$C$18=1,EI32,IF(lg!$C$18=2,EZ32,FQ32))</f>
        <v>17</v>
      </c>
      <c r="GI32" s="10">
        <f>IF(lg!$C$18=1,EJ32,IF(lg!$C$18=2,FA32,FR32))</f>
        <v>17</v>
      </c>
      <c r="GJ32" s="10">
        <f>IF(lg!$C$18=1,EK32,IF(lg!$C$18=2,FB32,FS32))</f>
        <v>17</v>
      </c>
      <c r="GK32" s="10">
        <f>IF(lg!$C$18=1,EL32,IF(lg!$C$18=2,FC32,FT32))</f>
        <v>17</v>
      </c>
      <c r="GL32" s="10">
        <f>IF(lg!$C$18=1,EM32,IF(lg!$C$18=2,FD32,FU32))</f>
        <v>17</v>
      </c>
      <c r="GM32" s="10">
        <f>IF(lg!$C$18=1,EN32,IF(lg!$C$18=2,FE32,FV32))</f>
        <v>17</v>
      </c>
      <c r="GN32" s="10">
        <f>IF(lg!$C$18=1,EO32,IF(lg!$C$18=2,FF32,FW32))</f>
        <v>17</v>
      </c>
      <c r="GO32" s="10">
        <f>IF(lg!$C$18=1,EP32,IF(lg!$C$18=2,FG32,FX32))</f>
        <v>17</v>
      </c>
      <c r="GP32" s="10">
        <f>IF(lg!$C$18=1,EQ32,IF(lg!$C$18=2,FH32,FY32))</f>
        <v>17</v>
      </c>
      <c r="GR32" s="10" t="e">
        <f t="shared" si="184"/>
        <v>#N/A</v>
      </c>
      <c r="GS32" s="10" t="e">
        <f t="shared" si="31"/>
        <v>#N/A</v>
      </c>
      <c r="GT32" s="10" t="e">
        <f t="shared" si="32"/>
        <v>#N/A</v>
      </c>
      <c r="GU32" s="10" t="e">
        <f t="shared" si="33"/>
        <v>#N/A</v>
      </c>
      <c r="GV32" s="10" t="e">
        <f t="shared" si="34"/>
        <v>#N/A</v>
      </c>
      <c r="GW32" s="10" t="e">
        <f t="shared" si="35"/>
        <v>#N/A</v>
      </c>
      <c r="GX32" s="10" t="e">
        <f t="shared" si="36"/>
        <v>#N/A</v>
      </c>
      <c r="GY32" s="10" t="e">
        <f t="shared" si="37"/>
        <v>#N/A</v>
      </c>
      <c r="GZ32" s="10" t="e">
        <f t="shared" si="38"/>
        <v>#N/A</v>
      </c>
      <c r="HA32" s="10" t="e">
        <f t="shared" si="39"/>
        <v>#N/A</v>
      </c>
      <c r="HB32" s="10" t="e">
        <f t="shared" si="40"/>
        <v>#N/A</v>
      </c>
      <c r="HC32" s="10" t="e">
        <f t="shared" si="41"/>
        <v>#N/A</v>
      </c>
      <c r="HD32" s="10" t="e">
        <f t="shared" si="42"/>
        <v>#N/A</v>
      </c>
      <c r="HE32" s="10" t="e">
        <f t="shared" si="43"/>
        <v>#N/A</v>
      </c>
      <c r="HF32" s="10" t="e">
        <f t="shared" si="44"/>
        <v>#N/A</v>
      </c>
      <c r="HG32" s="10" t="e">
        <f t="shared" si="45"/>
        <v>#N/A</v>
      </c>
      <c r="HI32" s="10">
        <v>29</v>
      </c>
      <c r="HJ32" s="115">
        <f>IF(lg!$C$18=1,F32,IF(lg!$C$18=2,R32,AD32))</f>
        <v>0</v>
      </c>
      <c r="HK32" s="115">
        <f>IF(lg!$C$18=1,G32,IF(lg!$C$18=2,S32,AE32))</f>
        <v>0</v>
      </c>
      <c r="HL32" s="115">
        <f>IF(lg!$C$18=1,H32,IF(lg!$C$18=2,T32,AF32))</f>
        <v>0</v>
      </c>
      <c r="HM32" s="115">
        <f>IF(lg!$C$18=1,I32,IF(lg!$C$18=2,U32,AG32))</f>
        <v>0</v>
      </c>
      <c r="HN32" s="115">
        <f>IF(lg!$C$18=1,J32,IF(lg!$C$18=2,V32,AH32))</f>
        <v>0</v>
      </c>
      <c r="HO32" s="115">
        <f>IF(lg!$C$18=1,K32,IF(lg!$C$18=2,W32,AI32))</f>
        <v>0</v>
      </c>
      <c r="HP32" s="115">
        <f>IF(lg!$C$18=1,L32,IF(lg!$C$18=2,X32,AJ32))</f>
        <v>0</v>
      </c>
      <c r="HQ32" s="115">
        <f>IF(lg!$C$18=1,M32,IF(lg!$C$18=2,Y32,AK32))</f>
        <v>0</v>
      </c>
      <c r="HR32" s="115">
        <f>IF(lg!$C$18=1,N32,IF(lg!$C$18=2,Z32,AL32))</f>
        <v>0</v>
      </c>
      <c r="HS32" s="115">
        <f>IF(lg!$C$18=1,O32,IF(lg!$C$18=2,AA32,AM32))</f>
        <v>0</v>
      </c>
      <c r="HT32" s="115">
        <f>IF(lg!$C$18=1,P32,IF(lg!$C$18=2,AB32,AN32))</f>
        <v>0</v>
      </c>
      <c r="HV32" s="115">
        <f t="shared" si="185"/>
        <v>0</v>
      </c>
      <c r="HW32" s="115">
        <f t="shared" si="186"/>
        <v>0</v>
      </c>
      <c r="HX32" s="115">
        <f t="shared" si="187"/>
        <v>0</v>
      </c>
      <c r="HY32" s="115">
        <f t="shared" si="188"/>
        <v>0</v>
      </c>
      <c r="HZ32" s="115">
        <f t="shared" si="189"/>
        <v>0</v>
      </c>
      <c r="IA32" s="115">
        <f t="shared" si="190"/>
        <v>0</v>
      </c>
      <c r="IB32" s="115">
        <f t="shared" si="191"/>
        <v>0</v>
      </c>
      <c r="IC32" s="115">
        <f t="shared" si="192"/>
        <v>0</v>
      </c>
      <c r="ID32" s="115">
        <f t="shared" si="193"/>
        <v>0</v>
      </c>
      <c r="IE32" s="115">
        <f t="shared" si="194"/>
        <v>0</v>
      </c>
      <c r="IF32" s="115">
        <f t="shared" si="195"/>
        <v>0</v>
      </c>
      <c r="IG32" s="115">
        <f t="shared" si="196"/>
        <v>0</v>
      </c>
      <c r="IH32" s="115">
        <f t="shared" si="197"/>
        <v>0</v>
      </c>
      <c r="II32" s="115">
        <f t="shared" si="198"/>
        <v>0</v>
      </c>
      <c r="IJ32" s="115">
        <f t="shared" si="199"/>
        <v>0</v>
      </c>
      <c r="IK32" s="115">
        <f t="shared" si="200"/>
        <v>0</v>
      </c>
      <c r="IN32" s="77"/>
      <c r="IO32" s="77" t="s">
        <v>72</v>
      </c>
      <c r="IP32" s="67">
        <f>IF(lg!$F$18=1,IP6,IF(lg!$F$18=2,IP14,IP22))</f>
        <v>3</v>
      </c>
      <c r="IQ32" s="67">
        <f>IF(lg!$F$18=1,IQ6,IF(lg!$F$18=2,IQ14,IQ22))</f>
        <v>20</v>
      </c>
      <c r="IR32" s="134">
        <f>IF(lg!$F$18=1,IR6,IF(lg!$F$18=2,IR14,IR22))</f>
        <v>0.15</v>
      </c>
      <c r="IS32" s="133">
        <f>IF(lg!$F$18=1,IS6,IF(lg!$F$18=2,IS14,IS22))</f>
        <v>2</v>
      </c>
      <c r="IT32" s="104"/>
      <c r="IU32" s="77" t="s">
        <v>72</v>
      </c>
      <c r="IV32" s="67">
        <f>IF(lg!$F$18=1,IV6,IF(lg!$F$18=2,IV14,IV22))</f>
        <v>2</v>
      </c>
      <c r="IW32" s="67">
        <f>IF(lg!$F$18=1,IW6,IF(lg!$F$18=2,IW14,IW22))</f>
        <v>19</v>
      </c>
      <c r="IX32" s="134">
        <f>IF(lg!$F$18=1,IX6,IF(lg!$F$18=2,IX14,IX22))</f>
        <v>0.10526315789473684</v>
      </c>
      <c r="IY32" s="133">
        <f>IF(lg!$F$18=1,IY6,IF(lg!$F$18=2,IY14,IY22))</f>
        <v>16</v>
      </c>
      <c r="IZ32" s="133"/>
      <c r="JB32" s="10">
        <f>IF(lg!$F$18=1,EB32,IF(lg!$F$18=2,ES32,FJ32))</f>
        <v>17</v>
      </c>
      <c r="JC32" s="10">
        <f>IF(lg!$F$18=1,EC32,IF(lg!$F$18=2,ET32,FK32))</f>
        <v>17</v>
      </c>
      <c r="JD32" s="10">
        <f>IF(lg!$F$18=1,ED32,IF(lg!$F$18=2,EU32,FL32))</f>
        <v>17</v>
      </c>
      <c r="JE32" s="10">
        <f>IF(lg!$F$18=1,EE32,IF(lg!$F$18=2,EV32,FM32))</f>
        <v>17</v>
      </c>
      <c r="JF32" s="10">
        <f>IF(lg!$F$18=1,EF32,IF(lg!$F$18=2,EW32,FN32))</f>
        <v>17</v>
      </c>
      <c r="JG32" s="10">
        <f>IF(lg!$F$18=1,EG32,IF(lg!$F$18=2,EX32,FO32))</f>
        <v>17</v>
      </c>
      <c r="JH32" s="10">
        <f>IF(lg!$F$18=1,EH32,IF(lg!$F$18=2,EY32,FP32))</f>
        <v>17</v>
      </c>
      <c r="JI32" s="10">
        <f>IF(lg!$F$18=1,EI32,IF(lg!$F$18=2,EZ32,FQ32))</f>
        <v>17</v>
      </c>
      <c r="JJ32" s="10">
        <f>IF(lg!$F$18=1,EJ32,IF(lg!$F$18=2,FA32,FR32))</f>
        <v>17</v>
      </c>
      <c r="JK32" s="10">
        <f>IF(lg!$F$18=1,EK32,IF(lg!$F$18=2,FB32,FS32))</f>
        <v>17</v>
      </c>
      <c r="JL32" s="10">
        <f>IF(lg!$F$18=1,EL32,IF(lg!$F$18=2,FC32,FT32))</f>
        <v>17</v>
      </c>
      <c r="JM32" s="10">
        <f>IF(lg!$F$18=1,EM32,IF(lg!$F$18=2,FD32,FU32))</f>
        <v>17</v>
      </c>
      <c r="JN32" s="10">
        <f>IF(lg!$F$18=1,EN32,IF(lg!$F$18=2,FE32,FV32))</f>
        <v>17</v>
      </c>
      <c r="JO32" s="10">
        <f>IF(lg!$F$18=1,EO32,IF(lg!$F$18=2,FF32,FW32))</f>
        <v>17</v>
      </c>
      <c r="JP32" s="10">
        <f>IF(lg!$F$18=1,EP32,IF(lg!$F$18=2,FG32,FX32))</f>
        <v>17</v>
      </c>
      <c r="JQ32" s="10">
        <f>IF(lg!$F$18=1,EQ32,IF(lg!$F$18=2,FH32,FY32))</f>
        <v>17</v>
      </c>
      <c r="JS32" s="10" t="e">
        <f t="shared" si="201"/>
        <v>#N/A</v>
      </c>
      <c r="JT32" s="10" t="e">
        <f t="shared" si="49"/>
        <v>#N/A</v>
      </c>
      <c r="JU32" s="10" t="e">
        <f t="shared" si="50"/>
        <v>#N/A</v>
      </c>
      <c r="JV32" s="10" t="e">
        <f t="shared" si="51"/>
        <v>#N/A</v>
      </c>
      <c r="JW32" s="10" t="e">
        <f t="shared" si="52"/>
        <v>#N/A</v>
      </c>
      <c r="JX32" s="10" t="e">
        <f t="shared" si="53"/>
        <v>#N/A</v>
      </c>
      <c r="JY32" s="10" t="e">
        <f t="shared" si="54"/>
        <v>#N/A</v>
      </c>
      <c r="JZ32" s="10" t="e">
        <f t="shared" si="55"/>
        <v>#N/A</v>
      </c>
      <c r="KA32" s="10" t="e">
        <f t="shared" si="56"/>
        <v>#N/A</v>
      </c>
      <c r="KB32" s="10" t="e">
        <f t="shared" si="57"/>
        <v>#N/A</v>
      </c>
      <c r="KC32" s="10" t="e">
        <f t="shared" si="58"/>
        <v>#N/A</v>
      </c>
      <c r="KD32" s="10" t="e">
        <f t="shared" si="59"/>
        <v>#N/A</v>
      </c>
      <c r="KE32" s="10" t="e">
        <f t="shared" si="60"/>
        <v>#N/A</v>
      </c>
      <c r="KF32" s="10" t="e">
        <f t="shared" si="61"/>
        <v>#N/A</v>
      </c>
      <c r="KG32" s="10" t="e">
        <f t="shared" si="62"/>
        <v>#N/A</v>
      </c>
      <c r="KH32" s="10" t="e">
        <f t="shared" si="63"/>
        <v>#N/A</v>
      </c>
      <c r="KL32" s="27">
        <v>0.02</v>
      </c>
      <c r="KM32" s="29">
        <v>29</v>
      </c>
      <c r="KN32" s="31">
        <f t="shared" si="202"/>
        <v>0</v>
      </c>
      <c r="KO32" s="152">
        <f t="shared" si="203"/>
        <v>0</v>
      </c>
      <c r="KP32" s="152">
        <f t="shared" si="204"/>
        <v>0</v>
      </c>
      <c r="KQ32" s="152">
        <f t="shared" si="205"/>
        <v>0</v>
      </c>
      <c r="KR32" s="28">
        <f t="shared" si="206"/>
        <v>-10000000000</v>
      </c>
      <c r="KS32" s="29"/>
      <c r="KT32" s="28"/>
      <c r="KU32" s="29">
        <f t="shared" si="408"/>
        <v>17</v>
      </c>
      <c r="KV32" s="152">
        <f t="shared" si="207"/>
        <v>0</v>
      </c>
      <c r="KW32" s="152">
        <f t="shared" si="208"/>
        <v>0</v>
      </c>
      <c r="KX32" s="152">
        <f t="shared" si="209"/>
        <v>0</v>
      </c>
      <c r="KY32" s="28">
        <f t="shared" si="210"/>
        <v>-10000000000</v>
      </c>
      <c r="KZ32" s="29"/>
      <c r="LA32" s="28"/>
      <c r="LB32" s="29">
        <f t="shared" si="409"/>
        <v>17</v>
      </c>
      <c r="LC32" s="152">
        <f t="shared" si="211"/>
        <v>0</v>
      </c>
      <c r="LD32" s="152">
        <f t="shared" si="212"/>
        <v>0</v>
      </c>
      <c r="LE32" s="152">
        <f t="shared" si="213"/>
        <v>0</v>
      </c>
      <c r="LF32" s="28">
        <f t="shared" si="214"/>
        <v>-10000000000</v>
      </c>
      <c r="LG32" s="29"/>
      <c r="LH32" s="28"/>
      <c r="LI32" s="29">
        <f t="shared" si="410"/>
        <v>17</v>
      </c>
      <c r="LJ32" s="152">
        <f t="shared" si="215"/>
        <v>0</v>
      </c>
      <c r="LK32" s="152">
        <f t="shared" si="216"/>
        <v>0</v>
      </c>
      <c r="LL32" s="152">
        <f t="shared" si="217"/>
        <v>0</v>
      </c>
      <c r="LM32" s="28">
        <f t="shared" si="218"/>
        <v>-10000000000</v>
      </c>
      <c r="LN32" s="29"/>
      <c r="LO32" s="28"/>
      <c r="LP32" s="29">
        <f t="shared" si="411"/>
        <v>17</v>
      </c>
      <c r="LQ32" s="152">
        <f t="shared" si="219"/>
        <v>0</v>
      </c>
      <c r="LR32" s="152">
        <f t="shared" si="220"/>
        <v>0</v>
      </c>
      <c r="LS32" s="152">
        <f t="shared" si="221"/>
        <v>0</v>
      </c>
      <c r="LT32" s="28">
        <f t="shared" si="222"/>
        <v>-10000000000</v>
      </c>
      <c r="LU32" s="29"/>
      <c r="LV32" s="28"/>
      <c r="LW32" s="29">
        <f t="shared" si="412"/>
        <v>17</v>
      </c>
      <c r="LX32" s="152">
        <f t="shared" si="223"/>
        <v>0</v>
      </c>
      <c r="LY32" s="152">
        <f t="shared" si="224"/>
        <v>0</v>
      </c>
      <c r="LZ32" s="152">
        <f t="shared" si="225"/>
        <v>0</v>
      </c>
      <c r="MA32" s="28">
        <f t="shared" si="226"/>
        <v>-10000000000</v>
      </c>
      <c r="MB32" s="29"/>
      <c r="MC32" s="28"/>
      <c r="MD32" s="29">
        <f t="shared" si="413"/>
        <v>17</v>
      </c>
      <c r="ME32" s="152">
        <f t="shared" si="227"/>
        <v>0</v>
      </c>
      <c r="MF32" s="152">
        <f t="shared" si="228"/>
        <v>0</v>
      </c>
      <c r="MG32" s="152">
        <f t="shared" si="229"/>
        <v>0</v>
      </c>
      <c r="MH32" s="28">
        <f t="shared" si="230"/>
        <v>-10000000000</v>
      </c>
      <c r="MI32" s="29"/>
      <c r="MJ32" s="28"/>
      <c r="MK32" s="29">
        <f t="shared" si="414"/>
        <v>17</v>
      </c>
      <c r="ML32" s="152">
        <f t="shared" si="231"/>
        <v>0</v>
      </c>
      <c r="MM32" s="152">
        <f t="shared" si="232"/>
        <v>0</v>
      </c>
      <c r="MN32" s="152">
        <f t="shared" si="233"/>
        <v>0</v>
      </c>
      <c r="MO32" s="28">
        <f t="shared" si="234"/>
        <v>-10000000000</v>
      </c>
      <c r="MP32" s="29"/>
      <c r="MQ32" s="28"/>
      <c r="MR32" s="29">
        <f t="shared" si="415"/>
        <v>17</v>
      </c>
      <c r="MS32" s="152">
        <f t="shared" si="235"/>
        <v>0</v>
      </c>
      <c r="MT32" s="152">
        <f t="shared" si="236"/>
        <v>0</v>
      </c>
      <c r="MU32" s="152">
        <f t="shared" si="237"/>
        <v>0</v>
      </c>
      <c r="MV32" s="28">
        <f t="shared" si="238"/>
        <v>-10000000000</v>
      </c>
      <c r="MW32" s="29"/>
      <c r="MX32" s="28"/>
      <c r="MY32" s="29">
        <f t="shared" si="416"/>
        <v>17</v>
      </c>
      <c r="MZ32" s="152">
        <f t="shared" si="239"/>
        <v>0</v>
      </c>
      <c r="NA32" s="152">
        <f t="shared" si="240"/>
        <v>0</v>
      </c>
      <c r="NB32" s="152">
        <f t="shared" si="241"/>
        <v>0</v>
      </c>
      <c r="NC32" s="28">
        <f t="shared" si="242"/>
        <v>-10000000000</v>
      </c>
      <c r="ND32" s="29"/>
      <c r="NE32" s="28"/>
      <c r="NF32" s="29">
        <f t="shared" si="417"/>
        <v>17</v>
      </c>
      <c r="NG32" s="152">
        <f t="shared" si="243"/>
        <v>0</v>
      </c>
      <c r="NH32" s="152">
        <f t="shared" si="244"/>
        <v>0</v>
      </c>
      <c r="NI32" s="152">
        <f t="shared" si="245"/>
        <v>0</v>
      </c>
      <c r="NJ32" s="28">
        <f t="shared" si="246"/>
        <v>-10000000000</v>
      </c>
      <c r="NK32" s="29"/>
      <c r="NL32" s="28"/>
      <c r="NM32" s="29">
        <f t="shared" si="418"/>
        <v>17</v>
      </c>
      <c r="NN32" s="152">
        <f t="shared" si="247"/>
        <v>0</v>
      </c>
      <c r="NO32" s="152">
        <f t="shared" si="248"/>
        <v>0</v>
      </c>
      <c r="NP32" s="152">
        <f t="shared" si="249"/>
        <v>0</v>
      </c>
      <c r="NQ32" s="28">
        <f t="shared" si="250"/>
        <v>-10000000000</v>
      </c>
      <c r="NR32" s="29"/>
      <c r="NS32" s="28"/>
      <c r="NT32" s="29">
        <f t="shared" si="419"/>
        <v>17</v>
      </c>
      <c r="NU32" s="152">
        <f t="shared" si="251"/>
        <v>0</v>
      </c>
      <c r="NV32" s="152">
        <f t="shared" si="252"/>
        <v>0</v>
      </c>
      <c r="NW32" s="152">
        <f t="shared" si="253"/>
        <v>0</v>
      </c>
      <c r="NX32" s="28">
        <f t="shared" si="254"/>
        <v>-10000000000</v>
      </c>
      <c r="NY32" s="29"/>
      <c r="NZ32" s="28"/>
      <c r="OA32" s="29">
        <f t="shared" si="420"/>
        <v>17</v>
      </c>
      <c r="OB32" s="152">
        <f t="shared" si="255"/>
        <v>0</v>
      </c>
      <c r="OC32" s="152">
        <f t="shared" si="256"/>
        <v>0</v>
      </c>
      <c r="OD32" s="152">
        <f t="shared" si="257"/>
        <v>0</v>
      </c>
      <c r="OE32" s="28">
        <f t="shared" si="258"/>
        <v>-10000000000</v>
      </c>
      <c r="OF32" s="29"/>
      <c r="OG32" s="28"/>
      <c r="OH32" s="29">
        <f t="shared" si="421"/>
        <v>17</v>
      </c>
      <c r="OI32" s="152">
        <f t="shared" si="259"/>
        <v>0</v>
      </c>
      <c r="OJ32" s="152">
        <f t="shared" si="260"/>
        <v>0</v>
      </c>
      <c r="OK32" s="152">
        <f t="shared" si="261"/>
        <v>0</v>
      </c>
      <c r="OL32" s="28">
        <f t="shared" si="262"/>
        <v>-10000000000</v>
      </c>
      <c r="OM32" s="29"/>
      <c r="ON32" s="28"/>
      <c r="OO32" s="29">
        <f t="shared" si="422"/>
        <v>17</v>
      </c>
      <c r="OP32" s="152">
        <f t="shared" si="263"/>
        <v>0</v>
      </c>
      <c r="OQ32" s="152">
        <f t="shared" si="264"/>
        <v>0</v>
      </c>
      <c r="OR32" s="152">
        <f t="shared" si="265"/>
        <v>0</v>
      </c>
      <c r="OS32" s="28">
        <f t="shared" si="266"/>
        <v>-10000000000</v>
      </c>
      <c r="OT32" s="29"/>
      <c r="OU32" s="28"/>
      <c r="OV32" s="29">
        <f t="shared" si="423"/>
        <v>17</v>
      </c>
      <c r="OW32" s="152">
        <f t="shared" si="267"/>
        <v>0</v>
      </c>
      <c r="OX32" s="152">
        <f t="shared" si="268"/>
        <v>0</v>
      </c>
      <c r="OY32" s="152">
        <f t="shared" si="269"/>
        <v>0</v>
      </c>
      <c r="OZ32" s="28">
        <f t="shared" si="270"/>
        <v>-10000000000</v>
      </c>
      <c r="PA32" s="29"/>
      <c r="PB32" s="28"/>
      <c r="PC32" s="29">
        <f t="shared" si="424"/>
        <v>17</v>
      </c>
      <c r="PD32" s="152">
        <f t="shared" si="271"/>
        <v>0</v>
      </c>
      <c r="PE32" s="152">
        <f t="shared" si="272"/>
        <v>0</v>
      </c>
      <c r="PF32" s="152">
        <f t="shared" si="273"/>
        <v>0</v>
      </c>
      <c r="PG32" s="28">
        <f t="shared" si="274"/>
        <v>-10000000000</v>
      </c>
      <c r="PH32" s="29"/>
      <c r="PI32" s="28"/>
      <c r="PJ32" s="29">
        <f t="shared" si="425"/>
        <v>17</v>
      </c>
      <c r="PK32" s="152">
        <f t="shared" si="275"/>
        <v>0</v>
      </c>
      <c r="PL32" s="152">
        <f t="shared" si="276"/>
        <v>0</v>
      </c>
      <c r="PM32" s="152">
        <f t="shared" si="277"/>
        <v>0</v>
      </c>
      <c r="PN32" s="28">
        <f t="shared" si="278"/>
        <v>-10000000000</v>
      </c>
      <c r="PO32" s="29"/>
      <c r="PP32" s="28"/>
      <c r="PQ32" s="29">
        <f t="shared" si="426"/>
        <v>17</v>
      </c>
      <c r="PR32" s="152">
        <f t="shared" si="279"/>
        <v>0</v>
      </c>
      <c r="PS32" s="152">
        <f t="shared" si="280"/>
        <v>0</v>
      </c>
      <c r="PT32" s="152">
        <f t="shared" si="281"/>
        <v>0</v>
      </c>
      <c r="PU32" s="28">
        <f t="shared" si="282"/>
        <v>-10000000000</v>
      </c>
      <c r="PV32" s="29"/>
      <c r="PW32" s="28"/>
      <c r="PX32" s="29">
        <f t="shared" si="427"/>
        <v>17</v>
      </c>
      <c r="PY32" s="152">
        <f t="shared" si="283"/>
        <v>0</v>
      </c>
      <c r="PZ32" s="152">
        <f t="shared" si="284"/>
        <v>0</v>
      </c>
      <c r="QA32" s="152">
        <f t="shared" si="285"/>
        <v>0</v>
      </c>
      <c r="QB32" s="28">
        <f t="shared" si="286"/>
        <v>-10000000000</v>
      </c>
      <c r="QC32" s="29"/>
      <c r="QD32" s="28"/>
      <c r="QE32" s="29">
        <f t="shared" si="428"/>
        <v>17</v>
      </c>
      <c r="QF32" s="152">
        <f t="shared" si="287"/>
        <v>0</v>
      </c>
      <c r="QG32" s="152">
        <f t="shared" si="288"/>
        <v>0</v>
      </c>
      <c r="QH32" s="152">
        <f t="shared" si="289"/>
        <v>0</v>
      </c>
      <c r="QI32" s="28">
        <f t="shared" si="290"/>
        <v>-10000000000</v>
      </c>
      <c r="QJ32" s="29"/>
      <c r="QK32" s="28"/>
      <c r="QL32" s="29">
        <f t="shared" si="429"/>
        <v>17</v>
      </c>
      <c r="QM32" s="152">
        <f t="shared" si="291"/>
        <v>0</v>
      </c>
      <c r="QN32" s="152">
        <f t="shared" si="292"/>
        <v>0</v>
      </c>
      <c r="QO32" s="152">
        <f t="shared" si="293"/>
        <v>0</v>
      </c>
      <c r="QP32" s="28">
        <f t="shared" si="294"/>
        <v>-10000000000</v>
      </c>
      <c r="QQ32" s="29"/>
      <c r="QR32" s="28"/>
      <c r="QS32" s="29">
        <f t="shared" si="430"/>
        <v>17</v>
      </c>
      <c r="QT32" s="152">
        <f t="shared" si="295"/>
        <v>0</v>
      </c>
      <c r="QU32" s="152">
        <f t="shared" si="296"/>
        <v>0</v>
      </c>
      <c r="QV32" s="152">
        <f t="shared" si="297"/>
        <v>0</v>
      </c>
      <c r="QW32" s="28">
        <f t="shared" si="298"/>
        <v>-10000000000</v>
      </c>
      <c r="QX32" s="29"/>
      <c r="QY32" s="28"/>
      <c r="QZ32" s="29">
        <f t="shared" si="431"/>
        <v>17</v>
      </c>
      <c r="RA32" s="152">
        <f t="shared" si="299"/>
        <v>0</v>
      </c>
      <c r="RB32" s="152">
        <f t="shared" si="300"/>
        <v>0</v>
      </c>
      <c r="RC32" s="152">
        <f t="shared" si="301"/>
        <v>0</v>
      </c>
      <c r="RD32" s="28">
        <f t="shared" si="302"/>
        <v>-10000000000</v>
      </c>
      <c r="RE32" s="29"/>
      <c r="RF32" s="28"/>
      <c r="RG32" s="29">
        <f t="shared" si="432"/>
        <v>17</v>
      </c>
      <c r="RH32" s="152">
        <f t="shared" si="303"/>
        <v>0</v>
      </c>
      <c r="RI32" s="152">
        <f t="shared" si="304"/>
        <v>0</v>
      </c>
      <c r="RJ32" s="152">
        <f t="shared" si="305"/>
        <v>0</v>
      </c>
      <c r="RK32" s="28">
        <f t="shared" si="306"/>
        <v>-10000000000</v>
      </c>
      <c r="RL32" s="29"/>
      <c r="RM32" s="28"/>
      <c r="RN32" s="29">
        <f t="shared" si="433"/>
        <v>17</v>
      </c>
      <c r="RO32" s="152">
        <f t="shared" si="307"/>
        <v>0</v>
      </c>
      <c r="RP32" s="152">
        <f t="shared" si="308"/>
        <v>0</v>
      </c>
      <c r="RQ32" s="152">
        <f t="shared" si="309"/>
        <v>0</v>
      </c>
      <c r="RR32" s="28">
        <f t="shared" si="310"/>
        <v>-10000000000</v>
      </c>
      <c r="RS32" s="29"/>
      <c r="RT32" s="28"/>
      <c r="RU32" s="29">
        <f t="shared" si="434"/>
        <v>17</v>
      </c>
      <c r="RV32" s="152">
        <f t="shared" si="311"/>
        <v>0</v>
      </c>
      <c r="RW32" s="152">
        <f t="shared" si="312"/>
        <v>0</v>
      </c>
      <c r="RX32" s="152">
        <f t="shared" si="313"/>
        <v>0</v>
      </c>
      <c r="RY32" s="28">
        <f t="shared" si="314"/>
        <v>-10000000000</v>
      </c>
      <c r="RZ32" s="29"/>
      <c r="SA32" s="28"/>
      <c r="SB32" s="29">
        <f t="shared" si="435"/>
        <v>17</v>
      </c>
      <c r="SC32" s="152">
        <f t="shared" si="315"/>
        <v>0</v>
      </c>
      <c r="SD32" s="152">
        <f t="shared" si="316"/>
        <v>0</v>
      </c>
      <c r="SE32" s="152">
        <f t="shared" si="317"/>
        <v>0</v>
      </c>
      <c r="SF32" s="28">
        <f t="shared" si="318"/>
        <v>-10000000000</v>
      </c>
      <c r="SG32" s="29"/>
      <c r="SH32" s="28"/>
      <c r="SI32" s="29">
        <f t="shared" si="436"/>
        <v>17</v>
      </c>
      <c r="SJ32" s="152">
        <f t="shared" si="319"/>
        <v>0</v>
      </c>
      <c r="SK32" s="152">
        <f t="shared" si="320"/>
        <v>0</v>
      </c>
      <c r="SL32" s="152">
        <f t="shared" si="321"/>
        <v>0</v>
      </c>
      <c r="SM32" s="28">
        <f t="shared" si="322"/>
        <v>-10000000000</v>
      </c>
      <c r="SN32" s="29"/>
      <c r="SO32" s="28"/>
      <c r="SP32" s="29">
        <f t="shared" si="437"/>
        <v>17</v>
      </c>
      <c r="SQ32" s="152">
        <f t="shared" si="323"/>
        <v>0</v>
      </c>
      <c r="SR32" s="152">
        <f t="shared" si="324"/>
        <v>0</v>
      </c>
      <c r="SS32" s="152">
        <f t="shared" si="325"/>
        <v>0</v>
      </c>
      <c r="ST32" s="28">
        <f t="shared" si="326"/>
        <v>-10000000000</v>
      </c>
      <c r="SU32" s="29"/>
      <c r="SV32" s="28"/>
      <c r="SW32" s="29">
        <f t="shared" si="438"/>
        <v>17</v>
      </c>
      <c r="SX32" s="152">
        <f t="shared" si="327"/>
        <v>0</v>
      </c>
      <c r="SY32" s="152">
        <f t="shared" si="328"/>
        <v>0</v>
      </c>
      <c r="SZ32" s="152">
        <f t="shared" si="329"/>
        <v>0</v>
      </c>
      <c r="TA32" s="28">
        <f t="shared" si="330"/>
        <v>-10000000000</v>
      </c>
      <c r="TB32" s="29"/>
      <c r="TC32" s="28"/>
      <c r="TD32" s="29">
        <f t="shared" si="439"/>
        <v>17</v>
      </c>
      <c r="TE32" s="152">
        <f t="shared" si="331"/>
        <v>0</v>
      </c>
      <c r="TF32" s="152">
        <f t="shared" si="332"/>
        <v>0</v>
      </c>
      <c r="TG32" s="152">
        <f t="shared" si="333"/>
        <v>0</v>
      </c>
      <c r="TH32" s="28">
        <f t="shared" si="334"/>
        <v>-10000000000</v>
      </c>
      <c r="TI32" s="29"/>
      <c r="TJ32" s="28"/>
      <c r="TK32" s="29">
        <f t="shared" si="440"/>
        <v>17</v>
      </c>
      <c r="TL32" s="152">
        <f t="shared" si="335"/>
        <v>0</v>
      </c>
      <c r="TM32" s="152">
        <f t="shared" si="336"/>
        <v>0</v>
      </c>
      <c r="TN32" s="152">
        <f t="shared" si="337"/>
        <v>0</v>
      </c>
      <c r="TO32" s="28">
        <f t="shared" si="338"/>
        <v>-10000000000</v>
      </c>
      <c r="TP32" s="29"/>
      <c r="TQ32" s="28"/>
      <c r="TR32" s="29">
        <f t="shared" si="441"/>
        <v>17</v>
      </c>
      <c r="TS32" s="152">
        <f t="shared" si="339"/>
        <v>0</v>
      </c>
      <c r="TT32" s="152">
        <f t="shared" si="340"/>
        <v>0</v>
      </c>
      <c r="TU32" s="152">
        <f t="shared" si="341"/>
        <v>0</v>
      </c>
      <c r="TV32" s="28">
        <f t="shared" si="342"/>
        <v>-10000000000</v>
      </c>
      <c r="TW32" s="29"/>
      <c r="TX32" s="28"/>
      <c r="TY32" s="29">
        <f t="shared" si="442"/>
        <v>17</v>
      </c>
      <c r="TZ32" s="152">
        <f t="shared" si="343"/>
        <v>0</v>
      </c>
      <c r="UA32" s="152">
        <f t="shared" si="344"/>
        <v>0</v>
      </c>
      <c r="UB32" s="152">
        <f t="shared" si="345"/>
        <v>0</v>
      </c>
      <c r="UC32" s="28">
        <f t="shared" si="346"/>
        <v>-10000000000</v>
      </c>
      <c r="UD32" s="29"/>
      <c r="UE32" s="28"/>
      <c r="UF32" s="29">
        <f t="shared" si="443"/>
        <v>17</v>
      </c>
      <c r="UG32" s="152">
        <f t="shared" si="347"/>
        <v>0</v>
      </c>
      <c r="UH32" s="152">
        <f t="shared" si="348"/>
        <v>0</v>
      </c>
      <c r="UI32" s="152">
        <f t="shared" si="349"/>
        <v>0</v>
      </c>
      <c r="UJ32" s="28">
        <f t="shared" si="350"/>
        <v>-10000000000</v>
      </c>
      <c r="UK32" s="29"/>
      <c r="UL32" s="28"/>
      <c r="UM32" s="29">
        <f t="shared" si="444"/>
        <v>17</v>
      </c>
      <c r="UN32" s="152">
        <f t="shared" si="351"/>
        <v>0</v>
      </c>
      <c r="UO32" s="152">
        <f t="shared" si="352"/>
        <v>0</v>
      </c>
      <c r="UP32" s="152">
        <f t="shared" si="353"/>
        <v>0</v>
      </c>
      <c r="UQ32" s="28">
        <f t="shared" si="354"/>
        <v>-10000000000</v>
      </c>
      <c r="UR32" s="29"/>
      <c r="US32" s="28"/>
      <c r="UT32" s="29">
        <f t="shared" si="445"/>
        <v>17</v>
      </c>
      <c r="UU32" s="129"/>
      <c r="UV32" s="129">
        <f t="shared" si="355"/>
        <v>0</v>
      </c>
      <c r="UW32" s="129">
        <f t="shared" si="356"/>
        <v>17</v>
      </c>
      <c r="UX32" s="129">
        <f t="shared" ca="1" si="446"/>
        <v>17</v>
      </c>
      <c r="UY32" s="129">
        <f t="shared" ca="1" si="446"/>
        <v>17</v>
      </c>
      <c r="UZ32" s="129">
        <f t="shared" ca="1" si="446"/>
        <v>17</v>
      </c>
      <c r="VA32" s="129">
        <f t="shared" ca="1" si="446"/>
        <v>17</v>
      </c>
      <c r="VB32" s="129">
        <f t="shared" ca="1" si="446"/>
        <v>17</v>
      </c>
      <c r="VC32" s="129">
        <f t="shared" ca="1" si="446"/>
        <v>17</v>
      </c>
      <c r="VD32" s="129">
        <f t="shared" ca="1" si="446"/>
        <v>17</v>
      </c>
      <c r="VE32" s="129">
        <f t="shared" ca="1" si="446"/>
        <v>17</v>
      </c>
      <c r="VF32" s="129">
        <f t="shared" ca="1" si="446"/>
        <v>17</v>
      </c>
      <c r="VG32" s="129">
        <f t="shared" ca="1" si="446"/>
        <v>17</v>
      </c>
      <c r="VH32" s="129">
        <f t="shared" ca="1" si="446"/>
        <v>17</v>
      </c>
      <c r="VI32" s="129">
        <f t="shared" ca="1" si="446"/>
        <v>17</v>
      </c>
      <c r="VJ32" s="129">
        <f t="shared" ca="1" si="446"/>
        <v>17</v>
      </c>
      <c r="VK32" s="129">
        <f t="shared" ca="1" si="446"/>
        <v>17</v>
      </c>
      <c r="VL32" s="129">
        <f t="shared" ca="1" si="446"/>
        <v>17</v>
      </c>
      <c r="VM32" s="129">
        <f t="shared" ca="1" si="446"/>
        <v>17</v>
      </c>
      <c r="VN32" s="129">
        <f t="shared" ca="1" si="406"/>
        <v>17</v>
      </c>
      <c r="VO32" s="129">
        <f t="shared" ca="1" si="406"/>
        <v>17</v>
      </c>
      <c r="VP32" s="129">
        <f t="shared" ca="1" si="406"/>
        <v>17</v>
      </c>
      <c r="VQ32" s="129">
        <f t="shared" ca="1" si="406"/>
        <v>17</v>
      </c>
      <c r="VR32" s="129">
        <f t="shared" ca="1" si="406"/>
        <v>17</v>
      </c>
      <c r="VS32" s="129">
        <f t="shared" ca="1" si="406"/>
        <v>17</v>
      </c>
      <c r="VT32" s="129">
        <f t="shared" ca="1" si="406"/>
        <v>17</v>
      </c>
      <c r="VU32" s="129">
        <f t="shared" ca="1" si="406"/>
        <v>17</v>
      </c>
      <c r="VV32" s="129">
        <f t="shared" ca="1" si="406"/>
        <v>17</v>
      </c>
      <c r="VW32" s="129">
        <f t="shared" ca="1" si="406"/>
        <v>17</v>
      </c>
      <c r="VX32" s="129">
        <f t="shared" ca="1" si="406"/>
        <v>17</v>
      </c>
      <c r="VY32" s="129">
        <f t="shared" ca="1" si="406"/>
        <v>17</v>
      </c>
      <c r="VZ32" s="129">
        <f t="shared" ca="1" si="406"/>
        <v>17</v>
      </c>
      <c r="WA32" s="129">
        <f t="shared" ca="1" si="406"/>
        <v>17</v>
      </c>
      <c r="WB32" s="129">
        <f t="shared" ca="1" si="406"/>
        <v>17</v>
      </c>
      <c r="WC32" s="129">
        <f t="shared" ca="1" si="406"/>
        <v>17</v>
      </c>
      <c r="WD32" s="129">
        <f t="shared" ca="1" si="407"/>
        <v>17</v>
      </c>
      <c r="WE32" s="129">
        <f t="shared" ca="1" si="66"/>
        <v>17</v>
      </c>
      <c r="WF32" s="129">
        <f t="shared" ca="1" si="66"/>
        <v>17</v>
      </c>
      <c r="WG32" s="129">
        <f t="shared" ca="1" si="66"/>
        <v>17</v>
      </c>
      <c r="WH32" s="129">
        <f t="shared" ca="1" si="66"/>
        <v>17</v>
      </c>
      <c r="WJ32" s="87"/>
      <c r="WK32" s="87">
        <f t="shared" si="358"/>
        <v>0</v>
      </c>
      <c r="WL32" s="87">
        <v>29</v>
      </c>
      <c r="WM32" s="87">
        <v>29</v>
      </c>
      <c r="WN32" s="87">
        <f>IF($WI$3&gt;=WN$3,UW32,NA())</f>
        <v>17</v>
      </c>
      <c r="WO32" s="87">
        <f ca="1">IF($WI$3&gt;=WO$3,UX32,NA())</f>
        <v>17</v>
      </c>
      <c r="WP32" s="87">
        <f ca="1">IF($WI$3&gt;=WP$3,UY32,NA())</f>
        <v>17</v>
      </c>
      <c r="WQ32" s="87">
        <f ca="1">IF($WI$3&gt;=WQ$3,UZ32,NA())</f>
        <v>17</v>
      </c>
      <c r="WR32" s="87">
        <f ca="1">IF($WI$3&gt;=WR$3,VA32,NA())</f>
        <v>17</v>
      </c>
      <c r="WS32" s="87">
        <f ca="1">IF($WI$3&gt;=WS$3,VB32,NA())</f>
        <v>17</v>
      </c>
      <c r="WT32" s="87">
        <f ca="1">IF($WI$3&gt;=WT$3,VC32,NA())</f>
        <v>17</v>
      </c>
      <c r="WU32" s="87">
        <f ca="1">IF($WI$3&gt;=WU$3,VD32,NA())</f>
        <v>17</v>
      </c>
      <c r="WV32" s="87">
        <f ca="1">IF($WI$3&gt;=WV$3,VE32,NA())</f>
        <v>17</v>
      </c>
      <c r="WW32" s="87">
        <f ca="1">IF($WI$3&gt;=WW$3,VF32,NA())</f>
        <v>17</v>
      </c>
      <c r="WX32" s="87">
        <f ca="1">IF($WI$3&gt;=WX$3,VG32,NA())</f>
        <v>17</v>
      </c>
      <c r="WY32" s="87">
        <f ca="1">IF($WI$3&gt;=WY$3,VH32,NA())</f>
        <v>17</v>
      </c>
      <c r="WZ32" s="87">
        <f ca="1">IF($WI$3&gt;=WZ$3,VI32,NA())</f>
        <v>17</v>
      </c>
      <c r="XA32" s="87">
        <f ca="1">IF($WI$3&gt;=XA$3,VJ32,NA())</f>
        <v>17</v>
      </c>
      <c r="XB32" s="87">
        <f ca="1">IF($WI$3&gt;=XB$3,VK32,NA())</f>
        <v>17</v>
      </c>
      <c r="XC32" s="87">
        <f ca="1">IF($WI$3&gt;=XC$3,VL32,NA())</f>
        <v>17</v>
      </c>
      <c r="XD32" s="87">
        <f ca="1">IF($WI$3&gt;=XD$3,VM32,NA())</f>
        <v>17</v>
      </c>
      <c r="XE32" s="87">
        <f ca="1">IF($WI$3&gt;=XE$3,VN32,NA())</f>
        <v>17</v>
      </c>
      <c r="XF32" s="87">
        <f ca="1">IF($WI$3&gt;=XF$3,VO32,NA())</f>
        <v>17</v>
      </c>
      <c r="XG32" s="87">
        <f ca="1">IF($WI$3&gt;=XG$3,VP32,NA())</f>
        <v>17</v>
      </c>
      <c r="XH32" s="87">
        <f ca="1">IF($WI$3&gt;=XH$3,VQ32,NA())</f>
        <v>17</v>
      </c>
      <c r="XI32" s="87" t="e">
        <f>IF($WI$3&gt;=XI$3,VR32,NA())</f>
        <v>#N/A</v>
      </c>
      <c r="XJ32" s="87" t="e">
        <f>IF($WI$3&gt;=XJ$3,VS32,NA())</f>
        <v>#N/A</v>
      </c>
      <c r="XK32" s="87" t="e">
        <f>IF($WI$3&gt;=XK$3,VT32,NA())</f>
        <v>#N/A</v>
      </c>
      <c r="XL32" s="87" t="e">
        <f>IF($WI$3&gt;=XL$3,VU32,NA())</f>
        <v>#N/A</v>
      </c>
      <c r="XM32" s="87" t="e">
        <f>IF($WI$3&gt;=XM$3,VV32,NA())</f>
        <v>#N/A</v>
      </c>
      <c r="XN32" s="87" t="e">
        <f>IF($WI$3&gt;=XN$3,VW32,NA())</f>
        <v>#N/A</v>
      </c>
      <c r="XO32" s="87" t="e">
        <f>IF($WI$3&gt;=XO$3,VX32,NA())</f>
        <v>#N/A</v>
      </c>
      <c r="XP32" s="87" t="e">
        <f>IF($WI$3&gt;=XP$3,VY32,NA())</f>
        <v>#N/A</v>
      </c>
      <c r="XQ32" s="87" t="e">
        <f>IF($WI$3&gt;=XQ$3,VZ32,NA())</f>
        <v>#N/A</v>
      </c>
      <c r="XR32" s="87" t="e">
        <f>IF($WI$3&gt;=XR$3,WA32,NA())</f>
        <v>#N/A</v>
      </c>
      <c r="XS32" s="87" t="e">
        <f>IF($WI$3&gt;=XS$3,WB32,NA())</f>
        <v>#N/A</v>
      </c>
      <c r="XT32" s="87" t="e">
        <f>IF($WI$3&gt;=XT$3,WC32,NA())</f>
        <v>#N/A</v>
      </c>
      <c r="XU32" s="87" t="e">
        <f>IF($WI$3&gt;=XU$3,WD32,NA())</f>
        <v>#N/A</v>
      </c>
      <c r="XV32" s="87" t="e">
        <f>IF($WI$3&gt;=XV$3,WE32,NA())</f>
        <v>#N/A</v>
      </c>
      <c r="XW32" s="87" t="e">
        <f>IF($WI$3&gt;=XW$3,WF32,NA())</f>
        <v>#N/A</v>
      </c>
      <c r="XX32" s="87" t="e">
        <f>IF($WI$3&gt;=XX$3,WG32,NA())</f>
        <v>#N/A</v>
      </c>
      <c r="XY32" s="87" t="e">
        <f>IF($WI$3&gt;=XY$3,WH32,NA())</f>
        <v>#N/A</v>
      </c>
      <c r="YE32" s="87"/>
      <c r="YF32" s="87"/>
    </row>
    <row r="33" spans="1:656">
      <c r="D33" s="29"/>
      <c r="E33" s="136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5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5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137"/>
      <c r="AP33" s="27"/>
      <c r="AQ33" s="28"/>
      <c r="AR33" s="29"/>
      <c r="AS33" s="28"/>
      <c r="AT33" s="29"/>
      <c r="AU33" s="30"/>
      <c r="AV33" s="29"/>
      <c r="AW33" s="29"/>
      <c r="AX33" s="29"/>
      <c r="AY33" s="29"/>
      <c r="AZ33" s="29"/>
      <c r="BA33" s="29"/>
      <c r="BB33" s="29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S33" s="10" t="s">
        <v>56</v>
      </c>
      <c r="BT33" s="123">
        <v>0.39583333333333331</v>
      </c>
      <c r="BU33" s="123">
        <f t="shared" si="405"/>
        <v>0.5625</v>
      </c>
      <c r="BV33" s="10" t="s">
        <v>64</v>
      </c>
      <c r="CA33" s="130">
        <f t="shared" si="119"/>
        <v>-1</v>
      </c>
      <c r="CB33" s="130">
        <f t="shared" si="120"/>
        <v>100000</v>
      </c>
      <c r="CC33" s="130">
        <f t="shared" si="121"/>
        <v>-1</v>
      </c>
      <c r="CD33" s="130">
        <f t="shared" si="122"/>
        <v>100000</v>
      </c>
      <c r="CE33" s="130">
        <f t="shared" si="123"/>
        <v>-1</v>
      </c>
      <c r="CF33" s="130">
        <f t="shared" si="124"/>
        <v>100000</v>
      </c>
      <c r="CG33" s="130">
        <f t="shared" si="125"/>
        <v>-1</v>
      </c>
      <c r="CH33" s="130">
        <f t="shared" si="126"/>
        <v>100000</v>
      </c>
      <c r="CI33" s="130">
        <f t="shared" si="127"/>
        <v>-1</v>
      </c>
      <c r="CJ33" s="130">
        <f t="shared" si="128"/>
        <v>100000</v>
      </c>
      <c r="CK33" s="130">
        <f t="shared" si="129"/>
        <v>-100000</v>
      </c>
      <c r="CL33" s="130">
        <f t="shared" si="130"/>
        <v>100000</v>
      </c>
      <c r="CM33" s="130">
        <f t="shared" si="131"/>
        <v>-1</v>
      </c>
      <c r="CN33" s="130">
        <f t="shared" si="132"/>
        <v>100000</v>
      </c>
      <c r="CO33" s="130">
        <f t="shared" si="133"/>
        <v>-1</v>
      </c>
      <c r="CP33" s="130">
        <f t="shared" si="134"/>
        <v>100000</v>
      </c>
      <c r="CQ33" s="131"/>
      <c r="CR33" s="130">
        <f t="shared" si="360"/>
        <v>-1</v>
      </c>
      <c r="CS33" s="130">
        <f t="shared" si="135"/>
        <v>100000</v>
      </c>
      <c r="CT33" s="130">
        <f t="shared" si="361"/>
        <v>-1</v>
      </c>
      <c r="CU33" s="130">
        <f t="shared" si="362"/>
        <v>100000</v>
      </c>
      <c r="CV33" s="130">
        <f t="shared" si="363"/>
        <v>-1</v>
      </c>
      <c r="CW33" s="130">
        <f t="shared" si="364"/>
        <v>100000</v>
      </c>
      <c r="CX33" s="130">
        <f t="shared" si="365"/>
        <v>-1</v>
      </c>
      <c r="CY33" s="130">
        <f t="shared" si="366"/>
        <v>100000</v>
      </c>
      <c r="CZ33" s="130">
        <f t="shared" si="367"/>
        <v>-1</v>
      </c>
      <c r="DA33" s="130">
        <f t="shared" si="368"/>
        <v>100000</v>
      </c>
      <c r="DB33" s="130">
        <f t="shared" si="369"/>
        <v>-100000</v>
      </c>
      <c r="DC33" s="130">
        <f t="shared" si="370"/>
        <v>100000</v>
      </c>
      <c r="DD33" s="130">
        <f t="shared" si="371"/>
        <v>-1</v>
      </c>
      <c r="DE33" s="130">
        <f t="shared" si="372"/>
        <v>100000</v>
      </c>
      <c r="DF33" s="130">
        <f t="shared" si="373"/>
        <v>-1</v>
      </c>
      <c r="DG33" s="130">
        <f t="shared" si="374"/>
        <v>100000</v>
      </c>
      <c r="DH33" s="131"/>
      <c r="DI33" s="130">
        <f t="shared" si="389"/>
        <v>-1</v>
      </c>
      <c r="DJ33" s="130">
        <f t="shared" si="136"/>
        <v>100000</v>
      </c>
      <c r="DK33" s="130">
        <f t="shared" si="390"/>
        <v>-1</v>
      </c>
      <c r="DL33" s="130">
        <f t="shared" si="391"/>
        <v>100000</v>
      </c>
      <c r="DM33" s="130">
        <f t="shared" si="392"/>
        <v>-1</v>
      </c>
      <c r="DN33" s="130">
        <f t="shared" si="393"/>
        <v>100000</v>
      </c>
      <c r="DO33" s="130">
        <f t="shared" si="394"/>
        <v>-1</v>
      </c>
      <c r="DP33" s="130">
        <f t="shared" si="395"/>
        <v>100000</v>
      </c>
      <c r="DQ33" s="130">
        <f t="shared" si="396"/>
        <v>-1</v>
      </c>
      <c r="DR33" s="130">
        <f t="shared" si="397"/>
        <v>100000</v>
      </c>
      <c r="DS33" s="130">
        <f t="shared" si="398"/>
        <v>-100000</v>
      </c>
      <c r="DT33" s="130">
        <f t="shared" si="399"/>
        <v>100000</v>
      </c>
      <c r="DU33" s="130">
        <f t="shared" si="400"/>
        <v>-1</v>
      </c>
      <c r="DV33" s="130">
        <f t="shared" si="401"/>
        <v>100000</v>
      </c>
      <c r="DW33" s="130">
        <f t="shared" si="402"/>
        <v>-1</v>
      </c>
      <c r="DX33" s="130">
        <f t="shared" si="403"/>
        <v>100000</v>
      </c>
      <c r="DY33" s="132"/>
      <c r="DZ33" s="115">
        <v>30</v>
      </c>
      <c r="EA33" s="115">
        <v>1</v>
      </c>
      <c r="EB33" s="10">
        <f t="shared" si="137"/>
        <v>17</v>
      </c>
      <c r="EC33" s="10">
        <f t="shared" si="138"/>
        <v>17</v>
      </c>
      <c r="ED33" s="10">
        <f t="shared" si="139"/>
        <v>17</v>
      </c>
      <c r="EE33" s="10">
        <f t="shared" si="140"/>
        <v>17</v>
      </c>
      <c r="EF33" s="10">
        <f t="shared" si="141"/>
        <v>17</v>
      </c>
      <c r="EG33" s="10">
        <f t="shared" si="142"/>
        <v>17</v>
      </c>
      <c r="EH33" s="10">
        <f t="shared" si="143"/>
        <v>17</v>
      </c>
      <c r="EI33" s="10">
        <f t="shared" si="144"/>
        <v>17</v>
      </c>
      <c r="EJ33" s="10">
        <f t="shared" si="145"/>
        <v>17</v>
      </c>
      <c r="EK33" s="10">
        <f t="shared" si="146"/>
        <v>17</v>
      </c>
      <c r="EL33" s="10">
        <f t="shared" si="147"/>
        <v>17</v>
      </c>
      <c r="EM33" s="10">
        <f t="shared" si="148"/>
        <v>17</v>
      </c>
      <c r="EN33" s="10">
        <f t="shared" si="149"/>
        <v>17</v>
      </c>
      <c r="EO33" s="10">
        <f t="shared" si="150"/>
        <v>17</v>
      </c>
      <c r="EP33" s="10">
        <f t="shared" si="151"/>
        <v>17</v>
      </c>
      <c r="EQ33" s="10">
        <f t="shared" si="152"/>
        <v>17</v>
      </c>
      <c r="ES33" s="10">
        <f t="shared" si="153"/>
        <v>17</v>
      </c>
      <c r="ET33" s="10">
        <f t="shared" si="154"/>
        <v>17</v>
      </c>
      <c r="EU33" s="10">
        <f t="shared" si="155"/>
        <v>17</v>
      </c>
      <c r="EV33" s="10">
        <f t="shared" si="154"/>
        <v>17</v>
      </c>
      <c r="EW33" s="10">
        <f t="shared" si="156"/>
        <v>17</v>
      </c>
      <c r="EX33" s="10">
        <f t="shared" si="157"/>
        <v>17</v>
      </c>
      <c r="EY33" s="10">
        <f t="shared" si="158"/>
        <v>17</v>
      </c>
      <c r="EZ33" s="10">
        <f t="shared" si="159"/>
        <v>17</v>
      </c>
      <c r="FA33" s="10">
        <f t="shared" si="160"/>
        <v>17</v>
      </c>
      <c r="FB33" s="10">
        <f t="shared" si="161"/>
        <v>17</v>
      </c>
      <c r="FC33" s="10">
        <f t="shared" si="162"/>
        <v>17</v>
      </c>
      <c r="FD33" s="10">
        <f t="shared" si="163"/>
        <v>17</v>
      </c>
      <c r="FE33" s="10">
        <f t="shared" si="164"/>
        <v>17</v>
      </c>
      <c r="FF33" s="10">
        <f t="shared" si="165"/>
        <v>17</v>
      </c>
      <c r="FG33" s="10">
        <f t="shared" si="166"/>
        <v>17</v>
      </c>
      <c r="FH33" s="10">
        <f t="shared" si="167"/>
        <v>17</v>
      </c>
      <c r="FJ33" s="10">
        <f t="shared" si="168"/>
        <v>17</v>
      </c>
      <c r="FK33" s="10">
        <f t="shared" si="169"/>
        <v>17</v>
      </c>
      <c r="FL33" s="10">
        <f t="shared" si="170"/>
        <v>17</v>
      </c>
      <c r="FM33" s="10">
        <f t="shared" si="171"/>
        <v>17</v>
      </c>
      <c r="FN33" s="10">
        <f t="shared" si="172"/>
        <v>17</v>
      </c>
      <c r="FO33" s="10">
        <f t="shared" si="173"/>
        <v>17</v>
      </c>
      <c r="FP33" s="10">
        <f t="shared" si="174"/>
        <v>17</v>
      </c>
      <c r="FQ33" s="10">
        <f t="shared" si="175"/>
        <v>17</v>
      </c>
      <c r="FR33" s="10">
        <f t="shared" si="176"/>
        <v>17</v>
      </c>
      <c r="FS33" s="10">
        <f t="shared" si="177"/>
        <v>17</v>
      </c>
      <c r="FT33" s="10">
        <f t="shared" si="178"/>
        <v>17</v>
      </c>
      <c r="FU33" s="10">
        <f t="shared" si="179"/>
        <v>17</v>
      </c>
      <c r="FV33" s="10">
        <f t="shared" si="180"/>
        <v>17</v>
      </c>
      <c r="FW33" s="10">
        <f t="shared" si="181"/>
        <v>17</v>
      </c>
      <c r="FX33" s="10">
        <f t="shared" si="182"/>
        <v>17</v>
      </c>
      <c r="FY33" s="10">
        <f t="shared" si="183"/>
        <v>17</v>
      </c>
      <c r="GA33" s="10">
        <f>IF(lg!$C$18=1,EB33,IF(lg!$C$18=2,ES33,FJ33))</f>
        <v>17</v>
      </c>
      <c r="GB33" s="10">
        <f>IF(lg!$C$18=1,EC33,IF(lg!$C$18=2,ET33,FK33))</f>
        <v>17</v>
      </c>
      <c r="GC33" s="10">
        <f>IF(lg!$C$18=1,ED33,IF(lg!$C$18=2,EU33,FL33))</f>
        <v>17</v>
      </c>
      <c r="GD33" s="10">
        <f>IF(lg!$C$18=1,EE33,IF(lg!$C$18=2,EV33,FM33))</f>
        <v>17</v>
      </c>
      <c r="GE33" s="10">
        <f>IF(lg!$C$18=1,EF33,IF(lg!$C$18=2,EW33,FN33))</f>
        <v>17</v>
      </c>
      <c r="GF33" s="10">
        <f>IF(lg!$C$18=1,EG33,IF(lg!$C$18=2,EX33,FO33))</f>
        <v>17</v>
      </c>
      <c r="GG33" s="10">
        <f>IF(lg!$C$18=1,EH33,IF(lg!$C$18=2,EY33,FP33))</f>
        <v>17</v>
      </c>
      <c r="GH33" s="10">
        <f>IF(lg!$C$18=1,EI33,IF(lg!$C$18=2,EZ33,FQ33))</f>
        <v>17</v>
      </c>
      <c r="GI33" s="10">
        <f>IF(lg!$C$18=1,EJ33,IF(lg!$C$18=2,FA33,FR33))</f>
        <v>17</v>
      </c>
      <c r="GJ33" s="10">
        <f>IF(lg!$C$18=1,EK33,IF(lg!$C$18=2,FB33,FS33))</f>
        <v>17</v>
      </c>
      <c r="GK33" s="10">
        <f>IF(lg!$C$18=1,EL33,IF(lg!$C$18=2,FC33,FT33))</f>
        <v>17</v>
      </c>
      <c r="GL33" s="10">
        <f>IF(lg!$C$18=1,EM33,IF(lg!$C$18=2,FD33,FU33))</f>
        <v>17</v>
      </c>
      <c r="GM33" s="10">
        <f>IF(lg!$C$18=1,EN33,IF(lg!$C$18=2,FE33,FV33))</f>
        <v>17</v>
      </c>
      <c r="GN33" s="10">
        <f>IF(lg!$C$18=1,EO33,IF(lg!$C$18=2,FF33,FW33))</f>
        <v>17</v>
      </c>
      <c r="GO33" s="10">
        <f>IF(lg!$C$18=1,EP33,IF(lg!$C$18=2,FG33,FX33))</f>
        <v>17</v>
      </c>
      <c r="GP33" s="10">
        <f>IF(lg!$C$18=1,EQ33,IF(lg!$C$18=2,FH33,FY33))</f>
        <v>17</v>
      </c>
      <c r="GR33" s="10" t="e">
        <f t="shared" si="184"/>
        <v>#N/A</v>
      </c>
      <c r="GS33" s="10" t="e">
        <f t="shared" si="31"/>
        <v>#N/A</v>
      </c>
      <c r="GT33" s="10" t="e">
        <f t="shared" si="32"/>
        <v>#N/A</v>
      </c>
      <c r="GU33" s="10" t="e">
        <f t="shared" si="33"/>
        <v>#N/A</v>
      </c>
      <c r="GV33" s="10" t="e">
        <f t="shared" si="34"/>
        <v>#N/A</v>
      </c>
      <c r="GW33" s="10" t="e">
        <f t="shared" si="35"/>
        <v>#N/A</v>
      </c>
      <c r="GX33" s="10" t="e">
        <f t="shared" si="36"/>
        <v>#N/A</v>
      </c>
      <c r="GY33" s="10" t="e">
        <f t="shared" si="37"/>
        <v>#N/A</v>
      </c>
      <c r="GZ33" s="10" t="e">
        <f t="shared" si="38"/>
        <v>#N/A</v>
      </c>
      <c r="HA33" s="10" t="e">
        <f t="shared" si="39"/>
        <v>#N/A</v>
      </c>
      <c r="HB33" s="10" t="e">
        <f t="shared" si="40"/>
        <v>#N/A</v>
      </c>
      <c r="HC33" s="10" t="e">
        <f t="shared" si="41"/>
        <v>#N/A</v>
      </c>
      <c r="HD33" s="10" t="e">
        <f t="shared" si="42"/>
        <v>#N/A</v>
      </c>
      <c r="HE33" s="10" t="e">
        <f t="shared" si="43"/>
        <v>#N/A</v>
      </c>
      <c r="HF33" s="10" t="e">
        <f t="shared" si="44"/>
        <v>#N/A</v>
      </c>
      <c r="HG33" s="10" t="e">
        <f t="shared" si="45"/>
        <v>#N/A</v>
      </c>
      <c r="HI33" s="10">
        <v>30</v>
      </c>
      <c r="HJ33" s="115">
        <f>IF(lg!$C$18=1,F33,IF(lg!$C$18=2,R33,AD33))</f>
        <v>0</v>
      </c>
      <c r="HK33" s="115">
        <f>IF(lg!$C$18=1,G33,IF(lg!$C$18=2,S33,AE33))</f>
        <v>0</v>
      </c>
      <c r="HL33" s="115">
        <f>IF(lg!$C$18=1,H33,IF(lg!$C$18=2,T33,AF33))</f>
        <v>0</v>
      </c>
      <c r="HM33" s="115">
        <f>IF(lg!$C$18=1,I33,IF(lg!$C$18=2,U33,AG33))</f>
        <v>0</v>
      </c>
      <c r="HN33" s="115">
        <f>IF(lg!$C$18=1,J33,IF(lg!$C$18=2,V33,AH33))</f>
        <v>0</v>
      </c>
      <c r="HO33" s="115">
        <f>IF(lg!$C$18=1,K33,IF(lg!$C$18=2,W33,AI33))</f>
        <v>0</v>
      </c>
      <c r="HP33" s="115">
        <f>IF(lg!$C$18=1,L33,IF(lg!$C$18=2,X33,AJ33))</f>
        <v>0</v>
      </c>
      <c r="HQ33" s="115">
        <f>IF(lg!$C$18=1,M33,IF(lg!$C$18=2,Y33,AK33))</f>
        <v>0</v>
      </c>
      <c r="HR33" s="115">
        <f>IF(lg!$C$18=1,N33,IF(lg!$C$18=2,Z33,AL33))</f>
        <v>0</v>
      </c>
      <c r="HS33" s="115">
        <f>IF(lg!$C$18=1,O33,IF(lg!$C$18=2,AA33,AM33))</f>
        <v>0</v>
      </c>
      <c r="HT33" s="115">
        <f>IF(lg!$C$18=1,P33,IF(lg!$C$18=2,AB33,AN33))</f>
        <v>0</v>
      </c>
      <c r="HV33" s="115">
        <f t="shared" si="185"/>
        <v>0</v>
      </c>
      <c r="HW33" s="115">
        <f t="shared" si="186"/>
        <v>0</v>
      </c>
      <c r="HX33" s="115">
        <f t="shared" si="187"/>
        <v>0</v>
      </c>
      <c r="HY33" s="115">
        <f t="shared" si="188"/>
        <v>0</v>
      </c>
      <c r="HZ33" s="115">
        <f t="shared" si="189"/>
        <v>0</v>
      </c>
      <c r="IA33" s="115">
        <f t="shared" si="190"/>
        <v>0</v>
      </c>
      <c r="IB33" s="115">
        <f t="shared" si="191"/>
        <v>0</v>
      </c>
      <c r="IC33" s="115">
        <f t="shared" si="192"/>
        <v>0</v>
      </c>
      <c r="ID33" s="115">
        <f t="shared" si="193"/>
        <v>0</v>
      </c>
      <c r="IE33" s="115">
        <f t="shared" si="194"/>
        <v>0</v>
      </c>
      <c r="IF33" s="115">
        <f t="shared" si="195"/>
        <v>0</v>
      </c>
      <c r="IG33" s="115">
        <f t="shared" si="196"/>
        <v>0</v>
      </c>
      <c r="IH33" s="115">
        <f t="shared" si="197"/>
        <v>0</v>
      </c>
      <c r="II33" s="115">
        <f t="shared" si="198"/>
        <v>0</v>
      </c>
      <c r="IJ33" s="115">
        <f t="shared" si="199"/>
        <v>0</v>
      </c>
      <c r="IK33" s="115">
        <f t="shared" si="200"/>
        <v>0</v>
      </c>
      <c r="IN33" s="77"/>
      <c r="IO33" s="77" t="s">
        <v>136</v>
      </c>
      <c r="IP33" s="67">
        <f>IF(lg!$F$18=1,IP7,IF(lg!$F$18=2,IP15,IP23))</f>
        <v>32</v>
      </c>
      <c r="IQ33" s="67">
        <f>IF(lg!$F$18=1,IQ7,IF(lg!$F$18=2,IQ15,IQ23))</f>
        <v>20</v>
      </c>
      <c r="IR33" s="134">
        <f>IF(lg!$F$18=1,IR7,IF(lg!$F$18=2,IR15,IR23))</f>
        <v>1.6</v>
      </c>
      <c r="IS33" s="133">
        <f>IF(lg!$F$18=1,IS7,IF(lg!$F$18=2,IS15,IS23))</f>
        <v>2</v>
      </c>
      <c r="IT33" s="67"/>
      <c r="IU33" s="77" t="s">
        <v>136</v>
      </c>
      <c r="IV33" s="67">
        <f>IF(lg!$F$18=1,IV7,IF(lg!$F$18=2,IV15,IV23))</f>
        <v>27</v>
      </c>
      <c r="IW33" s="67">
        <f>IF(lg!$F$18=1,IW7,IF(lg!$F$18=2,IW15,IW23))</f>
        <v>19</v>
      </c>
      <c r="IX33" s="134">
        <f>IF(lg!$F$18=1,IX7,IF(lg!$F$18=2,IX15,IX23))</f>
        <v>1.4210526315789473</v>
      </c>
      <c r="IY33" s="133">
        <f>IF(lg!$F$18=1,IY7,IF(lg!$F$18=2,IY15,IY23))</f>
        <v>4</v>
      </c>
      <c r="IZ33" s="133"/>
      <c r="JB33" s="10">
        <f>IF(lg!$F$18=1,EB33,IF(lg!$F$18=2,ES33,FJ33))</f>
        <v>17</v>
      </c>
      <c r="JC33" s="10">
        <f>IF(lg!$F$18=1,EC33,IF(lg!$F$18=2,ET33,FK33))</f>
        <v>17</v>
      </c>
      <c r="JD33" s="10">
        <f>IF(lg!$F$18=1,ED33,IF(lg!$F$18=2,EU33,FL33))</f>
        <v>17</v>
      </c>
      <c r="JE33" s="10">
        <f>IF(lg!$F$18=1,EE33,IF(lg!$F$18=2,EV33,FM33))</f>
        <v>17</v>
      </c>
      <c r="JF33" s="10">
        <f>IF(lg!$F$18=1,EF33,IF(lg!$F$18=2,EW33,FN33))</f>
        <v>17</v>
      </c>
      <c r="JG33" s="10">
        <f>IF(lg!$F$18=1,EG33,IF(lg!$F$18=2,EX33,FO33))</f>
        <v>17</v>
      </c>
      <c r="JH33" s="10">
        <f>IF(lg!$F$18=1,EH33,IF(lg!$F$18=2,EY33,FP33))</f>
        <v>17</v>
      </c>
      <c r="JI33" s="10">
        <f>IF(lg!$F$18=1,EI33,IF(lg!$F$18=2,EZ33,FQ33))</f>
        <v>17</v>
      </c>
      <c r="JJ33" s="10">
        <f>IF(lg!$F$18=1,EJ33,IF(lg!$F$18=2,FA33,FR33))</f>
        <v>17</v>
      </c>
      <c r="JK33" s="10">
        <f>IF(lg!$F$18=1,EK33,IF(lg!$F$18=2,FB33,FS33))</f>
        <v>17</v>
      </c>
      <c r="JL33" s="10">
        <f>IF(lg!$F$18=1,EL33,IF(lg!$F$18=2,FC33,FT33))</f>
        <v>17</v>
      </c>
      <c r="JM33" s="10">
        <f>IF(lg!$F$18=1,EM33,IF(lg!$F$18=2,FD33,FU33))</f>
        <v>17</v>
      </c>
      <c r="JN33" s="10">
        <f>IF(lg!$F$18=1,EN33,IF(lg!$F$18=2,FE33,FV33))</f>
        <v>17</v>
      </c>
      <c r="JO33" s="10">
        <f>IF(lg!$F$18=1,EO33,IF(lg!$F$18=2,FF33,FW33))</f>
        <v>17</v>
      </c>
      <c r="JP33" s="10">
        <f>IF(lg!$F$18=1,EP33,IF(lg!$F$18=2,FG33,FX33))</f>
        <v>17</v>
      </c>
      <c r="JQ33" s="10">
        <f>IF(lg!$F$18=1,EQ33,IF(lg!$F$18=2,FH33,FY33))</f>
        <v>17</v>
      </c>
      <c r="JS33" s="10" t="e">
        <f t="shared" si="201"/>
        <v>#N/A</v>
      </c>
      <c r="JT33" s="10" t="e">
        <f t="shared" si="49"/>
        <v>#N/A</v>
      </c>
      <c r="JU33" s="10" t="e">
        <f t="shared" si="50"/>
        <v>#N/A</v>
      </c>
      <c r="JV33" s="10" t="e">
        <f t="shared" si="51"/>
        <v>#N/A</v>
      </c>
      <c r="JW33" s="10" t="e">
        <f t="shared" si="52"/>
        <v>#N/A</v>
      </c>
      <c r="JX33" s="10" t="e">
        <f t="shared" si="53"/>
        <v>#N/A</v>
      </c>
      <c r="JY33" s="10" t="e">
        <f t="shared" si="54"/>
        <v>#N/A</v>
      </c>
      <c r="JZ33" s="10" t="e">
        <f t="shared" si="55"/>
        <v>#N/A</v>
      </c>
      <c r="KA33" s="10" t="e">
        <f t="shared" si="56"/>
        <v>#N/A</v>
      </c>
      <c r="KB33" s="10" t="e">
        <f t="shared" si="57"/>
        <v>#N/A</v>
      </c>
      <c r="KC33" s="10" t="e">
        <f t="shared" si="58"/>
        <v>#N/A</v>
      </c>
      <c r="KD33" s="10" t="e">
        <f t="shared" si="59"/>
        <v>#N/A</v>
      </c>
      <c r="KE33" s="10" t="e">
        <f t="shared" si="60"/>
        <v>#N/A</v>
      </c>
      <c r="KF33" s="10" t="e">
        <f t="shared" si="61"/>
        <v>#N/A</v>
      </c>
      <c r="KG33" s="10" t="e">
        <f t="shared" si="62"/>
        <v>#N/A</v>
      </c>
      <c r="KH33" s="10" t="e">
        <f t="shared" si="63"/>
        <v>#N/A</v>
      </c>
      <c r="KL33" s="27">
        <v>0.01</v>
      </c>
      <c r="KM33" s="29">
        <v>30</v>
      </c>
      <c r="KN33" s="31">
        <f t="shared" si="202"/>
        <v>0</v>
      </c>
      <c r="KO33" s="152">
        <f t="shared" si="203"/>
        <v>0</v>
      </c>
      <c r="KP33" s="152">
        <f t="shared" si="204"/>
        <v>0</v>
      </c>
      <c r="KQ33" s="152">
        <f t="shared" si="205"/>
        <v>0</v>
      </c>
      <c r="KR33" s="28">
        <f t="shared" si="206"/>
        <v>-10000000000</v>
      </c>
      <c r="KS33" s="29"/>
      <c r="KT33" s="28"/>
      <c r="KU33" s="29">
        <f t="shared" si="408"/>
        <v>17</v>
      </c>
      <c r="KV33" s="152">
        <f t="shared" si="207"/>
        <v>0</v>
      </c>
      <c r="KW33" s="152">
        <f t="shared" si="208"/>
        <v>0</v>
      </c>
      <c r="KX33" s="152">
        <f t="shared" si="209"/>
        <v>0</v>
      </c>
      <c r="KY33" s="28">
        <f t="shared" si="210"/>
        <v>-10000000000</v>
      </c>
      <c r="KZ33" s="29"/>
      <c r="LA33" s="28"/>
      <c r="LB33" s="29">
        <f t="shared" si="409"/>
        <v>17</v>
      </c>
      <c r="LC33" s="152">
        <f t="shared" si="211"/>
        <v>0</v>
      </c>
      <c r="LD33" s="152">
        <f t="shared" si="212"/>
        <v>0</v>
      </c>
      <c r="LE33" s="152">
        <f t="shared" si="213"/>
        <v>0</v>
      </c>
      <c r="LF33" s="28">
        <f t="shared" si="214"/>
        <v>-10000000000</v>
      </c>
      <c r="LG33" s="29"/>
      <c r="LH33" s="28"/>
      <c r="LI33" s="29">
        <f t="shared" si="410"/>
        <v>17</v>
      </c>
      <c r="LJ33" s="152">
        <f t="shared" si="215"/>
        <v>0</v>
      </c>
      <c r="LK33" s="152">
        <f t="shared" si="216"/>
        <v>0</v>
      </c>
      <c r="LL33" s="152">
        <f t="shared" si="217"/>
        <v>0</v>
      </c>
      <c r="LM33" s="28">
        <f t="shared" si="218"/>
        <v>-10000000000</v>
      </c>
      <c r="LN33" s="29"/>
      <c r="LO33" s="28"/>
      <c r="LP33" s="29">
        <f t="shared" si="411"/>
        <v>17</v>
      </c>
      <c r="LQ33" s="152">
        <f t="shared" si="219"/>
        <v>0</v>
      </c>
      <c r="LR33" s="152">
        <f t="shared" si="220"/>
        <v>0</v>
      </c>
      <c r="LS33" s="152">
        <f t="shared" si="221"/>
        <v>0</v>
      </c>
      <c r="LT33" s="28">
        <f t="shared" si="222"/>
        <v>-10000000000</v>
      </c>
      <c r="LU33" s="29"/>
      <c r="LV33" s="28"/>
      <c r="LW33" s="29">
        <f t="shared" si="412"/>
        <v>17</v>
      </c>
      <c r="LX33" s="152">
        <f t="shared" si="223"/>
        <v>0</v>
      </c>
      <c r="LY33" s="152">
        <f t="shared" si="224"/>
        <v>0</v>
      </c>
      <c r="LZ33" s="152">
        <f t="shared" si="225"/>
        <v>0</v>
      </c>
      <c r="MA33" s="28">
        <f t="shared" si="226"/>
        <v>-10000000000</v>
      </c>
      <c r="MB33" s="29"/>
      <c r="MC33" s="28"/>
      <c r="MD33" s="29">
        <f t="shared" si="413"/>
        <v>17</v>
      </c>
      <c r="ME33" s="152">
        <f t="shared" si="227"/>
        <v>0</v>
      </c>
      <c r="MF33" s="152">
        <f t="shared" si="228"/>
        <v>0</v>
      </c>
      <c r="MG33" s="152">
        <f t="shared" si="229"/>
        <v>0</v>
      </c>
      <c r="MH33" s="28">
        <f t="shared" si="230"/>
        <v>-10000000000</v>
      </c>
      <c r="MI33" s="29"/>
      <c r="MJ33" s="28"/>
      <c r="MK33" s="29">
        <f t="shared" si="414"/>
        <v>17</v>
      </c>
      <c r="ML33" s="152">
        <f t="shared" si="231"/>
        <v>0</v>
      </c>
      <c r="MM33" s="152">
        <f t="shared" si="232"/>
        <v>0</v>
      </c>
      <c r="MN33" s="152">
        <f t="shared" si="233"/>
        <v>0</v>
      </c>
      <c r="MO33" s="28">
        <f t="shared" si="234"/>
        <v>-10000000000</v>
      </c>
      <c r="MP33" s="29"/>
      <c r="MQ33" s="28"/>
      <c r="MR33" s="29">
        <f t="shared" si="415"/>
        <v>17</v>
      </c>
      <c r="MS33" s="152">
        <f t="shared" si="235"/>
        <v>0</v>
      </c>
      <c r="MT33" s="152">
        <f t="shared" si="236"/>
        <v>0</v>
      </c>
      <c r="MU33" s="152">
        <f t="shared" si="237"/>
        <v>0</v>
      </c>
      <c r="MV33" s="28">
        <f t="shared" si="238"/>
        <v>-10000000000</v>
      </c>
      <c r="MW33" s="29"/>
      <c r="MX33" s="28"/>
      <c r="MY33" s="29">
        <f t="shared" si="416"/>
        <v>17</v>
      </c>
      <c r="MZ33" s="152">
        <f t="shared" si="239"/>
        <v>0</v>
      </c>
      <c r="NA33" s="152">
        <f t="shared" si="240"/>
        <v>0</v>
      </c>
      <c r="NB33" s="152">
        <f t="shared" si="241"/>
        <v>0</v>
      </c>
      <c r="NC33" s="28">
        <f t="shared" si="242"/>
        <v>-10000000000</v>
      </c>
      <c r="ND33" s="29"/>
      <c r="NE33" s="28"/>
      <c r="NF33" s="29">
        <f t="shared" si="417"/>
        <v>17</v>
      </c>
      <c r="NG33" s="152">
        <f t="shared" si="243"/>
        <v>0</v>
      </c>
      <c r="NH33" s="152">
        <f t="shared" si="244"/>
        <v>0</v>
      </c>
      <c r="NI33" s="152">
        <f t="shared" si="245"/>
        <v>0</v>
      </c>
      <c r="NJ33" s="28">
        <f t="shared" si="246"/>
        <v>-10000000000</v>
      </c>
      <c r="NK33" s="29"/>
      <c r="NL33" s="28"/>
      <c r="NM33" s="29">
        <f t="shared" si="418"/>
        <v>17</v>
      </c>
      <c r="NN33" s="152">
        <f t="shared" si="247"/>
        <v>0</v>
      </c>
      <c r="NO33" s="152">
        <f t="shared" si="248"/>
        <v>0</v>
      </c>
      <c r="NP33" s="152">
        <f t="shared" si="249"/>
        <v>0</v>
      </c>
      <c r="NQ33" s="28">
        <f t="shared" si="250"/>
        <v>-10000000000</v>
      </c>
      <c r="NR33" s="29"/>
      <c r="NS33" s="28"/>
      <c r="NT33" s="29">
        <f t="shared" si="419"/>
        <v>17</v>
      </c>
      <c r="NU33" s="152">
        <f t="shared" si="251"/>
        <v>0</v>
      </c>
      <c r="NV33" s="152">
        <f t="shared" si="252"/>
        <v>0</v>
      </c>
      <c r="NW33" s="152">
        <f t="shared" si="253"/>
        <v>0</v>
      </c>
      <c r="NX33" s="28">
        <f t="shared" si="254"/>
        <v>-10000000000</v>
      </c>
      <c r="NY33" s="29"/>
      <c r="NZ33" s="28"/>
      <c r="OA33" s="29">
        <f t="shared" si="420"/>
        <v>17</v>
      </c>
      <c r="OB33" s="152">
        <f t="shared" si="255"/>
        <v>0</v>
      </c>
      <c r="OC33" s="152">
        <f t="shared" si="256"/>
        <v>0</v>
      </c>
      <c r="OD33" s="152">
        <f t="shared" si="257"/>
        <v>0</v>
      </c>
      <c r="OE33" s="28">
        <f t="shared" si="258"/>
        <v>-10000000000</v>
      </c>
      <c r="OF33" s="29"/>
      <c r="OG33" s="28"/>
      <c r="OH33" s="29">
        <f t="shared" si="421"/>
        <v>17</v>
      </c>
      <c r="OI33" s="152">
        <f t="shared" si="259"/>
        <v>0</v>
      </c>
      <c r="OJ33" s="152">
        <f t="shared" si="260"/>
        <v>0</v>
      </c>
      <c r="OK33" s="152">
        <f t="shared" si="261"/>
        <v>0</v>
      </c>
      <c r="OL33" s="28">
        <f t="shared" si="262"/>
        <v>-10000000000</v>
      </c>
      <c r="OM33" s="29"/>
      <c r="ON33" s="28"/>
      <c r="OO33" s="29">
        <f t="shared" si="422"/>
        <v>17</v>
      </c>
      <c r="OP33" s="152">
        <f t="shared" si="263"/>
        <v>0</v>
      </c>
      <c r="OQ33" s="152">
        <f t="shared" si="264"/>
        <v>0</v>
      </c>
      <c r="OR33" s="152">
        <f t="shared" si="265"/>
        <v>0</v>
      </c>
      <c r="OS33" s="28">
        <f t="shared" si="266"/>
        <v>-10000000000</v>
      </c>
      <c r="OT33" s="29"/>
      <c r="OU33" s="28"/>
      <c r="OV33" s="29">
        <f t="shared" si="423"/>
        <v>17</v>
      </c>
      <c r="OW33" s="152">
        <f t="shared" si="267"/>
        <v>0</v>
      </c>
      <c r="OX33" s="152">
        <f t="shared" si="268"/>
        <v>0</v>
      </c>
      <c r="OY33" s="152">
        <f t="shared" si="269"/>
        <v>0</v>
      </c>
      <c r="OZ33" s="28">
        <f t="shared" si="270"/>
        <v>-10000000000</v>
      </c>
      <c r="PA33" s="29"/>
      <c r="PB33" s="28"/>
      <c r="PC33" s="29">
        <f t="shared" si="424"/>
        <v>17</v>
      </c>
      <c r="PD33" s="152">
        <f t="shared" si="271"/>
        <v>0</v>
      </c>
      <c r="PE33" s="152">
        <f t="shared" si="272"/>
        <v>0</v>
      </c>
      <c r="PF33" s="152">
        <f t="shared" si="273"/>
        <v>0</v>
      </c>
      <c r="PG33" s="28">
        <f t="shared" si="274"/>
        <v>-10000000000</v>
      </c>
      <c r="PH33" s="29"/>
      <c r="PI33" s="28"/>
      <c r="PJ33" s="29">
        <f t="shared" si="425"/>
        <v>17</v>
      </c>
      <c r="PK33" s="152">
        <f t="shared" si="275"/>
        <v>0</v>
      </c>
      <c r="PL33" s="152">
        <f t="shared" si="276"/>
        <v>0</v>
      </c>
      <c r="PM33" s="152">
        <f t="shared" si="277"/>
        <v>0</v>
      </c>
      <c r="PN33" s="28">
        <f t="shared" si="278"/>
        <v>-10000000000</v>
      </c>
      <c r="PO33" s="29"/>
      <c r="PP33" s="28"/>
      <c r="PQ33" s="29">
        <f t="shared" si="426"/>
        <v>17</v>
      </c>
      <c r="PR33" s="152">
        <f t="shared" si="279"/>
        <v>0</v>
      </c>
      <c r="PS33" s="152">
        <f t="shared" si="280"/>
        <v>0</v>
      </c>
      <c r="PT33" s="152">
        <f t="shared" si="281"/>
        <v>0</v>
      </c>
      <c r="PU33" s="28">
        <f t="shared" si="282"/>
        <v>-10000000000</v>
      </c>
      <c r="PV33" s="29"/>
      <c r="PW33" s="28"/>
      <c r="PX33" s="29">
        <f t="shared" si="427"/>
        <v>17</v>
      </c>
      <c r="PY33" s="152">
        <f t="shared" si="283"/>
        <v>0</v>
      </c>
      <c r="PZ33" s="152">
        <f t="shared" si="284"/>
        <v>0</v>
      </c>
      <c r="QA33" s="152">
        <f t="shared" si="285"/>
        <v>0</v>
      </c>
      <c r="QB33" s="28">
        <f t="shared" si="286"/>
        <v>-10000000000</v>
      </c>
      <c r="QC33" s="29"/>
      <c r="QD33" s="28"/>
      <c r="QE33" s="29">
        <f t="shared" si="428"/>
        <v>17</v>
      </c>
      <c r="QF33" s="152">
        <f t="shared" si="287"/>
        <v>0</v>
      </c>
      <c r="QG33" s="152">
        <f t="shared" si="288"/>
        <v>0</v>
      </c>
      <c r="QH33" s="152">
        <f t="shared" si="289"/>
        <v>0</v>
      </c>
      <c r="QI33" s="28">
        <f t="shared" si="290"/>
        <v>-10000000000</v>
      </c>
      <c r="QJ33" s="29"/>
      <c r="QK33" s="28"/>
      <c r="QL33" s="29">
        <f t="shared" si="429"/>
        <v>17</v>
      </c>
      <c r="QM33" s="152">
        <f t="shared" si="291"/>
        <v>0</v>
      </c>
      <c r="QN33" s="152">
        <f t="shared" si="292"/>
        <v>0</v>
      </c>
      <c r="QO33" s="152">
        <f t="shared" si="293"/>
        <v>0</v>
      </c>
      <c r="QP33" s="28">
        <f t="shared" si="294"/>
        <v>-10000000000</v>
      </c>
      <c r="QQ33" s="29"/>
      <c r="QR33" s="28"/>
      <c r="QS33" s="29">
        <f t="shared" si="430"/>
        <v>17</v>
      </c>
      <c r="QT33" s="152">
        <f t="shared" si="295"/>
        <v>0</v>
      </c>
      <c r="QU33" s="152">
        <f t="shared" si="296"/>
        <v>0</v>
      </c>
      <c r="QV33" s="152">
        <f t="shared" si="297"/>
        <v>0</v>
      </c>
      <c r="QW33" s="28">
        <f t="shared" si="298"/>
        <v>-10000000000</v>
      </c>
      <c r="QX33" s="29"/>
      <c r="QY33" s="28"/>
      <c r="QZ33" s="29">
        <f t="shared" si="431"/>
        <v>17</v>
      </c>
      <c r="RA33" s="152">
        <f t="shared" si="299"/>
        <v>0</v>
      </c>
      <c r="RB33" s="152">
        <f t="shared" si="300"/>
        <v>0</v>
      </c>
      <c r="RC33" s="152">
        <f t="shared" si="301"/>
        <v>0</v>
      </c>
      <c r="RD33" s="28">
        <f t="shared" si="302"/>
        <v>-10000000000</v>
      </c>
      <c r="RE33" s="29"/>
      <c r="RF33" s="28"/>
      <c r="RG33" s="29">
        <f t="shared" si="432"/>
        <v>17</v>
      </c>
      <c r="RH33" s="152">
        <f t="shared" si="303"/>
        <v>0</v>
      </c>
      <c r="RI33" s="152">
        <f t="shared" si="304"/>
        <v>0</v>
      </c>
      <c r="RJ33" s="152">
        <f t="shared" si="305"/>
        <v>0</v>
      </c>
      <c r="RK33" s="28">
        <f t="shared" si="306"/>
        <v>-10000000000</v>
      </c>
      <c r="RL33" s="29"/>
      <c r="RM33" s="28"/>
      <c r="RN33" s="29">
        <f t="shared" si="433"/>
        <v>17</v>
      </c>
      <c r="RO33" s="152">
        <f t="shared" si="307"/>
        <v>0</v>
      </c>
      <c r="RP33" s="152">
        <f t="shared" si="308"/>
        <v>0</v>
      </c>
      <c r="RQ33" s="152">
        <f t="shared" si="309"/>
        <v>0</v>
      </c>
      <c r="RR33" s="28">
        <f t="shared" si="310"/>
        <v>-10000000000</v>
      </c>
      <c r="RS33" s="29"/>
      <c r="RT33" s="28"/>
      <c r="RU33" s="29">
        <f t="shared" si="434"/>
        <v>17</v>
      </c>
      <c r="RV33" s="152">
        <f t="shared" si="311"/>
        <v>0</v>
      </c>
      <c r="RW33" s="152">
        <f t="shared" si="312"/>
        <v>0</v>
      </c>
      <c r="RX33" s="152">
        <f t="shared" si="313"/>
        <v>0</v>
      </c>
      <c r="RY33" s="28">
        <f t="shared" si="314"/>
        <v>-10000000000</v>
      </c>
      <c r="RZ33" s="29"/>
      <c r="SA33" s="28"/>
      <c r="SB33" s="29">
        <f t="shared" si="435"/>
        <v>17</v>
      </c>
      <c r="SC33" s="152">
        <f t="shared" si="315"/>
        <v>0</v>
      </c>
      <c r="SD33" s="152">
        <f t="shared" si="316"/>
        <v>0</v>
      </c>
      <c r="SE33" s="152">
        <f t="shared" si="317"/>
        <v>0</v>
      </c>
      <c r="SF33" s="28">
        <f t="shared" si="318"/>
        <v>-10000000000</v>
      </c>
      <c r="SG33" s="29"/>
      <c r="SH33" s="28"/>
      <c r="SI33" s="29">
        <f t="shared" si="436"/>
        <v>17</v>
      </c>
      <c r="SJ33" s="152">
        <f t="shared" si="319"/>
        <v>0</v>
      </c>
      <c r="SK33" s="152">
        <f t="shared" si="320"/>
        <v>0</v>
      </c>
      <c r="SL33" s="152">
        <f t="shared" si="321"/>
        <v>0</v>
      </c>
      <c r="SM33" s="28">
        <f t="shared" si="322"/>
        <v>-10000000000</v>
      </c>
      <c r="SN33" s="29"/>
      <c r="SO33" s="28"/>
      <c r="SP33" s="29">
        <f t="shared" si="437"/>
        <v>17</v>
      </c>
      <c r="SQ33" s="152">
        <f t="shared" si="323"/>
        <v>0</v>
      </c>
      <c r="SR33" s="152">
        <f t="shared" si="324"/>
        <v>0</v>
      </c>
      <c r="SS33" s="152">
        <f t="shared" si="325"/>
        <v>0</v>
      </c>
      <c r="ST33" s="28">
        <f t="shared" si="326"/>
        <v>-10000000000</v>
      </c>
      <c r="SU33" s="29"/>
      <c r="SV33" s="28"/>
      <c r="SW33" s="29">
        <f t="shared" si="438"/>
        <v>17</v>
      </c>
      <c r="SX33" s="152">
        <f t="shared" si="327"/>
        <v>0</v>
      </c>
      <c r="SY33" s="152">
        <f t="shared" si="328"/>
        <v>0</v>
      </c>
      <c r="SZ33" s="152">
        <f t="shared" si="329"/>
        <v>0</v>
      </c>
      <c r="TA33" s="28">
        <f t="shared" si="330"/>
        <v>-10000000000</v>
      </c>
      <c r="TB33" s="29"/>
      <c r="TC33" s="28"/>
      <c r="TD33" s="29">
        <f t="shared" si="439"/>
        <v>17</v>
      </c>
      <c r="TE33" s="152">
        <f t="shared" si="331"/>
        <v>0</v>
      </c>
      <c r="TF33" s="152">
        <f t="shared" si="332"/>
        <v>0</v>
      </c>
      <c r="TG33" s="152">
        <f t="shared" si="333"/>
        <v>0</v>
      </c>
      <c r="TH33" s="28">
        <f t="shared" si="334"/>
        <v>-10000000000</v>
      </c>
      <c r="TI33" s="29"/>
      <c r="TJ33" s="28"/>
      <c r="TK33" s="29">
        <f t="shared" si="440"/>
        <v>17</v>
      </c>
      <c r="TL33" s="152">
        <f t="shared" si="335"/>
        <v>0</v>
      </c>
      <c r="TM33" s="152">
        <f t="shared" si="336"/>
        <v>0</v>
      </c>
      <c r="TN33" s="152">
        <f t="shared" si="337"/>
        <v>0</v>
      </c>
      <c r="TO33" s="28">
        <f t="shared" si="338"/>
        <v>-10000000000</v>
      </c>
      <c r="TP33" s="29"/>
      <c r="TQ33" s="28"/>
      <c r="TR33" s="29">
        <f t="shared" si="441"/>
        <v>17</v>
      </c>
      <c r="TS33" s="152">
        <f t="shared" si="339"/>
        <v>0</v>
      </c>
      <c r="TT33" s="152">
        <f t="shared" si="340"/>
        <v>0</v>
      </c>
      <c r="TU33" s="152">
        <f t="shared" si="341"/>
        <v>0</v>
      </c>
      <c r="TV33" s="28">
        <f t="shared" si="342"/>
        <v>-10000000000</v>
      </c>
      <c r="TW33" s="29"/>
      <c r="TX33" s="28"/>
      <c r="TY33" s="29">
        <f t="shared" si="442"/>
        <v>17</v>
      </c>
      <c r="TZ33" s="152">
        <f t="shared" si="343"/>
        <v>0</v>
      </c>
      <c r="UA33" s="152">
        <f t="shared" si="344"/>
        <v>0</v>
      </c>
      <c r="UB33" s="152">
        <f t="shared" si="345"/>
        <v>0</v>
      </c>
      <c r="UC33" s="28">
        <f t="shared" si="346"/>
        <v>-10000000000</v>
      </c>
      <c r="UD33" s="29"/>
      <c r="UE33" s="28"/>
      <c r="UF33" s="29">
        <f t="shared" si="443"/>
        <v>17</v>
      </c>
      <c r="UG33" s="152">
        <f t="shared" si="347"/>
        <v>0</v>
      </c>
      <c r="UH33" s="152">
        <f t="shared" si="348"/>
        <v>0</v>
      </c>
      <c r="UI33" s="152">
        <f t="shared" si="349"/>
        <v>0</v>
      </c>
      <c r="UJ33" s="28">
        <f t="shared" si="350"/>
        <v>-10000000000</v>
      </c>
      <c r="UK33" s="29"/>
      <c r="UL33" s="28"/>
      <c r="UM33" s="29">
        <f t="shared" si="444"/>
        <v>17</v>
      </c>
      <c r="UN33" s="152">
        <f t="shared" si="351"/>
        <v>0</v>
      </c>
      <c r="UO33" s="152">
        <f t="shared" si="352"/>
        <v>0</v>
      </c>
      <c r="UP33" s="152">
        <f t="shared" si="353"/>
        <v>0</v>
      </c>
      <c r="UQ33" s="28">
        <f t="shared" si="354"/>
        <v>-10000000000</v>
      </c>
      <c r="UR33" s="29"/>
      <c r="US33" s="28"/>
      <c r="UT33" s="29">
        <f t="shared" si="445"/>
        <v>17</v>
      </c>
      <c r="UU33" s="129"/>
      <c r="UV33" s="129">
        <f t="shared" si="355"/>
        <v>0</v>
      </c>
      <c r="UW33" s="129">
        <f t="shared" si="356"/>
        <v>17</v>
      </c>
      <c r="UX33" s="129">
        <f t="shared" ca="1" si="446"/>
        <v>17</v>
      </c>
      <c r="UY33" s="129">
        <f t="shared" ca="1" si="446"/>
        <v>17</v>
      </c>
      <c r="UZ33" s="129">
        <f t="shared" ca="1" si="446"/>
        <v>17</v>
      </c>
      <c r="VA33" s="129">
        <f t="shared" ca="1" si="446"/>
        <v>17</v>
      </c>
      <c r="VB33" s="129">
        <f t="shared" ca="1" si="446"/>
        <v>17</v>
      </c>
      <c r="VC33" s="129">
        <f t="shared" ca="1" si="446"/>
        <v>17</v>
      </c>
      <c r="VD33" s="129">
        <f t="shared" ca="1" si="446"/>
        <v>17</v>
      </c>
      <c r="VE33" s="129">
        <f t="shared" ca="1" si="446"/>
        <v>17</v>
      </c>
      <c r="VF33" s="129">
        <f t="shared" ca="1" si="446"/>
        <v>17</v>
      </c>
      <c r="VG33" s="129">
        <f t="shared" ca="1" si="446"/>
        <v>17</v>
      </c>
      <c r="VH33" s="129">
        <f t="shared" ca="1" si="446"/>
        <v>17</v>
      </c>
      <c r="VI33" s="129">
        <f t="shared" ca="1" si="446"/>
        <v>17</v>
      </c>
      <c r="VJ33" s="129">
        <f t="shared" ca="1" si="446"/>
        <v>17</v>
      </c>
      <c r="VK33" s="129">
        <f t="shared" ca="1" si="446"/>
        <v>17</v>
      </c>
      <c r="VL33" s="129">
        <f t="shared" ca="1" si="446"/>
        <v>17</v>
      </c>
      <c r="VM33" s="129">
        <f t="shared" ca="1" si="446"/>
        <v>17</v>
      </c>
      <c r="VN33" s="129">
        <f t="shared" ca="1" si="406"/>
        <v>17</v>
      </c>
      <c r="VO33" s="129">
        <f t="shared" ca="1" si="406"/>
        <v>17</v>
      </c>
      <c r="VP33" s="129">
        <f t="shared" ca="1" si="406"/>
        <v>17</v>
      </c>
      <c r="VQ33" s="129">
        <f t="shared" ca="1" si="406"/>
        <v>17</v>
      </c>
      <c r="VR33" s="129">
        <f t="shared" ca="1" si="406"/>
        <v>17</v>
      </c>
      <c r="VS33" s="129">
        <f t="shared" ca="1" si="406"/>
        <v>17</v>
      </c>
      <c r="VT33" s="129">
        <f t="shared" ca="1" si="406"/>
        <v>17</v>
      </c>
      <c r="VU33" s="129">
        <f t="shared" ca="1" si="406"/>
        <v>17</v>
      </c>
      <c r="VV33" s="129">
        <f t="shared" ca="1" si="406"/>
        <v>17</v>
      </c>
      <c r="VW33" s="129">
        <f t="shared" ca="1" si="406"/>
        <v>17</v>
      </c>
      <c r="VX33" s="129">
        <f t="shared" ca="1" si="406"/>
        <v>17</v>
      </c>
      <c r="VY33" s="129">
        <f t="shared" ca="1" si="406"/>
        <v>17</v>
      </c>
      <c r="VZ33" s="129">
        <f t="shared" ca="1" si="406"/>
        <v>17</v>
      </c>
      <c r="WA33" s="129">
        <f t="shared" ca="1" si="406"/>
        <v>17</v>
      </c>
      <c r="WB33" s="129">
        <f t="shared" ca="1" si="406"/>
        <v>17</v>
      </c>
      <c r="WC33" s="129">
        <f t="shared" ca="1" si="406"/>
        <v>17</v>
      </c>
      <c r="WD33" s="129">
        <f t="shared" ca="1" si="407"/>
        <v>17</v>
      </c>
      <c r="WE33" s="129">
        <f t="shared" ca="1" si="66"/>
        <v>17</v>
      </c>
      <c r="WF33" s="129">
        <f t="shared" ca="1" si="66"/>
        <v>17</v>
      </c>
      <c r="WG33" s="129">
        <f t="shared" ca="1" si="66"/>
        <v>17</v>
      </c>
      <c r="WH33" s="129">
        <f t="shared" ca="1" si="66"/>
        <v>17</v>
      </c>
      <c r="WK33" s="87">
        <f t="shared" si="358"/>
        <v>0</v>
      </c>
      <c r="WL33" s="87">
        <v>30</v>
      </c>
      <c r="WM33" s="87">
        <v>30</v>
      </c>
      <c r="WN33" s="87">
        <f>IF($WI$3&gt;=WN$3,UW33,NA())</f>
        <v>17</v>
      </c>
      <c r="WO33" s="87">
        <f ca="1">IF($WI$3&gt;=WO$3,UX33,NA())</f>
        <v>17</v>
      </c>
      <c r="WP33" s="87">
        <f ca="1">IF($WI$3&gt;=WP$3,UY33,NA())</f>
        <v>17</v>
      </c>
      <c r="WQ33" s="87">
        <f ca="1">IF($WI$3&gt;=WQ$3,UZ33,NA())</f>
        <v>17</v>
      </c>
      <c r="WR33" s="87">
        <f ca="1">IF($WI$3&gt;=WR$3,VA33,NA())</f>
        <v>17</v>
      </c>
      <c r="WS33" s="87">
        <f ca="1">IF($WI$3&gt;=WS$3,VB33,NA())</f>
        <v>17</v>
      </c>
      <c r="WT33" s="87">
        <f ca="1">IF($WI$3&gt;=WT$3,VC33,NA())</f>
        <v>17</v>
      </c>
      <c r="WU33" s="87">
        <f ca="1">IF($WI$3&gt;=WU$3,VD33,NA())</f>
        <v>17</v>
      </c>
      <c r="WV33" s="87">
        <f ca="1">IF($WI$3&gt;=WV$3,VE33,NA())</f>
        <v>17</v>
      </c>
      <c r="WW33" s="87">
        <f ca="1">IF($WI$3&gt;=WW$3,VF33,NA())</f>
        <v>17</v>
      </c>
      <c r="WX33" s="87">
        <f ca="1">IF($WI$3&gt;=WX$3,VG33,NA())</f>
        <v>17</v>
      </c>
      <c r="WY33" s="87">
        <f ca="1">IF($WI$3&gt;=WY$3,VH33,NA())</f>
        <v>17</v>
      </c>
      <c r="WZ33" s="87">
        <f ca="1">IF($WI$3&gt;=WZ$3,VI33,NA())</f>
        <v>17</v>
      </c>
      <c r="XA33" s="87">
        <f ca="1">IF($WI$3&gt;=XA$3,VJ33,NA())</f>
        <v>17</v>
      </c>
      <c r="XB33" s="87">
        <f ca="1">IF($WI$3&gt;=XB$3,VK33,NA())</f>
        <v>17</v>
      </c>
      <c r="XC33" s="87">
        <f ca="1">IF($WI$3&gt;=XC$3,VL33,NA())</f>
        <v>17</v>
      </c>
      <c r="XD33" s="87">
        <f ca="1">IF($WI$3&gt;=XD$3,VM33,NA())</f>
        <v>17</v>
      </c>
      <c r="XE33" s="87">
        <f ca="1">IF($WI$3&gt;=XE$3,VN33,NA())</f>
        <v>17</v>
      </c>
      <c r="XF33" s="87">
        <f ca="1">IF($WI$3&gt;=XF$3,VO33,NA())</f>
        <v>17</v>
      </c>
      <c r="XG33" s="87">
        <f ca="1">IF($WI$3&gt;=XG$3,VP33,NA())</f>
        <v>17</v>
      </c>
      <c r="XH33" s="87">
        <f ca="1">IF($WI$3&gt;=XH$3,VQ33,NA())</f>
        <v>17</v>
      </c>
      <c r="XI33" s="87" t="e">
        <f>IF($WI$3&gt;=XI$3,VR33,NA())</f>
        <v>#N/A</v>
      </c>
      <c r="XJ33" s="87" t="e">
        <f>IF($WI$3&gt;=XJ$3,VS33,NA())</f>
        <v>#N/A</v>
      </c>
      <c r="XK33" s="87" t="e">
        <f>IF($WI$3&gt;=XK$3,VT33,NA())</f>
        <v>#N/A</v>
      </c>
      <c r="XL33" s="87" t="e">
        <f>IF($WI$3&gt;=XL$3,VU33,NA())</f>
        <v>#N/A</v>
      </c>
      <c r="XM33" s="87" t="e">
        <f>IF($WI$3&gt;=XM$3,VV33,NA())</f>
        <v>#N/A</v>
      </c>
      <c r="XN33" s="87" t="e">
        <f>IF($WI$3&gt;=XN$3,VW33,NA())</f>
        <v>#N/A</v>
      </c>
      <c r="XO33" s="87" t="e">
        <f>IF($WI$3&gt;=XO$3,VX33,NA())</f>
        <v>#N/A</v>
      </c>
      <c r="XP33" s="87" t="e">
        <f>IF($WI$3&gt;=XP$3,VY33,NA())</f>
        <v>#N/A</v>
      </c>
      <c r="XQ33" s="87" t="e">
        <f>IF($WI$3&gt;=XQ$3,VZ33,NA())</f>
        <v>#N/A</v>
      </c>
      <c r="XR33" s="87" t="e">
        <f>IF($WI$3&gt;=XR$3,WA33,NA())</f>
        <v>#N/A</v>
      </c>
      <c r="XS33" s="87" t="e">
        <f>IF($WI$3&gt;=XS$3,WB33,NA())</f>
        <v>#N/A</v>
      </c>
      <c r="XT33" s="87" t="e">
        <f>IF($WI$3&gt;=XT$3,WC33,NA())</f>
        <v>#N/A</v>
      </c>
      <c r="XU33" s="87" t="e">
        <f>IF($WI$3&gt;=XU$3,WD33,NA())</f>
        <v>#N/A</v>
      </c>
      <c r="XV33" s="87" t="e">
        <f>IF($WI$3&gt;=XV$3,WE33,NA())</f>
        <v>#N/A</v>
      </c>
      <c r="XW33" s="87" t="e">
        <f>IF($WI$3&gt;=XW$3,WF33,NA())</f>
        <v>#N/A</v>
      </c>
      <c r="XX33" s="87" t="e">
        <f>IF($WI$3&gt;=XX$3,WG33,NA())</f>
        <v>#N/A</v>
      </c>
      <c r="XY33" s="87" t="e">
        <f>IF($WI$3&gt;=XY$3,WH33,NA())</f>
        <v>#N/A</v>
      </c>
      <c r="YE33" s="87"/>
      <c r="YF33" s="87"/>
    </row>
    <row r="34" spans="1:656"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0"/>
      <c r="BS34" s="10" t="s">
        <v>57</v>
      </c>
      <c r="BT34" s="123">
        <v>0.41666666666666902</v>
      </c>
      <c r="BU34" s="123">
        <f t="shared" si="405"/>
        <v>0.5833333333333357</v>
      </c>
      <c r="BV34" s="10" t="s">
        <v>64</v>
      </c>
      <c r="CQ34" s="21"/>
      <c r="IN34" s="77"/>
      <c r="IO34" s="77" t="s">
        <v>74</v>
      </c>
      <c r="IP34" s="67">
        <f>IF(lg!$F$18=1,IP8,IF(lg!$F$18=2,IP16,IP24))</f>
        <v>13</v>
      </c>
      <c r="IQ34" s="67">
        <f>IF(lg!$F$18=1,IQ8,IF(lg!$F$18=2,IQ16,IQ24))</f>
        <v>20</v>
      </c>
      <c r="IR34" s="134">
        <f>IF(lg!$F$18=1,IR8,IF(lg!$F$18=2,IR16,IR24))</f>
        <v>0.65</v>
      </c>
      <c r="IS34" s="133">
        <f>IF(lg!$F$18=1,IS8,IF(lg!$F$18=2,IS16,IS24))</f>
        <v>16</v>
      </c>
      <c r="IT34" s="67"/>
      <c r="IU34" s="77" t="s">
        <v>74</v>
      </c>
      <c r="IV34" s="67">
        <f>IF(lg!$F$18=1,IV8,IF(lg!$F$18=2,IV16,IV24))</f>
        <v>17</v>
      </c>
      <c r="IW34" s="67">
        <f>IF(lg!$F$18=1,IW8,IF(lg!$F$18=2,IW16,IW24))</f>
        <v>19</v>
      </c>
      <c r="IX34" s="134">
        <f>IF(lg!$F$18=1,IX8,IF(lg!$F$18=2,IX16,IX24))</f>
        <v>0.89473684210526316</v>
      </c>
      <c r="IY34" s="133">
        <f>IF(lg!$F$18=1,IY8,IF(lg!$F$18=2,IY16,IY24))</f>
        <v>14</v>
      </c>
      <c r="IZ34" s="133"/>
    </row>
    <row r="35" spans="1:656"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BS35" s="10" t="s">
        <v>58</v>
      </c>
      <c r="BT35" s="123">
        <v>0.4375</v>
      </c>
      <c r="BU35" s="123">
        <f t="shared" si="405"/>
        <v>0.60416666666666663</v>
      </c>
      <c r="BV35" s="10" t="s">
        <v>64</v>
      </c>
      <c r="IN35" s="77"/>
      <c r="IO35" s="77" t="s">
        <v>137</v>
      </c>
      <c r="IP35" s="67">
        <f>IF(lg!$F$18=1,IP9,IF(lg!$F$18=2,IP17,IP25))</f>
        <v>19</v>
      </c>
      <c r="IQ35" s="67">
        <f>IF(lg!$F$18=1,IQ9,IF(lg!$F$18=2,IQ17,IQ25))</f>
        <v>20</v>
      </c>
      <c r="IR35" s="134">
        <f>IF(lg!$F$18=1,IR9,IF(lg!$F$18=2,IR17,IR25))</f>
        <v>0.95</v>
      </c>
      <c r="IS35" s="133">
        <f>IF(lg!$F$18=1,IS9,IF(lg!$F$18=2,IS17,IS25))</f>
        <v>2</v>
      </c>
      <c r="IU35" s="77" t="s">
        <v>137</v>
      </c>
      <c r="IV35" s="67">
        <f>IF(lg!$F$18=1,IV9,IF(lg!$F$18=2,IV17,IV25))</f>
        <v>10</v>
      </c>
      <c r="IW35" s="67">
        <f>IF(lg!$F$18=1,IW9,IF(lg!$F$18=2,IW17,IW25))</f>
        <v>19</v>
      </c>
      <c r="IX35" s="134">
        <f>IF(lg!$F$18=1,IX9,IF(lg!$F$18=2,IX17,IX25))</f>
        <v>0.52631578947368418</v>
      </c>
      <c r="IY35" s="133">
        <f>IF(lg!$F$18=1,IY9,IF(lg!$F$18=2,IY17,IY25))</f>
        <v>3</v>
      </c>
      <c r="IZ35" s="133"/>
    </row>
    <row r="36" spans="1:656">
      <c r="C36" s="10" t="str">
        <f ca="1">C37&amp;D37</f>
        <v>[C:\Users\Harry\Documents\excel-fixtures\Ft\MLS\mls10.xlsx]Fixture!g4</v>
      </c>
      <c r="E36" s="139">
        <f>C44</f>
        <v>40262</v>
      </c>
      <c r="F36" s="139">
        <f>DATE(YEAR(E36),MONTH(E36)+1,1)</f>
        <v>40269</v>
      </c>
      <c r="G36" s="139">
        <f t="shared" ref="G36:N36" si="447">DATE(YEAR(F36),MONTH(F36)+1,1)</f>
        <v>40299</v>
      </c>
      <c r="H36" s="139">
        <f t="shared" si="447"/>
        <v>40330</v>
      </c>
      <c r="I36" s="139">
        <f t="shared" si="447"/>
        <v>40360</v>
      </c>
      <c r="J36" s="139">
        <f t="shared" si="447"/>
        <v>40391</v>
      </c>
      <c r="K36" s="139">
        <f t="shared" si="447"/>
        <v>40422</v>
      </c>
      <c r="L36" s="139">
        <f t="shared" si="447"/>
        <v>40452</v>
      </c>
      <c r="M36" s="139">
        <f t="shared" si="447"/>
        <v>40483</v>
      </c>
      <c r="N36" s="139">
        <f t="shared" si="447"/>
        <v>40513</v>
      </c>
      <c r="O36" s="139"/>
      <c r="P36" s="139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BS36" s="10" t="s">
        <v>59</v>
      </c>
      <c r="BT36" s="123">
        <v>0.45833333333333598</v>
      </c>
      <c r="BU36" s="123">
        <f t="shared" si="405"/>
        <v>0.62500000000000266</v>
      </c>
      <c r="BV36" s="10" t="s">
        <v>64</v>
      </c>
      <c r="IN36" s="77"/>
      <c r="IO36" s="77" t="s">
        <v>138</v>
      </c>
      <c r="IP36" s="67">
        <f>IF(lg!$F$18=1,IP10,IF(lg!$F$18=2,IP18,IP26))</f>
        <v>5</v>
      </c>
      <c r="IQ36" s="67">
        <f>IF(lg!$F$18=1,IQ10,IF(lg!$F$18=2,IQ18,IQ26))</f>
        <v>20</v>
      </c>
      <c r="IR36" s="134">
        <f>IF(lg!$F$18=1,IR10,IF(lg!$F$18=2,IR18,IR26))</f>
        <v>0.25</v>
      </c>
      <c r="IS36" s="133">
        <f>IF(lg!$F$18=1,IS10,IF(lg!$F$18=2,IS18,IS26))</f>
        <v>7</v>
      </c>
      <c r="IU36" s="77" t="s">
        <v>138</v>
      </c>
      <c r="IV36" s="67">
        <f>IF(lg!$F$18=1,IV10,IF(lg!$F$18=2,IV18,IV26))</f>
        <v>1</v>
      </c>
      <c r="IW36" s="67">
        <f>IF(lg!$F$18=1,IW10,IF(lg!$F$18=2,IW18,IW26))</f>
        <v>19</v>
      </c>
      <c r="IX36" s="134">
        <f>IF(lg!$F$18=1,IX10,IF(lg!$F$18=2,IX18,IX26))</f>
        <v>5.2631578947368418E-2</v>
      </c>
      <c r="IY36" s="133">
        <f>IF(lg!$F$18=1,IY10,IF(lg!$F$18=2,IY18,IY26))</f>
        <v>16</v>
      </c>
      <c r="IZ36" s="133"/>
    </row>
    <row r="37" spans="1:656">
      <c r="A37" s="10" t="str">
        <f ca="1">CELL("filename",Fixture!AT1)</f>
        <v>C:\Users\Harry\Documents\excel-fixtures\Ft\MLS\[mls10.xlsx]Fixture</v>
      </c>
      <c r="C37" s="10" t="str">
        <f ca="1">"["&amp;SUBSTITUTE(A37,"[",,1)&amp;"!"</f>
        <v>[C:\Users\Harry\Documents\excel-fixtures\Ft\MLS\mls10.xlsx]Fixture!</v>
      </c>
      <c r="D37" s="10" t="s">
        <v>65</v>
      </c>
      <c r="E37" s="10">
        <v>5</v>
      </c>
      <c r="F37" s="10">
        <v>13</v>
      </c>
      <c r="G37" s="10">
        <v>42</v>
      </c>
      <c r="H37" s="10">
        <v>84</v>
      </c>
      <c r="I37" s="10">
        <v>106</v>
      </c>
      <c r="J37" s="10">
        <v>141</v>
      </c>
      <c r="K37" s="10">
        <v>175</v>
      </c>
      <c r="L37" s="10">
        <v>211</v>
      </c>
      <c r="M37" s="10">
        <v>335</v>
      </c>
      <c r="N37" s="10">
        <v>390</v>
      </c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BS37" s="10" t="s">
        <v>60</v>
      </c>
      <c r="BT37" s="123">
        <v>0.47916666666666669</v>
      </c>
      <c r="BU37" s="123">
        <f t="shared" si="405"/>
        <v>0.64583333333333337</v>
      </c>
      <c r="BV37" s="10" t="s">
        <v>64</v>
      </c>
      <c r="IN37" s="77"/>
      <c r="IO37" s="77" t="s">
        <v>77</v>
      </c>
      <c r="IP37" s="67">
        <f>IF(lg!$F$18=1,IP11,IF(lg!$F$18=2,IP19,IP27))</f>
        <v>11</v>
      </c>
      <c r="IQ37" s="67">
        <f>IF(lg!$F$18=1,IQ11,IF(lg!$F$18=2,IQ19,IQ27))</f>
        <v>20</v>
      </c>
      <c r="IR37" s="134">
        <f>IF(lg!$F$18=1,IR11,IF(lg!$F$18=2,IR19,IR27))</f>
        <v>0.55000000000000004</v>
      </c>
      <c r="IS37" s="133">
        <f>IF(lg!$F$18=1,IS11,IF(lg!$F$18=2,IS19,IS27))</f>
        <v>1</v>
      </c>
      <c r="IU37" s="77" t="s">
        <v>77</v>
      </c>
      <c r="IV37" s="67">
        <f>IF(lg!$F$18=1,IV11,IF(lg!$F$18=2,IV19,IV27))</f>
        <v>5</v>
      </c>
      <c r="IW37" s="67">
        <f>IF(lg!$F$18=1,IW11,IF(lg!$F$18=2,IW19,IW27))</f>
        <v>19</v>
      </c>
      <c r="IX37" s="134">
        <f>IF(lg!$F$18=1,IX11,IF(lg!$F$18=2,IX19,IX27))</f>
        <v>0.26315789473684209</v>
      </c>
      <c r="IY37" s="133">
        <f>IF(lg!$F$18=1,IY11,IF(lg!$F$18=2,IY19,IY27))</f>
        <v>10</v>
      </c>
      <c r="IZ37" s="133"/>
    </row>
    <row r="38" spans="1:656">
      <c r="C38" s="10" t="str">
        <f ca="1">C37</f>
        <v>[C:\Users\Harry\Documents\excel-fixtures\Ft\MLS\mls10.xlsx]Fixture!</v>
      </c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BS38" s="10" t="s">
        <v>61</v>
      </c>
      <c r="BT38" s="123">
        <v>0.500000000000003</v>
      </c>
      <c r="BU38" s="123">
        <f t="shared" si="405"/>
        <v>0.66666666666666963</v>
      </c>
      <c r="BV38" s="10" t="s">
        <v>64</v>
      </c>
    </row>
    <row r="39" spans="1:656"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</row>
    <row r="40" spans="1:656"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656">
      <c r="A41" s="213" t="s">
        <v>21</v>
      </c>
      <c r="B41" s="213"/>
      <c r="C41" s="213"/>
      <c r="D41" s="213"/>
      <c r="E41" s="213"/>
      <c r="F41" s="213"/>
      <c r="G41" s="213"/>
      <c r="H41" s="213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</row>
    <row r="42" spans="1:656">
      <c r="J42" s="141" t="str">
        <f>Fixture!E1</f>
        <v>- 04:00 ET</v>
      </c>
      <c r="K42" s="141" t="str">
        <f>VLOOKUP(J42,BS3:BV38,4,0)</f>
        <v>mas</v>
      </c>
      <c r="L42" s="141">
        <f>VLOOKUP(J42,BS3:BU38,3,0)</f>
        <v>3.3306690738754696E-16</v>
      </c>
    </row>
    <row r="43" spans="1:656">
      <c r="A43" s="92" t="s">
        <v>22</v>
      </c>
      <c r="B43" s="156"/>
      <c r="C43" s="92" t="s">
        <v>6</v>
      </c>
      <c r="D43" s="92" t="s">
        <v>7</v>
      </c>
      <c r="E43" s="92" t="s">
        <v>8</v>
      </c>
      <c r="F43" s="92" t="s">
        <v>9</v>
      </c>
      <c r="G43" s="92" t="s">
        <v>10</v>
      </c>
      <c r="H43" s="92" t="s">
        <v>9</v>
      </c>
      <c r="J43" s="33" t="s">
        <v>25</v>
      </c>
      <c r="M43" s="142" t="s">
        <v>23</v>
      </c>
      <c r="O43" s="142" t="s">
        <v>24</v>
      </c>
      <c r="P43" s="21"/>
    </row>
    <row r="44" spans="1:656">
      <c r="A44" s="15">
        <v>1</v>
      </c>
      <c r="B44" s="15">
        <v>1</v>
      </c>
      <c r="C44" s="143">
        <v>40262</v>
      </c>
      <c r="D44" s="144">
        <v>0.5</v>
      </c>
      <c r="E44" s="11" t="s">
        <v>178</v>
      </c>
      <c r="F44" s="24">
        <v>2</v>
      </c>
      <c r="G44" s="11" t="s">
        <v>179</v>
      </c>
      <c r="H44" s="24">
        <v>0</v>
      </c>
      <c r="J44" s="145">
        <f>C44+D44</f>
        <v>40262.5</v>
      </c>
      <c r="K44" s="146">
        <f>IF($K$42="mas",J44+$L$42,J44-$L$42)</f>
        <v>40262.5</v>
      </c>
      <c r="M44" s="142">
        <f t="shared" ref="M44:M107" si="448">IF(ISBLANK(F44),"",F44)</f>
        <v>2</v>
      </c>
      <c r="O44" s="142">
        <f t="shared" ref="O44:O107" si="449">IF(ISBLANK(H44),"",H44)</f>
        <v>0</v>
      </c>
      <c r="P44" s="21"/>
    </row>
    <row r="45" spans="1:656">
      <c r="A45" s="15">
        <f>COUNTIF(E$44:G45,E45)</f>
        <v>1</v>
      </c>
      <c r="B45" s="15">
        <f>COUNTIF(E$44:G45,G45)</f>
        <v>1</v>
      </c>
      <c r="C45" s="143">
        <v>40262</v>
      </c>
      <c r="D45" s="144">
        <v>0.5</v>
      </c>
      <c r="E45" s="11" t="s">
        <v>180</v>
      </c>
      <c r="F45" s="24">
        <v>0</v>
      </c>
      <c r="G45" s="11" t="s">
        <v>181</v>
      </c>
      <c r="H45" s="24">
        <v>1</v>
      </c>
      <c r="J45" s="145">
        <f t="shared" ref="J45:J108" si="450">C45+D45</f>
        <v>40262.5</v>
      </c>
      <c r="K45" s="146">
        <f t="shared" ref="K45:K108" si="451">IF($K$42="mas",J45+$L$42,J45-$L$42)</f>
        <v>40262.5</v>
      </c>
      <c r="L45" s="123"/>
      <c r="M45" s="142">
        <f t="shared" si="448"/>
        <v>0</v>
      </c>
      <c r="O45" s="142">
        <f t="shared" si="449"/>
        <v>1</v>
      </c>
      <c r="P45" s="21"/>
    </row>
    <row r="46" spans="1:656">
      <c r="A46" s="15">
        <f>COUNTIF(E$44:G46,E46)</f>
        <v>1</v>
      </c>
      <c r="B46" s="15">
        <f>COUNTIF(E$44:G46,G46)</f>
        <v>1</v>
      </c>
      <c r="C46" s="143">
        <v>40264</v>
      </c>
      <c r="D46" s="144">
        <v>0.5</v>
      </c>
      <c r="E46" s="11" t="s">
        <v>182</v>
      </c>
      <c r="F46" s="24">
        <v>1</v>
      </c>
      <c r="G46" s="11" t="s">
        <v>183</v>
      </c>
      <c r="H46" s="24">
        <v>1</v>
      </c>
      <c r="J46" s="145">
        <f t="shared" si="450"/>
        <v>40264.5</v>
      </c>
      <c r="K46" s="146">
        <f t="shared" si="451"/>
        <v>40264.5</v>
      </c>
      <c r="L46" s="123"/>
      <c r="M46" s="142">
        <f t="shared" si="448"/>
        <v>1</v>
      </c>
      <c r="O46" s="142">
        <f t="shared" si="449"/>
        <v>1</v>
      </c>
      <c r="P46" s="21"/>
    </row>
    <row r="47" spans="1:656">
      <c r="A47" s="15">
        <f>COUNTIF(E$44:G47,E47)</f>
        <v>1</v>
      </c>
      <c r="B47" s="15">
        <f>COUNTIF(E$44:G47,G47)</f>
        <v>1</v>
      </c>
      <c r="C47" s="143">
        <v>40264</v>
      </c>
      <c r="D47" s="144">
        <v>0.5</v>
      </c>
      <c r="E47" s="11" t="s">
        <v>184</v>
      </c>
      <c r="F47" s="24">
        <v>2</v>
      </c>
      <c r="G47" s="11" t="s">
        <v>185</v>
      </c>
      <c r="H47" s="24">
        <v>0</v>
      </c>
      <c r="J47" s="145">
        <f t="shared" si="450"/>
        <v>40264.5</v>
      </c>
      <c r="K47" s="146">
        <f t="shared" si="451"/>
        <v>40264.5</v>
      </c>
      <c r="L47" s="123"/>
      <c r="M47" s="142">
        <f t="shared" si="448"/>
        <v>2</v>
      </c>
      <c r="O47" s="142">
        <f t="shared" si="449"/>
        <v>0</v>
      </c>
      <c r="P47" s="21"/>
    </row>
    <row r="48" spans="1:656">
      <c r="A48" s="15">
        <f>COUNTIF(E$44:G48,E48)</f>
        <v>1</v>
      </c>
      <c r="B48" s="15">
        <f>COUNTIF(E$44:G48,G48)</f>
        <v>1</v>
      </c>
      <c r="C48" s="143">
        <v>40264</v>
      </c>
      <c r="D48" s="144">
        <v>0.5</v>
      </c>
      <c r="E48" s="11" t="s">
        <v>186</v>
      </c>
      <c r="F48" s="24">
        <v>1</v>
      </c>
      <c r="G48" s="11" t="s">
        <v>187</v>
      </c>
      <c r="H48" s="24">
        <v>0</v>
      </c>
      <c r="J48" s="145">
        <f t="shared" si="450"/>
        <v>40264.5</v>
      </c>
      <c r="K48" s="146">
        <f t="shared" si="451"/>
        <v>40264.5</v>
      </c>
      <c r="L48" s="123"/>
      <c r="M48" s="142">
        <f t="shared" si="448"/>
        <v>1</v>
      </c>
      <c r="O48" s="142">
        <f t="shared" si="449"/>
        <v>0</v>
      </c>
      <c r="P48" s="21"/>
    </row>
    <row r="49" spans="1:16">
      <c r="A49" s="15">
        <f>COUNTIF(E$44:G49,E49)</f>
        <v>1</v>
      </c>
      <c r="B49" s="15">
        <f>COUNTIF(E$44:G49,G49)</f>
        <v>1</v>
      </c>
      <c r="C49" s="143">
        <v>40264</v>
      </c>
      <c r="D49" s="144">
        <v>0.5</v>
      </c>
      <c r="E49" s="11" t="s">
        <v>188</v>
      </c>
      <c r="F49" s="24">
        <v>4</v>
      </c>
      <c r="G49" s="11" t="s">
        <v>189</v>
      </c>
      <c r="H49" s="24">
        <v>0</v>
      </c>
      <c r="J49" s="145">
        <f t="shared" si="450"/>
        <v>40264.5</v>
      </c>
      <c r="K49" s="146">
        <f t="shared" si="451"/>
        <v>40264.5</v>
      </c>
      <c r="L49" s="123"/>
      <c r="M49" s="142">
        <f t="shared" si="448"/>
        <v>4</v>
      </c>
      <c r="O49" s="142">
        <f t="shared" si="449"/>
        <v>0</v>
      </c>
      <c r="P49" s="21"/>
    </row>
    <row r="50" spans="1:16">
      <c r="A50" s="15">
        <f>COUNTIF(E$44:G50,E50)</f>
        <v>1</v>
      </c>
      <c r="B50" s="15">
        <f>COUNTIF(E$44:G50,G50)</f>
        <v>1</v>
      </c>
      <c r="C50" s="143">
        <v>40264</v>
      </c>
      <c r="D50" s="144">
        <v>0.5</v>
      </c>
      <c r="E50" s="11" t="s">
        <v>190</v>
      </c>
      <c r="F50" s="24">
        <v>0</v>
      </c>
      <c r="G50" s="11" t="s">
        <v>191</v>
      </c>
      <c r="H50" s="24">
        <v>3</v>
      </c>
      <c r="J50" s="145">
        <f t="shared" si="450"/>
        <v>40264.5</v>
      </c>
      <c r="K50" s="146">
        <f t="shared" si="451"/>
        <v>40264.5</v>
      </c>
      <c r="L50" s="123"/>
      <c r="M50" s="142">
        <f t="shared" si="448"/>
        <v>0</v>
      </c>
      <c r="O50" s="142">
        <f t="shared" si="449"/>
        <v>3</v>
      </c>
      <c r="P50" s="21"/>
    </row>
    <row r="51" spans="1:16">
      <c r="A51" s="15">
        <f>COUNTIF(E$44:G51,E51)</f>
        <v>1</v>
      </c>
      <c r="B51" s="15">
        <f>COUNTIF(E$44:G51,G51)</f>
        <v>1</v>
      </c>
      <c r="C51" s="143">
        <v>40264</v>
      </c>
      <c r="D51" s="144">
        <v>0.5</v>
      </c>
      <c r="E51" s="11" t="s">
        <v>192</v>
      </c>
      <c r="F51" s="24">
        <v>1</v>
      </c>
      <c r="G51" s="11" t="s">
        <v>193</v>
      </c>
      <c r="H51" s="24">
        <v>0</v>
      </c>
      <c r="J51" s="145">
        <f t="shared" si="450"/>
        <v>40264.5</v>
      </c>
      <c r="K51" s="146">
        <f t="shared" si="451"/>
        <v>40264.5</v>
      </c>
      <c r="L51" s="123"/>
      <c r="M51" s="142">
        <f t="shared" si="448"/>
        <v>1</v>
      </c>
      <c r="O51" s="142">
        <f t="shared" si="449"/>
        <v>0</v>
      </c>
      <c r="P51" s="21"/>
    </row>
    <row r="52" spans="1:16">
      <c r="A52" s="15">
        <f>COUNTIF(E$44:G52,E52)</f>
        <v>2</v>
      </c>
      <c r="B52" s="15">
        <f>COUNTIF(E$44:G52,G52)</f>
        <v>2</v>
      </c>
      <c r="C52" s="143">
        <v>40269</v>
      </c>
      <c r="D52" s="144">
        <v>0.5</v>
      </c>
      <c r="E52" s="11" t="s">
        <v>183</v>
      </c>
      <c r="F52" s="24">
        <v>2</v>
      </c>
      <c r="G52" s="11" t="s">
        <v>191</v>
      </c>
      <c r="H52" s="24">
        <v>1</v>
      </c>
      <c r="J52" s="145">
        <f t="shared" si="450"/>
        <v>40269.5</v>
      </c>
      <c r="K52" s="146">
        <f t="shared" si="451"/>
        <v>40269.5</v>
      </c>
      <c r="L52" s="123"/>
      <c r="M52" s="142">
        <f t="shared" si="448"/>
        <v>2</v>
      </c>
      <c r="O52" s="142">
        <f t="shared" si="449"/>
        <v>1</v>
      </c>
      <c r="P52" s="21"/>
    </row>
    <row r="53" spans="1:16">
      <c r="A53" s="15">
        <f>COUNTIF(E$44:G53,E53)</f>
        <v>2</v>
      </c>
      <c r="B53" s="15">
        <f>COUNTIF(E$44:G53,G53)</f>
        <v>2</v>
      </c>
      <c r="C53" s="143">
        <v>40269</v>
      </c>
      <c r="D53" s="144">
        <v>0.5</v>
      </c>
      <c r="E53" s="11" t="s">
        <v>192</v>
      </c>
      <c r="F53" s="24">
        <v>2</v>
      </c>
      <c r="G53" s="11" t="s">
        <v>180</v>
      </c>
      <c r="H53" s="24">
        <v>0</v>
      </c>
      <c r="J53" s="145">
        <f t="shared" si="450"/>
        <v>40269.5</v>
      </c>
      <c r="K53" s="146">
        <f t="shared" si="451"/>
        <v>40269.5</v>
      </c>
      <c r="L53" s="123"/>
      <c r="M53" s="142">
        <f t="shared" si="448"/>
        <v>2</v>
      </c>
      <c r="O53" s="142">
        <f t="shared" si="449"/>
        <v>0</v>
      </c>
      <c r="P53" s="21"/>
    </row>
    <row r="54" spans="1:16">
      <c r="A54" s="15">
        <f>COUNTIF(E$44:G54,E54)</f>
        <v>2</v>
      </c>
      <c r="B54" s="15">
        <f>COUNTIF(E$44:G54,G54)</f>
        <v>2</v>
      </c>
      <c r="C54" s="143">
        <v>40271</v>
      </c>
      <c r="D54" s="144">
        <v>0.5</v>
      </c>
      <c r="E54" s="11" t="s">
        <v>181</v>
      </c>
      <c r="F54" s="24">
        <v>2</v>
      </c>
      <c r="G54" s="11" t="s">
        <v>187</v>
      </c>
      <c r="H54" s="24">
        <v>2</v>
      </c>
      <c r="J54" s="145">
        <f t="shared" si="450"/>
        <v>40271.5</v>
      </c>
      <c r="K54" s="146">
        <f t="shared" si="451"/>
        <v>40271.5</v>
      </c>
      <c r="L54" s="123"/>
      <c r="M54" s="142">
        <f t="shared" si="448"/>
        <v>2</v>
      </c>
      <c r="O54" s="142">
        <f t="shared" si="449"/>
        <v>2</v>
      </c>
      <c r="P54" s="21"/>
    </row>
    <row r="55" spans="1:16">
      <c r="A55" s="15">
        <f>COUNTIF(E$44:G55,E55)</f>
        <v>2</v>
      </c>
      <c r="B55" s="15">
        <f>COUNTIF(E$44:G55,G55)</f>
        <v>2</v>
      </c>
      <c r="C55" s="143">
        <v>40271</v>
      </c>
      <c r="D55" s="144">
        <v>0.5</v>
      </c>
      <c r="E55" s="11" t="s">
        <v>189</v>
      </c>
      <c r="F55" s="24">
        <v>0</v>
      </c>
      <c r="G55" s="11" t="s">
        <v>193</v>
      </c>
      <c r="H55" s="24">
        <v>2</v>
      </c>
      <c r="J55" s="145">
        <f t="shared" si="450"/>
        <v>40271.5</v>
      </c>
      <c r="K55" s="146">
        <f t="shared" si="451"/>
        <v>40271.5</v>
      </c>
      <c r="L55" s="123"/>
      <c r="M55" s="142">
        <f t="shared" si="448"/>
        <v>0</v>
      </c>
      <c r="O55" s="142">
        <f t="shared" si="449"/>
        <v>2</v>
      </c>
      <c r="P55" s="21"/>
    </row>
    <row r="56" spans="1:16">
      <c r="A56" s="15">
        <f>COUNTIF(E$44:G56,E56)</f>
        <v>2</v>
      </c>
      <c r="B56" s="15">
        <f>COUNTIF(E$44:G56,G56)</f>
        <v>2</v>
      </c>
      <c r="C56" s="143">
        <v>40271</v>
      </c>
      <c r="D56" s="144">
        <v>0.5</v>
      </c>
      <c r="E56" s="11" t="s">
        <v>178</v>
      </c>
      <c r="F56" s="24">
        <v>0</v>
      </c>
      <c r="G56" s="11" t="s">
        <v>186</v>
      </c>
      <c r="H56" s="24">
        <v>1</v>
      </c>
      <c r="J56" s="145">
        <f t="shared" si="450"/>
        <v>40271.5</v>
      </c>
      <c r="K56" s="146">
        <f t="shared" si="451"/>
        <v>40271.5</v>
      </c>
      <c r="L56" s="123"/>
      <c r="M56" s="142">
        <f t="shared" si="448"/>
        <v>0</v>
      </c>
      <c r="O56" s="142">
        <f t="shared" si="449"/>
        <v>1</v>
      </c>
      <c r="P56" s="21"/>
    </row>
    <row r="57" spans="1:16">
      <c r="A57" s="15">
        <f>COUNTIF(E$44:G57,E57)</f>
        <v>3</v>
      </c>
      <c r="B57" s="15">
        <f>COUNTIF(E$44:G57,G57)</f>
        <v>3</v>
      </c>
      <c r="C57" s="143">
        <v>40278</v>
      </c>
      <c r="D57" s="144">
        <v>0.5</v>
      </c>
      <c r="E57" s="11" t="s">
        <v>180</v>
      </c>
      <c r="F57" s="24">
        <v>2</v>
      </c>
      <c r="G57" s="11" t="s">
        <v>186</v>
      </c>
      <c r="H57" s="24">
        <v>0</v>
      </c>
      <c r="J57" s="145">
        <f t="shared" si="450"/>
        <v>40278.5</v>
      </c>
      <c r="K57" s="146">
        <f t="shared" si="451"/>
        <v>40278.5</v>
      </c>
      <c r="L57" s="123"/>
      <c r="M57" s="142">
        <f t="shared" si="448"/>
        <v>2</v>
      </c>
      <c r="O57" s="142">
        <f t="shared" si="449"/>
        <v>0</v>
      </c>
      <c r="P57" s="21"/>
    </row>
    <row r="58" spans="1:16">
      <c r="A58" s="15">
        <f>COUNTIF(E$44:G58,E58)</f>
        <v>2</v>
      </c>
      <c r="B58" s="15">
        <f>COUNTIF(E$44:G58,G58)</f>
        <v>3</v>
      </c>
      <c r="C58" s="143">
        <v>40278</v>
      </c>
      <c r="D58" s="144">
        <v>0.5</v>
      </c>
      <c r="E58" s="11" t="s">
        <v>179</v>
      </c>
      <c r="F58" s="24">
        <v>3</v>
      </c>
      <c r="G58" s="11" t="s">
        <v>189</v>
      </c>
      <c r="H58" s="24">
        <v>2</v>
      </c>
      <c r="J58" s="145">
        <f t="shared" si="450"/>
        <v>40278.5</v>
      </c>
      <c r="K58" s="146">
        <f t="shared" si="451"/>
        <v>40278.5</v>
      </c>
      <c r="L58" s="123"/>
      <c r="M58" s="142">
        <f t="shared" si="448"/>
        <v>3</v>
      </c>
      <c r="O58" s="142">
        <f t="shared" si="449"/>
        <v>2</v>
      </c>
      <c r="P58" s="21"/>
    </row>
    <row r="59" spans="1:16">
      <c r="A59" s="15">
        <f>COUNTIF(E$44:G59,E59)</f>
        <v>3</v>
      </c>
      <c r="B59" s="15">
        <f>COUNTIF(E$44:G59,G59)</f>
        <v>2</v>
      </c>
      <c r="C59" s="143">
        <v>40278</v>
      </c>
      <c r="D59" s="144">
        <v>0.5</v>
      </c>
      <c r="E59" s="11" t="s">
        <v>193</v>
      </c>
      <c r="F59" s="24">
        <v>4</v>
      </c>
      <c r="G59" s="11" t="s">
        <v>185</v>
      </c>
      <c r="H59" s="24">
        <v>1</v>
      </c>
      <c r="J59" s="145">
        <f t="shared" si="450"/>
        <v>40278.5</v>
      </c>
      <c r="K59" s="146">
        <f t="shared" si="451"/>
        <v>40278.5</v>
      </c>
      <c r="L59" s="123"/>
      <c r="M59" s="142">
        <f t="shared" si="448"/>
        <v>4</v>
      </c>
      <c r="O59" s="142">
        <f t="shared" si="449"/>
        <v>1</v>
      </c>
      <c r="P59" s="21"/>
    </row>
    <row r="60" spans="1:16">
      <c r="A60" s="15">
        <f>COUNTIF(E$44:G60,E60)</f>
        <v>3</v>
      </c>
      <c r="B60" s="15">
        <f>COUNTIF(E$44:G60,G60)</f>
        <v>2</v>
      </c>
      <c r="C60" s="143">
        <v>40278</v>
      </c>
      <c r="D60" s="144">
        <v>0.5</v>
      </c>
      <c r="E60" s="11" t="s">
        <v>187</v>
      </c>
      <c r="F60" s="24">
        <v>1</v>
      </c>
      <c r="G60" s="11" t="s">
        <v>190</v>
      </c>
      <c r="H60" s="24">
        <v>2</v>
      </c>
      <c r="J60" s="145">
        <f t="shared" si="450"/>
        <v>40278.5</v>
      </c>
      <c r="K60" s="146">
        <f t="shared" si="451"/>
        <v>40278.5</v>
      </c>
      <c r="L60" s="123"/>
      <c r="M60" s="142">
        <f t="shared" si="448"/>
        <v>1</v>
      </c>
      <c r="O60" s="142">
        <f t="shared" si="449"/>
        <v>2</v>
      </c>
      <c r="P60" s="21"/>
    </row>
    <row r="61" spans="1:16">
      <c r="A61" s="15">
        <f>COUNTIF(E$44:G61,E61)</f>
        <v>2</v>
      </c>
      <c r="B61" s="15">
        <f>COUNTIF(E$44:G61,G61)</f>
        <v>2</v>
      </c>
      <c r="C61" s="143">
        <v>40278</v>
      </c>
      <c r="D61" s="144">
        <v>0.5</v>
      </c>
      <c r="E61" s="11" t="s">
        <v>182</v>
      </c>
      <c r="F61" s="24">
        <v>2</v>
      </c>
      <c r="G61" s="11" t="s">
        <v>184</v>
      </c>
      <c r="H61" s="24">
        <v>2</v>
      </c>
      <c r="J61" s="145">
        <f t="shared" si="450"/>
        <v>40278.5</v>
      </c>
      <c r="K61" s="146">
        <f t="shared" si="451"/>
        <v>40278.5</v>
      </c>
      <c r="L61" s="123"/>
      <c r="M61" s="142">
        <f t="shared" si="448"/>
        <v>2</v>
      </c>
      <c r="O61" s="142">
        <f t="shared" si="449"/>
        <v>2</v>
      </c>
      <c r="P61" s="21"/>
    </row>
    <row r="62" spans="1:16">
      <c r="A62" s="15">
        <f>COUNTIF(E$44:G62,E62)</f>
        <v>3</v>
      </c>
      <c r="B62" s="15">
        <f>COUNTIF(E$44:G62,G62)</f>
        <v>3</v>
      </c>
      <c r="C62" s="143">
        <v>40278</v>
      </c>
      <c r="D62" s="144">
        <v>0.5</v>
      </c>
      <c r="E62" s="11" t="s">
        <v>183</v>
      </c>
      <c r="F62" s="24">
        <v>0</v>
      </c>
      <c r="G62" s="11" t="s">
        <v>192</v>
      </c>
      <c r="H62" s="24">
        <v>2</v>
      </c>
      <c r="J62" s="145">
        <f t="shared" si="450"/>
        <v>40278.5</v>
      </c>
      <c r="K62" s="146">
        <f t="shared" si="451"/>
        <v>40278.5</v>
      </c>
      <c r="L62" s="123"/>
      <c r="M62" s="142">
        <f t="shared" si="448"/>
        <v>0</v>
      </c>
      <c r="O62" s="142">
        <f t="shared" si="449"/>
        <v>2</v>
      </c>
      <c r="P62" s="21"/>
    </row>
    <row r="63" spans="1:16">
      <c r="A63" s="15">
        <f>COUNTIF(E$44:G63,E63)</f>
        <v>2</v>
      </c>
      <c r="B63" s="15">
        <f>COUNTIF(E$44:G63,G63)</f>
        <v>3</v>
      </c>
      <c r="C63" s="143">
        <v>40278</v>
      </c>
      <c r="D63" s="144">
        <v>0.5</v>
      </c>
      <c r="E63" s="11" t="s">
        <v>188</v>
      </c>
      <c r="F63" s="24">
        <v>1</v>
      </c>
      <c r="G63" s="11" t="s">
        <v>181</v>
      </c>
      <c r="H63" s="24">
        <v>0</v>
      </c>
      <c r="J63" s="145">
        <f t="shared" si="450"/>
        <v>40278.5</v>
      </c>
      <c r="K63" s="146">
        <f t="shared" si="451"/>
        <v>40278.5</v>
      </c>
      <c r="L63" s="123"/>
      <c r="M63" s="142">
        <f t="shared" si="448"/>
        <v>1</v>
      </c>
      <c r="O63" s="142">
        <f t="shared" si="449"/>
        <v>0</v>
      </c>
      <c r="P63" s="21"/>
    </row>
    <row r="64" spans="1:16">
      <c r="A64" s="15">
        <f>COUNTIF(E$44:G64,E64)</f>
        <v>3</v>
      </c>
      <c r="B64" s="15">
        <f>COUNTIF(E$44:G64,G64)</f>
        <v>3</v>
      </c>
      <c r="C64" s="143">
        <v>40278</v>
      </c>
      <c r="D64" s="144">
        <v>0.5</v>
      </c>
      <c r="E64" s="11" t="s">
        <v>191</v>
      </c>
      <c r="F64" s="24">
        <v>2</v>
      </c>
      <c r="G64" s="11" t="s">
        <v>178</v>
      </c>
      <c r="H64" s="24">
        <v>2</v>
      </c>
      <c r="J64" s="145">
        <f t="shared" si="450"/>
        <v>40278.5</v>
      </c>
      <c r="K64" s="146">
        <f t="shared" si="451"/>
        <v>40278.5</v>
      </c>
      <c r="L64" s="123"/>
      <c r="M64" s="142">
        <f t="shared" si="448"/>
        <v>2</v>
      </c>
      <c r="O64" s="142">
        <f t="shared" si="449"/>
        <v>2</v>
      </c>
      <c r="P64" s="21"/>
    </row>
    <row r="65" spans="1:16">
      <c r="A65" s="15">
        <f>COUNTIF(E$44:G65,E65)</f>
        <v>3</v>
      </c>
      <c r="B65" s="15">
        <f>COUNTIF(E$44:G65,G65)</f>
        <v>3</v>
      </c>
      <c r="C65" s="143">
        <v>40283</v>
      </c>
      <c r="D65" s="144">
        <v>0.5</v>
      </c>
      <c r="E65" s="11" t="s">
        <v>185</v>
      </c>
      <c r="F65" s="24">
        <v>2</v>
      </c>
      <c r="G65" s="11" t="s">
        <v>179</v>
      </c>
      <c r="H65" s="24">
        <v>1</v>
      </c>
      <c r="J65" s="145">
        <f t="shared" si="450"/>
        <v>40283.5</v>
      </c>
      <c r="K65" s="146">
        <f t="shared" si="451"/>
        <v>40283.5</v>
      </c>
      <c r="L65" s="123"/>
      <c r="M65" s="142">
        <f t="shared" si="448"/>
        <v>2</v>
      </c>
      <c r="O65" s="142">
        <f t="shared" si="449"/>
        <v>1</v>
      </c>
      <c r="P65" s="21"/>
    </row>
    <row r="66" spans="1:16">
      <c r="A66" s="15">
        <f>COUNTIF(E$44:G66,E66)</f>
        <v>4</v>
      </c>
      <c r="B66" s="15">
        <f>COUNTIF(E$44:G66,G66)</f>
        <v>4</v>
      </c>
      <c r="C66" s="143">
        <v>40285</v>
      </c>
      <c r="D66" s="144">
        <v>0.5</v>
      </c>
      <c r="E66" s="11" t="s">
        <v>192</v>
      </c>
      <c r="F66" s="24">
        <v>2</v>
      </c>
      <c r="G66" s="11" t="s">
        <v>191</v>
      </c>
      <c r="H66" s="24">
        <v>1</v>
      </c>
      <c r="J66" s="145">
        <f t="shared" si="450"/>
        <v>40285.5</v>
      </c>
      <c r="K66" s="146">
        <f t="shared" si="451"/>
        <v>40285.5</v>
      </c>
      <c r="L66" s="123"/>
      <c r="M66" s="142">
        <f t="shared" si="448"/>
        <v>2</v>
      </c>
      <c r="O66" s="142">
        <f t="shared" si="449"/>
        <v>1</v>
      </c>
      <c r="P66" s="21"/>
    </row>
    <row r="67" spans="1:16">
      <c r="A67" s="15">
        <f>COUNTIF(E$44:G67,E67)</f>
        <v>4</v>
      </c>
      <c r="B67" s="15">
        <f>COUNTIF(E$44:G67,G67)</f>
        <v>3</v>
      </c>
      <c r="C67" s="143">
        <v>40285</v>
      </c>
      <c r="D67" s="144">
        <v>0.5</v>
      </c>
      <c r="E67" s="11" t="s">
        <v>178</v>
      </c>
      <c r="F67" s="24">
        <v>1</v>
      </c>
      <c r="G67" s="11" t="s">
        <v>188</v>
      </c>
      <c r="H67" s="24">
        <v>0</v>
      </c>
      <c r="J67" s="145">
        <f t="shared" si="450"/>
        <v>40285.5</v>
      </c>
      <c r="K67" s="146">
        <f t="shared" si="451"/>
        <v>40285.5</v>
      </c>
      <c r="L67" s="123"/>
      <c r="M67" s="142">
        <f t="shared" si="448"/>
        <v>1</v>
      </c>
      <c r="O67" s="142">
        <f t="shared" si="449"/>
        <v>0</v>
      </c>
      <c r="P67" s="21"/>
    </row>
    <row r="68" spans="1:16">
      <c r="A68" s="15">
        <f>COUNTIF(E$44:G68,E68)</f>
        <v>4</v>
      </c>
      <c r="B68" s="15">
        <f>COUNTIF(E$44:G68,G68)</f>
        <v>4</v>
      </c>
      <c r="C68" s="143">
        <v>40285</v>
      </c>
      <c r="D68" s="144">
        <v>0.5</v>
      </c>
      <c r="E68" s="11" t="s">
        <v>183</v>
      </c>
      <c r="F68" s="24">
        <v>3</v>
      </c>
      <c r="G68" s="11" t="s">
        <v>180</v>
      </c>
      <c r="H68" s="24">
        <v>0</v>
      </c>
      <c r="J68" s="145">
        <f t="shared" si="450"/>
        <v>40285.5</v>
      </c>
      <c r="K68" s="146">
        <f t="shared" si="451"/>
        <v>40285.5</v>
      </c>
      <c r="L68" s="123"/>
      <c r="M68" s="142">
        <f t="shared" si="448"/>
        <v>3</v>
      </c>
      <c r="O68" s="142">
        <f t="shared" si="449"/>
        <v>0</v>
      </c>
      <c r="P68" s="21"/>
    </row>
    <row r="69" spans="1:16">
      <c r="A69" s="15">
        <f>COUNTIF(E$44:G69,E69)</f>
        <v>4</v>
      </c>
      <c r="B69" s="15">
        <f>COUNTIF(E$44:G69,G69)</f>
        <v>4</v>
      </c>
      <c r="C69" s="143">
        <v>40285</v>
      </c>
      <c r="D69" s="144">
        <v>0.5</v>
      </c>
      <c r="E69" s="11" t="s">
        <v>189</v>
      </c>
      <c r="F69" s="24">
        <v>0</v>
      </c>
      <c r="G69" s="11" t="s">
        <v>187</v>
      </c>
      <c r="H69" s="24">
        <v>2</v>
      </c>
      <c r="J69" s="145">
        <f t="shared" si="450"/>
        <v>40285.5</v>
      </c>
      <c r="K69" s="146">
        <f t="shared" si="451"/>
        <v>40285.5</v>
      </c>
      <c r="L69" s="123"/>
      <c r="M69" s="142">
        <f t="shared" si="448"/>
        <v>0</v>
      </c>
      <c r="O69" s="142">
        <f t="shared" si="449"/>
        <v>2</v>
      </c>
      <c r="P69" s="21"/>
    </row>
    <row r="70" spans="1:16">
      <c r="A70" s="15">
        <f>COUNTIF(E$44:G70,E70)</f>
        <v>4</v>
      </c>
      <c r="B70" s="15">
        <f>COUNTIF(E$44:G70,G70)</f>
        <v>3</v>
      </c>
      <c r="C70" s="143">
        <v>40285</v>
      </c>
      <c r="D70" s="144">
        <v>0.5</v>
      </c>
      <c r="E70" s="11" t="s">
        <v>186</v>
      </c>
      <c r="F70" s="24">
        <v>2</v>
      </c>
      <c r="G70" s="11" t="s">
        <v>182</v>
      </c>
      <c r="H70" s="24">
        <v>1</v>
      </c>
      <c r="J70" s="145">
        <f t="shared" si="450"/>
        <v>40285.5</v>
      </c>
      <c r="K70" s="146">
        <f t="shared" si="451"/>
        <v>40285.5</v>
      </c>
      <c r="L70" s="123"/>
      <c r="M70" s="142">
        <f t="shared" si="448"/>
        <v>2</v>
      </c>
      <c r="O70" s="142">
        <f t="shared" si="449"/>
        <v>1</v>
      </c>
      <c r="P70" s="21"/>
    </row>
    <row r="71" spans="1:16">
      <c r="A71" s="15">
        <f>COUNTIF(E$44:G71,E71)</f>
        <v>3</v>
      </c>
      <c r="B71" s="15">
        <f>COUNTIF(E$44:G71,G71)</f>
        <v>4</v>
      </c>
      <c r="C71" s="143">
        <v>40285</v>
      </c>
      <c r="D71" s="144">
        <v>0.5</v>
      </c>
      <c r="E71" s="11" t="s">
        <v>190</v>
      </c>
      <c r="F71" s="24">
        <v>2</v>
      </c>
      <c r="G71" s="11" t="s">
        <v>193</v>
      </c>
      <c r="H71" s="24">
        <v>0</v>
      </c>
      <c r="J71" s="145">
        <f t="shared" si="450"/>
        <v>40285.5</v>
      </c>
      <c r="K71" s="146">
        <f t="shared" si="451"/>
        <v>40285.5</v>
      </c>
      <c r="L71" s="123"/>
      <c r="M71" s="142">
        <f t="shared" si="448"/>
        <v>2</v>
      </c>
      <c r="O71" s="142">
        <f t="shared" si="449"/>
        <v>0</v>
      </c>
      <c r="P71" s="21"/>
    </row>
    <row r="72" spans="1:16">
      <c r="A72" s="15">
        <f>COUNTIF(E$44:G72,E72)</f>
        <v>4</v>
      </c>
      <c r="B72" s="15">
        <f>COUNTIF(E$44:G72,G72)</f>
        <v>4</v>
      </c>
      <c r="C72" s="143">
        <v>40286</v>
      </c>
      <c r="D72" s="144">
        <v>0.5</v>
      </c>
      <c r="E72" s="11" t="s">
        <v>181</v>
      </c>
      <c r="F72" s="24">
        <v>3</v>
      </c>
      <c r="G72" s="11" t="s">
        <v>185</v>
      </c>
      <c r="H72" s="24">
        <v>1</v>
      </c>
      <c r="J72" s="145">
        <f t="shared" si="450"/>
        <v>40286.5</v>
      </c>
      <c r="K72" s="146">
        <f t="shared" si="451"/>
        <v>40286.5</v>
      </c>
      <c r="L72" s="123"/>
      <c r="M72" s="142">
        <f t="shared" si="448"/>
        <v>3</v>
      </c>
      <c r="O72" s="142">
        <f t="shared" si="449"/>
        <v>1</v>
      </c>
      <c r="P72" s="21"/>
    </row>
    <row r="73" spans="1:16">
      <c r="A73" s="15">
        <f>COUNTIF(E$44:G73,E73)</f>
        <v>4</v>
      </c>
      <c r="B73" s="15">
        <f>COUNTIF(E$44:G73,G73)</f>
        <v>5</v>
      </c>
      <c r="C73" s="143">
        <v>40290</v>
      </c>
      <c r="D73" s="144">
        <v>0.5</v>
      </c>
      <c r="E73" s="11" t="s">
        <v>182</v>
      </c>
      <c r="F73" s="24">
        <v>2</v>
      </c>
      <c r="G73" s="11" t="s">
        <v>178</v>
      </c>
      <c r="H73" s="24">
        <v>2</v>
      </c>
      <c r="J73" s="145">
        <f t="shared" si="450"/>
        <v>40290.5</v>
      </c>
      <c r="K73" s="146">
        <f t="shared" si="451"/>
        <v>40290.5</v>
      </c>
      <c r="L73" s="123"/>
      <c r="M73" s="142">
        <f t="shared" si="448"/>
        <v>2</v>
      </c>
      <c r="O73" s="142">
        <f t="shared" si="449"/>
        <v>2</v>
      </c>
      <c r="P73" s="21"/>
    </row>
    <row r="74" spans="1:16">
      <c r="A74" s="15">
        <f>COUNTIF(E$44:G74,E74)</f>
        <v>5</v>
      </c>
      <c r="B74" s="15">
        <f>COUNTIF(E$44:G74,G74)</f>
        <v>4</v>
      </c>
      <c r="C74" s="143">
        <v>40292</v>
      </c>
      <c r="D74" s="144">
        <v>0.5</v>
      </c>
      <c r="E74" s="11" t="s">
        <v>186</v>
      </c>
      <c r="F74" s="24">
        <v>2</v>
      </c>
      <c r="G74" s="11" t="s">
        <v>179</v>
      </c>
      <c r="H74" s="24">
        <v>1</v>
      </c>
      <c r="J74" s="145">
        <f t="shared" si="450"/>
        <v>40292.5</v>
      </c>
      <c r="K74" s="146">
        <f t="shared" si="451"/>
        <v>40292.5</v>
      </c>
      <c r="L74" s="123"/>
      <c r="M74" s="142">
        <f t="shared" si="448"/>
        <v>2</v>
      </c>
      <c r="O74" s="142">
        <f t="shared" si="449"/>
        <v>1</v>
      </c>
      <c r="P74" s="21"/>
    </row>
    <row r="75" spans="1:16">
      <c r="A75" s="15">
        <f>COUNTIF(E$44:G75,E75)</f>
        <v>3</v>
      </c>
      <c r="B75" s="15">
        <f>COUNTIF(E$44:G75,G75)</f>
        <v>5</v>
      </c>
      <c r="C75" s="143">
        <v>40292</v>
      </c>
      <c r="D75" s="144">
        <v>0.5</v>
      </c>
      <c r="E75" s="11" t="s">
        <v>184</v>
      </c>
      <c r="F75" s="24">
        <v>1</v>
      </c>
      <c r="G75" s="11" t="s">
        <v>191</v>
      </c>
      <c r="H75" s="24">
        <v>0</v>
      </c>
      <c r="J75" s="145">
        <f t="shared" si="450"/>
        <v>40292.5</v>
      </c>
      <c r="K75" s="146">
        <f t="shared" si="451"/>
        <v>40292.5</v>
      </c>
      <c r="L75" s="123"/>
      <c r="M75" s="142">
        <f t="shared" si="448"/>
        <v>1</v>
      </c>
      <c r="O75" s="142">
        <f t="shared" si="449"/>
        <v>0</v>
      </c>
      <c r="P75" s="21"/>
    </row>
    <row r="76" spans="1:16">
      <c r="A76" s="15">
        <f>COUNTIF(E$44:G76,E76)</f>
        <v>5</v>
      </c>
      <c r="B76" s="15">
        <f>COUNTIF(E$44:G76,G76)</f>
        <v>5</v>
      </c>
      <c r="C76" s="143">
        <v>40292</v>
      </c>
      <c r="D76" s="144">
        <v>0.5</v>
      </c>
      <c r="E76" s="11" t="s">
        <v>193</v>
      </c>
      <c r="F76" s="24">
        <v>1</v>
      </c>
      <c r="G76" s="11" t="s">
        <v>181</v>
      </c>
      <c r="H76" s="24">
        <v>2</v>
      </c>
      <c r="J76" s="145">
        <f t="shared" si="450"/>
        <v>40292.5</v>
      </c>
      <c r="K76" s="146">
        <f t="shared" si="451"/>
        <v>40292.5</v>
      </c>
      <c r="L76" s="123"/>
      <c r="M76" s="142">
        <f t="shared" si="448"/>
        <v>1</v>
      </c>
      <c r="O76" s="142">
        <f t="shared" si="449"/>
        <v>2</v>
      </c>
      <c r="P76" s="21"/>
    </row>
    <row r="77" spans="1:16">
      <c r="A77" s="15">
        <f>COUNTIF(E$44:G77,E77)</f>
        <v>5</v>
      </c>
      <c r="B77" s="15">
        <f>COUNTIF(E$44:G77,G77)</f>
        <v>5</v>
      </c>
      <c r="C77" s="143">
        <v>40292</v>
      </c>
      <c r="D77" s="144">
        <v>0.5</v>
      </c>
      <c r="E77" s="11" t="s">
        <v>187</v>
      </c>
      <c r="F77" s="24">
        <v>2</v>
      </c>
      <c r="G77" s="11" t="s">
        <v>183</v>
      </c>
      <c r="H77" s="24">
        <v>0</v>
      </c>
      <c r="J77" s="145">
        <f t="shared" si="450"/>
        <v>40292.5</v>
      </c>
      <c r="K77" s="146">
        <f t="shared" si="451"/>
        <v>40292.5</v>
      </c>
      <c r="L77" s="123"/>
      <c r="M77" s="142">
        <f t="shared" si="448"/>
        <v>2</v>
      </c>
      <c r="O77" s="142">
        <f t="shared" si="449"/>
        <v>0</v>
      </c>
      <c r="P77" s="21"/>
    </row>
    <row r="78" spans="1:16">
      <c r="A78" s="15">
        <f>COUNTIF(E$44:G78,E78)</f>
        <v>4</v>
      </c>
      <c r="B78" s="15">
        <f>COUNTIF(E$44:G78,G78)</f>
        <v>5</v>
      </c>
      <c r="C78" s="143">
        <v>40292</v>
      </c>
      <c r="D78" s="144">
        <v>0.5</v>
      </c>
      <c r="E78" s="11" t="s">
        <v>188</v>
      </c>
      <c r="F78" s="24">
        <v>0</v>
      </c>
      <c r="G78" s="11" t="s">
        <v>192</v>
      </c>
      <c r="H78" s="24">
        <v>0</v>
      </c>
      <c r="J78" s="145">
        <f t="shared" si="450"/>
        <v>40292.5</v>
      </c>
      <c r="K78" s="146">
        <f t="shared" si="451"/>
        <v>40292.5</v>
      </c>
      <c r="L78" s="123"/>
      <c r="M78" s="142">
        <f t="shared" si="448"/>
        <v>0</v>
      </c>
      <c r="O78" s="142">
        <f t="shared" si="449"/>
        <v>0</v>
      </c>
      <c r="P78" s="21"/>
    </row>
    <row r="79" spans="1:16">
      <c r="A79" s="15">
        <f>COUNTIF(E$44:G79,E79)</f>
        <v>5</v>
      </c>
      <c r="B79" s="15">
        <f>COUNTIF(E$44:G79,G79)</f>
        <v>4</v>
      </c>
      <c r="C79" s="143">
        <v>40292</v>
      </c>
      <c r="D79" s="144">
        <v>0.5</v>
      </c>
      <c r="E79" s="11" t="s">
        <v>180</v>
      </c>
      <c r="F79" s="24">
        <v>3</v>
      </c>
      <c r="G79" s="11" t="s">
        <v>190</v>
      </c>
      <c r="H79" s="24">
        <v>2</v>
      </c>
      <c r="J79" s="145">
        <f t="shared" si="450"/>
        <v>40292.5</v>
      </c>
      <c r="K79" s="146">
        <f t="shared" si="451"/>
        <v>40292.5</v>
      </c>
      <c r="L79" s="123"/>
      <c r="M79" s="142">
        <f t="shared" si="448"/>
        <v>3</v>
      </c>
      <c r="O79" s="142">
        <f t="shared" si="449"/>
        <v>2</v>
      </c>
      <c r="P79" s="21"/>
    </row>
    <row r="80" spans="1:16">
      <c r="A80" s="15">
        <f>COUNTIF(E$44:G80,E80)</f>
        <v>5</v>
      </c>
      <c r="B80" s="15">
        <f>COUNTIF(E$44:G80,G80)</f>
        <v>6</v>
      </c>
      <c r="C80" s="143">
        <v>40293</v>
      </c>
      <c r="D80" s="144">
        <v>0.5</v>
      </c>
      <c r="E80" s="11" t="s">
        <v>185</v>
      </c>
      <c r="F80" s="24">
        <v>2</v>
      </c>
      <c r="G80" s="11" t="s">
        <v>178</v>
      </c>
      <c r="H80" s="24">
        <v>0</v>
      </c>
      <c r="J80" s="145">
        <f t="shared" si="450"/>
        <v>40293.5</v>
      </c>
      <c r="K80" s="146">
        <f t="shared" si="451"/>
        <v>40293.5</v>
      </c>
      <c r="L80" s="123"/>
      <c r="M80" s="142">
        <f t="shared" si="448"/>
        <v>2</v>
      </c>
      <c r="O80" s="142">
        <f t="shared" si="449"/>
        <v>0</v>
      </c>
      <c r="P80" s="21"/>
    </row>
    <row r="81" spans="1:16">
      <c r="A81" s="15">
        <f>COUNTIF(E$44:G81,E81)</f>
        <v>5</v>
      </c>
      <c r="B81" s="15">
        <f>COUNTIF(E$44:G81,G81)</f>
        <v>6</v>
      </c>
      <c r="C81" s="143">
        <v>40299</v>
      </c>
      <c r="D81" s="144">
        <v>0.5</v>
      </c>
      <c r="E81" s="11" t="s">
        <v>189</v>
      </c>
      <c r="F81" s="24">
        <v>0</v>
      </c>
      <c r="G81" s="11" t="s">
        <v>186</v>
      </c>
      <c r="H81" s="24">
        <v>2</v>
      </c>
      <c r="J81" s="145">
        <f t="shared" si="450"/>
        <v>40299.5</v>
      </c>
      <c r="K81" s="146">
        <f t="shared" si="451"/>
        <v>40299.5</v>
      </c>
      <c r="L81" s="123"/>
      <c r="M81" s="142">
        <f t="shared" si="448"/>
        <v>0</v>
      </c>
      <c r="O81" s="142">
        <f t="shared" si="449"/>
        <v>2</v>
      </c>
      <c r="P81" s="21"/>
    </row>
    <row r="82" spans="1:16">
      <c r="A82" s="15">
        <f>COUNTIF(E$44:G82,E82)</f>
        <v>6</v>
      </c>
      <c r="B82" s="15">
        <f>COUNTIF(E$44:G82,G82)</f>
        <v>5</v>
      </c>
      <c r="C82" s="143">
        <v>40299</v>
      </c>
      <c r="D82" s="144">
        <v>0.5</v>
      </c>
      <c r="E82" s="11" t="s">
        <v>193</v>
      </c>
      <c r="F82" s="24">
        <v>1</v>
      </c>
      <c r="G82" s="11" t="s">
        <v>182</v>
      </c>
      <c r="H82" s="24">
        <v>1</v>
      </c>
      <c r="J82" s="145">
        <f t="shared" si="450"/>
        <v>40299.5</v>
      </c>
      <c r="K82" s="146">
        <f t="shared" si="451"/>
        <v>40299.5</v>
      </c>
      <c r="L82" s="123"/>
      <c r="M82" s="142">
        <f t="shared" si="448"/>
        <v>1</v>
      </c>
      <c r="O82" s="142">
        <f t="shared" si="449"/>
        <v>1</v>
      </c>
      <c r="P82" s="21"/>
    </row>
    <row r="83" spans="1:16">
      <c r="A83" s="15">
        <f>COUNTIF(E$44:G83,E83)</f>
        <v>6</v>
      </c>
      <c r="B83" s="15">
        <f>COUNTIF(E$44:G83,G83)</f>
        <v>6</v>
      </c>
      <c r="C83" s="143">
        <v>40299</v>
      </c>
      <c r="D83" s="144">
        <v>0.5</v>
      </c>
      <c r="E83" s="11" t="s">
        <v>187</v>
      </c>
      <c r="F83" s="24">
        <v>1</v>
      </c>
      <c r="G83" s="11" t="s">
        <v>180</v>
      </c>
      <c r="H83" s="24">
        <v>1</v>
      </c>
      <c r="J83" s="145">
        <f t="shared" si="450"/>
        <v>40299.5</v>
      </c>
      <c r="K83" s="146">
        <f t="shared" si="451"/>
        <v>40299.5</v>
      </c>
      <c r="L83" s="123"/>
      <c r="M83" s="142">
        <f t="shared" si="448"/>
        <v>1</v>
      </c>
      <c r="O83" s="142">
        <f t="shared" si="449"/>
        <v>1</v>
      </c>
      <c r="P83" s="21"/>
    </row>
    <row r="84" spans="1:16">
      <c r="A84" s="15">
        <f>COUNTIF(E$44:G84,E84)</f>
        <v>6</v>
      </c>
      <c r="B84" s="15">
        <f>COUNTIF(E$44:G84,G84)</f>
        <v>5</v>
      </c>
      <c r="C84" s="143">
        <v>40299</v>
      </c>
      <c r="D84" s="144">
        <v>0.5</v>
      </c>
      <c r="E84" s="11" t="s">
        <v>183</v>
      </c>
      <c r="F84" s="24">
        <v>3</v>
      </c>
      <c r="G84" s="11" t="s">
        <v>188</v>
      </c>
      <c r="H84" s="24">
        <v>0</v>
      </c>
      <c r="J84" s="145">
        <f t="shared" si="450"/>
        <v>40299.5</v>
      </c>
      <c r="K84" s="146">
        <f t="shared" si="451"/>
        <v>40299.5</v>
      </c>
      <c r="L84" s="123"/>
      <c r="M84" s="142">
        <f t="shared" si="448"/>
        <v>3</v>
      </c>
      <c r="O84" s="142">
        <f t="shared" si="449"/>
        <v>0</v>
      </c>
      <c r="P84" s="21"/>
    </row>
    <row r="85" spans="1:16">
      <c r="A85" s="15">
        <f>COUNTIF(E$44:G85,E85)</f>
        <v>6</v>
      </c>
      <c r="B85" s="15">
        <f>COUNTIF(E$44:G85,G85)</f>
        <v>6</v>
      </c>
      <c r="C85" s="143">
        <v>40299</v>
      </c>
      <c r="D85" s="144">
        <v>0.5</v>
      </c>
      <c r="E85" s="11" t="s">
        <v>191</v>
      </c>
      <c r="F85" s="24">
        <v>2</v>
      </c>
      <c r="G85" s="11" t="s">
        <v>185</v>
      </c>
      <c r="H85" s="24">
        <v>1</v>
      </c>
      <c r="J85" s="145">
        <f t="shared" si="450"/>
        <v>40299.5</v>
      </c>
      <c r="K85" s="146">
        <f t="shared" si="451"/>
        <v>40299.5</v>
      </c>
      <c r="L85" s="123"/>
      <c r="M85" s="142">
        <f t="shared" si="448"/>
        <v>2</v>
      </c>
      <c r="O85" s="142">
        <f t="shared" si="449"/>
        <v>1</v>
      </c>
      <c r="P85" s="21"/>
    </row>
    <row r="86" spans="1:16">
      <c r="A86" s="15">
        <f>COUNTIF(E$44:G86,E86)</f>
        <v>5</v>
      </c>
      <c r="B86" s="15">
        <f>COUNTIF(E$44:G86,G86)</f>
        <v>6</v>
      </c>
      <c r="C86" s="143">
        <v>40299</v>
      </c>
      <c r="D86" s="144">
        <v>0.5</v>
      </c>
      <c r="E86" s="11" t="s">
        <v>190</v>
      </c>
      <c r="F86" s="24">
        <v>1</v>
      </c>
      <c r="G86" s="11" t="s">
        <v>181</v>
      </c>
      <c r="H86" s="24">
        <v>0</v>
      </c>
      <c r="J86" s="145">
        <f t="shared" si="450"/>
        <v>40299.5</v>
      </c>
      <c r="K86" s="146">
        <f t="shared" si="451"/>
        <v>40299.5</v>
      </c>
      <c r="L86" s="123"/>
      <c r="M86" s="142">
        <f t="shared" si="448"/>
        <v>1</v>
      </c>
      <c r="O86" s="142">
        <f t="shared" si="449"/>
        <v>0</v>
      </c>
      <c r="P86" s="21"/>
    </row>
    <row r="87" spans="1:16">
      <c r="A87" s="15">
        <f>COUNTIF(E$44:G87,E87)</f>
        <v>6</v>
      </c>
      <c r="B87" s="15">
        <f>COUNTIF(E$44:G87,G87)</f>
        <v>5</v>
      </c>
      <c r="C87" s="143">
        <v>40299</v>
      </c>
      <c r="D87" s="144">
        <v>0.5</v>
      </c>
      <c r="E87" s="11" t="s">
        <v>192</v>
      </c>
      <c r="F87" s="24">
        <v>3</v>
      </c>
      <c r="G87" s="11" t="s">
        <v>179</v>
      </c>
      <c r="H87" s="24">
        <v>1</v>
      </c>
      <c r="J87" s="145">
        <f t="shared" si="450"/>
        <v>40299.5</v>
      </c>
      <c r="K87" s="146">
        <f t="shared" si="451"/>
        <v>40299.5</v>
      </c>
      <c r="L87" s="123"/>
      <c r="M87" s="142">
        <f t="shared" si="448"/>
        <v>3</v>
      </c>
      <c r="O87" s="142">
        <f t="shared" si="449"/>
        <v>1</v>
      </c>
      <c r="P87" s="21"/>
    </row>
    <row r="88" spans="1:16">
      <c r="A88" s="15">
        <f>COUNTIF(E$44:G88,E88)</f>
        <v>7</v>
      </c>
      <c r="B88" s="15">
        <f>COUNTIF(E$44:G88,G88)</f>
        <v>4</v>
      </c>
      <c r="C88" s="143">
        <v>40299</v>
      </c>
      <c r="D88" s="144">
        <v>0.5</v>
      </c>
      <c r="E88" s="11" t="s">
        <v>178</v>
      </c>
      <c r="F88" s="24">
        <v>1</v>
      </c>
      <c r="G88" s="11" t="s">
        <v>184</v>
      </c>
      <c r="H88" s="24">
        <v>1</v>
      </c>
      <c r="J88" s="145">
        <f t="shared" si="450"/>
        <v>40299.5</v>
      </c>
      <c r="K88" s="146">
        <f t="shared" si="451"/>
        <v>40299.5</v>
      </c>
      <c r="L88" s="123"/>
      <c r="M88" s="142">
        <f t="shared" si="448"/>
        <v>1</v>
      </c>
      <c r="O88" s="142">
        <f t="shared" si="449"/>
        <v>1</v>
      </c>
      <c r="P88" s="21"/>
    </row>
    <row r="89" spans="1:16">
      <c r="A89" s="15">
        <f>COUNTIF(E$44:G89,E89)</f>
        <v>6</v>
      </c>
      <c r="B89" s="15">
        <f>COUNTIF(E$44:G89,G89)</f>
        <v>6</v>
      </c>
      <c r="C89" s="143">
        <v>40303</v>
      </c>
      <c r="D89" s="144">
        <v>0.5</v>
      </c>
      <c r="E89" s="11" t="s">
        <v>189</v>
      </c>
      <c r="F89" s="24">
        <v>2</v>
      </c>
      <c r="G89" s="11" t="s">
        <v>188</v>
      </c>
      <c r="H89" s="24">
        <v>1</v>
      </c>
      <c r="J89" s="145">
        <f t="shared" si="450"/>
        <v>40303.5</v>
      </c>
      <c r="K89" s="146">
        <f t="shared" si="451"/>
        <v>40303.5</v>
      </c>
      <c r="L89" s="123"/>
      <c r="M89" s="142">
        <f t="shared" si="448"/>
        <v>2</v>
      </c>
      <c r="O89" s="142">
        <f t="shared" si="449"/>
        <v>1</v>
      </c>
      <c r="P89" s="21"/>
    </row>
    <row r="90" spans="1:16">
      <c r="A90" s="15">
        <f>COUNTIF(E$44:G90,E90)</f>
        <v>7</v>
      </c>
      <c r="B90" s="15">
        <f>COUNTIF(E$44:G90,G90)</f>
        <v>7</v>
      </c>
      <c r="C90" s="143">
        <v>40303</v>
      </c>
      <c r="D90" s="144">
        <v>0.5</v>
      </c>
      <c r="E90" s="11" t="s">
        <v>193</v>
      </c>
      <c r="F90" s="24">
        <v>0</v>
      </c>
      <c r="G90" s="11" t="s">
        <v>180</v>
      </c>
      <c r="H90" s="24">
        <v>4</v>
      </c>
      <c r="J90" s="145">
        <f t="shared" si="450"/>
        <v>40303.5</v>
      </c>
      <c r="K90" s="146">
        <f t="shared" si="451"/>
        <v>40303.5</v>
      </c>
      <c r="L90" s="123"/>
      <c r="M90" s="142">
        <f t="shared" si="448"/>
        <v>0</v>
      </c>
      <c r="O90" s="142">
        <f t="shared" si="449"/>
        <v>4</v>
      </c>
      <c r="P90" s="21"/>
    </row>
    <row r="91" spans="1:16">
      <c r="A91" s="15">
        <f>COUNTIF(E$44:G91,E91)</f>
        <v>7</v>
      </c>
      <c r="B91" s="15">
        <f>COUNTIF(E$44:G91,G91)</f>
        <v>6</v>
      </c>
      <c r="C91" s="143">
        <v>40303</v>
      </c>
      <c r="D91" s="144">
        <v>0.5</v>
      </c>
      <c r="E91" s="11" t="s">
        <v>183</v>
      </c>
      <c r="F91" s="24">
        <v>0</v>
      </c>
      <c r="G91" s="11" t="s">
        <v>182</v>
      </c>
      <c r="H91" s="24">
        <v>1</v>
      </c>
      <c r="J91" s="145">
        <f t="shared" si="450"/>
        <v>40303.5</v>
      </c>
      <c r="K91" s="146">
        <f t="shared" si="451"/>
        <v>40303.5</v>
      </c>
      <c r="L91" s="123"/>
      <c r="M91" s="142">
        <f t="shared" si="448"/>
        <v>0</v>
      </c>
      <c r="O91" s="142">
        <f t="shared" si="449"/>
        <v>1</v>
      </c>
      <c r="P91" s="21"/>
    </row>
    <row r="92" spans="1:16">
      <c r="A92" s="15">
        <f>COUNTIF(E$44:G92,E92)</f>
        <v>7</v>
      </c>
      <c r="B92" s="15">
        <f>COUNTIF(E$44:G92,G92)</f>
        <v>7</v>
      </c>
      <c r="C92" s="143">
        <v>40303</v>
      </c>
      <c r="D92" s="144">
        <v>0.5</v>
      </c>
      <c r="E92" s="11" t="s">
        <v>181</v>
      </c>
      <c r="F92" s="24">
        <v>0</v>
      </c>
      <c r="G92" s="11" t="s">
        <v>192</v>
      </c>
      <c r="H92" s="24">
        <v>1</v>
      </c>
      <c r="J92" s="145">
        <f t="shared" si="450"/>
        <v>40303.5</v>
      </c>
      <c r="K92" s="146">
        <f t="shared" si="451"/>
        <v>40303.5</v>
      </c>
      <c r="L92" s="123"/>
      <c r="M92" s="142">
        <f t="shared" si="448"/>
        <v>0</v>
      </c>
      <c r="O92" s="142">
        <f t="shared" si="449"/>
        <v>1</v>
      </c>
      <c r="P92" s="21"/>
    </row>
    <row r="93" spans="1:16">
      <c r="A93" s="15">
        <f>COUNTIF(E$44:G93,E93)</f>
        <v>7</v>
      </c>
      <c r="B93" s="15">
        <f>COUNTIF(E$44:G93,G93)</f>
        <v>6</v>
      </c>
      <c r="C93" s="143">
        <v>40306</v>
      </c>
      <c r="D93" s="144">
        <v>0.5</v>
      </c>
      <c r="E93" s="11" t="s">
        <v>191</v>
      </c>
      <c r="F93" s="24">
        <v>3</v>
      </c>
      <c r="G93" s="11" t="s">
        <v>179</v>
      </c>
      <c r="H93" s="24">
        <v>0</v>
      </c>
      <c r="J93" s="145">
        <f t="shared" si="450"/>
        <v>40306.5</v>
      </c>
      <c r="K93" s="146">
        <f t="shared" si="451"/>
        <v>40306.5</v>
      </c>
      <c r="L93" s="123"/>
      <c r="M93" s="142">
        <f t="shared" si="448"/>
        <v>3</v>
      </c>
      <c r="O93" s="142">
        <f t="shared" si="449"/>
        <v>0</v>
      </c>
      <c r="P93" s="21"/>
    </row>
    <row r="94" spans="1:16">
      <c r="A94" s="15">
        <f>COUNTIF(E$44:G94,E94)</f>
        <v>8</v>
      </c>
      <c r="B94" s="15">
        <f>COUNTIF(E$44:G94,G94)</f>
        <v>8</v>
      </c>
      <c r="C94" s="143">
        <v>40306</v>
      </c>
      <c r="D94" s="144">
        <v>0.5</v>
      </c>
      <c r="E94" s="11" t="s">
        <v>178</v>
      </c>
      <c r="F94" s="24">
        <v>0</v>
      </c>
      <c r="G94" s="11" t="s">
        <v>192</v>
      </c>
      <c r="H94" s="24">
        <v>4</v>
      </c>
      <c r="J94" s="145">
        <f t="shared" si="450"/>
        <v>40306.5</v>
      </c>
      <c r="K94" s="146">
        <f t="shared" si="451"/>
        <v>40306.5</v>
      </c>
      <c r="L94" s="123"/>
      <c r="M94" s="142">
        <f t="shared" si="448"/>
        <v>0</v>
      </c>
      <c r="O94" s="142">
        <f t="shared" si="449"/>
        <v>4</v>
      </c>
      <c r="P94" s="21"/>
    </row>
    <row r="95" spans="1:16">
      <c r="A95" s="15">
        <f>COUNTIF(E$44:G95,E95)</f>
        <v>7</v>
      </c>
      <c r="B95" s="15">
        <f>COUNTIF(E$44:G95,G95)</f>
        <v>7</v>
      </c>
      <c r="C95" s="143">
        <v>40306</v>
      </c>
      <c r="D95" s="144">
        <v>0.5</v>
      </c>
      <c r="E95" s="11" t="s">
        <v>185</v>
      </c>
      <c r="F95" s="24">
        <v>4</v>
      </c>
      <c r="G95" s="11" t="s">
        <v>187</v>
      </c>
      <c r="H95" s="24">
        <v>1</v>
      </c>
      <c r="J95" s="145">
        <f t="shared" si="450"/>
        <v>40306.5</v>
      </c>
      <c r="K95" s="146">
        <f t="shared" si="451"/>
        <v>40306.5</v>
      </c>
      <c r="L95" s="123"/>
      <c r="M95" s="142">
        <f t="shared" si="448"/>
        <v>4</v>
      </c>
      <c r="O95" s="142">
        <f t="shared" si="449"/>
        <v>1</v>
      </c>
      <c r="P95" s="21"/>
    </row>
    <row r="96" spans="1:16">
      <c r="A96" s="15">
        <f>COUNTIF(E$44:G96,E96)</f>
        <v>5</v>
      </c>
      <c r="B96" s="15">
        <f>COUNTIF(E$44:G96,G96)</f>
        <v>8</v>
      </c>
      <c r="C96" s="143">
        <v>40306</v>
      </c>
      <c r="D96" s="144">
        <v>0.5</v>
      </c>
      <c r="E96" s="11" t="s">
        <v>184</v>
      </c>
      <c r="F96" s="24">
        <v>3</v>
      </c>
      <c r="G96" s="11" t="s">
        <v>193</v>
      </c>
      <c r="H96" s="24">
        <v>2</v>
      </c>
      <c r="J96" s="145">
        <f t="shared" si="450"/>
        <v>40306.5</v>
      </c>
      <c r="K96" s="146">
        <f t="shared" si="451"/>
        <v>40306.5</v>
      </c>
      <c r="L96" s="123"/>
      <c r="M96" s="142">
        <f t="shared" si="448"/>
        <v>3</v>
      </c>
      <c r="O96" s="142">
        <f t="shared" si="449"/>
        <v>2</v>
      </c>
      <c r="P96" s="21"/>
    </row>
    <row r="97" spans="1:16">
      <c r="A97" s="15">
        <f>COUNTIF(E$44:G97,E97)</f>
        <v>7</v>
      </c>
      <c r="B97" s="15">
        <f>COUNTIF(E$44:G97,G97)</f>
        <v>7</v>
      </c>
      <c r="C97" s="143">
        <v>40306</v>
      </c>
      <c r="D97" s="144">
        <v>0.5</v>
      </c>
      <c r="E97" s="11" t="s">
        <v>182</v>
      </c>
      <c r="F97" s="24">
        <v>1</v>
      </c>
      <c r="G97" s="11" t="s">
        <v>189</v>
      </c>
      <c r="H97" s="24">
        <v>0</v>
      </c>
      <c r="J97" s="145">
        <f t="shared" si="450"/>
        <v>40306.5</v>
      </c>
      <c r="K97" s="146">
        <f t="shared" si="451"/>
        <v>40306.5</v>
      </c>
      <c r="L97" s="123"/>
      <c r="M97" s="142">
        <f t="shared" si="448"/>
        <v>1</v>
      </c>
      <c r="O97" s="142">
        <f t="shared" si="449"/>
        <v>0</v>
      </c>
      <c r="P97" s="21"/>
    </row>
    <row r="98" spans="1:16">
      <c r="A98" s="15">
        <f>COUNTIF(E$44:G98,E98)</f>
        <v>6</v>
      </c>
      <c r="B98" s="15">
        <f>COUNTIF(E$44:G98,G98)</f>
        <v>7</v>
      </c>
      <c r="C98" s="143">
        <v>40306</v>
      </c>
      <c r="D98" s="144">
        <v>0.5</v>
      </c>
      <c r="E98" s="11" t="s">
        <v>190</v>
      </c>
      <c r="F98" s="24">
        <v>4</v>
      </c>
      <c r="G98" s="11" t="s">
        <v>186</v>
      </c>
      <c r="H98" s="24">
        <v>0</v>
      </c>
      <c r="J98" s="145">
        <f t="shared" si="450"/>
        <v>40306.5</v>
      </c>
      <c r="K98" s="146">
        <f t="shared" si="451"/>
        <v>40306.5</v>
      </c>
      <c r="L98" s="123"/>
      <c r="M98" s="142">
        <f t="shared" si="448"/>
        <v>4</v>
      </c>
      <c r="O98" s="142">
        <f t="shared" si="449"/>
        <v>0</v>
      </c>
      <c r="P98" s="21"/>
    </row>
    <row r="99" spans="1:16">
      <c r="A99" s="15">
        <f>COUNTIF(E$44:G99,E99)</f>
        <v>8</v>
      </c>
      <c r="B99" s="15">
        <f>COUNTIF(E$44:G99,G99)</f>
        <v>8</v>
      </c>
      <c r="C99" s="143">
        <v>40306</v>
      </c>
      <c r="D99" s="144">
        <v>0.5</v>
      </c>
      <c r="E99" s="11" t="s">
        <v>180</v>
      </c>
      <c r="F99" s="24">
        <v>0</v>
      </c>
      <c r="G99" s="11" t="s">
        <v>183</v>
      </c>
      <c r="H99" s="24">
        <v>2</v>
      </c>
      <c r="J99" s="145">
        <f t="shared" si="450"/>
        <v>40306.5</v>
      </c>
      <c r="K99" s="146">
        <f t="shared" si="451"/>
        <v>40306.5</v>
      </c>
      <c r="L99" s="123"/>
      <c r="M99" s="142">
        <f t="shared" si="448"/>
        <v>0</v>
      </c>
      <c r="O99" s="142">
        <f t="shared" si="449"/>
        <v>2</v>
      </c>
      <c r="P99" s="21"/>
    </row>
    <row r="100" spans="1:16">
      <c r="A100" s="15">
        <f>COUNTIF(E$44:G100,E100)</f>
        <v>8</v>
      </c>
      <c r="B100" s="15">
        <f>COUNTIF(E$44:G100,G100)</f>
        <v>9</v>
      </c>
      <c r="C100" s="143">
        <v>40311</v>
      </c>
      <c r="D100" s="144">
        <v>0.5</v>
      </c>
      <c r="E100" s="11" t="s">
        <v>191</v>
      </c>
      <c r="F100" s="24">
        <v>3</v>
      </c>
      <c r="G100" s="11" t="s">
        <v>183</v>
      </c>
      <c r="H100" s="24">
        <v>1</v>
      </c>
      <c r="J100" s="145">
        <f t="shared" si="450"/>
        <v>40311.5</v>
      </c>
      <c r="K100" s="146">
        <f t="shared" si="451"/>
        <v>40311.5</v>
      </c>
      <c r="L100" s="123"/>
      <c r="M100" s="142">
        <f t="shared" si="448"/>
        <v>3</v>
      </c>
      <c r="O100" s="142">
        <f t="shared" si="449"/>
        <v>1</v>
      </c>
      <c r="P100" s="21"/>
    </row>
    <row r="101" spans="1:16">
      <c r="A101" s="15">
        <f>COUNTIF(E$44:G101,E101)</f>
        <v>7</v>
      </c>
      <c r="B101" s="15">
        <f>COUNTIF(E$44:G101,G101)</f>
        <v>8</v>
      </c>
      <c r="C101" s="143">
        <v>40313</v>
      </c>
      <c r="D101" s="144">
        <v>0.5</v>
      </c>
      <c r="E101" s="11" t="s">
        <v>179</v>
      </c>
      <c r="F101" s="24">
        <v>1</v>
      </c>
      <c r="G101" s="11" t="s">
        <v>182</v>
      </c>
      <c r="H101" s="24">
        <v>1</v>
      </c>
      <c r="J101" s="145">
        <f t="shared" si="450"/>
        <v>40313.5</v>
      </c>
      <c r="K101" s="146">
        <f t="shared" si="451"/>
        <v>40313.5</v>
      </c>
      <c r="L101" s="123"/>
      <c r="M101" s="142">
        <f t="shared" si="448"/>
        <v>1</v>
      </c>
      <c r="O101" s="142">
        <f t="shared" si="449"/>
        <v>1</v>
      </c>
      <c r="P101" s="21"/>
    </row>
    <row r="102" spans="1:16">
      <c r="A102" s="15">
        <f>COUNTIF(E$44:G102,E102)</f>
        <v>9</v>
      </c>
      <c r="B102" s="15">
        <f>COUNTIF(E$44:G102,G102)</f>
        <v>7</v>
      </c>
      <c r="C102" s="143">
        <v>40313</v>
      </c>
      <c r="D102" s="144">
        <v>0.5</v>
      </c>
      <c r="E102" s="11" t="s">
        <v>193</v>
      </c>
      <c r="F102" s="24">
        <v>0</v>
      </c>
      <c r="G102" s="11" t="s">
        <v>190</v>
      </c>
      <c r="H102" s="24">
        <v>0</v>
      </c>
      <c r="J102" s="145">
        <f t="shared" si="450"/>
        <v>40313.5</v>
      </c>
      <c r="K102" s="146">
        <f t="shared" si="451"/>
        <v>40313.5</v>
      </c>
      <c r="L102" s="123"/>
      <c r="M102" s="142">
        <f t="shared" si="448"/>
        <v>0</v>
      </c>
      <c r="O102" s="142">
        <f t="shared" si="449"/>
        <v>0</v>
      </c>
      <c r="P102" s="21"/>
    </row>
    <row r="103" spans="1:16">
      <c r="A103" s="15">
        <f>COUNTIF(E$44:G103,E103)</f>
        <v>6</v>
      </c>
      <c r="B103" s="15">
        <f>COUNTIF(E$44:G103,G103)</f>
        <v>9</v>
      </c>
      <c r="C103" s="143">
        <v>40313</v>
      </c>
      <c r="D103" s="144">
        <v>0.5</v>
      </c>
      <c r="E103" s="11" t="s">
        <v>184</v>
      </c>
      <c r="F103" s="24">
        <v>1</v>
      </c>
      <c r="G103" s="11" t="s">
        <v>180</v>
      </c>
      <c r="H103" s="24">
        <v>0</v>
      </c>
      <c r="J103" s="145">
        <f t="shared" si="450"/>
        <v>40313.5</v>
      </c>
      <c r="K103" s="146">
        <f t="shared" si="451"/>
        <v>40313.5</v>
      </c>
      <c r="L103" s="123"/>
      <c r="M103" s="142">
        <f t="shared" si="448"/>
        <v>1</v>
      </c>
      <c r="O103" s="142">
        <f t="shared" si="449"/>
        <v>0</v>
      </c>
      <c r="P103" s="21"/>
    </row>
    <row r="104" spans="1:16">
      <c r="A104" s="15">
        <f>COUNTIF(E$44:G104,E104)</f>
        <v>8</v>
      </c>
      <c r="B104" s="15">
        <f>COUNTIF(E$44:G104,G104)</f>
        <v>8</v>
      </c>
      <c r="C104" s="143">
        <v>40313</v>
      </c>
      <c r="D104" s="144">
        <v>0.5</v>
      </c>
      <c r="E104" s="11" t="s">
        <v>189</v>
      </c>
      <c r="F104" s="24">
        <v>0</v>
      </c>
      <c r="G104" s="11" t="s">
        <v>181</v>
      </c>
      <c r="H104" s="24">
        <v>1</v>
      </c>
      <c r="J104" s="145">
        <f t="shared" si="450"/>
        <v>40313.5</v>
      </c>
      <c r="K104" s="146">
        <f t="shared" si="451"/>
        <v>40313.5</v>
      </c>
      <c r="L104" s="123"/>
      <c r="M104" s="142">
        <f t="shared" si="448"/>
        <v>0</v>
      </c>
      <c r="O104" s="142">
        <f t="shared" si="449"/>
        <v>1</v>
      </c>
      <c r="P104" s="21"/>
    </row>
    <row r="105" spans="1:16">
      <c r="A105" s="15">
        <f>COUNTIF(E$44:G105,E105)</f>
        <v>8</v>
      </c>
      <c r="B105" s="15">
        <f>COUNTIF(E$44:G105,G105)</f>
        <v>9</v>
      </c>
      <c r="C105" s="143">
        <v>40313</v>
      </c>
      <c r="D105" s="144">
        <v>0.5</v>
      </c>
      <c r="E105" s="11" t="s">
        <v>186</v>
      </c>
      <c r="F105" s="24">
        <v>0</v>
      </c>
      <c r="G105" s="11" t="s">
        <v>178</v>
      </c>
      <c r="H105" s="24">
        <v>1</v>
      </c>
      <c r="J105" s="145">
        <f t="shared" si="450"/>
        <v>40313.5</v>
      </c>
      <c r="K105" s="146">
        <f t="shared" si="451"/>
        <v>40313.5</v>
      </c>
      <c r="L105" s="123"/>
      <c r="M105" s="142">
        <f t="shared" si="448"/>
        <v>0</v>
      </c>
      <c r="O105" s="142">
        <f t="shared" si="449"/>
        <v>1</v>
      </c>
      <c r="P105" s="21"/>
    </row>
    <row r="106" spans="1:16">
      <c r="A106" s="15">
        <f>COUNTIF(E$44:G106,E106)</f>
        <v>7</v>
      </c>
      <c r="B106" s="15">
        <f>COUNTIF(E$44:G106,G106)</f>
        <v>8</v>
      </c>
      <c r="C106" s="143">
        <v>40313</v>
      </c>
      <c r="D106" s="144">
        <v>0.5</v>
      </c>
      <c r="E106" s="11" t="s">
        <v>188</v>
      </c>
      <c r="F106" s="24">
        <v>2</v>
      </c>
      <c r="G106" s="11" t="s">
        <v>187</v>
      </c>
      <c r="H106" s="24">
        <v>2</v>
      </c>
      <c r="J106" s="145">
        <f t="shared" si="450"/>
        <v>40313.5</v>
      </c>
      <c r="K106" s="146">
        <f t="shared" si="451"/>
        <v>40313.5</v>
      </c>
      <c r="L106" s="123"/>
      <c r="M106" s="142">
        <f t="shared" si="448"/>
        <v>2</v>
      </c>
      <c r="O106" s="142">
        <f t="shared" si="449"/>
        <v>2</v>
      </c>
      <c r="P106" s="21"/>
    </row>
    <row r="107" spans="1:16">
      <c r="A107" s="15">
        <f>COUNTIF(E$44:G107,E107)</f>
        <v>9</v>
      </c>
      <c r="B107" s="15">
        <f>COUNTIF(E$44:G107,G107)</f>
        <v>8</v>
      </c>
      <c r="C107" s="143">
        <v>40313</v>
      </c>
      <c r="D107" s="144">
        <v>0.5</v>
      </c>
      <c r="E107" s="11" t="s">
        <v>192</v>
      </c>
      <c r="F107" s="24">
        <v>0</v>
      </c>
      <c r="G107" s="11" t="s">
        <v>185</v>
      </c>
      <c r="H107" s="24">
        <v>0</v>
      </c>
      <c r="J107" s="145">
        <f t="shared" si="450"/>
        <v>40313.5</v>
      </c>
      <c r="K107" s="146">
        <f t="shared" si="451"/>
        <v>40313.5</v>
      </c>
      <c r="L107" s="123"/>
      <c r="M107" s="142">
        <f t="shared" si="448"/>
        <v>0</v>
      </c>
      <c r="O107" s="142">
        <f t="shared" si="449"/>
        <v>0</v>
      </c>
      <c r="P107" s="21"/>
    </row>
    <row r="108" spans="1:16">
      <c r="A108" s="15">
        <f>COUNTIF(E$44:G108,E108)</f>
        <v>9</v>
      </c>
      <c r="B108" s="15">
        <f>COUNTIF(E$44:G108,G108)</f>
        <v>7</v>
      </c>
      <c r="C108" s="143">
        <v>40318</v>
      </c>
      <c r="D108" s="144">
        <v>0.5</v>
      </c>
      <c r="E108" s="11" t="s">
        <v>186</v>
      </c>
      <c r="F108" s="24">
        <v>1</v>
      </c>
      <c r="G108" s="11" t="s">
        <v>184</v>
      </c>
      <c r="H108" s="24">
        <v>3</v>
      </c>
      <c r="J108" s="145">
        <f t="shared" si="450"/>
        <v>40318.5</v>
      </c>
      <c r="K108" s="146">
        <f t="shared" si="451"/>
        <v>40318.5</v>
      </c>
      <c r="L108" s="123"/>
      <c r="M108" s="142">
        <f t="shared" ref="M108:M171" si="452">IF(ISBLANK(F108),"",F108)</f>
        <v>1</v>
      </c>
      <c r="O108" s="142">
        <f t="shared" ref="O108:O171" si="453">IF(ISBLANK(H108),"",H108)</f>
        <v>3</v>
      </c>
      <c r="P108" s="21"/>
    </row>
    <row r="109" spans="1:16">
      <c r="A109" s="15">
        <f>COUNTIF(E$44:G109,E109)</f>
        <v>9</v>
      </c>
      <c r="B109" s="15">
        <f>COUNTIF(E$44:G109,G109)</f>
        <v>10</v>
      </c>
      <c r="C109" s="143">
        <v>40318</v>
      </c>
      <c r="D109" s="144">
        <v>0.5</v>
      </c>
      <c r="E109" s="11" t="s">
        <v>182</v>
      </c>
      <c r="F109" s="24">
        <v>0</v>
      </c>
      <c r="G109" s="11" t="s">
        <v>192</v>
      </c>
      <c r="H109" s="24">
        <v>1</v>
      </c>
      <c r="J109" s="145">
        <f t="shared" ref="J109:J172" si="454">C109+D109</f>
        <v>40318.5</v>
      </c>
      <c r="K109" s="146">
        <f t="shared" ref="K109:K172" si="455">IF($K$42="mas",J109+$L$42,J109-$L$42)</f>
        <v>40318.5</v>
      </c>
      <c r="L109" s="123"/>
      <c r="M109" s="142">
        <f t="shared" si="452"/>
        <v>0</v>
      </c>
      <c r="O109" s="142">
        <f t="shared" si="453"/>
        <v>1</v>
      </c>
      <c r="P109" s="21"/>
    </row>
    <row r="110" spans="1:16">
      <c r="A110" s="15">
        <f>COUNTIF(E$44:G110,E110)</f>
        <v>9</v>
      </c>
      <c r="B110" s="15">
        <f>COUNTIF(E$44:G110,G110)</f>
        <v>10</v>
      </c>
      <c r="C110" s="143">
        <v>40320</v>
      </c>
      <c r="D110" s="144">
        <v>0.5</v>
      </c>
      <c r="E110" s="11" t="s">
        <v>185</v>
      </c>
      <c r="F110" s="24">
        <v>1</v>
      </c>
      <c r="G110" s="11" t="s">
        <v>193</v>
      </c>
      <c r="H110" s="24">
        <v>0</v>
      </c>
      <c r="J110" s="145">
        <f t="shared" si="454"/>
        <v>40320.5</v>
      </c>
      <c r="K110" s="146">
        <f t="shared" si="455"/>
        <v>40320.5</v>
      </c>
      <c r="L110" s="123"/>
      <c r="M110" s="142">
        <f t="shared" si="452"/>
        <v>1</v>
      </c>
      <c r="O110" s="142">
        <f t="shared" si="453"/>
        <v>0</v>
      </c>
      <c r="P110" s="21"/>
    </row>
    <row r="111" spans="1:16">
      <c r="A111" s="15">
        <f>COUNTIF(E$44:G111,E111)</f>
        <v>10</v>
      </c>
      <c r="B111" s="15">
        <f>COUNTIF(E$44:G111,G111)</f>
        <v>8</v>
      </c>
      <c r="C111" s="143">
        <v>40320</v>
      </c>
      <c r="D111" s="144">
        <v>0.5</v>
      </c>
      <c r="E111" s="11" t="s">
        <v>178</v>
      </c>
      <c r="F111" s="24">
        <v>0</v>
      </c>
      <c r="G111" s="11" t="s">
        <v>190</v>
      </c>
      <c r="H111" s="24">
        <v>1</v>
      </c>
      <c r="J111" s="145">
        <f t="shared" si="454"/>
        <v>40320.5</v>
      </c>
      <c r="K111" s="146">
        <f t="shared" si="455"/>
        <v>40320.5</v>
      </c>
      <c r="L111" s="123"/>
      <c r="M111" s="142">
        <f t="shared" si="452"/>
        <v>0</v>
      </c>
      <c r="O111" s="142">
        <f t="shared" si="453"/>
        <v>1</v>
      </c>
      <c r="P111" s="21"/>
    </row>
    <row r="112" spans="1:16">
      <c r="A112" s="15">
        <f>COUNTIF(E$44:G112,E112)</f>
        <v>10</v>
      </c>
      <c r="B112" s="15">
        <f>COUNTIF(E$44:G112,G112)</f>
        <v>9</v>
      </c>
      <c r="C112" s="143">
        <v>40320</v>
      </c>
      <c r="D112" s="144">
        <v>0.5</v>
      </c>
      <c r="E112" s="11" t="s">
        <v>183</v>
      </c>
      <c r="F112" s="24">
        <v>2</v>
      </c>
      <c r="G112" s="11" t="s">
        <v>189</v>
      </c>
      <c r="H112" s="24">
        <v>0</v>
      </c>
      <c r="J112" s="145">
        <f t="shared" si="454"/>
        <v>40320.5</v>
      </c>
      <c r="K112" s="146">
        <f t="shared" si="455"/>
        <v>40320.5</v>
      </c>
      <c r="L112" s="123"/>
      <c r="M112" s="142">
        <f t="shared" si="452"/>
        <v>2</v>
      </c>
      <c r="O112" s="142">
        <f t="shared" si="453"/>
        <v>0</v>
      </c>
      <c r="P112" s="21"/>
    </row>
    <row r="113" spans="1:16">
      <c r="A113" s="15">
        <f>COUNTIF(E$44:G113,E113)</f>
        <v>10</v>
      </c>
      <c r="B113" s="15">
        <f>COUNTIF(E$44:G113,G113)</f>
        <v>9</v>
      </c>
      <c r="C113" s="143">
        <v>40320</v>
      </c>
      <c r="D113" s="144">
        <v>0.5</v>
      </c>
      <c r="E113" s="11" t="s">
        <v>180</v>
      </c>
      <c r="F113" s="24">
        <v>1</v>
      </c>
      <c r="G113" s="11" t="s">
        <v>191</v>
      </c>
      <c r="H113" s="24">
        <v>2</v>
      </c>
      <c r="J113" s="145">
        <f t="shared" si="454"/>
        <v>40320.5</v>
      </c>
      <c r="K113" s="146">
        <f t="shared" si="455"/>
        <v>40320.5</v>
      </c>
      <c r="L113" s="123"/>
      <c r="M113" s="142">
        <f t="shared" si="452"/>
        <v>1</v>
      </c>
      <c r="O113" s="142">
        <f t="shared" si="453"/>
        <v>2</v>
      </c>
      <c r="P113" s="21"/>
    </row>
    <row r="114" spans="1:16">
      <c r="A114" s="15">
        <f>COUNTIF(E$44:G114,E114)</f>
        <v>8</v>
      </c>
      <c r="B114" s="15">
        <f>COUNTIF(E$44:G114,G114)</f>
        <v>8</v>
      </c>
      <c r="C114" s="143">
        <v>40321</v>
      </c>
      <c r="D114" s="144">
        <v>0.5</v>
      </c>
      <c r="E114" s="11" t="s">
        <v>188</v>
      </c>
      <c r="F114" s="24">
        <v>0</v>
      </c>
      <c r="G114" s="11" t="s">
        <v>184</v>
      </c>
      <c r="H114" s="24">
        <v>1</v>
      </c>
      <c r="J114" s="145">
        <f t="shared" si="454"/>
        <v>40321.5</v>
      </c>
      <c r="K114" s="146">
        <f t="shared" si="455"/>
        <v>40321.5</v>
      </c>
      <c r="L114" s="123"/>
      <c r="M114" s="142">
        <f t="shared" si="452"/>
        <v>0</v>
      </c>
      <c r="O114" s="142">
        <f t="shared" si="453"/>
        <v>1</v>
      </c>
      <c r="P114" s="21"/>
    </row>
    <row r="115" spans="1:16">
      <c r="A115" s="15">
        <f>COUNTIF(E$44:G115,E115)</f>
        <v>9</v>
      </c>
      <c r="B115" s="15">
        <f>COUNTIF(E$44:G115,G115)</f>
        <v>10</v>
      </c>
      <c r="C115" s="143">
        <v>40325</v>
      </c>
      <c r="D115" s="144">
        <v>0.5</v>
      </c>
      <c r="E115" s="11" t="s">
        <v>187</v>
      </c>
      <c r="F115" s="24">
        <v>1</v>
      </c>
      <c r="G115" s="11" t="s">
        <v>182</v>
      </c>
      <c r="H115" s="24">
        <v>1</v>
      </c>
      <c r="J115" s="145">
        <f t="shared" si="454"/>
        <v>40325.5</v>
      </c>
      <c r="K115" s="146">
        <f t="shared" si="455"/>
        <v>40325.5</v>
      </c>
      <c r="L115" s="123"/>
      <c r="M115" s="142">
        <f t="shared" si="452"/>
        <v>1</v>
      </c>
      <c r="O115" s="142">
        <f t="shared" si="453"/>
        <v>1</v>
      </c>
      <c r="P115" s="21"/>
    </row>
    <row r="116" spans="1:16">
      <c r="A116" s="15">
        <f>COUNTIF(E$44:G116,E116)</f>
        <v>9</v>
      </c>
      <c r="B116" s="15">
        <f>COUNTIF(E$44:G116,G116)</f>
        <v>11</v>
      </c>
      <c r="C116" s="143">
        <v>40327</v>
      </c>
      <c r="D116" s="144">
        <v>0.5</v>
      </c>
      <c r="E116" s="11" t="s">
        <v>184</v>
      </c>
      <c r="F116" s="24">
        <v>0</v>
      </c>
      <c r="G116" s="11" t="s">
        <v>192</v>
      </c>
      <c r="H116" s="24">
        <v>2</v>
      </c>
      <c r="J116" s="145">
        <f t="shared" si="454"/>
        <v>40327.5</v>
      </c>
      <c r="K116" s="146">
        <f t="shared" si="455"/>
        <v>40327.5</v>
      </c>
      <c r="L116" s="123"/>
      <c r="M116" s="142">
        <f t="shared" si="452"/>
        <v>0</v>
      </c>
      <c r="O116" s="142">
        <f t="shared" si="453"/>
        <v>2</v>
      </c>
      <c r="P116" s="21"/>
    </row>
    <row r="117" spans="1:16">
      <c r="A117" s="15">
        <f>COUNTIF(E$44:G117,E117)</f>
        <v>10</v>
      </c>
      <c r="B117" s="15">
        <f>COUNTIF(E$44:G117,G117)</f>
        <v>11</v>
      </c>
      <c r="C117" s="143">
        <v>40327</v>
      </c>
      <c r="D117" s="144">
        <v>0.5</v>
      </c>
      <c r="E117" s="11" t="s">
        <v>189</v>
      </c>
      <c r="F117" s="24">
        <v>3</v>
      </c>
      <c r="G117" s="11" t="s">
        <v>180</v>
      </c>
      <c r="H117" s="24">
        <v>2</v>
      </c>
      <c r="J117" s="145">
        <f t="shared" si="454"/>
        <v>40327.5</v>
      </c>
      <c r="K117" s="146">
        <f t="shared" si="455"/>
        <v>40327.5</v>
      </c>
      <c r="L117" s="123"/>
      <c r="M117" s="142">
        <f t="shared" si="452"/>
        <v>3</v>
      </c>
      <c r="O117" s="142">
        <f t="shared" si="453"/>
        <v>2</v>
      </c>
      <c r="P117" s="21"/>
    </row>
    <row r="118" spans="1:16">
      <c r="A118" s="15">
        <f>COUNTIF(E$44:G118,E118)</f>
        <v>11</v>
      </c>
      <c r="B118" s="15">
        <f>COUNTIF(E$44:G118,G118)</f>
        <v>10</v>
      </c>
      <c r="C118" s="143">
        <v>40327</v>
      </c>
      <c r="D118" s="144">
        <v>0.5</v>
      </c>
      <c r="E118" s="11" t="s">
        <v>193</v>
      </c>
      <c r="F118" s="24">
        <v>3</v>
      </c>
      <c r="G118" s="11" t="s">
        <v>186</v>
      </c>
      <c r="H118" s="24">
        <v>2</v>
      </c>
      <c r="J118" s="145">
        <f t="shared" si="454"/>
        <v>40327.5</v>
      </c>
      <c r="K118" s="146">
        <f t="shared" si="455"/>
        <v>40327.5</v>
      </c>
      <c r="L118" s="123"/>
      <c r="M118" s="142">
        <f t="shared" si="452"/>
        <v>3</v>
      </c>
      <c r="O118" s="142">
        <f t="shared" si="453"/>
        <v>2</v>
      </c>
      <c r="P118" s="21"/>
    </row>
    <row r="119" spans="1:16">
      <c r="A119" s="15">
        <f>COUNTIF(E$44:G119,E119)</f>
        <v>11</v>
      </c>
      <c r="B119" s="15">
        <f>COUNTIF(E$44:G119,G119)</f>
        <v>8</v>
      </c>
      <c r="C119" s="143">
        <v>40327</v>
      </c>
      <c r="D119" s="144">
        <v>0.5</v>
      </c>
      <c r="E119" s="11" t="s">
        <v>183</v>
      </c>
      <c r="F119" s="24">
        <v>1</v>
      </c>
      <c r="G119" s="11" t="s">
        <v>179</v>
      </c>
      <c r="H119" s="24">
        <v>3</v>
      </c>
      <c r="J119" s="145">
        <f t="shared" si="454"/>
        <v>40327.5</v>
      </c>
      <c r="K119" s="146">
        <f t="shared" si="455"/>
        <v>40327.5</v>
      </c>
      <c r="L119" s="123"/>
      <c r="M119" s="142">
        <f t="shared" si="452"/>
        <v>1</v>
      </c>
      <c r="O119" s="142">
        <f t="shared" si="453"/>
        <v>3</v>
      </c>
      <c r="P119" s="21"/>
    </row>
    <row r="120" spans="1:16">
      <c r="A120" s="15">
        <f>COUNTIF(E$44:G120,E120)</f>
        <v>9</v>
      </c>
      <c r="B120" s="15">
        <f>COUNTIF(E$44:G120,G120)</f>
        <v>11</v>
      </c>
      <c r="C120" s="143">
        <v>40327</v>
      </c>
      <c r="D120" s="144">
        <v>0.5</v>
      </c>
      <c r="E120" s="11" t="s">
        <v>181</v>
      </c>
      <c r="F120" s="24">
        <v>1</v>
      </c>
      <c r="G120" s="11" t="s">
        <v>178</v>
      </c>
      <c r="H120" s="24">
        <v>0</v>
      </c>
      <c r="J120" s="145">
        <f t="shared" si="454"/>
        <v>40327.5</v>
      </c>
      <c r="K120" s="146">
        <f t="shared" si="455"/>
        <v>40327.5</v>
      </c>
      <c r="L120" s="123"/>
      <c r="M120" s="142">
        <f t="shared" si="452"/>
        <v>1</v>
      </c>
      <c r="O120" s="142">
        <f t="shared" si="453"/>
        <v>0</v>
      </c>
      <c r="P120" s="21"/>
    </row>
    <row r="121" spans="1:16">
      <c r="A121" s="15">
        <f>COUNTIF(E$44:G121,E121)</f>
        <v>10</v>
      </c>
      <c r="B121" s="15">
        <f>COUNTIF(E$44:G121,G121)</f>
        <v>9</v>
      </c>
      <c r="C121" s="143">
        <v>40327</v>
      </c>
      <c r="D121" s="144">
        <v>0.5</v>
      </c>
      <c r="E121" s="11" t="s">
        <v>191</v>
      </c>
      <c r="F121" s="24">
        <v>4</v>
      </c>
      <c r="G121" s="11" t="s">
        <v>188</v>
      </c>
      <c r="H121" s="24">
        <v>1</v>
      </c>
      <c r="J121" s="145">
        <f t="shared" si="454"/>
        <v>40327.5</v>
      </c>
      <c r="K121" s="146">
        <f t="shared" si="455"/>
        <v>40327.5</v>
      </c>
      <c r="L121" s="123"/>
      <c r="M121" s="142">
        <f t="shared" si="452"/>
        <v>4</v>
      </c>
      <c r="O121" s="142">
        <f t="shared" si="453"/>
        <v>1</v>
      </c>
      <c r="P121" s="21"/>
    </row>
    <row r="122" spans="1:16">
      <c r="A122" s="15">
        <f>COUNTIF(E$44:G122,E122)</f>
        <v>9</v>
      </c>
      <c r="B122" s="15">
        <f>COUNTIF(E$44:G122,G122)</f>
        <v>10</v>
      </c>
      <c r="C122" s="143">
        <v>40327</v>
      </c>
      <c r="D122" s="144">
        <v>0.5</v>
      </c>
      <c r="E122" s="11" t="s">
        <v>190</v>
      </c>
      <c r="F122" s="24">
        <v>1</v>
      </c>
      <c r="G122" s="11" t="s">
        <v>185</v>
      </c>
      <c r="H122" s="24">
        <v>3</v>
      </c>
      <c r="J122" s="145">
        <f t="shared" si="454"/>
        <v>40327.5</v>
      </c>
      <c r="K122" s="146">
        <f t="shared" si="455"/>
        <v>40327.5</v>
      </c>
      <c r="L122" s="123"/>
      <c r="M122" s="142">
        <f t="shared" si="452"/>
        <v>1</v>
      </c>
      <c r="O122" s="142">
        <f t="shared" si="453"/>
        <v>3</v>
      </c>
      <c r="P122" s="21"/>
    </row>
    <row r="123" spans="1:16">
      <c r="A123" s="15">
        <f>COUNTIF(E$44:G123,E123)</f>
        <v>11</v>
      </c>
      <c r="B123" s="15">
        <f>COUNTIF(E$44:G123,G123)</f>
        <v>12</v>
      </c>
      <c r="C123" s="143">
        <v>40331</v>
      </c>
      <c r="D123" s="144">
        <v>0.5</v>
      </c>
      <c r="E123" s="11" t="s">
        <v>186</v>
      </c>
      <c r="F123" s="24">
        <v>2</v>
      </c>
      <c r="G123" s="11" t="s">
        <v>183</v>
      </c>
      <c r="H123" s="24">
        <v>1</v>
      </c>
      <c r="J123" s="145">
        <f t="shared" si="454"/>
        <v>40331.5</v>
      </c>
      <c r="K123" s="146">
        <f t="shared" si="455"/>
        <v>40331.5</v>
      </c>
      <c r="L123" s="123"/>
      <c r="M123" s="142">
        <f t="shared" si="452"/>
        <v>2</v>
      </c>
      <c r="O123" s="142">
        <f t="shared" si="453"/>
        <v>1</v>
      </c>
      <c r="P123" s="21"/>
    </row>
    <row r="124" spans="1:16">
      <c r="A124" s="15">
        <f>COUNTIF(E$44:G124,E124)</f>
        <v>10</v>
      </c>
      <c r="B124" s="15">
        <f>COUNTIF(E$44:G124,G124)</f>
        <v>10</v>
      </c>
      <c r="C124" s="143">
        <v>40331</v>
      </c>
      <c r="D124" s="144">
        <v>0.5</v>
      </c>
      <c r="E124" s="11" t="s">
        <v>190</v>
      </c>
      <c r="F124" s="24">
        <v>2</v>
      </c>
      <c r="G124" s="11" t="s">
        <v>184</v>
      </c>
      <c r="H124" s="24">
        <v>2</v>
      </c>
      <c r="J124" s="145">
        <f t="shared" si="454"/>
        <v>40331.5</v>
      </c>
      <c r="K124" s="146">
        <f t="shared" si="455"/>
        <v>40331.5</v>
      </c>
      <c r="L124" s="123"/>
      <c r="M124" s="142">
        <f t="shared" si="452"/>
        <v>2</v>
      </c>
      <c r="O124" s="142">
        <f t="shared" si="453"/>
        <v>2</v>
      </c>
      <c r="P124" s="21"/>
    </row>
    <row r="125" spans="1:16">
      <c r="A125" s="15">
        <f>COUNTIF(E$44:G125,E125)</f>
        <v>11</v>
      </c>
      <c r="B125" s="15">
        <f>COUNTIF(E$44:G125,G125)</f>
        <v>10</v>
      </c>
      <c r="C125" s="143">
        <v>40334</v>
      </c>
      <c r="D125" s="144">
        <v>0.5</v>
      </c>
      <c r="E125" s="11" t="s">
        <v>185</v>
      </c>
      <c r="F125" s="24">
        <v>0</v>
      </c>
      <c r="G125" s="11" t="s">
        <v>188</v>
      </c>
      <c r="H125" s="24">
        <v>0</v>
      </c>
      <c r="J125" s="145">
        <f t="shared" si="454"/>
        <v>40334.5</v>
      </c>
      <c r="K125" s="146">
        <f t="shared" si="455"/>
        <v>40334.5</v>
      </c>
      <c r="L125" s="123"/>
      <c r="M125" s="142">
        <f t="shared" si="452"/>
        <v>0</v>
      </c>
      <c r="O125" s="142">
        <f t="shared" si="453"/>
        <v>0</v>
      </c>
      <c r="P125" s="21"/>
    </row>
    <row r="126" spans="1:16">
      <c r="A126" s="15">
        <f>COUNTIF(E$44:G126,E126)</f>
        <v>11</v>
      </c>
      <c r="B126" s="15">
        <f>COUNTIF(E$44:G126,G126)</f>
        <v>11</v>
      </c>
      <c r="C126" s="143">
        <v>40334</v>
      </c>
      <c r="D126" s="144">
        <v>0.5</v>
      </c>
      <c r="E126" s="11" t="s">
        <v>189</v>
      </c>
      <c r="F126" s="24">
        <v>0</v>
      </c>
      <c r="G126" s="11" t="s">
        <v>191</v>
      </c>
      <c r="H126" s="24">
        <v>0</v>
      </c>
      <c r="J126" s="145">
        <f t="shared" si="454"/>
        <v>40334.5</v>
      </c>
      <c r="K126" s="146">
        <f t="shared" si="455"/>
        <v>40334.5</v>
      </c>
      <c r="L126" s="123"/>
      <c r="M126" s="142">
        <f t="shared" si="452"/>
        <v>0</v>
      </c>
      <c r="O126" s="142">
        <f t="shared" si="453"/>
        <v>0</v>
      </c>
      <c r="P126" s="21"/>
    </row>
    <row r="127" spans="1:16">
      <c r="A127" s="15">
        <f>COUNTIF(E$44:G127,E127)</f>
        <v>12</v>
      </c>
      <c r="B127" s="15">
        <f>COUNTIF(E$44:G127,G127)</f>
        <v>12</v>
      </c>
      <c r="C127" s="143">
        <v>40334</v>
      </c>
      <c r="D127" s="144">
        <v>0.5</v>
      </c>
      <c r="E127" s="11" t="s">
        <v>186</v>
      </c>
      <c r="F127" s="24">
        <v>1</v>
      </c>
      <c r="G127" s="11" t="s">
        <v>180</v>
      </c>
      <c r="H127" s="24">
        <v>0</v>
      </c>
      <c r="J127" s="145">
        <f t="shared" si="454"/>
        <v>40334.5</v>
      </c>
      <c r="K127" s="146">
        <f t="shared" si="455"/>
        <v>40334.5</v>
      </c>
      <c r="L127" s="123"/>
      <c r="M127" s="142">
        <f t="shared" si="452"/>
        <v>1</v>
      </c>
      <c r="O127" s="142">
        <f t="shared" si="453"/>
        <v>0</v>
      </c>
      <c r="P127" s="21"/>
    </row>
    <row r="128" spans="1:16">
      <c r="A128" s="15">
        <f>COUNTIF(E$44:G128,E128)</f>
        <v>12</v>
      </c>
      <c r="B128" s="15">
        <f>COUNTIF(E$44:G128,G128)</f>
        <v>13</v>
      </c>
      <c r="C128" s="143">
        <v>40334</v>
      </c>
      <c r="D128" s="144">
        <v>0.5</v>
      </c>
      <c r="E128" s="11" t="s">
        <v>192</v>
      </c>
      <c r="F128" s="24">
        <v>4</v>
      </c>
      <c r="G128" s="11" t="s">
        <v>183</v>
      </c>
      <c r="H128" s="24">
        <v>1</v>
      </c>
      <c r="J128" s="145">
        <f t="shared" si="454"/>
        <v>40334.5</v>
      </c>
      <c r="K128" s="146">
        <f t="shared" si="455"/>
        <v>40334.5</v>
      </c>
      <c r="L128" s="123"/>
      <c r="M128" s="142">
        <f t="shared" si="452"/>
        <v>4</v>
      </c>
      <c r="O128" s="142">
        <f t="shared" si="453"/>
        <v>1</v>
      </c>
      <c r="P128" s="21"/>
    </row>
    <row r="129" spans="1:16">
      <c r="A129" s="15">
        <f>COUNTIF(E$44:G129,E129)</f>
        <v>10</v>
      </c>
      <c r="B129" s="15">
        <f>COUNTIF(E$44:G129,G129)</f>
        <v>9</v>
      </c>
      <c r="C129" s="143">
        <v>40334</v>
      </c>
      <c r="D129" s="144">
        <v>0.5</v>
      </c>
      <c r="E129" s="11" t="s">
        <v>187</v>
      </c>
      <c r="F129" s="24">
        <v>2</v>
      </c>
      <c r="G129" s="11" t="s">
        <v>179</v>
      </c>
      <c r="H129" s="24">
        <v>1</v>
      </c>
      <c r="J129" s="145">
        <f t="shared" si="454"/>
        <v>40334.5</v>
      </c>
      <c r="K129" s="146">
        <f t="shared" si="455"/>
        <v>40334.5</v>
      </c>
      <c r="L129" s="123"/>
      <c r="M129" s="142">
        <f t="shared" si="452"/>
        <v>2</v>
      </c>
      <c r="O129" s="142">
        <f t="shared" si="453"/>
        <v>1</v>
      </c>
      <c r="P129" s="21"/>
    </row>
    <row r="130" spans="1:16">
      <c r="A130" s="15">
        <f>COUNTIF(E$44:G130,E130)</f>
        <v>11</v>
      </c>
      <c r="B130" s="15">
        <f>COUNTIF(E$44:G130,G130)</f>
        <v>11</v>
      </c>
      <c r="C130" s="143">
        <v>40334</v>
      </c>
      <c r="D130" s="144">
        <v>0.5</v>
      </c>
      <c r="E130" s="11" t="s">
        <v>182</v>
      </c>
      <c r="F130" s="24">
        <v>2</v>
      </c>
      <c r="G130" s="11" t="s">
        <v>190</v>
      </c>
      <c r="H130" s="24">
        <v>0</v>
      </c>
      <c r="J130" s="145">
        <f t="shared" si="454"/>
        <v>40334.5</v>
      </c>
      <c r="K130" s="146">
        <f t="shared" si="455"/>
        <v>40334.5</v>
      </c>
      <c r="L130" s="123"/>
      <c r="M130" s="142">
        <f t="shared" si="452"/>
        <v>2</v>
      </c>
      <c r="O130" s="142">
        <f t="shared" si="453"/>
        <v>0</v>
      </c>
      <c r="P130" s="21"/>
    </row>
    <row r="131" spans="1:16">
      <c r="A131" s="15">
        <f>COUNTIF(E$44:G131,E131)</f>
        <v>10</v>
      </c>
      <c r="B131" s="15">
        <f>COUNTIF(E$44:G131,G131)</f>
        <v>11</v>
      </c>
      <c r="C131" s="143">
        <v>40334</v>
      </c>
      <c r="D131" s="144">
        <v>0.5</v>
      </c>
      <c r="E131" s="11" t="s">
        <v>181</v>
      </c>
      <c r="F131" s="24">
        <v>1</v>
      </c>
      <c r="G131" s="11" t="s">
        <v>184</v>
      </c>
      <c r="H131" s="24">
        <v>0</v>
      </c>
      <c r="J131" s="145">
        <f t="shared" si="454"/>
        <v>40334.5</v>
      </c>
      <c r="K131" s="146">
        <f t="shared" si="455"/>
        <v>40334.5</v>
      </c>
      <c r="L131" s="123"/>
      <c r="M131" s="142">
        <f t="shared" si="452"/>
        <v>1</v>
      </c>
      <c r="O131" s="142">
        <f t="shared" si="453"/>
        <v>0</v>
      </c>
      <c r="P131" s="21"/>
    </row>
    <row r="132" spans="1:16">
      <c r="A132" s="15">
        <f>COUNTIF(E$44:G132,E132)</f>
        <v>12</v>
      </c>
      <c r="B132" s="15">
        <f>COUNTIF(E$44:G132,G132)</f>
        <v>12</v>
      </c>
      <c r="C132" s="143">
        <v>40334</v>
      </c>
      <c r="D132" s="144">
        <v>0.5</v>
      </c>
      <c r="E132" s="11" t="s">
        <v>178</v>
      </c>
      <c r="F132" s="24">
        <v>3</v>
      </c>
      <c r="G132" s="11" t="s">
        <v>193</v>
      </c>
      <c r="H132" s="24">
        <v>0</v>
      </c>
      <c r="J132" s="145">
        <f t="shared" si="454"/>
        <v>40334.5</v>
      </c>
      <c r="K132" s="146">
        <f t="shared" si="455"/>
        <v>40334.5</v>
      </c>
      <c r="L132" s="123"/>
      <c r="M132" s="142">
        <f t="shared" si="452"/>
        <v>3</v>
      </c>
      <c r="O132" s="142">
        <f t="shared" si="453"/>
        <v>0</v>
      </c>
      <c r="P132" s="21"/>
    </row>
    <row r="133" spans="1:16">
      <c r="A133" s="15">
        <f>COUNTIF(E$44:G133,E133)</f>
        <v>11</v>
      </c>
      <c r="B133" s="15">
        <f>COUNTIF(E$44:G133,G133)</f>
        <v>11</v>
      </c>
      <c r="C133" s="143">
        <v>40338</v>
      </c>
      <c r="D133" s="144">
        <v>0.5</v>
      </c>
      <c r="E133" s="11" t="s">
        <v>187</v>
      </c>
      <c r="F133" s="24">
        <v>2</v>
      </c>
      <c r="G133" s="11" t="s">
        <v>181</v>
      </c>
      <c r="H133" s="24">
        <v>2</v>
      </c>
      <c r="J133" s="145">
        <f t="shared" si="454"/>
        <v>40338.5</v>
      </c>
      <c r="K133" s="146">
        <f t="shared" si="455"/>
        <v>40338.5</v>
      </c>
      <c r="L133" s="123"/>
      <c r="M133" s="142">
        <f t="shared" si="452"/>
        <v>2</v>
      </c>
      <c r="O133" s="142">
        <f t="shared" si="453"/>
        <v>2</v>
      </c>
      <c r="P133" s="21"/>
    </row>
    <row r="134" spans="1:16">
      <c r="A134" s="15">
        <f>COUNTIF(E$44:G134,E134)</f>
        <v>12</v>
      </c>
      <c r="B134" s="15">
        <f>COUNTIF(E$44:G134,G134)</f>
        <v>13</v>
      </c>
      <c r="C134" s="143">
        <v>40338</v>
      </c>
      <c r="D134" s="144">
        <v>0.5</v>
      </c>
      <c r="E134" s="11" t="s">
        <v>191</v>
      </c>
      <c r="F134" s="24">
        <v>1</v>
      </c>
      <c r="G134" s="11" t="s">
        <v>192</v>
      </c>
      <c r="H134" s="24">
        <v>0</v>
      </c>
      <c r="J134" s="145">
        <f t="shared" si="454"/>
        <v>40338.5</v>
      </c>
      <c r="K134" s="146">
        <f t="shared" si="455"/>
        <v>40338.5</v>
      </c>
      <c r="L134" s="123"/>
      <c r="M134" s="142">
        <f t="shared" si="452"/>
        <v>1</v>
      </c>
      <c r="O134" s="142">
        <f t="shared" si="453"/>
        <v>0</v>
      </c>
      <c r="P134" s="21"/>
    </row>
    <row r="135" spans="1:16">
      <c r="A135" s="15">
        <f>COUNTIF(E$44:G135,E135)</f>
        <v>11</v>
      </c>
      <c r="B135" s="15">
        <f>COUNTIF(E$44:G135,G135)</f>
        <v>10</v>
      </c>
      <c r="C135" s="143">
        <v>40339</v>
      </c>
      <c r="D135" s="144">
        <v>0.5</v>
      </c>
      <c r="E135" s="11" t="s">
        <v>188</v>
      </c>
      <c r="F135" s="24">
        <v>2</v>
      </c>
      <c r="G135" s="11" t="s">
        <v>179</v>
      </c>
      <c r="H135" s="24">
        <v>0</v>
      </c>
      <c r="J135" s="145">
        <f t="shared" si="454"/>
        <v>40339.5</v>
      </c>
      <c r="K135" s="146">
        <f t="shared" si="455"/>
        <v>40339.5</v>
      </c>
      <c r="L135" s="123"/>
      <c r="M135" s="142">
        <f t="shared" si="452"/>
        <v>2</v>
      </c>
      <c r="O135" s="142">
        <f t="shared" si="453"/>
        <v>0</v>
      </c>
      <c r="P135" s="21"/>
    </row>
    <row r="136" spans="1:16">
      <c r="A136" s="15">
        <f>COUNTIF(E$44:G136,E136)</f>
        <v>13</v>
      </c>
      <c r="B136" s="15">
        <f>COUNTIF(E$44:G136,G136)</f>
        <v>12</v>
      </c>
      <c r="C136" s="143">
        <v>40339</v>
      </c>
      <c r="D136" s="144">
        <v>0.5</v>
      </c>
      <c r="E136" s="11" t="s">
        <v>178</v>
      </c>
      <c r="F136" s="24">
        <v>2</v>
      </c>
      <c r="G136" s="11" t="s">
        <v>189</v>
      </c>
      <c r="H136" s="24">
        <v>3</v>
      </c>
      <c r="J136" s="145">
        <f t="shared" si="454"/>
        <v>40339.5</v>
      </c>
      <c r="K136" s="146">
        <f t="shared" si="455"/>
        <v>40339.5</v>
      </c>
      <c r="L136" s="123"/>
      <c r="M136" s="142">
        <f t="shared" si="452"/>
        <v>2</v>
      </c>
      <c r="O136" s="142">
        <f t="shared" si="453"/>
        <v>3</v>
      </c>
      <c r="P136" s="21"/>
    </row>
    <row r="137" spans="1:16">
      <c r="A137" s="15">
        <f>COUNTIF(E$44:G137,E137)</f>
        <v>13</v>
      </c>
      <c r="B137" s="15">
        <f>COUNTIF(E$44:G137,G137)</f>
        <v>12</v>
      </c>
      <c r="C137" s="143">
        <v>40354</v>
      </c>
      <c r="D137" s="144">
        <v>0.5</v>
      </c>
      <c r="E137" s="11" t="s">
        <v>191</v>
      </c>
      <c r="F137" s="24">
        <v>0</v>
      </c>
      <c r="G137" s="11" t="s">
        <v>190</v>
      </c>
      <c r="H137" s="24">
        <v>0</v>
      </c>
      <c r="J137" s="145">
        <f t="shared" si="454"/>
        <v>40354.5</v>
      </c>
      <c r="K137" s="146">
        <f t="shared" si="455"/>
        <v>40354.5</v>
      </c>
      <c r="L137" s="123"/>
      <c r="M137" s="142">
        <f t="shared" si="452"/>
        <v>0</v>
      </c>
      <c r="O137" s="142">
        <f t="shared" si="453"/>
        <v>0</v>
      </c>
      <c r="P137" s="21"/>
    </row>
    <row r="138" spans="1:16">
      <c r="A138" s="15">
        <f>COUNTIF(E$44:G138,E138)</f>
        <v>12</v>
      </c>
      <c r="B138" s="15">
        <f>COUNTIF(E$44:G138,G138)</f>
        <v>13</v>
      </c>
      <c r="C138" s="143">
        <v>40355</v>
      </c>
      <c r="D138" s="144">
        <v>0.5</v>
      </c>
      <c r="E138" s="11" t="s">
        <v>184</v>
      </c>
      <c r="F138" s="24">
        <v>2</v>
      </c>
      <c r="G138" s="11" t="s">
        <v>189</v>
      </c>
      <c r="H138" s="24">
        <v>0</v>
      </c>
      <c r="J138" s="145">
        <f t="shared" si="454"/>
        <v>40355.5</v>
      </c>
      <c r="K138" s="146">
        <f t="shared" si="455"/>
        <v>40355.5</v>
      </c>
      <c r="L138" s="123"/>
      <c r="M138" s="142">
        <f t="shared" si="452"/>
        <v>2</v>
      </c>
      <c r="O138" s="142">
        <f t="shared" si="453"/>
        <v>0</v>
      </c>
      <c r="P138" s="21"/>
    </row>
    <row r="139" spans="1:16">
      <c r="A139" s="15">
        <f>COUNTIF(E$44:G139,E139)</f>
        <v>12</v>
      </c>
      <c r="B139" s="15">
        <f>COUNTIF(E$44:G139,G139)</f>
        <v>14</v>
      </c>
      <c r="C139" s="143">
        <v>40355</v>
      </c>
      <c r="D139" s="144">
        <v>0.5</v>
      </c>
      <c r="E139" s="11" t="s">
        <v>185</v>
      </c>
      <c r="F139" s="24">
        <v>0</v>
      </c>
      <c r="G139" s="11" t="s">
        <v>192</v>
      </c>
      <c r="H139" s="24">
        <v>0</v>
      </c>
      <c r="J139" s="145">
        <f t="shared" si="454"/>
        <v>40355.5</v>
      </c>
      <c r="K139" s="146">
        <f t="shared" si="455"/>
        <v>40355.5</v>
      </c>
      <c r="L139" s="123"/>
      <c r="M139" s="142">
        <f t="shared" si="452"/>
        <v>0</v>
      </c>
      <c r="O139" s="142">
        <f t="shared" si="453"/>
        <v>0</v>
      </c>
      <c r="P139" s="21"/>
    </row>
    <row r="140" spans="1:16">
      <c r="A140" s="15">
        <f>COUNTIF(E$44:G140,E140)</f>
        <v>14</v>
      </c>
      <c r="B140" s="15">
        <f>COUNTIF(E$44:G140,G140)</f>
        <v>12</v>
      </c>
      <c r="C140" s="143">
        <v>40355</v>
      </c>
      <c r="D140" s="144">
        <v>0.5</v>
      </c>
      <c r="E140" s="11" t="s">
        <v>183</v>
      </c>
      <c r="F140" s="24">
        <v>2</v>
      </c>
      <c r="G140" s="11" t="s">
        <v>181</v>
      </c>
      <c r="H140" s="24">
        <v>2</v>
      </c>
      <c r="J140" s="145">
        <f t="shared" si="454"/>
        <v>40355.5</v>
      </c>
      <c r="K140" s="146">
        <f t="shared" si="455"/>
        <v>40355.5</v>
      </c>
      <c r="L140" s="123"/>
      <c r="M140" s="142">
        <f t="shared" si="452"/>
        <v>2</v>
      </c>
      <c r="O140" s="142">
        <f t="shared" si="453"/>
        <v>2</v>
      </c>
      <c r="P140" s="21"/>
    </row>
    <row r="141" spans="1:16">
      <c r="A141" s="15">
        <f>COUNTIF(E$44:G141,E141)</f>
        <v>12</v>
      </c>
      <c r="B141" s="15">
        <f>COUNTIF(E$44:G141,G141)</f>
        <v>13</v>
      </c>
      <c r="C141" s="143">
        <v>40355</v>
      </c>
      <c r="D141" s="144">
        <v>0.5</v>
      </c>
      <c r="E141" s="11" t="s">
        <v>188</v>
      </c>
      <c r="F141" s="24">
        <v>0</v>
      </c>
      <c r="G141" s="11" t="s">
        <v>186</v>
      </c>
      <c r="H141" s="24">
        <v>3</v>
      </c>
      <c r="J141" s="145">
        <f t="shared" si="454"/>
        <v>40355.5</v>
      </c>
      <c r="K141" s="146">
        <f t="shared" si="455"/>
        <v>40355.5</v>
      </c>
      <c r="L141" s="123"/>
      <c r="M141" s="142">
        <f t="shared" si="452"/>
        <v>0</v>
      </c>
      <c r="O141" s="142">
        <f t="shared" si="453"/>
        <v>3</v>
      </c>
      <c r="P141" s="21"/>
    </row>
    <row r="142" spans="1:16">
      <c r="A142" s="15">
        <f>COUNTIF(E$44:G142,E142)</f>
        <v>13</v>
      </c>
      <c r="B142" s="15">
        <f>COUNTIF(E$44:G142,G142)</f>
        <v>12</v>
      </c>
      <c r="C142" s="143">
        <v>40355</v>
      </c>
      <c r="D142" s="144">
        <v>0.5</v>
      </c>
      <c r="E142" s="11" t="s">
        <v>180</v>
      </c>
      <c r="F142" s="24">
        <v>1</v>
      </c>
      <c r="G142" s="11" t="s">
        <v>182</v>
      </c>
      <c r="H142" s="24">
        <v>2</v>
      </c>
      <c r="J142" s="145">
        <f t="shared" si="454"/>
        <v>40355.5</v>
      </c>
      <c r="K142" s="146">
        <f t="shared" si="455"/>
        <v>40355.5</v>
      </c>
      <c r="L142" s="123"/>
      <c r="M142" s="142">
        <f t="shared" si="452"/>
        <v>1</v>
      </c>
      <c r="O142" s="142">
        <f t="shared" si="453"/>
        <v>2</v>
      </c>
      <c r="P142" s="21"/>
    </row>
    <row r="143" spans="1:16">
      <c r="A143" s="15">
        <f>COUNTIF(E$44:G143,E143)</f>
        <v>11</v>
      </c>
      <c r="B143" s="15">
        <f>COUNTIF(E$44:G143,G143)</f>
        <v>14</v>
      </c>
      <c r="C143" s="143">
        <v>40356</v>
      </c>
      <c r="D143" s="144">
        <v>0.5</v>
      </c>
      <c r="E143" s="11" t="s">
        <v>179</v>
      </c>
      <c r="F143" s="24">
        <v>3</v>
      </c>
      <c r="G143" s="11" t="s">
        <v>178</v>
      </c>
      <c r="H143" s="24">
        <v>1</v>
      </c>
      <c r="J143" s="145">
        <f t="shared" si="454"/>
        <v>40356.5</v>
      </c>
      <c r="K143" s="146">
        <f t="shared" si="455"/>
        <v>40356.5</v>
      </c>
      <c r="L143" s="123"/>
      <c r="M143" s="142">
        <f t="shared" si="452"/>
        <v>3</v>
      </c>
      <c r="O143" s="142">
        <f t="shared" si="453"/>
        <v>1</v>
      </c>
      <c r="P143" s="21"/>
    </row>
    <row r="144" spans="1:16">
      <c r="A144" s="15">
        <f>COUNTIF(E$44:G144,E144)</f>
        <v>13</v>
      </c>
      <c r="B144" s="15">
        <f>COUNTIF(E$44:G144,G144)</f>
        <v>12</v>
      </c>
      <c r="C144" s="143">
        <v>40356</v>
      </c>
      <c r="D144" s="144">
        <v>0.5</v>
      </c>
      <c r="E144" s="11" t="s">
        <v>193</v>
      </c>
      <c r="F144" s="24">
        <v>0</v>
      </c>
      <c r="G144" s="11" t="s">
        <v>187</v>
      </c>
      <c r="H144" s="24">
        <v>1</v>
      </c>
      <c r="J144" s="145">
        <f t="shared" si="454"/>
        <v>40356.5</v>
      </c>
      <c r="K144" s="146">
        <f t="shared" si="455"/>
        <v>40356.5</v>
      </c>
      <c r="L144" s="123"/>
      <c r="M144" s="142">
        <f t="shared" si="452"/>
        <v>0</v>
      </c>
      <c r="O144" s="142">
        <f t="shared" si="453"/>
        <v>1</v>
      </c>
      <c r="P144" s="21"/>
    </row>
    <row r="145" spans="1:16">
      <c r="A145" s="15">
        <f>COUNTIF(E$44:G145,E145)</f>
        <v>13</v>
      </c>
      <c r="B145" s="15">
        <f>COUNTIF(E$44:G145,G145)</f>
        <v>15</v>
      </c>
      <c r="C145" s="143">
        <v>40360</v>
      </c>
      <c r="D145" s="144">
        <v>0.5</v>
      </c>
      <c r="E145" s="11" t="s">
        <v>185</v>
      </c>
      <c r="F145" s="24">
        <v>1</v>
      </c>
      <c r="G145" s="11" t="s">
        <v>183</v>
      </c>
      <c r="H145" s="24">
        <v>1</v>
      </c>
      <c r="J145" s="145">
        <f t="shared" si="454"/>
        <v>40360.5</v>
      </c>
      <c r="K145" s="146">
        <f t="shared" si="455"/>
        <v>40360.5</v>
      </c>
      <c r="L145" s="123"/>
      <c r="M145" s="142">
        <f t="shared" si="452"/>
        <v>1</v>
      </c>
      <c r="O145" s="142">
        <f t="shared" si="453"/>
        <v>1</v>
      </c>
      <c r="P145" s="21"/>
    </row>
    <row r="146" spans="1:16">
      <c r="A146" s="15">
        <f>COUNTIF(E$44:G146,E146)</f>
        <v>14</v>
      </c>
      <c r="B146" s="15">
        <f>COUNTIF(E$44:G146,G146)</f>
        <v>14</v>
      </c>
      <c r="C146" s="143">
        <v>40361</v>
      </c>
      <c r="D146" s="144">
        <v>0.5</v>
      </c>
      <c r="E146" s="11" t="s">
        <v>191</v>
      </c>
      <c r="F146" s="24">
        <v>5</v>
      </c>
      <c r="G146" s="11" t="s">
        <v>193</v>
      </c>
      <c r="H146" s="24">
        <v>0</v>
      </c>
      <c r="J146" s="145">
        <f t="shared" si="454"/>
        <v>40361.5</v>
      </c>
      <c r="K146" s="146">
        <f t="shared" si="455"/>
        <v>40361.5</v>
      </c>
      <c r="L146" s="123"/>
      <c r="M146" s="142">
        <f t="shared" si="452"/>
        <v>5</v>
      </c>
      <c r="O146" s="142">
        <f t="shared" si="453"/>
        <v>0</v>
      </c>
      <c r="P146" s="21"/>
    </row>
    <row r="147" spans="1:16">
      <c r="A147" s="15">
        <f>COUNTIF(E$44:G147,E147)</f>
        <v>13</v>
      </c>
      <c r="B147" s="15">
        <f>COUNTIF(E$44:G147,G147)</f>
        <v>13</v>
      </c>
      <c r="C147" s="143">
        <v>40362</v>
      </c>
      <c r="D147" s="144">
        <v>0.5</v>
      </c>
      <c r="E147" s="11" t="s">
        <v>184</v>
      </c>
      <c r="F147" s="24">
        <v>2</v>
      </c>
      <c r="G147" s="11" t="s">
        <v>187</v>
      </c>
      <c r="H147" s="24">
        <v>1</v>
      </c>
      <c r="J147" s="145">
        <f t="shared" si="454"/>
        <v>40362.5</v>
      </c>
      <c r="K147" s="146">
        <f t="shared" si="455"/>
        <v>40362.5</v>
      </c>
      <c r="L147" s="123"/>
      <c r="M147" s="142">
        <f t="shared" si="452"/>
        <v>2</v>
      </c>
      <c r="O147" s="142">
        <f t="shared" si="453"/>
        <v>1</v>
      </c>
      <c r="P147" s="21"/>
    </row>
    <row r="148" spans="1:16">
      <c r="A148" s="15">
        <f>COUNTIF(E$44:G148,E148)</f>
        <v>13</v>
      </c>
      <c r="B148" s="15">
        <f>COUNTIF(E$44:G148,G148)</f>
        <v>13</v>
      </c>
      <c r="C148" s="143">
        <v>40362</v>
      </c>
      <c r="D148" s="144">
        <v>0.5</v>
      </c>
      <c r="E148" s="11" t="s">
        <v>182</v>
      </c>
      <c r="F148" s="24">
        <v>1</v>
      </c>
      <c r="G148" s="11" t="s">
        <v>188</v>
      </c>
      <c r="H148" s="24">
        <v>0</v>
      </c>
      <c r="J148" s="145">
        <f t="shared" si="454"/>
        <v>40362.5</v>
      </c>
      <c r="K148" s="146">
        <f t="shared" si="455"/>
        <v>40362.5</v>
      </c>
      <c r="L148" s="123"/>
      <c r="M148" s="142">
        <f t="shared" si="452"/>
        <v>1</v>
      </c>
      <c r="O148" s="142">
        <f t="shared" si="453"/>
        <v>0</v>
      </c>
      <c r="P148" s="21"/>
    </row>
    <row r="149" spans="1:16">
      <c r="A149" s="15">
        <f>COUNTIF(E$44:G149,E149)</f>
        <v>13</v>
      </c>
      <c r="B149" s="15">
        <f>COUNTIF(E$44:G149,G149)</f>
        <v>14</v>
      </c>
      <c r="C149" s="143">
        <v>40362</v>
      </c>
      <c r="D149" s="144">
        <v>0.5</v>
      </c>
      <c r="E149" s="11" t="s">
        <v>190</v>
      </c>
      <c r="F149" s="24">
        <v>1</v>
      </c>
      <c r="G149" s="11" t="s">
        <v>189</v>
      </c>
      <c r="H149" s="24">
        <v>1</v>
      </c>
      <c r="J149" s="145">
        <f t="shared" si="454"/>
        <v>40362.5</v>
      </c>
      <c r="K149" s="146">
        <f t="shared" si="455"/>
        <v>40362.5</v>
      </c>
      <c r="L149" s="123"/>
      <c r="M149" s="142">
        <f t="shared" si="452"/>
        <v>1</v>
      </c>
      <c r="O149" s="142">
        <f t="shared" si="453"/>
        <v>1</v>
      </c>
      <c r="P149" s="21"/>
    </row>
    <row r="150" spans="1:16">
      <c r="A150" s="15">
        <f>COUNTIF(E$44:G150,E150)</f>
        <v>14</v>
      </c>
      <c r="B150" s="15">
        <f>COUNTIF(E$44:G150,G150)</f>
        <v>12</v>
      </c>
      <c r="C150" s="143">
        <v>40362</v>
      </c>
      <c r="D150" s="144">
        <v>0.5</v>
      </c>
      <c r="E150" s="11" t="s">
        <v>180</v>
      </c>
      <c r="F150" s="24">
        <v>1</v>
      </c>
      <c r="G150" s="11" t="s">
        <v>179</v>
      </c>
      <c r="H150" s="24">
        <v>1</v>
      </c>
      <c r="J150" s="145">
        <f t="shared" si="454"/>
        <v>40362.5</v>
      </c>
      <c r="K150" s="146">
        <f t="shared" si="455"/>
        <v>40362.5</v>
      </c>
      <c r="L150" s="123"/>
      <c r="M150" s="142">
        <f t="shared" si="452"/>
        <v>1</v>
      </c>
      <c r="O150" s="142">
        <f t="shared" si="453"/>
        <v>1</v>
      </c>
      <c r="P150" s="21"/>
    </row>
    <row r="151" spans="1:16">
      <c r="A151" s="15">
        <f>COUNTIF(E$44:G151,E151)</f>
        <v>13</v>
      </c>
      <c r="B151" s="15">
        <f>COUNTIF(E$44:G151,G151)</f>
        <v>14</v>
      </c>
      <c r="C151" s="143">
        <v>40363</v>
      </c>
      <c r="D151" s="144">
        <v>0.5</v>
      </c>
      <c r="E151" s="11" t="s">
        <v>181</v>
      </c>
      <c r="F151" s="24">
        <v>1</v>
      </c>
      <c r="G151" s="11" t="s">
        <v>186</v>
      </c>
      <c r="H151" s="24">
        <v>1</v>
      </c>
      <c r="J151" s="145">
        <f t="shared" si="454"/>
        <v>40363.5</v>
      </c>
      <c r="K151" s="146">
        <f t="shared" si="455"/>
        <v>40363.5</v>
      </c>
      <c r="L151" s="123"/>
      <c r="M151" s="142">
        <f t="shared" si="452"/>
        <v>1</v>
      </c>
      <c r="O151" s="142">
        <f t="shared" si="453"/>
        <v>1</v>
      </c>
      <c r="P151" s="21"/>
    </row>
    <row r="152" spans="1:16">
      <c r="A152" s="15">
        <f>COUNTIF(E$44:G152,E152)</f>
        <v>15</v>
      </c>
      <c r="B152" s="15">
        <f>COUNTIF(E$44:G152,G152)</f>
        <v>15</v>
      </c>
      <c r="C152" s="143">
        <v>40363</v>
      </c>
      <c r="D152" s="144">
        <v>0.5</v>
      </c>
      <c r="E152" s="11" t="s">
        <v>192</v>
      </c>
      <c r="F152" s="24">
        <v>3</v>
      </c>
      <c r="G152" s="11" t="s">
        <v>178</v>
      </c>
      <c r="H152" s="24">
        <v>1</v>
      </c>
      <c r="J152" s="145">
        <f t="shared" si="454"/>
        <v>40363.5</v>
      </c>
      <c r="K152" s="146">
        <f t="shared" si="455"/>
        <v>40363.5</v>
      </c>
      <c r="L152" s="123"/>
      <c r="M152" s="142">
        <f t="shared" si="452"/>
        <v>3</v>
      </c>
      <c r="O152" s="142">
        <f t="shared" si="453"/>
        <v>1</v>
      </c>
      <c r="P152" s="21"/>
    </row>
    <row r="153" spans="1:16">
      <c r="A153" s="15">
        <f>COUNTIF(E$44:G153,E153)</f>
        <v>14</v>
      </c>
      <c r="B153" s="15">
        <f>COUNTIF(E$44:G153,G153)</f>
        <v>15</v>
      </c>
      <c r="C153" s="143">
        <v>40367</v>
      </c>
      <c r="D153" s="144">
        <v>0.5</v>
      </c>
      <c r="E153" s="11" t="s">
        <v>187</v>
      </c>
      <c r="F153" s="24">
        <v>0</v>
      </c>
      <c r="G153" s="11" t="s">
        <v>191</v>
      </c>
      <c r="H153" s="24">
        <v>1</v>
      </c>
      <c r="J153" s="145">
        <f t="shared" si="454"/>
        <v>40367.5</v>
      </c>
      <c r="K153" s="146">
        <f t="shared" si="455"/>
        <v>40367.5</v>
      </c>
      <c r="L153" s="123"/>
      <c r="M153" s="142">
        <f t="shared" si="452"/>
        <v>0</v>
      </c>
      <c r="O153" s="142">
        <f t="shared" si="453"/>
        <v>1</v>
      </c>
      <c r="P153" s="21"/>
    </row>
    <row r="154" spans="1:16">
      <c r="A154" s="15">
        <f>COUNTIF(E$44:G154,E154)</f>
        <v>14</v>
      </c>
      <c r="B154" s="15">
        <f>COUNTIF(E$44:G154,G154)</f>
        <v>14</v>
      </c>
      <c r="C154" s="143">
        <v>40369</v>
      </c>
      <c r="D154" s="144">
        <v>0.5</v>
      </c>
      <c r="E154" s="11" t="s">
        <v>185</v>
      </c>
      <c r="F154" s="24">
        <v>1</v>
      </c>
      <c r="G154" s="11" t="s">
        <v>181</v>
      </c>
      <c r="H154" s="24">
        <v>0</v>
      </c>
      <c r="J154" s="145">
        <f t="shared" si="454"/>
        <v>40369.5</v>
      </c>
      <c r="K154" s="146">
        <f t="shared" si="455"/>
        <v>40369.5</v>
      </c>
      <c r="L154" s="123"/>
      <c r="M154" s="142">
        <f t="shared" si="452"/>
        <v>1</v>
      </c>
      <c r="O154" s="142">
        <f t="shared" si="453"/>
        <v>0</v>
      </c>
      <c r="P154" s="21"/>
    </row>
    <row r="155" spans="1:16">
      <c r="A155" s="15">
        <f>COUNTIF(E$44:G155,E155)</f>
        <v>13</v>
      </c>
      <c r="B155" s="15">
        <f>COUNTIF(E$44:G155,G155)</f>
        <v>14</v>
      </c>
      <c r="C155" s="143">
        <v>40369</v>
      </c>
      <c r="D155" s="144">
        <v>0.5</v>
      </c>
      <c r="E155" s="11" t="s">
        <v>179</v>
      </c>
      <c r="F155" s="24">
        <v>1</v>
      </c>
      <c r="G155" s="11" t="s">
        <v>190</v>
      </c>
      <c r="H155" s="24">
        <v>2</v>
      </c>
      <c r="J155" s="145">
        <f t="shared" si="454"/>
        <v>40369.5</v>
      </c>
      <c r="K155" s="146">
        <f t="shared" si="455"/>
        <v>40369.5</v>
      </c>
      <c r="L155" s="123"/>
      <c r="M155" s="142">
        <f t="shared" si="452"/>
        <v>1</v>
      </c>
      <c r="O155" s="142">
        <f t="shared" si="453"/>
        <v>2</v>
      </c>
      <c r="P155" s="21"/>
    </row>
    <row r="156" spans="1:16">
      <c r="A156" s="15">
        <f>COUNTIF(E$44:G156,E156)</f>
        <v>15</v>
      </c>
      <c r="B156" s="15">
        <f>COUNTIF(E$44:G156,G156)</f>
        <v>16</v>
      </c>
      <c r="C156" s="143">
        <v>40369</v>
      </c>
      <c r="D156" s="144">
        <v>0.5</v>
      </c>
      <c r="E156" s="11" t="s">
        <v>193</v>
      </c>
      <c r="F156" s="24">
        <v>2</v>
      </c>
      <c r="G156" s="11" t="s">
        <v>192</v>
      </c>
      <c r="H156" s="24">
        <v>0</v>
      </c>
      <c r="J156" s="145">
        <f t="shared" si="454"/>
        <v>40369.5</v>
      </c>
      <c r="K156" s="146">
        <f t="shared" si="455"/>
        <v>40369.5</v>
      </c>
      <c r="L156" s="123"/>
      <c r="M156" s="142">
        <f t="shared" si="452"/>
        <v>2</v>
      </c>
      <c r="O156" s="142">
        <f t="shared" si="453"/>
        <v>0</v>
      </c>
      <c r="P156" s="21"/>
    </row>
    <row r="157" spans="1:16">
      <c r="A157" s="15">
        <f>COUNTIF(E$44:G157,E157)</f>
        <v>15</v>
      </c>
      <c r="B157" s="15">
        <f>COUNTIF(E$44:G157,G157)</f>
        <v>15</v>
      </c>
      <c r="C157" s="143">
        <v>40369</v>
      </c>
      <c r="D157" s="144">
        <v>0.5</v>
      </c>
      <c r="E157" s="11" t="s">
        <v>186</v>
      </c>
      <c r="F157" s="24">
        <v>0</v>
      </c>
      <c r="G157" s="11" t="s">
        <v>189</v>
      </c>
      <c r="H157" s="24">
        <v>0</v>
      </c>
      <c r="J157" s="145">
        <f t="shared" si="454"/>
        <v>40369.5</v>
      </c>
      <c r="K157" s="146">
        <f t="shared" si="455"/>
        <v>40369.5</v>
      </c>
      <c r="L157" s="123"/>
      <c r="M157" s="142">
        <f t="shared" si="452"/>
        <v>0</v>
      </c>
      <c r="O157" s="142">
        <f t="shared" si="453"/>
        <v>0</v>
      </c>
      <c r="P157" s="21"/>
    </row>
    <row r="158" spans="1:16">
      <c r="A158" s="15">
        <f>COUNTIF(E$44:G158,E158)</f>
        <v>16</v>
      </c>
      <c r="B158" s="15">
        <f>COUNTIF(E$44:G158,G158)</f>
        <v>14</v>
      </c>
      <c r="C158" s="143">
        <v>40369</v>
      </c>
      <c r="D158" s="144">
        <v>0.5</v>
      </c>
      <c r="E158" s="11" t="s">
        <v>183</v>
      </c>
      <c r="F158" s="24">
        <v>0</v>
      </c>
      <c r="G158" s="11" t="s">
        <v>184</v>
      </c>
      <c r="H158" s="24">
        <v>0</v>
      </c>
      <c r="J158" s="145">
        <f t="shared" si="454"/>
        <v>40369.5</v>
      </c>
      <c r="K158" s="146">
        <f t="shared" si="455"/>
        <v>40369.5</v>
      </c>
      <c r="L158" s="123"/>
      <c r="M158" s="142">
        <f t="shared" si="452"/>
        <v>0</v>
      </c>
      <c r="O158" s="142">
        <f t="shared" si="453"/>
        <v>0</v>
      </c>
      <c r="P158" s="21"/>
    </row>
    <row r="159" spans="1:16">
      <c r="A159" s="15">
        <f>COUNTIF(E$44:G159,E159)</f>
        <v>14</v>
      </c>
      <c r="B159" s="15">
        <f>COUNTIF(E$44:G159,G159)</f>
        <v>15</v>
      </c>
      <c r="C159" s="143">
        <v>40369</v>
      </c>
      <c r="D159" s="144">
        <v>0.5</v>
      </c>
      <c r="E159" s="11" t="s">
        <v>188</v>
      </c>
      <c r="F159" s="24">
        <v>0</v>
      </c>
      <c r="G159" s="11" t="s">
        <v>180</v>
      </c>
      <c r="H159" s="24">
        <v>2</v>
      </c>
      <c r="J159" s="145">
        <f t="shared" si="454"/>
        <v>40369.5</v>
      </c>
      <c r="K159" s="146">
        <f t="shared" si="455"/>
        <v>40369.5</v>
      </c>
      <c r="L159" s="123"/>
      <c r="M159" s="142">
        <f t="shared" si="452"/>
        <v>0</v>
      </c>
      <c r="O159" s="142">
        <f t="shared" si="453"/>
        <v>2</v>
      </c>
      <c r="P159" s="21"/>
    </row>
    <row r="160" spans="1:16">
      <c r="A160" s="15">
        <f>COUNTIF(E$44:G160,E160)</f>
        <v>16</v>
      </c>
      <c r="B160" s="15">
        <f>COUNTIF(E$44:G160,G160)</f>
        <v>14</v>
      </c>
      <c r="C160" s="143">
        <v>40370</v>
      </c>
      <c r="D160" s="144">
        <v>0.5</v>
      </c>
      <c r="E160" s="11" t="s">
        <v>178</v>
      </c>
      <c r="F160" s="24">
        <v>1</v>
      </c>
      <c r="G160" s="11" t="s">
        <v>182</v>
      </c>
      <c r="H160" s="24">
        <v>1</v>
      </c>
      <c r="J160" s="145">
        <f t="shared" si="454"/>
        <v>40370.5</v>
      </c>
      <c r="K160" s="146">
        <f t="shared" si="455"/>
        <v>40370.5</v>
      </c>
      <c r="L160" s="123"/>
      <c r="M160" s="142">
        <f t="shared" si="452"/>
        <v>1</v>
      </c>
      <c r="O160" s="142">
        <f t="shared" si="453"/>
        <v>1</v>
      </c>
      <c r="P160" s="21"/>
    </row>
    <row r="161" spans="1:16">
      <c r="A161" s="15">
        <f>COUNTIF(E$44:G161,E161)</f>
        <v>15</v>
      </c>
      <c r="B161" s="15">
        <f>COUNTIF(E$44:G161,G161)</f>
        <v>15</v>
      </c>
      <c r="C161" s="143">
        <v>40373</v>
      </c>
      <c r="D161" s="144">
        <v>0.5</v>
      </c>
      <c r="E161" s="11" t="s">
        <v>184</v>
      </c>
      <c r="F161" s="24">
        <v>0</v>
      </c>
      <c r="G161" s="11" t="s">
        <v>188</v>
      </c>
      <c r="H161" s="24">
        <v>1</v>
      </c>
      <c r="J161" s="145">
        <f t="shared" si="454"/>
        <v>40373.5</v>
      </c>
      <c r="K161" s="146">
        <f t="shared" si="455"/>
        <v>40373.5</v>
      </c>
      <c r="L161" s="123"/>
      <c r="M161" s="142">
        <f t="shared" si="452"/>
        <v>0</v>
      </c>
      <c r="O161" s="142">
        <f t="shared" si="453"/>
        <v>1</v>
      </c>
      <c r="P161" s="21"/>
    </row>
    <row r="162" spans="1:16">
      <c r="A162" s="15">
        <f>COUNTIF(E$44:G162,E162)</f>
        <v>16</v>
      </c>
      <c r="B162" s="15">
        <f>COUNTIF(E$44:G162,G162)</f>
        <v>17</v>
      </c>
      <c r="C162" s="143">
        <v>40374</v>
      </c>
      <c r="D162" s="144">
        <v>0.5</v>
      </c>
      <c r="E162" s="11" t="s">
        <v>189</v>
      </c>
      <c r="F162" s="24">
        <v>0</v>
      </c>
      <c r="G162" s="11" t="s">
        <v>178</v>
      </c>
      <c r="H162" s="24">
        <v>1</v>
      </c>
      <c r="J162" s="145">
        <f t="shared" si="454"/>
        <v>40374.5</v>
      </c>
      <c r="K162" s="146">
        <f t="shared" si="455"/>
        <v>40374.5</v>
      </c>
      <c r="L162" s="123"/>
      <c r="M162" s="142">
        <f t="shared" si="452"/>
        <v>0</v>
      </c>
      <c r="O162" s="142">
        <f t="shared" si="453"/>
        <v>1</v>
      </c>
      <c r="P162" s="21"/>
    </row>
    <row r="163" spans="1:16">
      <c r="A163" s="15">
        <f>COUNTIF(E$44:G163,E163)</f>
        <v>14</v>
      </c>
      <c r="B163" s="15">
        <f>COUNTIF(E$44:G163,G163)</f>
        <v>15</v>
      </c>
      <c r="C163" s="143">
        <v>40376</v>
      </c>
      <c r="D163" s="144">
        <v>0.5</v>
      </c>
      <c r="E163" s="11" t="s">
        <v>179</v>
      </c>
      <c r="F163" s="24">
        <v>2</v>
      </c>
      <c r="G163" s="11" t="s">
        <v>185</v>
      </c>
      <c r="H163" s="24">
        <v>1</v>
      </c>
      <c r="J163" s="145">
        <f t="shared" si="454"/>
        <v>40376.5</v>
      </c>
      <c r="K163" s="146">
        <f t="shared" si="455"/>
        <v>40376.5</v>
      </c>
      <c r="L163" s="123"/>
      <c r="M163" s="142">
        <f t="shared" si="452"/>
        <v>2</v>
      </c>
      <c r="O163" s="142">
        <f t="shared" si="453"/>
        <v>1</v>
      </c>
      <c r="P163" s="21"/>
    </row>
    <row r="164" spans="1:16">
      <c r="A164" s="15">
        <f>COUNTIF(E$44:G164,E164)</f>
        <v>16</v>
      </c>
      <c r="B164" s="15">
        <f>COUNTIF(E$44:G164,G164)</f>
        <v>16</v>
      </c>
      <c r="C164" s="143">
        <v>40376</v>
      </c>
      <c r="D164" s="144">
        <v>0.5</v>
      </c>
      <c r="E164" s="11" t="s">
        <v>184</v>
      </c>
      <c r="F164" s="24">
        <v>2</v>
      </c>
      <c r="G164" s="11" t="s">
        <v>186</v>
      </c>
      <c r="H164" s="24">
        <v>0</v>
      </c>
      <c r="J164" s="145">
        <f t="shared" si="454"/>
        <v>40376.5</v>
      </c>
      <c r="K164" s="146">
        <f t="shared" si="455"/>
        <v>40376.5</v>
      </c>
      <c r="L164" s="123"/>
      <c r="M164" s="142">
        <f t="shared" si="452"/>
        <v>2</v>
      </c>
      <c r="O164" s="142">
        <f t="shared" si="453"/>
        <v>0</v>
      </c>
      <c r="P164" s="21"/>
    </row>
    <row r="165" spans="1:16">
      <c r="A165" s="15">
        <f>COUNTIF(E$44:G165,E165)</f>
        <v>15</v>
      </c>
      <c r="B165" s="15">
        <f>COUNTIF(E$44:G165,G165)</f>
        <v>16</v>
      </c>
      <c r="C165" s="143">
        <v>40376</v>
      </c>
      <c r="D165" s="144">
        <v>0.5</v>
      </c>
      <c r="E165" s="11" t="s">
        <v>182</v>
      </c>
      <c r="F165" s="24">
        <v>2</v>
      </c>
      <c r="G165" s="11" t="s">
        <v>191</v>
      </c>
      <c r="H165" s="24">
        <v>0</v>
      </c>
      <c r="J165" s="145">
        <f t="shared" si="454"/>
        <v>40376.5</v>
      </c>
      <c r="K165" s="146">
        <f t="shared" si="455"/>
        <v>40376.5</v>
      </c>
      <c r="L165" s="123"/>
      <c r="M165" s="142">
        <f t="shared" si="452"/>
        <v>2</v>
      </c>
      <c r="O165" s="142">
        <f t="shared" si="453"/>
        <v>0</v>
      </c>
      <c r="P165" s="21"/>
    </row>
    <row r="166" spans="1:16">
      <c r="A166" s="15">
        <f>COUNTIF(E$44:G166,E166)</f>
        <v>15</v>
      </c>
      <c r="B166" s="15">
        <f>COUNTIF(E$44:G166,G166)</f>
        <v>16</v>
      </c>
      <c r="C166" s="143">
        <v>40376</v>
      </c>
      <c r="D166" s="144">
        <v>0.5</v>
      </c>
      <c r="E166" s="11" t="s">
        <v>181</v>
      </c>
      <c r="F166" s="24">
        <v>1</v>
      </c>
      <c r="G166" s="11" t="s">
        <v>188</v>
      </c>
      <c r="H166" s="24">
        <v>1</v>
      </c>
      <c r="J166" s="145">
        <f t="shared" si="454"/>
        <v>40376.5</v>
      </c>
      <c r="K166" s="146">
        <f t="shared" si="455"/>
        <v>40376.5</v>
      </c>
      <c r="L166" s="123"/>
      <c r="M166" s="142">
        <f t="shared" si="452"/>
        <v>1</v>
      </c>
      <c r="O166" s="142">
        <f t="shared" si="453"/>
        <v>1</v>
      </c>
      <c r="P166" s="21"/>
    </row>
    <row r="167" spans="1:16">
      <c r="A167" s="15">
        <f>COUNTIF(E$44:G167,E167)</f>
        <v>17</v>
      </c>
      <c r="B167" s="15">
        <f>COUNTIF(E$44:G167,G167)</f>
        <v>17</v>
      </c>
      <c r="C167" s="143">
        <v>40377</v>
      </c>
      <c r="D167" s="144">
        <v>0.5</v>
      </c>
      <c r="E167" s="11" t="s">
        <v>189</v>
      </c>
      <c r="F167" s="24">
        <v>1</v>
      </c>
      <c r="G167" s="11" t="s">
        <v>192</v>
      </c>
      <c r="H167" s="24">
        <v>2</v>
      </c>
      <c r="J167" s="145">
        <f t="shared" si="454"/>
        <v>40377.5</v>
      </c>
      <c r="K167" s="146">
        <f t="shared" si="455"/>
        <v>40377.5</v>
      </c>
      <c r="L167" s="123"/>
      <c r="M167" s="142">
        <f t="shared" si="452"/>
        <v>1</v>
      </c>
      <c r="O167" s="142">
        <f t="shared" si="453"/>
        <v>2</v>
      </c>
      <c r="P167" s="21"/>
    </row>
    <row r="168" spans="1:16">
      <c r="A168" s="15">
        <f>COUNTIF(E$44:G168,E168)</f>
        <v>18</v>
      </c>
      <c r="B168" s="15">
        <f>COUNTIF(E$44:G168,G168)</f>
        <v>15</v>
      </c>
      <c r="C168" s="143">
        <v>40381</v>
      </c>
      <c r="D168" s="144">
        <v>0.5</v>
      </c>
      <c r="E168" s="11" t="s">
        <v>192</v>
      </c>
      <c r="F168" s="24">
        <v>2</v>
      </c>
      <c r="G168" s="11" t="s">
        <v>190</v>
      </c>
      <c r="H168" s="24">
        <v>2</v>
      </c>
      <c r="J168" s="145">
        <f t="shared" si="454"/>
        <v>40381.5</v>
      </c>
      <c r="K168" s="146">
        <f t="shared" si="455"/>
        <v>40381.5</v>
      </c>
      <c r="L168" s="123"/>
      <c r="M168" s="142">
        <f t="shared" si="452"/>
        <v>2</v>
      </c>
      <c r="O168" s="142">
        <f t="shared" si="453"/>
        <v>2</v>
      </c>
      <c r="P168" s="21"/>
    </row>
    <row r="169" spans="1:16">
      <c r="A169" s="15">
        <f>COUNTIF(E$44:G169,E169)</f>
        <v>16</v>
      </c>
      <c r="B169" s="15">
        <f>COUNTIF(E$44:G169,G169)</f>
        <v>16</v>
      </c>
      <c r="C169" s="143">
        <v>40383</v>
      </c>
      <c r="D169" s="144">
        <v>0.5</v>
      </c>
      <c r="E169" s="11" t="s">
        <v>185</v>
      </c>
      <c r="F169" s="24">
        <v>1</v>
      </c>
      <c r="G169" s="11" t="s">
        <v>182</v>
      </c>
      <c r="H169" s="24">
        <v>1</v>
      </c>
      <c r="J169" s="145">
        <f t="shared" si="454"/>
        <v>40383.5</v>
      </c>
      <c r="K169" s="146">
        <f t="shared" si="455"/>
        <v>40383.5</v>
      </c>
      <c r="L169" s="123"/>
      <c r="M169" s="142">
        <f t="shared" si="452"/>
        <v>1</v>
      </c>
      <c r="O169" s="142">
        <f t="shared" si="453"/>
        <v>1</v>
      </c>
      <c r="P169" s="21"/>
    </row>
    <row r="170" spans="1:16">
      <c r="A170" s="15">
        <f>COUNTIF(E$44:G170,E170)</f>
        <v>17</v>
      </c>
      <c r="B170" s="15">
        <f>COUNTIF(E$44:G170,G170)</f>
        <v>17</v>
      </c>
      <c r="C170" s="143">
        <v>40383</v>
      </c>
      <c r="D170" s="144">
        <v>0.5</v>
      </c>
      <c r="E170" s="11" t="s">
        <v>184</v>
      </c>
      <c r="F170" s="24">
        <v>3</v>
      </c>
      <c r="G170" s="11" t="s">
        <v>183</v>
      </c>
      <c r="H170" s="24">
        <v>0</v>
      </c>
      <c r="J170" s="145">
        <f t="shared" si="454"/>
        <v>40383.5</v>
      </c>
      <c r="K170" s="146">
        <f t="shared" si="455"/>
        <v>40383.5</v>
      </c>
      <c r="L170" s="123"/>
      <c r="M170" s="142">
        <f t="shared" si="452"/>
        <v>3</v>
      </c>
      <c r="O170" s="142">
        <f t="shared" si="453"/>
        <v>0</v>
      </c>
      <c r="P170" s="21"/>
    </row>
    <row r="171" spans="1:16">
      <c r="A171" s="15">
        <f>COUNTIF(E$44:G171,E171)</f>
        <v>17</v>
      </c>
      <c r="B171" s="15">
        <f>COUNTIF(E$44:G171,G171)</f>
        <v>16</v>
      </c>
      <c r="C171" s="143">
        <v>40383</v>
      </c>
      <c r="D171" s="144">
        <v>0.5</v>
      </c>
      <c r="E171" s="11" t="s">
        <v>191</v>
      </c>
      <c r="F171" s="24">
        <v>1</v>
      </c>
      <c r="G171" s="11" t="s">
        <v>180</v>
      </c>
      <c r="H171" s="24">
        <v>1</v>
      </c>
      <c r="J171" s="145">
        <f t="shared" si="454"/>
        <v>40383.5</v>
      </c>
      <c r="K171" s="146">
        <f t="shared" si="455"/>
        <v>40383.5</v>
      </c>
      <c r="L171" s="123"/>
      <c r="M171" s="142">
        <f t="shared" si="452"/>
        <v>1</v>
      </c>
      <c r="O171" s="142">
        <f t="shared" si="453"/>
        <v>1</v>
      </c>
      <c r="P171" s="21"/>
    </row>
    <row r="172" spans="1:16">
      <c r="A172" s="15">
        <f>COUNTIF(E$44:G172,E172)</f>
        <v>18</v>
      </c>
      <c r="B172" s="15">
        <f>COUNTIF(E$44:G172,G172)</f>
        <v>16</v>
      </c>
      <c r="C172" s="143">
        <v>40384</v>
      </c>
      <c r="D172" s="144">
        <v>0.5</v>
      </c>
      <c r="E172" s="11" t="s">
        <v>178</v>
      </c>
      <c r="F172" s="24">
        <v>2</v>
      </c>
      <c r="G172" s="11" t="s">
        <v>181</v>
      </c>
      <c r="H172" s="24">
        <v>1</v>
      </c>
      <c r="J172" s="145">
        <f t="shared" si="454"/>
        <v>40384.5</v>
      </c>
      <c r="K172" s="146">
        <f t="shared" si="455"/>
        <v>40384.5</v>
      </c>
      <c r="L172" s="123"/>
      <c r="M172" s="142">
        <f t="shared" ref="M172:M235" si="456">IF(ISBLANK(F172),"",F172)</f>
        <v>2</v>
      </c>
      <c r="O172" s="142">
        <f t="shared" ref="O172:O235" si="457">IF(ISBLANK(H172),"",H172)</f>
        <v>1</v>
      </c>
      <c r="P172" s="21"/>
    </row>
    <row r="173" spans="1:16">
      <c r="A173" s="15">
        <f>COUNTIF(E$44:G173,E173)</f>
        <v>15</v>
      </c>
      <c r="B173" s="15">
        <f>COUNTIF(E$44:G173,G173)</f>
        <v>16</v>
      </c>
      <c r="C173" s="143">
        <v>40390</v>
      </c>
      <c r="D173" s="144">
        <v>0.5</v>
      </c>
      <c r="E173" s="11" t="s">
        <v>179</v>
      </c>
      <c r="F173" s="24">
        <v>1</v>
      </c>
      <c r="G173" s="11" t="s">
        <v>193</v>
      </c>
      <c r="H173" s="24">
        <v>1</v>
      </c>
      <c r="J173" s="145">
        <f t="shared" ref="J173:J236" si="458">C173+D173</f>
        <v>40390.5</v>
      </c>
      <c r="K173" s="146">
        <f t="shared" ref="K173:K236" si="459">IF($K$42="mas",J173+$L$42,J173-$L$42)</f>
        <v>40390.5</v>
      </c>
      <c r="L173" s="123"/>
      <c r="M173" s="142">
        <f t="shared" si="456"/>
        <v>1</v>
      </c>
      <c r="O173" s="142">
        <f t="shared" si="457"/>
        <v>1</v>
      </c>
      <c r="P173" s="21"/>
    </row>
    <row r="174" spans="1:16">
      <c r="A174" s="15">
        <f>COUNTIF(E$44:G174,E174)</f>
        <v>17</v>
      </c>
      <c r="B174" s="15">
        <f>COUNTIF(E$44:G174,G174)</f>
        <v>17</v>
      </c>
      <c r="C174" s="143">
        <v>40390</v>
      </c>
      <c r="D174" s="144">
        <v>0.5</v>
      </c>
      <c r="E174" s="11" t="s">
        <v>181</v>
      </c>
      <c r="F174" s="24">
        <v>1</v>
      </c>
      <c r="G174" s="11" t="s">
        <v>182</v>
      </c>
      <c r="H174" s="24">
        <v>1</v>
      </c>
      <c r="J174" s="145">
        <f t="shared" si="458"/>
        <v>40390.5</v>
      </c>
      <c r="K174" s="146">
        <f t="shared" si="459"/>
        <v>40390.5</v>
      </c>
      <c r="L174" s="123"/>
      <c r="M174" s="142">
        <f t="shared" si="456"/>
        <v>1</v>
      </c>
      <c r="O174" s="142">
        <f t="shared" si="457"/>
        <v>1</v>
      </c>
      <c r="P174" s="21"/>
    </row>
    <row r="175" spans="1:16">
      <c r="A175" s="15">
        <f>COUNTIF(E$44:G175,E175)</f>
        <v>18</v>
      </c>
      <c r="B175" s="15">
        <f>COUNTIF(E$44:G175,G175)</f>
        <v>17</v>
      </c>
      <c r="C175" s="143">
        <v>40390</v>
      </c>
      <c r="D175" s="144">
        <v>0.5</v>
      </c>
      <c r="E175" s="11" t="s">
        <v>183</v>
      </c>
      <c r="F175" s="24">
        <v>2</v>
      </c>
      <c r="G175" s="11" t="s">
        <v>186</v>
      </c>
      <c r="H175" s="24">
        <v>2</v>
      </c>
      <c r="J175" s="145">
        <f t="shared" si="458"/>
        <v>40390.5</v>
      </c>
      <c r="K175" s="146">
        <f t="shared" si="459"/>
        <v>40390.5</v>
      </c>
      <c r="L175" s="123"/>
      <c r="M175" s="142">
        <f t="shared" si="456"/>
        <v>2</v>
      </c>
      <c r="O175" s="142">
        <f t="shared" si="457"/>
        <v>2</v>
      </c>
      <c r="P175" s="21"/>
    </row>
    <row r="176" spans="1:16">
      <c r="A176" s="15">
        <f>COUNTIF(E$44:G176,E176)</f>
        <v>17</v>
      </c>
      <c r="B176" s="15">
        <f>COUNTIF(E$44:G176,G176)</f>
        <v>17</v>
      </c>
      <c r="C176" s="143">
        <v>40390</v>
      </c>
      <c r="D176" s="144">
        <v>0.5</v>
      </c>
      <c r="E176" s="11" t="s">
        <v>188</v>
      </c>
      <c r="F176" s="24">
        <v>1</v>
      </c>
      <c r="G176" s="11" t="s">
        <v>185</v>
      </c>
      <c r="H176" s="24">
        <v>0</v>
      </c>
      <c r="J176" s="145">
        <f t="shared" si="458"/>
        <v>40390.5</v>
      </c>
      <c r="K176" s="146">
        <f t="shared" si="459"/>
        <v>40390.5</v>
      </c>
      <c r="L176" s="123"/>
      <c r="M176" s="142">
        <f t="shared" si="456"/>
        <v>1</v>
      </c>
      <c r="O176" s="142">
        <f t="shared" si="457"/>
        <v>0</v>
      </c>
      <c r="P176" s="21"/>
    </row>
    <row r="177" spans="1:16">
      <c r="A177" s="15">
        <f>COUNTIF(E$44:G177,E177)</f>
        <v>18</v>
      </c>
      <c r="B177" s="15">
        <f>COUNTIF(E$44:G177,G177)</f>
        <v>18</v>
      </c>
      <c r="C177" s="143">
        <v>40390</v>
      </c>
      <c r="D177" s="144">
        <v>0.5</v>
      </c>
      <c r="E177" s="11" t="s">
        <v>191</v>
      </c>
      <c r="F177" s="24">
        <v>3</v>
      </c>
      <c r="G177" s="11" t="s">
        <v>189</v>
      </c>
      <c r="H177" s="24">
        <v>0</v>
      </c>
      <c r="J177" s="145">
        <f t="shared" si="458"/>
        <v>40390.5</v>
      </c>
      <c r="K177" s="146">
        <f t="shared" si="459"/>
        <v>40390.5</v>
      </c>
      <c r="L177" s="123"/>
      <c r="M177" s="142">
        <f t="shared" si="456"/>
        <v>3</v>
      </c>
      <c r="O177" s="142">
        <f t="shared" si="457"/>
        <v>0</v>
      </c>
      <c r="P177" s="21"/>
    </row>
    <row r="178" spans="1:16">
      <c r="A178" s="15">
        <f>COUNTIF(E$44:G178,E178)</f>
        <v>16</v>
      </c>
      <c r="B178" s="15">
        <f>COUNTIF(E$44:G178,G178)</f>
        <v>19</v>
      </c>
      <c r="C178" s="143">
        <v>40390</v>
      </c>
      <c r="D178" s="144">
        <v>0.5</v>
      </c>
      <c r="E178" s="11" t="s">
        <v>190</v>
      </c>
      <c r="F178" s="24">
        <v>0</v>
      </c>
      <c r="G178" s="11" t="s">
        <v>178</v>
      </c>
      <c r="H178" s="24">
        <v>1</v>
      </c>
      <c r="J178" s="145">
        <f t="shared" si="458"/>
        <v>40390.5</v>
      </c>
      <c r="K178" s="146">
        <f t="shared" si="459"/>
        <v>40390.5</v>
      </c>
      <c r="L178" s="123"/>
      <c r="M178" s="142">
        <f t="shared" si="456"/>
        <v>0</v>
      </c>
      <c r="O178" s="142">
        <f t="shared" si="457"/>
        <v>1</v>
      </c>
      <c r="P178" s="21"/>
    </row>
    <row r="179" spans="1:16">
      <c r="A179" s="15">
        <f>COUNTIF(E$44:G179,E179)</f>
        <v>17</v>
      </c>
      <c r="B179" s="15">
        <f>COUNTIF(E$44:G179,G179)</f>
        <v>18</v>
      </c>
      <c r="C179" s="143">
        <v>40390</v>
      </c>
      <c r="D179" s="144">
        <v>0.5</v>
      </c>
      <c r="E179" s="11" t="s">
        <v>180</v>
      </c>
      <c r="F179" s="24">
        <v>3</v>
      </c>
      <c r="G179" s="11" t="s">
        <v>184</v>
      </c>
      <c r="H179" s="24">
        <v>1</v>
      </c>
      <c r="J179" s="145">
        <f t="shared" si="458"/>
        <v>40390.5</v>
      </c>
      <c r="K179" s="146">
        <f t="shared" si="459"/>
        <v>40390.5</v>
      </c>
      <c r="L179" s="123"/>
      <c r="M179" s="142">
        <f t="shared" si="456"/>
        <v>3</v>
      </c>
      <c r="O179" s="142">
        <f t="shared" si="457"/>
        <v>1</v>
      </c>
      <c r="P179" s="21"/>
    </row>
    <row r="180" spans="1:16">
      <c r="A180" s="15">
        <f>COUNTIF(E$44:G180,E180)</f>
        <v>19</v>
      </c>
      <c r="B180" s="15">
        <f>COUNTIF(E$44:G180,G180)</f>
        <v>15</v>
      </c>
      <c r="C180" s="143">
        <v>40391</v>
      </c>
      <c r="D180" s="144">
        <v>0.5</v>
      </c>
      <c r="E180" s="11" t="s">
        <v>192</v>
      </c>
      <c r="F180" s="24">
        <v>2</v>
      </c>
      <c r="G180" s="11" t="s">
        <v>187</v>
      </c>
      <c r="H180" s="24">
        <v>3</v>
      </c>
      <c r="J180" s="145">
        <f t="shared" si="458"/>
        <v>40391.5</v>
      </c>
      <c r="K180" s="146">
        <f t="shared" si="459"/>
        <v>40391.5</v>
      </c>
      <c r="L180" s="123"/>
      <c r="M180" s="142">
        <f t="shared" si="456"/>
        <v>2</v>
      </c>
      <c r="O180" s="142">
        <f t="shared" si="457"/>
        <v>3</v>
      </c>
      <c r="P180" s="21"/>
    </row>
    <row r="181" spans="1:16">
      <c r="A181" s="15">
        <f>COUNTIF(E$44:G181,E181)</f>
        <v>16</v>
      </c>
      <c r="B181" s="15">
        <f>COUNTIF(E$44:G181,G181)</f>
        <v>19</v>
      </c>
      <c r="C181" s="143">
        <v>40395</v>
      </c>
      <c r="D181" s="144">
        <v>0.5</v>
      </c>
      <c r="E181" s="11" t="s">
        <v>179</v>
      </c>
      <c r="F181" s="24">
        <v>1</v>
      </c>
      <c r="G181" s="11" t="s">
        <v>184</v>
      </c>
      <c r="H181" s="24">
        <v>2</v>
      </c>
      <c r="J181" s="145">
        <f t="shared" si="458"/>
        <v>40395.5</v>
      </c>
      <c r="K181" s="146">
        <f t="shared" si="459"/>
        <v>40395.5</v>
      </c>
      <c r="L181" s="123"/>
      <c r="M181" s="142">
        <f t="shared" si="456"/>
        <v>1</v>
      </c>
      <c r="O181" s="142">
        <f t="shared" si="457"/>
        <v>2</v>
      </c>
      <c r="P181" s="21"/>
    </row>
    <row r="182" spans="1:16">
      <c r="A182" s="15">
        <f>COUNTIF(E$44:G182,E182)</f>
        <v>18</v>
      </c>
      <c r="B182" s="15">
        <f>COUNTIF(E$44:G182,G182)</f>
        <v>18</v>
      </c>
      <c r="C182" s="143">
        <v>40397</v>
      </c>
      <c r="D182" s="144">
        <v>0.5</v>
      </c>
      <c r="E182" s="11" t="s">
        <v>185</v>
      </c>
      <c r="F182" s="24">
        <v>2</v>
      </c>
      <c r="G182" s="11" t="s">
        <v>180</v>
      </c>
      <c r="H182" s="24">
        <v>1</v>
      </c>
      <c r="J182" s="145">
        <f t="shared" si="458"/>
        <v>40397.5</v>
      </c>
      <c r="K182" s="146">
        <f t="shared" si="459"/>
        <v>40397.5</v>
      </c>
      <c r="L182" s="123"/>
      <c r="M182" s="142">
        <f t="shared" si="456"/>
        <v>2</v>
      </c>
      <c r="O182" s="142">
        <f t="shared" si="457"/>
        <v>1</v>
      </c>
      <c r="P182" s="21"/>
    </row>
    <row r="183" spans="1:16">
      <c r="A183" s="15">
        <f>COUNTIF(E$44:G183,E183)</f>
        <v>17</v>
      </c>
      <c r="B183" s="15">
        <f>COUNTIF(E$44:G183,G183)</f>
        <v>19</v>
      </c>
      <c r="C183" s="143">
        <v>40397</v>
      </c>
      <c r="D183" s="144">
        <v>0.5</v>
      </c>
      <c r="E183" s="11" t="s">
        <v>193</v>
      </c>
      <c r="F183" s="24">
        <v>1</v>
      </c>
      <c r="G183" s="11" t="s">
        <v>189</v>
      </c>
      <c r="H183" s="24">
        <v>0</v>
      </c>
      <c r="J183" s="145">
        <f t="shared" si="458"/>
        <v>40397.5</v>
      </c>
      <c r="K183" s="146">
        <f t="shared" si="459"/>
        <v>40397.5</v>
      </c>
      <c r="L183" s="123"/>
      <c r="M183" s="142">
        <f t="shared" si="456"/>
        <v>1</v>
      </c>
      <c r="O183" s="142">
        <f t="shared" si="457"/>
        <v>0</v>
      </c>
      <c r="P183" s="21"/>
    </row>
    <row r="184" spans="1:16">
      <c r="A184" s="15">
        <f>COUNTIF(E$44:G184,E184)</f>
        <v>18</v>
      </c>
      <c r="B184" s="15">
        <f>COUNTIF(E$44:G184,G184)</f>
        <v>19</v>
      </c>
      <c r="C184" s="143">
        <v>40397</v>
      </c>
      <c r="D184" s="144">
        <v>0.5</v>
      </c>
      <c r="E184" s="11" t="s">
        <v>188</v>
      </c>
      <c r="F184" s="24">
        <v>1</v>
      </c>
      <c r="G184" s="11" t="s">
        <v>191</v>
      </c>
      <c r="H184" s="24">
        <v>1</v>
      </c>
      <c r="J184" s="145">
        <f t="shared" si="458"/>
        <v>40397.5</v>
      </c>
      <c r="K184" s="146">
        <f t="shared" si="459"/>
        <v>40397.5</v>
      </c>
      <c r="L184" s="123"/>
      <c r="M184" s="142">
        <f t="shared" si="456"/>
        <v>1</v>
      </c>
      <c r="O184" s="142">
        <f t="shared" si="457"/>
        <v>1</v>
      </c>
      <c r="P184" s="21"/>
    </row>
    <row r="185" spans="1:16">
      <c r="A185" s="15">
        <f>COUNTIF(E$44:G185,E185)</f>
        <v>18</v>
      </c>
      <c r="B185" s="15">
        <f>COUNTIF(E$44:G185,G185)</f>
        <v>17</v>
      </c>
      <c r="C185" s="143">
        <v>40397</v>
      </c>
      <c r="D185" s="144">
        <v>0.5</v>
      </c>
      <c r="E185" s="11" t="s">
        <v>181</v>
      </c>
      <c r="F185" s="24">
        <v>1</v>
      </c>
      <c r="G185" s="11" t="s">
        <v>190</v>
      </c>
      <c r="H185" s="24">
        <v>0</v>
      </c>
      <c r="J185" s="145">
        <f t="shared" si="458"/>
        <v>40397.5</v>
      </c>
      <c r="K185" s="146">
        <f t="shared" si="459"/>
        <v>40397.5</v>
      </c>
      <c r="L185" s="123"/>
      <c r="M185" s="142">
        <f t="shared" si="456"/>
        <v>1</v>
      </c>
      <c r="O185" s="142">
        <f t="shared" si="457"/>
        <v>0</v>
      </c>
      <c r="P185" s="21"/>
    </row>
    <row r="186" spans="1:16">
      <c r="A186" s="15">
        <f>COUNTIF(E$44:G186,E186)</f>
        <v>18</v>
      </c>
      <c r="B186" s="15">
        <f>COUNTIF(E$44:G186,G186)</f>
        <v>17</v>
      </c>
      <c r="C186" s="143">
        <v>40398</v>
      </c>
      <c r="D186" s="144">
        <v>0.5</v>
      </c>
      <c r="E186" s="11" t="s">
        <v>182</v>
      </c>
      <c r="F186" s="24">
        <v>3</v>
      </c>
      <c r="G186" s="11" t="s">
        <v>179</v>
      </c>
      <c r="H186" s="24">
        <v>1</v>
      </c>
      <c r="J186" s="145">
        <f t="shared" si="458"/>
        <v>40398.5</v>
      </c>
      <c r="K186" s="146">
        <f t="shared" si="459"/>
        <v>40398.5</v>
      </c>
      <c r="L186" s="123"/>
      <c r="M186" s="142">
        <f t="shared" si="456"/>
        <v>3</v>
      </c>
      <c r="O186" s="142">
        <f t="shared" si="457"/>
        <v>1</v>
      </c>
      <c r="P186" s="21"/>
    </row>
    <row r="187" spans="1:16">
      <c r="A187" s="15">
        <f>COUNTIF(E$44:G187,E187)</f>
        <v>16</v>
      </c>
      <c r="B187" s="15">
        <f>COUNTIF(E$44:G187,G187)</f>
        <v>18</v>
      </c>
      <c r="C187" s="143">
        <v>40398</v>
      </c>
      <c r="D187" s="144">
        <v>0.5</v>
      </c>
      <c r="E187" s="11" t="s">
        <v>187</v>
      </c>
      <c r="F187" s="24">
        <v>0</v>
      </c>
      <c r="G187" s="11" t="s">
        <v>186</v>
      </c>
      <c r="H187" s="24">
        <v>0</v>
      </c>
      <c r="J187" s="145">
        <f t="shared" si="458"/>
        <v>40398.5</v>
      </c>
      <c r="K187" s="146">
        <f t="shared" si="459"/>
        <v>40398.5</v>
      </c>
      <c r="L187" s="123"/>
      <c r="M187" s="142">
        <f t="shared" si="456"/>
        <v>0</v>
      </c>
      <c r="O187" s="142">
        <f t="shared" si="457"/>
        <v>0</v>
      </c>
      <c r="P187" s="21"/>
    </row>
    <row r="188" spans="1:16">
      <c r="A188" s="15">
        <f>COUNTIF(E$44:G188,E188)</f>
        <v>20</v>
      </c>
      <c r="B188" s="15">
        <f>COUNTIF(E$44:G188,G188)</f>
        <v>19</v>
      </c>
      <c r="C188" s="143">
        <v>40398</v>
      </c>
      <c r="D188" s="144">
        <v>0.5</v>
      </c>
      <c r="E188" s="11" t="s">
        <v>178</v>
      </c>
      <c r="F188" s="24">
        <v>2</v>
      </c>
      <c r="G188" s="11" t="s">
        <v>183</v>
      </c>
      <c r="H188" s="24">
        <v>0</v>
      </c>
      <c r="J188" s="145">
        <f t="shared" si="458"/>
        <v>40398.5</v>
      </c>
      <c r="K188" s="146">
        <f t="shared" si="459"/>
        <v>40398.5</v>
      </c>
      <c r="L188" s="123"/>
      <c r="M188" s="142">
        <f t="shared" si="456"/>
        <v>2</v>
      </c>
      <c r="O188" s="142">
        <f t="shared" si="457"/>
        <v>0</v>
      </c>
      <c r="P188" s="21"/>
    </row>
    <row r="189" spans="1:16">
      <c r="A189" s="15">
        <f>COUNTIF(E$44:G189,E189)</f>
        <v>19</v>
      </c>
      <c r="B189" s="15">
        <f>COUNTIF(E$44:G189,G189)</f>
        <v>19</v>
      </c>
      <c r="C189" s="143">
        <v>40401</v>
      </c>
      <c r="D189" s="144">
        <v>0.5</v>
      </c>
      <c r="E189" s="11" t="s">
        <v>186</v>
      </c>
      <c r="F189" s="24">
        <v>1</v>
      </c>
      <c r="G189" s="11" t="s">
        <v>185</v>
      </c>
      <c r="H189" s="24">
        <v>0</v>
      </c>
      <c r="J189" s="145">
        <f t="shared" si="458"/>
        <v>40401.5</v>
      </c>
      <c r="K189" s="146">
        <f t="shared" si="459"/>
        <v>40401.5</v>
      </c>
      <c r="L189" s="123"/>
      <c r="M189" s="142">
        <f t="shared" si="456"/>
        <v>1</v>
      </c>
      <c r="O189" s="142">
        <f t="shared" si="457"/>
        <v>0</v>
      </c>
      <c r="P189" s="21"/>
    </row>
    <row r="190" spans="1:16">
      <c r="A190" s="15">
        <f>COUNTIF(E$44:G190,E190)</f>
        <v>18</v>
      </c>
      <c r="B190" s="15">
        <f>COUNTIF(E$44:G190,G190)</f>
        <v>20</v>
      </c>
      <c r="C190" s="143">
        <v>40401</v>
      </c>
      <c r="D190" s="144">
        <v>0.5</v>
      </c>
      <c r="E190" s="11" t="s">
        <v>179</v>
      </c>
      <c r="F190" s="24">
        <v>1</v>
      </c>
      <c r="G190" s="11" t="s">
        <v>191</v>
      </c>
      <c r="H190" s="24">
        <v>1</v>
      </c>
      <c r="J190" s="145">
        <f t="shared" si="458"/>
        <v>40401.5</v>
      </c>
      <c r="K190" s="146">
        <f t="shared" si="459"/>
        <v>40401.5</v>
      </c>
      <c r="L190" s="123"/>
      <c r="M190" s="142">
        <f t="shared" si="456"/>
        <v>1</v>
      </c>
      <c r="O190" s="142">
        <f t="shared" si="457"/>
        <v>1</v>
      </c>
      <c r="P190" s="21"/>
    </row>
    <row r="191" spans="1:16">
      <c r="A191" s="15">
        <f>COUNTIF(E$44:G191,E191)</f>
        <v>19</v>
      </c>
      <c r="B191" s="15">
        <f>COUNTIF(E$44:G191,G191)</f>
        <v>19</v>
      </c>
      <c r="C191" s="143">
        <v>40404</v>
      </c>
      <c r="D191" s="144">
        <v>0.5</v>
      </c>
      <c r="E191" s="11" t="s">
        <v>179</v>
      </c>
      <c r="F191" s="24">
        <v>1</v>
      </c>
      <c r="G191" s="11" t="s">
        <v>181</v>
      </c>
      <c r="H191" s="24">
        <v>1</v>
      </c>
      <c r="J191" s="145">
        <f t="shared" si="458"/>
        <v>40404.5</v>
      </c>
      <c r="K191" s="146">
        <f t="shared" si="459"/>
        <v>40404.5</v>
      </c>
      <c r="L191" s="123"/>
      <c r="M191" s="142">
        <f t="shared" si="456"/>
        <v>1</v>
      </c>
      <c r="O191" s="142">
        <f t="shared" si="457"/>
        <v>1</v>
      </c>
      <c r="P191" s="21"/>
    </row>
    <row r="192" spans="1:16">
      <c r="A192" s="15">
        <f>COUNTIF(E$44:G192,E192)</f>
        <v>20</v>
      </c>
      <c r="B192" s="15">
        <f>COUNTIF(E$44:G192,G192)</f>
        <v>20</v>
      </c>
      <c r="C192" s="143">
        <v>40404</v>
      </c>
      <c r="D192" s="144">
        <v>0.5</v>
      </c>
      <c r="E192" s="11" t="s">
        <v>186</v>
      </c>
      <c r="F192" s="24">
        <v>0</v>
      </c>
      <c r="G192" s="11" t="s">
        <v>192</v>
      </c>
      <c r="H192" s="24">
        <v>1</v>
      </c>
      <c r="J192" s="145">
        <f t="shared" si="458"/>
        <v>40404.5</v>
      </c>
      <c r="K192" s="146">
        <f t="shared" si="459"/>
        <v>40404.5</v>
      </c>
      <c r="L192" s="123"/>
      <c r="M192" s="142">
        <f t="shared" si="456"/>
        <v>0</v>
      </c>
      <c r="O192" s="142">
        <f t="shared" si="457"/>
        <v>1</v>
      </c>
      <c r="P192" s="21"/>
    </row>
    <row r="193" spans="1:16">
      <c r="A193" s="15">
        <f>COUNTIF(E$44:G193,E193)</f>
        <v>20</v>
      </c>
      <c r="B193" s="15">
        <f>COUNTIF(E$44:G193,G193)</f>
        <v>19</v>
      </c>
      <c r="C193" s="143">
        <v>40404</v>
      </c>
      <c r="D193" s="144">
        <v>0.5</v>
      </c>
      <c r="E193" s="11" t="s">
        <v>189</v>
      </c>
      <c r="F193" s="24">
        <v>1</v>
      </c>
      <c r="G193" s="11" t="s">
        <v>182</v>
      </c>
      <c r="H193" s="24">
        <v>3</v>
      </c>
      <c r="J193" s="145">
        <f t="shared" si="458"/>
        <v>40404.5</v>
      </c>
      <c r="K193" s="146">
        <f t="shared" si="459"/>
        <v>40404.5</v>
      </c>
      <c r="L193" s="123"/>
      <c r="M193" s="142">
        <f t="shared" si="456"/>
        <v>1</v>
      </c>
      <c r="O193" s="142">
        <f t="shared" si="457"/>
        <v>3</v>
      </c>
      <c r="P193" s="21"/>
    </row>
    <row r="194" spans="1:16">
      <c r="A194" s="15">
        <f>COUNTIF(E$44:G194,E194)</f>
        <v>18</v>
      </c>
      <c r="B194" s="15">
        <f>COUNTIF(E$44:G194,G194)</f>
        <v>20</v>
      </c>
      <c r="C194" s="143">
        <v>40404</v>
      </c>
      <c r="D194" s="144">
        <v>0.5</v>
      </c>
      <c r="E194" s="11" t="s">
        <v>193</v>
      </c>
      <c r="F194" s="24">
        <v>1</v>
      </c>
      <c r="G194" s="11" t="s">
        <v>183</v>
      </c>
      <c r="H194" s="24">
        <v>0</v>
      </c>
      <c r="J194" s="145">
        <f t="shared" si="458"/>
        <v>40404.5</v>
      </c>
      <c r="K194" s="146">
        <f t="shared" si="459"/>
        <v>40404.5</v>
      </c>
      <c r="L194" s="123"/>
      <c r="M194" s="142">
        <f t="shared" si="456"/>
        <v>1</v>
      </c>
      <c r="O194" s="142">
        <f t="shared" si="457"/>
        <v>0</v>
      </c>
      <c r="P194" s="21"/>
    </row>
    <row r="195" spans="1:16">
      <c r="A195" s="15">
        <f>COUNTIF(E$44:G195,E195)</f>
        <v>21</v>
      </c>
      <c r="B195" s="15">
        <f>COUNTIF(E$44:G195,G195)</f>
        <v>20</v>
      </c>
      <c r="C195" s="143">
        <v>40404</v>
      </c>
      <c r="D195" s="144">
        <v>0.5</v>
      </c>
      <c r="E195" s="11" t="s">
        <v>191</v>
      </c>
      <c r="F195" s="24">
        <v>2</v>
      </c>
      <c r="G195" s="11" t="s">
        <v>184</v>
      </c>
      <c r="H195" s="24">
        <v>0</v>
      </c>
      <c r="J195" s="145">
        <f t="shared" si="458"/>
        <v>40404.5</v>
      </c>
      <c r="K195" s="146">
        <f t="shared" si="459"/>
        <v>40404.5</v>
      </c>
      <c r="L195" s="123"/>
      <c r="M195" s="142">
        <f t="shared" si="456"/>
        <v>2</v>
      </c>
      <c r="O195" s="142">
        <f t="shared" si="457"/>
        <v>0</v>
      </c>
      <c r="P195" s="21"/>
    </row>
    <row r="196" spans="1:16">
      <c r="A196" s="15">
        <f>COUNTIF(E$44:G196,E196)</f>
        <v>18</v>
      </c>
      <c r="B196" s="15">
        <f>COUNTIF(E$44:G196,G196)</f>
        <v>19</v>
      </c>
      <c r="C196" s="143">
        <v>40404</v>
      </c>
      <c r="D196" s="144">
        <v>0.5</v>
      </c>
      <c r="E196" s="11" t="s">
        <v>190</v>
      </c>
      <c r="F196" s="24">
        <v>1</v>
      </c>
      <c r="G196" s="11" t="s">
        <v>188</v>
      </c>
      <c r="H196" s="24">
        <v>0</v>
      </c>
      <c r="J196" s="145">
        <f t="shared" si="458"/>
        <v>40404.5</v>
      </c>
      <c r="K196" s="146">
        <f t="shared" si="459"/>
        <v>40404.5</v>
      </c>
      <c r="L196" s="123"/>
      <c r="M196" s="142">
        <f t="shared" si="456"/>
        <v>1</v>
      </c>
      <c r="O196" s="142">
        <f t="shared" si="457"/>
        <v>0</v>
      </c>
      <c r="P196" s="21"/>
    </row>
    <row r="197" spans="1:16">
      <c r="A197" s="15">
        <f>COUNTIF(E$44:G197,E197)</f>
        <v>19</v>
      </c>
      <c r="B197" s="15">
        <f>COUNTIF(E$44:G197,G197)</f>
        <v>21</v>
      </c>
      <c r="C197" s="143">
        <v>40404</v>
      </c>
      <c r="D197" s="144">
        <v>0.5</v>
      </c>
      <c r="E197" s="11" t="s">
        <v>180</v>
      </c>
      <c r="F197" s="24">
        <v>0</v>
      </c>
      <c r="G197" s="11" t="s">
        <v>178</v>
      </c>
      <c r="H197" s="24">
        <v>0</v>
      </c>
      <c r="J197" s="145">
        <f t="shared" si="458"/>
        <v>40404.5</v>
      </c>
      <c r="K197" s="146">
        <f t="shared" si="459"/>
        <v>40404.5</v>
      </c>
      <c r="L197" s="123"/>
      <c r="M197" s="142">
        <f t="shared" si="456"/>
        <v>0</v>
      </c>
      <c r="O197" s="142">
        <f t="shared" si="457"/>
        <v>0</v>
      </c>
      <c r="P197" s="21"/>
    </row>
    <row r="198" spans="1:16">
      <c r="A198" s="15">
        <f>COUNTIF(E$44:G198,E198)</f>
        <v>17</v>
      </c>
      <c r="B198" s="15">
        <f>COUNTIF(E$44:G198,G198)</f>
        <v>19</v>
      </c>
      <c r="C198" s="143">
        <v>40408</v>
      </c>
      <c r="D198" s="144" t="s">
        <v>194</v>
      </c>
      <c r="E198" s="11" t="s">
        <v>187</v>
      </c>
      <c r="F198" s="24"/>
      <c r="G198" s="11" t="s">
        <v>193</v>
      </c>
      <c r="H198" s="24"/>
      <c r="J198" s="145">
        <f t="shared" si="458"/>
        <v>40408.854166666664</v>
      </c>
      <c r="K198" s="146">
        <f t="shared" si="459"/>
        <v>40408.854166666664</v>
      </c>
      <c r="L198" s="123"/>
      <c r="M198" s="142" t="str">
        <f t="shared" si="456"/>
        <v/>
      </c>
      <c r="O198" s="142" t="str">
        <f t="shared" si="457"/>
        <v/>
      </c>
      <c r="P198" s="21"/>
    </row>
    <row r="199" spans="1:16">
      <c r="A199" s="15">
        <f>COUNTIF(E$44:G199,E199)</f>
        <v>20</v>
      </c>
      <c r="B199" s="15">
        <f>COUNTIF(E$44:G199,G199)</f>
        <v>21</v>
      </c>
      <c r="C199" s="143">
        <v>40411</v>
      </c>
      <c r="D199" s="144" t="s">
        <v>195</v>
      </c>
      <c r="E199" s="11" t="s">
        <v>185</v>
      </c>
      <c r="F199" s="24"/>
      <c r="G199" s="11" t="s">
        <v>186</v>
      </c>
      <c r="H199" s="24"/>
      <c r="J199" s="145">
        <f t="shared" si="458"/>
        <v>40411.541666666664</v>
      </c>
      <c r="K199" s="146">
        <f t="shared" si="459"/>
        <v>40411.541666666664</v>
      </c>
      <c r="L199" s="123"/>
      <c r="M199" s="142" t="str">
        <f t="shared" si="456"/>
        <v/>
      </c>
      <c r="O199" s="142" t="str">
        <f t="shared" si="457"/>
        <v/>
      </c>
      <c r="P199" s="21"/>
    </row>
    <row r="200" spans="1:16">
      <c r="A200" s="15">
        <f>COUNTIF(E$44:G200,E200)</f>
        <v>19</v>
      </c>
      <c r="B200" s="15">
        <f>COUNTIF(E$44:G200,G200)</f>
        <v>21</v>
      </c>
      <c r="C200" s="143">
        <v>40411</v>
      </c>
      <c r="D200" s="144" t="s">
        <v>196</v>
      </c>
      <c r="E200" s="11" t="s">
        <v>190</v>
      </c>
      <c r="F200" s="24"/>
      <c r="G200" s="11" t="s">
        <v>192</v>
      </c>
      <c r="H200" s="24"/>
      <c r="J200" s="145">
        <f t="shared" si="458"/>
        <v>40411.666666666664</v>
      </c>
      <c r="K200" s="146">
        <f t="shared" si="459"/>
        <v>40411.666666666664</v>
      </c>
      <c r="L200" s="123"/>
      <c r="M200" s="142" t="str">
        <f t="shared" si="456"/>
        <v/>
      </c>
      <c r="O200" s="142" t="str">
        <f t="shared" si="457"/>
        <v/>
      </c>
      <c r="P200" s="21"/>
    </row>
    <row r="201" spans="1:16">
      <c r="A201" s="15">
        <f>COUNTIF(E$44:G201,E201)</f>
        <v>21</v>
      </c>
      <c r="B201" s="15">
        <f>COUNTIF(E$44:G201,G201)</f>
        <v>20</v>
      </c>
      <c r="C201" s="143">
        <v>40411</v>
      </c>
      <c r="D201" s="144" t="s">
        <v>197</v>
      </c>
      <c r="E201" s="11" t="s">
        <v>184</v>
      </c>
      <c r="F201" s="24"/>
      <c r="G201" s="11" t="s">
        <v>181</v>
      </c>
      <c r="H201" s="24"/>
      <c r="J201" s="145">
        <f t="shared" si="458"/>
        <v>40411.8125</v>
      </c>
      <c r="K201" s="146">
        <f t="shared" si="459"/>
        <v>40411.8125</v>
      </c>
      <c r="L201" s="123"/>
      <c r="M201" s="142" t="str">
        <f t="shared" si="456"/>
        <v/>
      </c>
      <c r="O201" s="142" t="str">
        <f t="shared" si="457"/>
        <v/>
      </c>
      <c r="P201" s="21"/>
    </row>
    <row r="202" spans="1:16">
      <c r="A202" s="15">
        <f>COUNTIF(E$44:G202,E202)</f>
        <v>20</v>
      </c>
      <c r="B202" s="15">
        <f>COUNTIF(E$44:G202,G202)</f>
        <v>20</v>
      </c>
      <c r="C202" s="143">
        <v>40411</v>
      </c>
      <c r="D202" s="144" t="s">
        <v>194</v>
      </c>
      <c r="E202" s="11" t="s">
        <v>182</v>
      </c>
      <c r="F202" s="24"/>
      <c r="G202" s="11" t="s">
        <v>180</v>
      </c>
      <c r="H202" s="24"/>
      <c r="J202" s="145">
        <f t="shared" si="458"/>
        <v>40411.854166666664</v>
      </c>
      <c r="K202" s="146">
        <f t="shared" si="459"/>
        <v>40411.854166666664</v>
      </c>
      <c r="L202" s="123"/>
      <c r="M202" s="142" t="str">
        <f t="shared" si="456"/>
        <v/>
      </c>
      <c r="O202" s="142" t="str">
        <f t="shared" si="457"/>
        <v/>
      </c>
      <c r="P202" s="21"/>
    </row>
    <row r="203" spans="1:16">
      <c r="A203" s="15">
        <f>COUNTIF(E$44:G203,E203)</f>
        <v>21</v>
      </c>
      <c r="B203" s="15">
        <f>COUNTIF(E$44:G203,G203)</f>
        <v>18</v>
      </c>
      <c r="C203" s="143">
        <v>40411</v>
      </c>
      <c r="D203" s="144" t="s">
        <v>194</v>
      </c>
      <c r="E203" s="11" t="s">
        <v>183</v>
      </c>
      <c r="F203" s="24"/>
      <c r="G203" s="11" t="s">
        <v>187</v>
      </c>
      <c r="H203" s="24"/>
      <c r="J203" s="145">
        <f t="shared" si="458"/>
        <v>40411.854166666664</v>
      </c>
      <c r="K203" s="146">
        <f t="shared" si="459"/>
        <v>40411.854166666664</v>
      </c>
      <c r="L203" s="123"/>
      <c r="M203" s="142" t="str">
        <f t="shared" si="456"/>
        <v/>
      </c>
      <c r="O203" s="142" t="str">
        <f t="shared" si="457"/>
        <v/>
      </c>
      <c r="P203" s="21"/>
    </row>
    <row r="204" spans="1:16">
      <c r="A204" s="15">
        <f>COUNTIF(E$44:G204,E204)</f>
        <v>20</v>
      </c>
      <c r="B204" s="15">
        <f>COUNTIF(E$44:G204,G204)</f>
        <v>20</v>
      </c>
      <c r="C204" s="143">
        <v>40411</v>
      </c>
      <c r="D204" s="144" t="s">
        <v>194</v>
      </c>
      <c r="E204" s="11" t="s">
        <v>188</v>
      </c>
      <c r="F204" s="24"/>
      <c r="G204" s="11" t="s">
        <v>193</v>
      </c>
      <c r="H204" s="24"/>
      <c r="J204" s="145">
        <f t="shared" si="458"/>
        <v>40411.854166666664</v>
      </c>
      <c r="K204" s="146">
        <f t="shared" si="459"/>
        <v>40411.854166666664</v>
      </c>
      <c r="L204" s="123"/>
      <c r="M204" s="142" t="str">
        <f t="shared" si="456"/>
        <v/>
      </c>
      <c r="O204" s="142" t="str">
        <f t="shared" si="457"/>
        <v/>
      </c>
      <c r="P204" s="21"/>
    </row>
    <row r="205" spans="1:16">
      <c r="A205" s="15">
        <f>COUNTIF(E$44:G205,E205)</f>
        <v>21</v>
      </c>
      <c r="B205" s="15">
        <f>COUNTIF(E$44:G205,G205)</f>
        <v>20</v>
      </c>
      <c r="C205" s="143">
        <v>40412</v>
      </c>
      <c r="D205" s="144" t="s">
        <v>198</v>
      </c>
      <c r="E205" s="11" t="s">
        <v>189</v>
      </c>
      <c r="F205" s="24"/>
      <c r="G205" s="11" t="s">
        <v>179</v>
      </c>
      <c r="H205" s="24"/>
      <c r="J205" s="145">
        <f t="shared" si="458"/>
        <v>40412.583333333336</v>
      </c>
      <c r="K205" s="146">
        <f t="shared" si="459"/>
        <v>40412.583333333336</v>
      </c>
      <c r="L205" s="123"/>
      <c r="M205" s="142" t="str">
        <f t="shared" si="456"/>
        <v/>
      </c>
      <c r="O205" s="142" t="str">
        <f t="shared" si="457"/>
        <v/>
      </c>
      <c r="P205" s="21"/>
    </row>
    <row r="206" spans="1:16">
      <c r="A206" s="15">
        <f>COUNTIF(E$44:G206,E206)</f>
        <v>22</v>
      </c>
      <c r="B206" s="15">
        <f>COUNTIF(E$44:G206,G206)</f>
        <v>21</v>
      </c>
      <c r="C206" s="143">
        <v>40418</v>
      </c>
      <c r="D206" s="144" t="s">
        <v>196</v>
      </c>
      <c r="E206" s="11" t="s">
        <v>184</v>
      </c>
      <c r="F206" s="24"/>
      <c r="G206" s="11" t="s">
        <v>182</v>
      </c>
      <c r="H206" s="24"/>
      <c r="J206" s="145">
        <f t="shared" si="458"/>
        <v>40418.666666666664</v>
      </c>
      <c r="K206" s="146">
        <f t="shared" si="459"/>
        <v>40418.666666666664</v>
      </c>
      <c r="L206" s="123"/>
      <c r="M206" s="142" t="str">
        <f t="shared" si="456"/>
        <v/>
      </c>
      <c r="O206" s="142" t="str">
        <f t="shared" si="457"/>
        <v/>
      </c>
      <c r="P206" s="21"/>
    </row>
    <row r="207" spans="1:16">
      <c r="A207" s="15">
        <f>COUNTIF(E$44:G207,E207)</f>
        <v>21</v>
      </c>
      <c r="B207" s="15">
        <f>COUNTIF(E$44:G207,G207)</f>
        <v>22</v>
      </c>
      <c r="C207" s="143">
        <v>40418</v>
      </c>
      <c r="D207" s="144" t="s">
        <v>199</v>
      </c>
      <c r="E207" s="11" t="s">
        <v>185</v>
      </c>
      <c r="F207" s="24"/>
      <c r="G207" s="11" t="s">
        <v>191</v>
      </c>
      <c r="H207" s="24"/>
      <c r="J207" s="145">
        <f t="shared" si="458"/>
        <v>40418.791666666664</v>
      </c>
      <c r="K207" s="146">
        <f t="shared" si="459"/>
        <v>40418.791666666664</v>
      </c>
      <c r="L207" s="123"/>
      <c r="M207" s="142" t="str">
        <f t="shared" si="456"/>
        <v/>
      </c>
      <c r="O207" s="142" t="str">
        <f t="shared" si="457"/>
        <v/>
      </c>
      <c r="P207" s="21"/>
    </row>
    <row r="208" spans="1:16">
      <c r="A208" s="15">
        <f>COUNTIF(E$44:G208,E208)</f>
        <v>21</v>
      </c>
      <c r="B208" s="15">
        <f>COUNTIF(E$44:G208,G208)</f>
        <v>21</v>
      </c>
      <c r="C208" s="143">
        <v>40418</v>
      </c>
      <c r="D208" s="144" t="s">
        <v>197</v>
      </c>
      <c r="E208" s="11" t="s">
        <v>193</v>
      </c>
      <c r="F208" s="24"/>
      <c r="G208" s="11" t="s">
        <v>179</v>
      </c>
      <c r="H208" s="24"/>
      <c r="J208" s="145">
        <f t="shared" si="458"/>
        <v>40418.8125</v>
      </c>
      <c r="K208" s="146">
        <f t="shared" si="459"/>
        <v>40418.8125</v>
      </c>
      <c r="L208" s="123"/>
      <c r="M208" s="142" t="str">
        <f t="shared" si="456"/>
        <v/>
      </c>
      <c r="O208" s="142" t="str">
        <f t="shared" si="457"/>
        <v/>
      </c>
      <c r="P208" s="21"/>
    </row>
    <row r="209" spans="1:16">
      <c r="A209" s="15">
        <f>COUNTIF(E$44:G209,E209)</f>
        <v>22</v>
      </c>
      <c r="B209" s="15">
        <f>COUNTIF(E$44:G209,G209)</f>
        <v>20</v>
      </c>
      <c r="C209" s="143">
        <v>40418</v>
      </c>
      <c r="D209" s="144" t="s">
        <v>197</v>
      </c>
      <c r="E209" s="11" t="s">
        <v>186</v>
      </c>
      <c r="F209" s="24"/>
      <c r="G209" s="11" t="s">
        <v>190</v>
      </c>
      <c r="H209" s="24"/>
      <c r="J209" s="145">
        <f t="shared" si="458"/>
        <v>40418.8125</v>
      </c>
      <c r="K209" s="146">
        <f t="shared" si="459"/>
        <v>40418.8125</v>
      </c>
      <c r="L209" s="123"/>
      <c r="M209" s="142" t="str">
        <f t="shared" si="456"/>
        <v/>
      </c>
      <c r="O209" s="142" t="str">
        <f t="shared" si="457"/>
        <v/>
      </c>
      <c r="P209" s="21"/>
    </row>
    <row r="210" spans="1:16">
      <c r="A210" s="15">
        <f>COUNTIF(E$44:G210,E210)</f>
        <v>21</v>
      </c>
      <c r="B210" s="15">
        <f>COUNTIF(E$44:G210,G210)</f>
        <v>22</v>
      </c>
      <c r="C210" s="143">
        <v>40418</v>
      </c>
      <c r="D210" s="144" t="s">
        <v>200</v>
      </c>
      <c r="E210" s="11" t="s">
        <v>181</v>
      </c>
      <c r="F210" s="24"/>
      <c r="G210" s="11" t="s">
        <v>183</v>
      </c>
      <c r="H210" s="24"/>
      <c r="J210" s="145">
        <f t="shared" si="458"/>
        <v>40418.895833333336</v>
      </c>
      <c r="K210" s="146">
        <f t="shared" si="459"/>
        <v>40418.895833333336</v>
      </c>
      <c r="L210" s="123"/>
      <c r="M210" s="142" t="str">
        <f t="shared" si="456"/>
        <v/>
      </c>
      <c r="O210" s="142" t="str">
        <f t="shared" si="457"/>
        <v/>
      </c>
      <c r="P210" s="21"/>
    </row>
    <row r="211" spans="1:16">
      <c r="A211" s="15">
        <f>COUNTIF(E$44:G211,E211)</f>
        <v>22</v>
      </c>
      <c r="B211" s="15">
        <f>COUNTIF(E$44:G211,G211)</f>
        <v>21</v>
      </c>
      <c r="C211" s="143">
        <v>40418</v>
      </c>
      <c r="D211" s="144" t="s">
        <v>201</v>
      </c>
      <c r="E211" s="11" t="s">
        <v>192</v>
      </c>
      <c r="F211" s="24"/>
      <c r="G211" s="11" t="s">
        <v>188</v>
      </c>
      <c r="H211" s="24"/>
      <c r="J211" s="145">
        <f t="shared" si="458"/>
        <v>40418.9375</v>
      </c>
      <c r="K211" s="146">
        <f t="shared" si="459"/>
        <v>40418.9375</v>
      </c>
      <c r="L211" s="123"/>
      <c r="M211" s="142" t="str">
        <f t="shared" si="456"/>
        <v/>
      </c>
      <c r="O211" s="142" t="str">
        <f t="shared" si="457"/>
        <v/>
      </c>
      <c r="P211" s="21"/>
    </row>
    <row r="212" spans="1:16">
      <c r="A212" s="15">
        <f>COUNTIF(E$44:G212,E212)</f>
        <v>22</v>
      </c>
      <c r="B212" s="15">
        <f>COUNTIF(E$44:G212,G212)</f>
        <v>19</v>
      </c>
      <c r="C212" s="143">
        <v>40418</v>
      </c>
      <c r="D212" s="144" t="s">
        <v>201</v>
      </c>
      <c r="E212" s="11" t="s">
        <v>178</v>
      </c>
      <c r="F212" s="24"/>
      <c r="G212" s="11" t="s">
        <v>187</v>
      </c>
      <c r="H212" s="24"/>
      <c r="J212" s="145">
        <f t="shared" si="458"/>
        <v>40418.9375</v>
      </c>
      <c r="K212" s="146">
        <f t="shared" si="459"/>
        <v>40418.9375</v>
      </c>
      <c r="L212" s="123"/>
      <c r="M212" s="142" t="str">
        <f t="shared" si="456"/>
        <v/>
      </c>
      <c r="O212" s="142" t="str">
        <f t="shared" si="457"/>
        <v/>
      </c>
      <c r="P212" s="21"/>
    </row>
    <row r="213" spans="1:16">
      <c r="A213" s="15">
        <f>COUNTIF(E$44:G213,E213)</f>
        <v>21</v>
      </c>
      <c r="B213" s="15">
        <f>COUNTIF(E$44:G213,G213)</f>
        <v>22</v>
      </c>
      <c r="C213" s="143">
        <v>40419</v>
      </c>
      <c r="D213" s="144" t="s">
        <v>202</v>
      </c>
      <c r="E213" s="11" t="s">
        <v>180</v>
      </c>
      <c r="F213" s="24"/>
      <c r="G213" s="11" t="s">
        <v>189</v>
      </c>
      <c r="H213" s="24"/>
      <c r="J213" s="145">
        <f t="shared" si="458"/>
        <v>40419.916666666664</v>
      </c>
      <c r="K213" s="146">
        <f t="shared" si="459"/>
        <v>40419.916666666664</v>
      </c>
      <c r="L213" s="123"/>
      <c r="M213" s="142" t="str">
        <f t="shared" si="456"/>
        <v/>
      </c>
      <c r="O213" s="142" t="str">
        <f t="shared" si="457"/>
        <v/>
      </c>
      <c r="P213" s="21"/>
    </row>
    <row r="214" spans="1:16">
      <c r="A214" s="15">
        <f>COUNTIF(E$44:G214,E214)</f>
        <v>22</v>
      </c>
      <c r="B214" s="15">
        <f>COUNTIF(E$44:G214,G214)</f>
        <v>22</v>
      </c>
      <c r="C214" s="143">
        <v>40425</v>
      </c>
      <c r="D214" s="144" t="s">
        <v>213</v>
      </c>
      <c r="E214" s="11" t="s">
        <v>179</v>
      </c>
      <c r="F214" s="24"/>
      <c r="G214" s="11" t="s">
        <v>188</v>
      </c>
      <c r="H214" s="24"/>
      <c r="J214" s="145">
        <f t="shared" si="458"/>
        <v>40425.604166666664</v>
      </c>
      <c r="K214" s="146">
        <f t="shared" si="459"/>
        <v>40425.604166666664</v>
      </c>
      <c r="L214" s="123"/>
      <c r="M214" s="142" t="str">
        <f t="shared" si="456"/>
        <v/>
      </c>
      <c r="O214" s="142" t="str">
        <f t="shared" si="457"/>
        <v/>
      </c>
      <c r="P214" s="21"/>
    </row>
    <row r="215" spans="1:16">
      <c r="A215" s="15">
        <f>COUNTIF(E$44:G215,E215)</f>
        <v>20</v>
      </c>
      <c r="B215" s="15">
        <f>COUNTIF(E$44:G215,G215)</f>
        <v>23</v>
      </c>
      <c r="C215" s="143">
        <v>40425</v>
      </c>
      <c r="D215" s="144" t="s">
        <v>203</v>
      </c>
      <c r="E215" s="11" t="s">
        <v>187</v>
      </c>
      <c r="F215" s="24"/>
      <c r="G215" s="11" t="s">
        <v>192</v>
      </c>
      <c r="H215" s="24"/>
      <c r="J215" s="145">
        <f t="shared" si="458"/>
        <v>40425.625</v>
      </c>
      <c r="K215" s="146">
        <f t="shared" si="459"/>
        <v>40425.625</v>
      </c>
      <c r="L215" s="123"/>
      <c r="M215" s="142" t="str">
        <f t="shared" si="456"/>
        <v/>
      </c>
      <c r="O215" s="142" t="str">
        <f t="shared" si="457"/>
        <v/>
      </c>
      <c r="P215" s="21"/>
    </row>
    <row r="216" spans="1:16">
      <c r="A216" s="15">
        <f>COUNTIF(E$44:G216,E216)</f>
        <v>23</v>
      </c>
      <c r="B216" s="15">
        <f>COUNTIF(E$44:G216,G216)</f>
        <v>23</v>
      </c>
      <c r="C216" s="143">
        <v>40425</v>
      </c>
      <c r="D216" s="144" t="s">
        <v>206</v>
      </c>
      <c r="E216" s="11" t="s">
        <v>189</v>
      </c>
      <c r="F216" s="24"/>
      <c r="G216" s="11" t="s">
        <v>184</v>
      </c>
      <c r="H216" s="24"/>
      <c r="J216" s="145">
        <f t="shared" si="458"/>
        <v>40425.770833333336</v>
      </c>
      <c r="K216" s="146">
        <f t="shared" si="459"/>
        <v>40425.770833333336</v>
      </c>
      <c r="L216" s="123"/>
      <c r="M216" s="142" t="str">
        <f t="shared" si="456"/>
        <v/>
      </c>
      <c r="O216" s="142" t="str">
        <f t="shared" si="457"/>
        <v/>
      </c>
      <c r="P216" s="21"/>
    </row>
    <row r="217" spans="1:16">
      <c r="A217" s="15">
        <f>COUNTIF(E$44:G217,E217)</f>
        <v>22</v>
      </c>
      <c r="B217" s="15">
        <f>COUNTIF(E$44:G217,G217)</f>
        <v>23</v>
      </c>
      <c r="C217" s="143">
        <v>40425</v>
      </c>
      <c r="D217" s="144" t="s">
        <v>206</v>
      </c>
      <c r="E217" s="11" t="s">
        <v>193</v>
      </c>
      <c r="F217" s="24"/>
      <c r="G217" s="11" t="s">
        <v>178</v>
      </c>
      <c r="H217" s="24"/>
      <c r="J217" s="145">
        <f t="shared" si="458"/>
        <v>40425.770833333336</v>
      </c>
      <c r="K217" s="146">
        <f t="shared" si="459"/>
        <v>40425.770833333336</v>
      </c>
      <c r="L217" s="123"/>
      <c r="M217" s="142" t="str">
        <f t="shared" si="456"/>
        <v/>
      </c>
      <c r="O217" s="142" t="str">
        <f t="shared" si="457"/>
        <v/>
      </c>
      <c r="P217" s="21"/>
    </row>
    <row r="218" spans="1:16">
      <c r="A218" s="15">
        <f>COUNTIF(E$44:G218,E218)</f>
        <v>22</v>
      </c>
      <c r="B218" s="15">
        <f>COUNTIF(E$44:G218,G218)</f>
        <v>22</v>
      </c>
      <c r="C218" s="143">
        <v>40425</v>
      </c>
      <c r="D218" s="144" t="s">
        <v>197</v>
      </c>
      <c r="E218" s="11" t="s">
        <v>182</v>
      </c>
      <c r="F218" s="24"/>
      <c r="G218" s="11" t="s">
        <v>185</v>
      </c>
      <c r="H218" s="24"/>
      <c r="J218" s="145">
        <f t="shared" si="458"/>
        <v>40425.8125</v>
      </c>
      <c r="K218" s="146">
        <f t="shared" si="459"/>
        <v>40425.8125</v>
      </c>
      <c r="L218" s="123"/>
      <c r="M218" s="142" t="str">
        <f t="shared" si="456"/>
        <v/>
      </c>
      <c r="O218" s="142" t="str">
        <f t="shared" si="457"/>
        <v/>
      </c>
      <c r="P218" s="21"/>
    </row>
    <row r="219" spans="1:16">
      <c r="A219" s="15">
        <f>COUNTIF(E$44:G219,E219)</f>
        <v>22</v>
      </c>
      <c r="B219" s="15">
        <f>COUNTIF(E$44:G219,G219)</f>
        <v>22</v>
      </c>
      <c r="C219" s="143">
        <v>40425</v>
      </c>
      <c r="D219" s="144" t="s">
        <v>207</v>
      </c>
      <c r="E219" s="11" t="s">
        <v>181</v>
      </c>
      <c r="F219" s="24"/>
      <c r="G219" s="11" t="s">
        <v>180</v>
      </c>
      <c r="H219" s="24"/>
      <c r="J219" s="145">
        <f t="shared" si="458"/>
        <v>40425.833333333336</v>
      </c>
      <c r="K219" s="146">
        <f t="shared" si="459"/>
        <v>40425.833333333336</v>
      </c>
      <c r="L219" s="123"/>
      <c r="M219" s="142" t="str">
        <f t="shared" si="456"/>
        <v/>
      </c>
      <c r="O219" s="142" t="str">
        <f t="shared" si="457"/>
        <v/>
      </c>
      <c r="P219" s="21"/>
    </row>
    <row r="220" spans="1:16">
      <c r="A220" s="15">
        <f>COUNTIF(E$44:G220,E220)</f>
        <v>23</v>
      </c>
      <c r="B220" s="15">
        <f>COUNTIF(E$44:G220,G220)</f>
        <v>23</v>
      </c>
      <c r="C220" s="143">
        <v>40425</v>
      </c>
      <c r="D220" s="144" t="s">
        <v>207</v>
      </c>
      <c r="E220" s="11" t="s">
        <v>191</v>
      </c>
      <c r="F220" s="24"/>
      <c r="G220" s="11" t="s">
        <v>186</v>
      </c>
      <c r="H220" s="24"/>
      <c r="J220" s="145">
        <f t="shared" si="458"/>
        <v>40425.833333333336</v>
      </c>
      <c r="K220" s="146">
        <f t="shared" si="459"/>
        <v>40425.833333333336</v>
      </c>
      <c r="L220" s="123"/>
      <c r="M220" s="142" t="str">
        <f t="shared" si="456"/>
        <v/>
      </c>
      <c r="O220" s="142" t="str">
        <f t="shared" si="457"/>
        <v/>
      </c>
      <c r="P220" s="21"/>
    </row>
    <row r="221" spans="1:16">
      <c r="A221" s="15">
        <f>COUNTIF(E$44:G221,E221)</f>
        <v>23</v>
      </c>
      <c r="B221" s="15">
        <f>COUNTIF(E$44:G221,G221)</f>
        <v>21</v>
      </c>
      <c r="C221" s="143">
        <v>40426</v>
      </c>
      <c r="D221" s="144" t="s">
        <v>197</v>
      </c>
      <c r="E221" s="11" t="s">
        <v>183</v>
      </c>
      <c r="F221" s="24"/>
      <c r="G221" s="11" t="s">
        <v>190</v>
      </c>
      <c r="H221" s="24"/>
      <c r="J221" s="145">
        <f t="shared" si="458"/>
        <v>40426.8125</v>
      </c>
      <c r="K221" s="146">
        <f t="shared" si="459"/>
        <v>40426.8125</v>
      </c>
      <c r="L221" s="123"/>
      <c r="M221" s="142" t="str">
        <f t="shared" si="456"/>
        <v/>
      </c>
      <c r="O221" s="142" t="str">
        <f t="shared" si="457"/>
        <v/>
      </c>
      <c r="P221" s="21"/>
    </row>
    <row r="222" spans="1:16">
      <c r="A222" s="15">
        <f>COUNTIF(E$44:G222,E222)</f>
        <v>21</v>
      </c>
      <c r="B222" s="15">
        <f>COUNTIF(E$44:G222,G222)</f>
        <v>23</v>
      </c>
      <c r="C222" s="143">
        <v>40429</v>
      </c>
      <c r="D222" s="144" t="s">
        <v>197</v>
      </c>
      <c r="E222" s="11" t="s">
        <v>187</v>
      </c>
      <c r="F222" s="24"/>
      <c r="G222" s="11" t="s">
        <v>185</v>
      </c>
      <c r="H222" s="24"/>
      <c r="J222" s="145">
        <f t="shared" si="458"/>
        <v>40429.8125</v>
      </c>
      <c r="K222" s="146">
        <f t="shared" si="459"/>
        <v>40429.8125</v>
      </c>
      <c r="L222" s="123"/>
      <c r="M222" s="142" t="str">
        <f t="shared" si="456"/>
        <v/>
      </c>
      <c r="O222" s="142" t="str">
        <f t="shared" si="457"/>
        <v/>
      </c>
      <c r="P222" s="21"/>
    </row>
    <row r="223" spans="1:16">
      <c r="A223" s="15">
        <f>COUNTIF(E$44:G223,E223)</f>
        <v>24</v>
      </c>
      <c r="B223" s="15">
        <f>COUNTIF(E$44:G223,G223)</f>
        <v>24</v>
      </c>
      <c r="C223" s="143">
        <v>40430</v>
      </c>
      <c r="D223" s="144" t="s">
        <v>202</v>
      </c>
      <c r="E223" s="11" t="s">
        <v>178</v>
      </c>
      <c r="F223" s="24"/>
      <c r="G223" s="11" t="s">
        <v>191</v>
      </c>
      <c r="H223" s="24"/>
      <c r="J223" s="145">
        <f t="shared" si="458"/>
        <v>40430.916666666664</v>
      </c>
      <c r="K223" s="146">
        <f t="shared" si="459"/>
        <v>40430.916666666664</v>
      </c>
      <c r="L223" s="123"/>
      <c r="M223" s="142" t="str">
        <f t="shared" si="456"/>
        <v/>
      </c>
      <c r="O223" s="142" t="str">
        <f t="shared" si="457"/>
        <v/>
      </c>
      <c r="P223" s="21"/>
    </row>
    <row r="224" spans="1:16">
      <c r="A224" s="15">
        <f>COUNTIF(E$44:G224,E224)</f>
        <v>23</v>
      </c>
      <c r="B224" s="15">
        <f>COUNTIF(E$44:G224,G224)</f>
        <v>23</v>
      </c>
      <c r="C224" s="143">
        <v>40431</v>
      </c>
      <c r="D224" s="144" t="s">
        <v>200</v>
      </c>
      <c r="E224" s="11" t="s">
        <v>180</v>
      </c>
      <c r="F224" s="24"/>
      <c r="G224" s="11" t="s">
        <v>193</v>
      </c>
      <c r="H224" s="24"/>
      <c r="J224" s="145">
        <f t="shared" si="458"/>
        <v>40431.895833333336</v>
      </c>
      <c r="K224" s="146">
        <f t="shared" si="459"/>
        <v>40431.895833333336</v>
      </c>
      <c r="L224" s="123"/>
      <c r="M224" s="142" t="str">
        <f t="shared" si="456"/>
        <v/>
      </c>
      <c r="O224" s="142" t="str">
        <f t="shared" si="457"/>
        <v/>
      </c>
      <c r="P224" s="21"/>
    </row>
    <row r="225" spans="1:16">
      <c r="A225" s="15">
        <f>COUNTIF(E$44:G225,E225)</f>
        <v>24</v>
      </c>
      <c r="B225" s="15">
        <f>COUNTIF(E$44:G225,G225)</f>
        <v>23</v>
      </c>
      <c r="C225" s="143">
        <v>40432</v>
      </c>
      <c r="D225" s="144" t="s">
        <v>203</v>
      </c>
      <c r="E225" s="11" t="s">
        <v>186</v>
      </c>
      <c r="F225" s="24"/>
      <c r="G225" s="11" t="s">
        <v>181</v>
      </c>
      <c r="H225" s="24"/>
      <c r="J225" s="145">
        <f t="shared" si="458"/>
        <v>40432.625</v>
      </c>
      <c r="K225" s="146">
        <f t="shared" si="459"/>
        <v>40432.625</v>
      </c>
      <c r="L225" s="123"/>
      <c r="M225" s="142" t="str">
        <f t="shared" si="456"/>
        <v/>
      </c>
      <c r="O225" s="142" t="str">
        <f t="shared" si="457"/>
        <v/>
      </c>
      <c r="P225" s="21"/>
    </row>
    <row r="226" spans="1:16">
      <c r="A226" s="15">
        <f>COUNTIF(E$44:G226,E226)</f>
        <v>24</v>
      </c>
      <c r="B226" s="15">
        <f>COUNTIF(E$44:G226,G226)</f>
        <v>24</v>
      </c>
      <c r="C226" s="143">
        <v>40432</v>
      </c>
      <c r="D226" s="144" t="s">
        <v>203</v>
      </c>
      <c r="E226" s="11" t="s">
        <v>185</v>
      </c>
      <c r="F226" s="24"/>
      <c r="G226" s="11" t="s">
        <v>189</v>
      </c>
      <c r="H226" s="24"/>
      <c r="J226" s="145">
        <f t="shared" si="458"/>
        <v>40432.625</v>
      </c>
      <c r="K226" s="146">
        <f t="shared" si="459"/>
        <v>40432.625</v>
      </c>
      <c r="L226" s="123"/>
      <c r="M226" s="142" t="str">
        <f t="shared" si="456"/>
        <v/>
      </c>
      <c r="O226" s="142" t="str">
        <f t="shared" si="457"/>
        <v/>
      </c>
      <c r="P226" s="21"/>
    </row>
    <row r="227" spans="1:16">
      <c r="A227" s="15">
        <f>COUNTIF(E$44:G227,E227)</f>
        <v>23</v>
      </c>
      <c r="B227" s="15">
        <f>COUNTIF(E$44:G227,G227)</f>
        <v>22</v>
      </c>
      <c r="C227" s="143">
        <v>40432</v>
      </c>
      <c r="D227" s="144" t="s">
        <v>204</v>
      </c>
      <c r="E227" s="11" t="s">
        <v>179</v>
      </c>
      <c r="F227" s="24"/>
      <c r="G227" s="11" t="s">
        <v>187</v>
      </c>
      <c r="H227" s="24"/>
      <c r="J227" s="145">
        <f t="shared" si="458"/>
        <v>40432.708333333336</v>
      </c>
      <c r="K227" s="146">
        <f t="shared" si="459"/>
        <v>40432.708333333336</v>
      </c>
      <c r="L227" s="123"/>
      <c r="M227" s="142" t="str">
        <f t="shared" si="456"/>
        <v/>
      </c>
      <c r="O227" s="142" t="str">
        <f t="shared" si="457"/>
        <v/>
      </c>
      <c r="P227" s="21"/>
    </row>
    <row r="228" spans="1:16">
      <c r="A228" s="15">
        <f>COUNTIF(E$44:G228,E228)</f>
        <v>23</v>
      </c>
      <c r="B228" s="15">
        <f>COUNTIF(E$44:G228,G228)</f>
        <v>24</v>
      </c>
      <c r="C228" s="143">
        <v>40432</v>
      </c>
      <c r="D228" s="144" t="s">
        <v>197</v>
      </c>
      <c r="E228" s="11" t="s">
        <v>188</v>
      </c>
      <c r="F228" s="24"/>
      <c r="G228" s="11" t="s">
        <v>183</v>
      </c>
      <c r="H228" s="24"/>
      <c r="J228" s="145">
        <f t="shared" si="458"/>
        <v>40432.8125</v>
      </c>
      <c r="K228" s="146">
        <f t="shared" si="459"/>
        <v>40432.8125</v>
      </c>
      <c r="L228" s="123"/>
      <c r="M228" s="142" t="str">
        <f t="shared" si="456"/>
        <v/>
      </c>
      <c r="O228" s="142" t="str">
        <f t="shared" si="457"/>
        <v/>
      </c>
      <c r="P228" s="21"/>
    </row>
    <row r="229" spans="1:16">
      <c r="A229" s="15">
        <f>COUNTIF(E$44:G229,E229)</f>
        <v>22</v>
      </c>
      <c r="B229" s="15">
        <f>COUNTIF(E$44:G229,G229)</f>
        <v>23</v>
      </c>
      <c r="C229" s="143">
        <v>40432</v>
      </c>
      <c r="D229" s="144" t="s">
        <v>205</v>
      </c>
      <c r="E229" s="11" t="s">
        <v>190</v>
      </c>
      <c r="F229" s="24"/>
      <c r="G229" s="11" t="s">
        <v>182</v>
      </c>
      <c r="H229" s="24"/>
      <c r="J229" s="145">
        <f t="shared" si="458"/>
        <v>40432.875</v>
      </c>
      <c r="K229" s="146">
        <f t="shared" si="459"/>
        <v>40432.875</v>
      </c>
      <c r="L229" s="123"/>
      <c r="M229" s="142" t="str">
        <f t="shared" si="456"/>
        <v/>
      </c>
      <c r="O229" s="142" t="str">
        <f t="shared" si="457"/>
        <v/>
      </c>
      <c r="P229" s="21"/>
    </row>
    <row r="230" spans="1:16">
      <c r="A230" s="15">
        <f>COUNTIF(E$44:G230,E230)</f>
        <v>24</v>
      </c>
      <c r="B230" s="15">
        <f>COUNTIF(E$44:G230,G230)</f>
        <v>24</v>
      </c>
      <c r="C230" s="143">
        <v>40432</v>
      </c>
      <c r="D230" s="144" t="s">
        <v>200</v>
      </c>
      <c r="E230" s="11" t="s">
        <v>192</v>
      </c>
      <c r="F230" s="24"/>
      <c r="G230" s="11" t="s">
        <v>184</v>
      </c>
      <c r="H230" s="24"/>
      <c r="J230" s="145">
        <f t="shared" si="458"/>
        <v>40432.895833333336</v>
      </c>
      <c r="K230" s="146">
        <f t="shared" si="459"/>
        <v>40432.895833333336</v>
      </c>
      <c r="L230" s="123"/>
      <c r="M230" s="142" t="str">
        <f t="shared" si="456"/>
        <v/>
      </c>
      <c r="O230" s="142" t="str">
        <f t="shared" si="457"/>
        <v/>
      </c>
      <c r="P230" s="21"/>
    </row>
    <row r="231" spans="1:16">
      <c r="A231" s="15">
        <f>COUNTIF(E$44:G231,E231)</f>
        <v>23</v>
      </c>
      <c r="B231" s="15">
        <f>COUNTIF(E$44:G231,G231)</f>
        <v>24</v>
      </c>
      <c r="C231" s="143">
        <v>40436</v>
      </c>
      <c r="D231" s="144" t="s">
        <v>205</v>
      </c>
      <c r="E231" s="11" t="s">
        <v>190</v>
      </c>
      <c r="F231" s="24"/>
      <c r="G231" s="11" t="s">
        <v>179</v>
      </c>
      <c r="H231" s="24"/>
      <c r="J231" s="145">
        <f t="shared" si="458"/>
        <v>40436.875</v>
      </c>
      <c r="K231" s="146">
        <f t="shared" si="459"/>
        <v>40436.875</v>
      </c>
      <c r="L231" s="123"/>
      <c r="M231" s="142" t="str">
        <f t="shared" si="456"/>
        <v/>
      </c>
      <c r="O231" s="142" t="str">
        <f t="shared" si="457"/>
        <v/>
      </c>
      <c r="P231" s="21"/>
    </row>
    <row r="232" spans="1:16">
      <c r="A232" s="15">
        <f>COUNTIF(E$44:G232,E232)</f>
        <v>25</v>
      </c>
      <c r="B232" s="15">
        <f>COUNTIF(E$44:G232,G232)</f>
        <v>23</v>
      </c>
      <c r="C232" s="143">
        <v>40439</v>
      </c>
      <c r="D232" s="144" t="s">
        <v>203</v>
      </c>
      <c r="E232" s="11" t="s">
        <v>191</v>
      </c>
      <c r="F232" s="24"/>
      <c r="G232" s="11" t="s">
        <v>187</v>
      </c>
      <c r="H232" s="24"/>
      <c r="J232" s="145">
        <f t="shared" si="458"/>
        <v>40439.625</v>
      </c>
      <c r="K232" s="146">
        <f t="shared" si="459"/>
        <v>40439.625</v>
      </c>
      <c r="L232" s="123"/>
      <c r="M232" s="142" t="str">
        <f t="shared" si="456"/>
        <v/>
      </c>
      <c r="O232" s="142" t="str">
        <f t="shared" si="457"/>
        <v/>
      </c>
      <c r="P232" s="21"/>
    </row>
    <row r="233" spans="1:16">
      <c r="A233" s="15">
        <f>COUNTIF(E$44:G233,E233)</f>
        <v>25</v>
      </c>
      <c r="B233" s="15">
        <f>COUNTIF(E$44:G233,G233)</f>
        <v>25</v>
      </c>
      <c r="C233" s="143">
        <v>40439</v>
      </c>
      <c r="D233" s="144" t="s">
        <v>206</v>
      </c>
      <c r="E233" s="11" t="s">
        <v>184</v>
      </c>
      <c r="F233" s="24"/>
      <c r="G233" s="11" t="s">
        <v>178</v>
      </c>
      <c r="H233" s="24"/>
      <c r="J233" s="145">
        <f t="shared" si="458"/>
        <v>40439.770833333336</v>
      </c>
      <c r="K233" s="146">
        <f t="shared" si="459"/>
        <v>40439.770833333336</v>
      </c>
      <c r="L233" s="123"/>
      <c r="M233" s="142" t="str">
        <f t="shared" si="456"/>
        <v/>
      </c>
      <c r="O233" s="142" t="str">
        <f t="shared" si="457"/>
        <v/>
      </c>
      <c r="P233" s="21"/>
    </row>
    <row r="234" spans="1:16">
      <c r="A234" s="15">
        <f>COUNTIF(E$44:G234,E234)</f>
        <v>24</v>
      </c>
      <c r="B234" s="15">
        <f>COUNTIF(E$44:G234,G234)</f>
        <v>25</v>
      </c>
      <c r="C234" s="143">
        <v>40439</v>
      </c>
      <c r="D234" s="144" t="s">
        <v>197</v>
      </c>
      <c r="E234" s="11" t="s">
        <v>182</v>
      </c>
      <c r="F234" s="24"/>
      <c r="G234" s="11" t="s">
        <v>186</v>
      </c>
      <c r="H234" s="24"/>
      <c r="J234" s="145">
        <f t="shared" si="458"/>
        <v>40439.8125</v>
      </c>
      <c r="K234" s="146">
        <f t="shared" si="459"/>
        <v>40439.8125</v>
      </c>
      <c r="L234" s="123"/>
      <c r="M234" s="142" t="str">
        <f t="shared" si="456"/>
        <v/>
      </c>
      <c r="O234" s="142" t="str">
        <f t="shared" si="457"/>
        <v/>
      </c>
      <c r="P234" s="21"/>
    </row>
    <row r="235" spans="1:16">
      <c r="A235" s="15">
        <f>COUNTIF(E$44:G235,E235)</f>
        <v>25</v>
      </c>
      <c r="B235" s="15">
        <f>COUNTIF(E$44:G235,G235)</f>
        <v>25</v>
      </c>
      <c r="C235" s="143">
        <v>40439</v>
      </c>
      <c r="D235" s="144" t="s">
        <v>197</v>
      </c>
      <c r="E235" s="11" t="s">
        <v>183</v>
      </c>
      <c r="F235" s="24"/>
      <c r="G235" s="11" t="s">
        <v>185</v>
      </c>
      <c r="H235" s="24"/>
      <c r="J235" s="145">
        <f t="shared" si="458"/>
        <v>40439.8125</v>
      </c>
      <c r="K235" s="146">
        <f t="shared" si="459"/>
        <v>40439.8125</v>
      </c>
      <c r="L235" s="123"/>
      <c r="M235" s="142" t="str">
        <f t="shared" si="456"/>
        <v/>
      </c>
      <c r="O235" s="142" t="str">
        <f t="shared" si="457"/>
        <v/>
      </c>
      <c r="P235" s="21"/>
    </row>
    <row r="236" spans="1:16">
      <c r="A236" s="15">
        <f>COUNTIF(E$44:G236,E236)</f>
        <v>24</v>
      </c>
      <c r="B236" s="15">
        <f>COUNTIF(E$44:G236,G236)</f>
        <v>24</v>
      </c>
      <c r="C236" s="143">
        <v>40439</v>
      </c>
      <c r="D236" s="144" t="s">
        <v>207</v>
      </c>
      <c r="E236" s="11" t="s">
        <v>181</v>
      </c>
      <c r="F236" s="24"/>
      <c r="G236" s="11" t="s">
        <v>193</v>
      </c>
      <c r="H236" s="24"/>
      <c r="J236" s="145">
        <f t="shared" si="458"/>
        <v>40439.833333333336</v>
      </c>
      <c r="K236" s="146">
        <f t="shared" si="459"/>
        <v>40439.833333333336</v>
      </c>
      <c r="L236" s="123"/>
      <c r="M236" s="142" t="str">
        <f t="shared" ref="M236:M299" si="460">IF(ISBLANK(F236),"",F236)</f>
        <v/>
      </c>
      <c r="O236" s="142" t="str">
        <f t="shared" ref="O236:O299" si="461">IF(ISBLANK(H236),"",H236)</f>
        <v/>
      </c>
      <c r="P236" s="21"/>
    </row>
    <row r="237" spans="1:16">
      <c r="A237" s="15">
        <f>COUNTIF(E$44:G237,E237)</f>
        <v>25</v>
      </c>
      <c r="B237" s="15">
        <f>COUNTIF(E$44:G237,G237)</f>
        <v>25</v>
      </c>
      <c r="C237" s="143">
        <v>40439</v>
      </c>
      <c r="D237" s="144" t="s">
        <v>200</v>
      </c>
      <c r="E237" s="11" t="s">
        <v>192</v>
      </c>
      <c r="F237" s="24"/>
      <c r="G237" s="11" t="s">
        <v>189</v>
      </c>
      <c r="H237" s="24"/>
      <c r="J237" s="145">
        <f t="shared" ref="J237:J300" si="462">C237+D237</f>
        <v>40439.895833333336</v>
      </c>
      <c r="K237" s="146">
        <f t="shared" ref="K237:K300" si="463">IF($K$42="mas",J237+$L$42,J237-$L$42)</f>
        <v>40439.895833333336</v>
      </c>
      <c r="L237" s="123"/>
      <c r="M237" s="142" t="str">
        <f t="shared" si="460"/>
        <v/>
      </c>
      <c r="O237" s="142" t="str">
        <f t="shared" si="461"/>
        <v/>
      </c>
      <c r="P237" s="21"/>
    </row>
    <row r="238" spans="1:16">
      <c r="A238" s="15">
        <f>COUNTIF(E$44:G238,E238)</f>
        <v>24</v>
      </c>
      <c r="B238" s="15">
        <f>COUNTIF(E$44:G238,G238)</f>
        <v>24</v>
      </c>
      <c r="C238" s="143">
        <v>40440</v>
      </c>
      <c r="D238" s="144" t="s">
        <v>199</v>
      </c>
      <c r="E238" s="11" t="s">
        <v>180</v>
      </c>
      <c r="F238" s="24"/>
      <c r="G238" s="11" t="s">
        <v>188</v>
      </c>
      <c r="H238" s="24"/>
      <c r="J238" s="145">
        <f t="shared" si="462"/>
        <v>40440.791666666664</v>
      </c>
      <c r="K238" s="146">
        <f t="shared" si="463"/>
        <v>40440.791666666664</v>
      </c>
      <c r="L238" s="123"/>
      <c r="M238" s="142" t="str">
        <f t="shared" si="460"/>
        <v/>
      </c>
      <c r="O238" s="142" t="str">
        <f t="shared" si="461"/>
        <v/>
      </c>
      <c r="P238" s="21"/>
    </row>
    <row r="239" spans="1:16">
      <c r="A239" s="15">
        <f>COUNTIF(E$44:G239,E239)</f>
        <v>25</v>
      </c>
      <c r="B239" s="15">
        <f>COUNTIF(E$44:G239,G239)</f>
        <v>25</v>
      </c>
      <c r="C239" s="143">
        <v>40443</v>
      </c>
      <c r="D239" s="144" t="s">
        <v>197</v>
      </c>
      <c r="E239" s="11" t="s">
        <v>182</v>
      </c>
      <c r="F239" s="24"/>
      <c r="G239" s="11" t="s">
        <v>193</v>
      </c>
      <c r="H239" s="24"/>
      <c r="J239" s="145">
        <f t="shared" si="462"/>
        <v>40443.8125</v>
      </c>
      <c r="K239" s="146">
        <f t="shared" si="463"/>
        <v>40443.8125</v>
      </c>
      <c r="L239" s="123"/>
      <c r="M239" s="142" t="str">
        <f t="shared" si="460"/>
        <v/>
      </c>
      <c r="O239" s="142" t="str">
        <f t="shared" si="461"/>
        <v/>
      </c>
      <c r="P239" s="21"/>
    </row>
    <row r="240" spans="1:16">
      <c r="A240" s="15">
        <f>COUNTIF(E$44:G240,E240)</f>
        <v>26</v>
      </c>
      <c r="B240" s="15">
        <f>COUNTIF(E$44:G240,G240)</f>
        <v>26</v>
      </c>
      <c r="C240" s="143">
        <v>40445</v>
      </c>
      <c r="D240" s="144" t="s">
        <v>202</v>
      </c>
      <c r="E240" s="11" t="s">
        <v>192</v>
      </c>
      <c r="F240" s="24"/>
      <c r="G240" s="11" t="s">
        <v>186</v>
      </c>
      <c r="H240" s="24"/>
      <c r="J240" s="145">
        <f t="shared" si="462"/>
        <v>40445.916666666664</v>
      </c>
      <c r="K240" s="146">
        <f t="shared" si="463"/>
        <v>40445.916666666664</v>
      </c>
      <c r="L240" s="123"/>
      <c r="M240" s="142" t="str">
        <f t="shared" si="460"/>
        <v/>
      </c>
      <c r="O240" s="142" t="str">
        <f t="shared" si="461"/>
        <v/>
      </c>
      <c r="P240" s="21"/>
    </row>
    <row r="241" spans="1:16">
      <c r="A241" s="15">
        <f>COUNTIF(E$44:G241,E241)</f>
        <v>25</v>
      </c>
      <c r="B241" s="15">
        <f>COUNTIF(E$44:G241,G241)</f>
        <v>25</v>
      </c>
      <c r="C241" s="143">
        <v>40446</v>
      </c>
      <c r="D241" s="144" t="s">
        <v>203</v>
      </c>
      <c r="E241" s="11" t="s">
        <v>179</v>
      </c>
      <c r="F241" s="24"/>
      <c r="G241" s="11" t="s">
        <v>180</v>
      </c>
      <c r="H241" s="24"/>
      <c r="J241" s="145">
        <f t="shared" si="462"/>
        <v>40446.625</v>
      </c>
      <c r="K241" s="146">
        <f t="shared" si="463"/>
        <v>40446.625</v>
      </c>
      <c r="L241" s="123"/>
      <c r="M241" s="142" t="str">
        <f t="shared" si="460"/>
        <v/>
      </c>
      <c r="O241" s="142" t="str">
        <f t="shared" si="461"/>
        <v/>
      </c>
      <c r="P241" s="21"/>
    </row>
    <row r="242" spans="1:16">
      <c r="A242" s="15">
        <f>COUNTIF(E$44:G242,E242)</f>
        <v>26</v>
      </c>
      <c r="B242" s="15">
        <f>COUNTIF(E$44:G242,G242)</f>
        <v>24</v>
      </c>
      <c r="C242" s="143">
        <v>40446</v>
      </c>
      <c r="D242" s="144" t="s">
        <v>203</v>
      </c>
      <c r="E242" s="11" t="s">
        <v>185</v>
      </c>
      <c r="F242" s="24"/>
      <c r="G242" s="11" t="s">
        <v>190</v>
      </c>
      <c r="H242" s="24"/>
      <c r="J242" s="145">
        <f t="shared" si="462"/>
        <v>40446.625</v>
      </c>
      <c r="K242" s="146">
        <f t="shared" si="463"/>
        <v>40446.625</v>
      </c>
      <c r="L242" s="123"/>
      <c r="M242" s="142" t="str">
        <f t="shared" si="460"/>
        <v/>
      </c>
      <c r="O242" s="142" t="str">
        <f t="shared" si="461"/>
        <v/>
      </c>
      <c r="P242" s="21"/>
    </row>
    <row r="243" spans="1:16">
      <c r="A243" s="15">
        <f>COUNTIF(E$44:G243,E243)</f>
        <v>26</v>
      </c>
      <c r="B243" s="15">
        <f>COUNTIF(E$44:G243,G243)</f>
        <v>26</v>
      </c>
      <c r="C243" s="143">
        <v>40446</v>
      </c>
      <c r="D243" s="144" t="s">
        <v>206</v>
      </c>
      <c r="E243" s="11" t="s">
        <v>189</v>
      </c>
      <c r="F243" s="24"/>
      <c r="G243" s="11" t="s">
        <v>183</v>
      </c>
      <c r="H243" s="24"/>
      <c r="J243" s="145">
        <f t="shared" si="462"/>
        <v>40446.770833333336</v>
      </c>
      <c r="K243" s="146">
        <f t="shared" si="463"/>
        <v>40446.770833333336</v>
      </c>
      <c r="L243" s="123"/>
      <c r="M243" s="142" t="str">
        <f t="shared" si="460"/>
        <v/>
      </c>
      <c r="O243" s="142" t="str">
        <f t="shared" si="461"/>
        <v/>
      </c>
      <c r="P243" s="21"/>
    </row>
    <row r="244" spans="1:16">
      <c r="A244" s="15">
        <f>COUNTIF(E$44:G244,E244)</f>
        <v>26</v>
      </c>
      <c r="B244" s="15">
        <f>COUNTIF(E$44:G244,G244)</f>
        <v>26</v>
      </c>
      <c r="C244" s="143">
        <v>40446</v>
      </c>
      <c r="D244" s="144" t="s">
        <v>206</v>
      </c>
      <c r="E244" s="11" t="s">
        <v>193</v>
      </c>
      <c r="F244" s="24"/>
      <c r="G244" s="11" t="s">
        <v>184</v>
      </c>
      <c r="H244" s="24"/>
      <c r="J244" s="145">
        <f t="shared" si="462"/>
        <v>40446.770833333336</v>
      </c>
      <c r="K244" s="146">
        <f t="shared" si="463"/>
        <v>40446.770833333336</v>
      </c>
      <c r="L244" s="123"/>
      <c r="M244" s="142" t="str">
        <f t="shared" si="460"/>
        <v/>
      </c>
      <c r="O244" s="142" t="str">
        <f t="shared" si="461"/>
        <v/>
      </c>
      <c r="P244" s="21"/>
    </row>
    <row r="245" spans="1:16">
      <c r="A245" s="15">
        <f>COUNTIF(E$44:G245,E245)</f>
        <v>24</v>
      </c>
      <c r="B245" s="15">
        <f>COUNTIF(E$44:G245,G245)</f>
        <v>26</v>
      </c>
      <c r="C245" s="143">
        <v>40446</v>
      </c>
      <c r="D245" s="144" t="s">
        <v>199</v>
      </c>
      <c r="E245" s="11" t="s">
        <v>187</v>
      </c>
      <c r="F245" s="24"/>
      <c r="G245" s="11" t="s">
        <v>178</v>
      </c>
      <c r="H245" s="24"/>
      <c r="J245" s="145">
        <f t="shared" si="462"/>
        <v>40446.791666666664</v>
      </c>
      <c r="K245" s="146">
        <f t="shared" si="463"/>
        <v>40446.791666666664</v>
      </c>
      <c r="L245" s="123"/>
      <c r="M245" s="142" t="str">
        <f t="shared" si="460"/>
        <v/>
      </c>
      <c r="O245" s="142" t="str">
        <f t="shared" si="461"/>
        <v/>
      </c>
      <c r="P245" s="21"/>
    </row>
    <row r="246" spans="1:16">
      <c r="A246" s="15">
        <f>COUNTIF(E$44:G246,E246)</f>
        <v>25</v>
      </c>
      <c r="B246" s="15">
        <f>COUNTIF(E$44:G246,G246)</f>
        <v>26</v>
      </c>
      <c r="C246" s="143">
        <v>40446</v>
      </c>
      <c r="D246" s="144" t="s">
        <v>199</v>
      </c>
      <c r="E246" s="11" t="s">
        <v>188</v>
      </c>
      <c r="F246" s="24"/>
      <c r="G246" s="11" t="s">
        <v>182</v>
      </c>
      <c r="H246" s="24"/>
      <c r="J246" s="145">
        <f t="shared" si="462"/>
        <v>40446.791666666664</v>
      </c>
      <c r="K246" s="146">
        <f t="shared" si="463"/>
        <v>40446.791666666664</v>
      </c>
      <c r="L246" s="123"/>
      <c r="M246" s="142" t="str">
        <f t="shared" si="460"/>
        <v/>
      </c>
      <c r="O246" s="142" t="str">
        <f t="shared" si="461"/>
        <v/>
      </c>
      <c r="P246" s="21"/>
    </row>
    <row r="247" spans="1:16">
      <c r="A247" s="15">
        <f>COUNTIF(E$44:G247,E247)</f>
        <v>26</v>
      </c>
      <c r="B247" s="15">
        <f>COUNTIF(E$44:G247,G247)</f>
        <v>25</v>
      </c>
      <c r="C247" s="143">
        <v>40446</v>
      </c>
      <c r="D247" s="144" t="s">
        <v>205</v>
      </c>
      <c r="E247" s="11" t="s">
        <v>191</v>
      </c>
      <c r="F247" s="24"/>
      <c r="G247" s="11" t="s">
        <v>181</v>
      </c>
      <c r="H247" s="24"/>
      <c r="J247" s="145">
        <f t="shared" si="462"/>
        <v>40446.875</v>
      </c>
      <c r="K247" s="146">
        <f t="shared" si="463"/>
        <v>40446.875</v>
      </c>
      <c r="L247" s="123"/>
      <c r="M247" s="142" t="str">
        <f t="shared" si="460"/>
        <v/>
      </c>
      <c r="O247" s="142" t="str">
        <f t="shared" si="461"/>
        <v/>
      </c>
      <c r="P247" s="21"/>
    </row>
    <row r="248" spans="1:16">
      <c r="A248" s="15">
        <f>COUNTIF(E$44:G248,E248)</f>
        <v>26</v>
      </c>
      <c r="B248" s="15">
        <f>COUNTIF(E$44:G248,G248)</f>
        <v>26</v>
      </c>
      <c r="C248" s="143">
        <v>40450</v>
      </c>
      <c r="D248" s="144" t="s">
        <v>207</v>
      </c>
      <c r="E248" s="11" t="s">
        <v>181</v>
      </c>
      <c r="F248" s="24"/>
      <c r="G248" s="11" t="s">
        <v>179</v>
      </c>
      <c r="H248" s="24"/>
      <c r="J248" s="145">
        <f t="shared" si="462"/>
        <v>40450.833333333336</v>
      </c>
      <c r="K248" s="146">
        <f t="shared" si="463"/>
        <v>40450.833333333336</v>
      </c>
      <c r="L248" s="123"/>
      <c r="M248" s="142" t="str">
        <f t="shared" si="460"/>
        <v/>
      </c>
      <c r="O248" s="142" t="str">
        <f t="shared" si="461"/>
        <v/>
      </c>
      <c r="P248" s="21"/>
    </row>
    <row r="249" spans="1:16">
      <c r="A249" s="15">
        <f>COUNTIF(E$44:G249,E249)</f>
        <v>25</v>
      </c>
      <c r="B249" s="15">
        <f>COUNTIF(E$44:G249,G249)</f>
        <v>25</v>
      </c>
      <c r="C249" s="143">
        <v>40450</v>
      </c>
      <c r="D249" s="144" t="s">
        <v>202</v>
      </c>
      <c r="E249" s="11" t="s">
        <v>190</v>
      </c>
      <c r="F249" s="24"/>
      <c r="G249" s="11" t="s">
        <v>187</v>
      </c>
      <c r="H249" s="24"/>
      <c r="J249" s="145">
        <f t="shared" si="462"/>
        <v>40450.916666666664</v>
      </c>
      <c r="K249" s="146">
        <f t="shared" si="463"/>
        <v>40450.916666666664</v>
      </c>
      <c r="L249" s="123"/>
      <c r="M249" s="142" t="str">
        <f t="shared" si="460"/>
        <v/>
      </c>
      <c r="O249" s="142" t="str">
        <f t="shared" si="461"/>
        <v/>
      </c>
      <c r="P249" s="21"/>
    </row>
    <row r="250" spans="1:16">
      <c r="A250" s="15">
        <f>COUNTIF(E$44:G250,E250)</f>
        <v>27</v>
      </c>
      <c r="B250" s="15">
        <f>COUNTIF(E$44:G250,G250)</f>
        <v>27</v>
      </c>
      <c r="C250" s="143">
        <v>40453</v>
      </c>
      <c r="D250" s="144" t="s">
        <v>213</v>
      </c>
      <c r="E250" s="11" t="s">
        <v>178</v>
      </c>
      <c r="F250" s="24"/>
      <c r="G250" s="11" t="s">
        <v>185</v>
      </c>
      <c r="H250" s="24"/>
      <c r="J250" s="145">
        <f t="shared" si="462"/>
        <v>40453.604166666664</v>
      </c>
      <c r="K250" s="146">
        <f t="shared" si="463"/>
        <v>40453.604166666664</v>
      </c>
      <c r="L250" s="123"/>
      <c r="M250" s="142" t="str">
        <f t="shared" si="460"/>
        <v/>
      </c>
      <c r="O250" s="142" t="str">
        <f t="shared" si="461"/>
        <v/>
      </c>
      <c r="P250" s="21"/>
    </row>
    <row r="251" spans="1:16">
      <c r="A251" s="15">
        <f>COUNTIF(E$44:G251,E251)</f>
        <v>27</v>
      </c>
      <c r="B251" s="15">
        <f>COUNTIF(E$44:G251,G251)</f>
        <v>27</v>
      </c>
      <c r="C251" s="143">
        <v>40453</v>
      </c>
      <c r="D251" s="144" t="s">
        <v>203</v>
      </c>
      <c r="E251" s="11" t="s">
        <v>179</v>
      </c>
      <c r="F251" s="24"/>
      <c r="G251" s="11" t="s">
        <v>183</v>
      </c>
      <c r="H251" s="24"/>
      <c r="J251" s="145">
        <f t="shared" si="462"/>
        <v>40453.625</v>
      </c>
      <c r="K251" s="146">
        <f t="shared" si="463"/>
        <v>40453.625</v>
      </c>
      <c r="L251" s="123"/>
      <c r="M251" s="142" t="str">
        <f t="shared" si="460"/>
        <v/>
      </c>
      <c r="O251" s="142" t="str">
        <f t="shared" si="461"/>
        <v/>
      </c>
      <c r="P251" s="21"/>
    </row>
    <row r="252" spans="1:16">
      <c r="A252" s="15">
        <f>COUNTIF(E$44:G252,E252)</f>
        <v>27</v>
      </c>
      <c r="B252" s="15">
        <f>COUNTIF(E$44:G252,G252)</f>
        <v>27</v>
      </c>
      <c r="C252" s="143">
        <v>40453</v>
      </c>
      <c r="D252" s="144" t="s">
        <v>196</v>
      </c>
      <c r="E252" s="11" t="s">
        <v>181</v>
      </c>
      <c r="F252" s="24"/>
      <c r="G252" s="11" t="s">
        <v>189</v>
      </c>
      <c r="H252" s="24"/>
      <c r="J252" s="145">
        <f t="shared" si="462"/>
        <v>40453.666666666664</v>
      </c>
      <c r="K252" s="146">
        <f t="shared" si="463"/>
        <v>40453.666666666664</v>
      </c>
      <c r="L252" s="123"/>
      <c r="M252" s="142" t="str">
        <f t="shared" si="460"/>
        <v/>
      </c>
      <c r="O252" s="142" t="str">
        <f t="shared" si="461"/>
        <v/>
      </c>
      <c r="P252" s="21"/>
    </row>
    <row r="253" spans="1:16">
      <c r="A253" s="15">
        <f>COUNTIF(E$44:G253,E253)</f>
        <v>27</v>
      </c>
      <c r="B253" s="15">
        <f>COUNTIF(E$44:G253,G253)</f>
        <v>26</v>
      </c>
      <c r="C253" s="143">
        <v>40453</v>
      </c>
      <c r="D253" s="144" t="s">
        <v>206</v>
      </c>
      <c r="E253" s="11" t="s">
        <v>184</v>
      </c>
      <c r="F253" s="24"/>
      <c r="G253" s="11" t="s">
        <v>190</v>
      </c>
      <c r="H253" s="24"/>
      <c r="J253" s="145">
        <f t="shared" si="462"/>
        <v>40453.770833333336</v>
      </c>
      <c r="K253" s="146">
        <f t="shared" si="463"/>
        <v>40453.770833333336</v>
      </c>
      <c r="L253" s="123"/>
      <c r="M253" s="142" t="str">
        <f t="shared" si="460"/>
        <v/>
      </c>
      <c r="O253" s="142" t="str">
        <f t="shared" si="461"/>
        <v/>
      </c>
      <c r="P253" s="21"/>
    </row>
    <row r="254" spans="1:16">
      <c r="A254" s="15">
        <f>COUNTIF(E$44:G254,E254)</f>
        <v>27</v>
      </c>
      <c r="B254" s="15">
        <f>COUNTIF(E$44:G254,G254)</f>
        <v>27</v>
      </c>
      <c r="C254" s="143">
        <v>40453</v>
      </c>
      <c r="D254" s="144" t="s">
        <v>206</v>
      </c>
      <c r="E254" s="11" t="s">
        <v>193</v>
      </c>
      <c r="F254" s="24"/>
      <c r="G254" s="11" t="s">
        <v>191</v>
      </c>
      <c r="H254" s="24"/>
      <c r="J254" s="145">
        <f t="shared" si="462"/>
        <v>40453.770833333336</v>
      </c>
      <c r="K254" s="146">
        <f t="shared" si="463"/>
        <v>40453.770833333336</v>
      </c>
      <c r="L254" s="123"/>
      <c r="M254" s="142" t="str">
        <f t="shared" si="460"/>
        <v/>
      </c>
      <c r="O254" s="142" t="str">
        <f t="shared" si="461"/>
        <v/>
      </c>
      <c r="P254" s="21"/>
    </row>
    <row r="255" spans="1:16">
      <c r="A255" s="15">
        <f>COUNTIF(E$44:G255,E255)</f>
        <v>27</v>
      </c>
      <c r="B255" s="15">
        <f>COUNTIF(E$44:G255,G255)</f>
        <v>26</v>
      </c>
      <c r="C255" s="143">
        <v>40453</v>
      </c>
      <c r="D255" s="144" t="s">
        <v>206</v>
      </c>
      <c r="E255" s="11" t="s">
        <v>186</v>
      </c>
      <c r="F255" s="24"/>
      <c r="G255" s="11" t="s">
        <v>188</v>
      </c>
      <c r="H255" s="24"/>
      <c r="J255" s="145">
        <f t="shared" si="462"/>
        <v>40453.770833333336</v>
      </c>
      <c r="K255" s="146">
        <f t="shared" si="463"/>
        <v>40453.770833333336</v>
      </c>
      <c r="L255" s="123"/>
      <c r="M255" s="142" t="str">
        <f t="shared" si="460"/>
        <v/>
      </c>
      <c r="O255" s="142" t="str">
        <f t="shared" si="461"/>
        <v/>
      </c>
      <c r="P255" s="21"/>
    </row>
    <row r="256" spans="1:16">
      <c r="A256" s="15">
        <f>COUNTIF(E$44:G256,E256)</f>
        <v>27</v>
      </c>
      <c r="B256" s="15">
        <f>COUNTIF(E$44:G256,G256)</f>
        <v>26</v>
      </c>
      <c r="C256" s="143">
        <v>40453</v>
      </c>
      <c r="D256" s="144" t="s">
        <v>197</v>
      </c>
      <c r="E256" s="11" t="s">
        <v>182</v>
      </c>
      <c r="F256" s="24"/>
      <c r="G256" s="11" t="s">
        <v>187</v>
      </c>
      <c r="H256" s="24"/>
      <c r="J256" s="145">
        <f t="shared" si="462"/>
        <v>40453.8125</v>
      </c>
      <c r="K256" s="146">
        <f t="shared" si="463"/>
        <v>40453.8125</v>
      </c>
      <c r="L256" s="123"/>
      <c r="M256" s="142" t="str">
        <f t="shared" si="460"/>
        <v/>
      </c>
      <c r="O256" s="142" t="str">
        <f t="shared" si="461"/>
        <v/>
      </c>
      <c r="P256" s="21"/>
    </row>
    <row r="257" spans="1:16">
      <c r="A257" s="15">
        <f>COUNTIF(E$44:G257,E257)</f>
        <v>26</v>
      </c>
      <c r="B257" s="15">
        <f>COUNTIF(E$44:G257,G257)</f>
        <v>27</v>
      </c>
      <c r="C257" s="143">
        <v>40454</v>
      </c>
      <c r="D257" s="144" t="s">
        <v>199</v>
      </c>
      <c r="E257" s="11" t="s">
        <v>180</v>
      </c>
      <c r="F257" s="24"/>
      <c r="G257" s="11" t="s">
        <v>192</v>
      </c>
      <c r="H257" s="24"/>
      <c r="J257" s="145">
        <f t="shared" si="462"/>
        <v>40454.791666666664</v>
      </c>
      <c r="K257" s="146">
        <f t="shared" si="463"/>
        <v>40454.791666666664</v>
      </c>
      <c r="L257" s="123"/>
      <c r="M257" s="142" t="str">
        <f t="shared" si="460"/>
        <v/>
      </c>
      <c r="O257" s="142" t="str">
        <f t="shared" si="461"/>
        <v/>
      </c>
      <c r="P257" s="21"/>
    </row>
    <row r="258" spans="1:16">
      <c r="A258" s="15">
        <f>COUNTIF(E$44:G258,E258)</f>
        <v>28</v>
      </c>
      <c r="B258" s="15">
        <f>COUNTIF(E$44:G258,G258)</f>
        <v>28</v>
      </c>
      <c r="C258" s="143">
        <v>40458</v>
      </c>
      <c r="D258" s="144" t="s">
        <v>199</v>
      </c>
      <c r="E258" s="11" t="s">
        <v>179</v>
      </c>
      <c r="F258" s="24"/>
      <c r="G258" s="11" t="s">
        <v>192</v>
      </c>
      <c r="H258" s="24"/>
      <c r="J258" s="145">
        <f t="shared" si="462"/>
        <v>40458.791666666664</v>
      </c>
      <c r="K258" s="146">
        <f t="shared" si="463"/>
        <v>40458.791666666664</v>
      </c>
      <c r="L258" s="123"/>
      <c r="M258" s="142" t="str">
        <f t="shared" si="460"/>
        <v/>
      </c>
      <c r="O258" s="142" t="str">
        <f t="shared" si="461"/>
        <v/>
      </c>
      <c r="P258" s="21"/>
    </row>
    <row r="259" spans="1:16">
      <c r="A259" s="15">
        <f>COUNTIF(E$44:G259,E259)</f>
        <v>27</v>
      </c>
      <c r="B259" s="15">
        <f>COUNTIF(E$44:G259,G259)</f>
        <v>28</v>
      </c>
      <c r="C259" s="143">
        <v>40459</v>
      </c>
      <c r="D259" s="144" t="s">
        <v>197</v>
      </c>
      <c r="E259" s="11" t="s">
        <v>187</v>
      </c>
      <c r="F259" s="24"/>
      <c r="G259" s="11" t="s">
        <v>184</v>
      </c>
      <c r="H259" s="24"/>
      <c r="J259" s="145">
        <f t="shared" si="462"/>
        <v>40459.8125</v>
      </c>
      <c r="K259" s="146">
        <f t="shared" si="463"/>
        <v>40459.8125</v>
      </c>
      <c r="L259" s="123"/>
      <c r="M259" s="142" t="str">
        <f t="shared" si="460"/>
        <v/>
      </c>
      <c r="O259" s="142" t="str">
        <f t="shared" si="461"/>
        <v/>
      </c>
      <c r="P259" s="21"/>
    </row>
    <row r="260" spans="1:16">
      <c r="A260" s="15">
        <f>COUNTIF(E$44:G260,E260)</f>
        <v>28</v>
      </c>
      <c r="B260" s="15">
        <f>COUNTIF(E$44:G260,G260)</f>
        <v>28</v>
      </c>
      <c r="C260" s="143">
        <v>40460</v>
      </c>
      <c r="D260" s="144" t="s">
        <v>203</v>
      </c>
      <c r="E260" s="11" t="s">
        <v>182</v>
      </c>
      <c r="F260" s="24"/>
      <c r="G260" s="11" t="s">
        <v>181</v>
      </c>
      <c r="H260" s="24"/>
      <c r="J260" s="145">
        <f t="shared" si="462"/>
        <v>40460.625</v>
      </c>
      <c r="K260" s="146">
        <f t="shared" si="463"/>
        <v>40460.625</v>
      </c>
      <c r="L260" s="123"/>
      <c r="M260" s="142" t="str">
        <f t="shared" si="460"/>
        <v/>
      </c>
      <c r="O260" s="142" t="str">
        <f t="shared" si="461"/>
        <v/>
      </c>
      <c r="P260" s="21"/>
    </row>
    <row r="261" spans="1:16">
      <c r="A261" s="15">
        <f>COUNTIF(E$44:G261,E261)</f>
        <v>28</v>
      </c>
      <c r="B261" s="15">
        <f>COUNTIF(E$44:G261,G261)</f>
        <v>28</v>
      </c>
      <c r="C261" s="143">
        <v>40460</v>
      </c>
      <c r="D261" s="144" t="s">
        <v>214</v>
      </c>
      <c r="E261" s="11" t="s">
        <v>186</v>
      </c>
      <c r="F261" s="24"/>
      <c r="G261" s="11" t="s">
        <v>191</v>
      </c>
      <c r="H261" s="24"/>
      <c r="J261" s="145">
        <f t="shared" si="462"/>
        <v>40460.645833333336</v>
      </c>
      <c r="K261" s="146">
        <f t="shared" si="463"/>
        <v>40460.645833333336</v>
      </c>
      <c r="L261" s="123"/>
      <c r="M261" s="142" t="str">
        <f t="shared" si="460"/>
        <v/>
      </c>
      <c r="O261" s="142" t="str">
        <f t="shared" si="461"/>
        <v/>
      </c>
      <c r="P261" s="21"/>
    </row>
    <row r="262" spans="1:16">
      <c r="A262" s="15">
        <f>COUNTIF(E$44:G262,E262)</f>
        <v>28</v>
      </c>
      <c r="B262" s="15">
        <f>COUNTIF(E$44:G262,G262)</f>
        <v>27</v>
      </c>
      <c r="C262" s="143">
        <v>40460</v>
      </c>
      <c r="D262" s="144" t="s">
        <v>206</v>
      </c>
      <c r="E262" s="11" t="s">
        <v>189</v>
      </c>
      <c r="F262" s="24"/>
      <c r="G262" s="11" t="s">
        <v>190</v>
      </c>
      <c r="H262" s="24"/>
      <c r="J262" s="145">
        <f t="shared" si="462"/>
        <v>40460.770833333336</v>
      </c>
      <c r="K262" s="146">
        <f t="shared" si="463"/>
        <v>40460.770833333336</v>
      </c>
      <c r="L262" s="123"/>
      <c r="M262" s="142" t="str">
        <f t="shared" si="460"/>
        <v/>
      </c>
      <c r="O262" s="142" t="str">
        <f t="shared" si="461"/>
        <v/>
      </c>
      <c r="P262" s="21"/>
    </row>
    <row r="263" spans="1:16">
      <c r="A263" s="15">
        <f>COUNTIF(E$44:G263,E263)</f>
        <v>27</v>
      </c>
      <c r="B263" s="15">
        <f>COUNTIF(E$44:G263,G263)</f>
        <v>28</v>
      </c>
      <c r="C263" s="143">
        <v>40460</v>
      </c>
      <c r="D263" s="144" t="s">
        <v>197</v>
      </c>
      <c r="E263" s="11" t="s">
        <v>188</v>
      </c>
      <c r="F263" s="24"/>
      <c r="G263" s="11" t="s">
        <v>178</v>
      </c>
      <c r="H263" s="24"/>
      <c r="J263" s="145">
        <f t="shared" si="462"/>
        <v>40460.8125</v>
      </c>
      <c r="K263" s="146">
        <f t="shared" si="463"/>
        <v>40460.8125</v>
      </c>
      <c r="L263" s="123"/>
      <c r="M263" s="142" t="str">
        <f t="shared" si="460"/>
        <v/>
      </c>
      <c r="O263" s="142" t="str">
        <f t="shared" si="461"/>
        <v/>
      </c>
      <c r="P263" s="21"/>
    </row>
    <row r="264" spans="1:16">
      <c r="A264" s="15">
        <f>COUNTIF(E$44:G264,E264)</f>
        <v>27</v>
      </c>
      <c r="B264" s="15">
        <f>COUNTIF(E$44:G264,G264)</f>
        <v>28</v>
      </c>
      <c r="C264" s="143">
        <v>40460</v>
      </c>
      <c r="D264" s="144" t="s">
        <v>200</v>
      </c>
      <c r="E264" s="11" t="s">
        <v>180</v>
      </c>
      <c r="F264" s="24"/>
      <c r="G264" s="11" t="s">
        <v>185</v>
      </c>
      <c r="H264" s="24"/>
      <c r="J264" s="145">
        <f t="shared" si="462"/>
        <v>40460.895833333336</v>
      </c>
      <c r="K264" s="146">
        <f t="shared" si="463"/>
        <v>40460.895833333336</v>
      </c>
      <c r="L264" s="123"/>
      <c r="M264" s="142" t="str">
        <f t="shared" si="460"/>
        <v/>
      </c>
      <c r="O264" s="142" t="str">
        <f t="shared" si="461"/>
        <v/>
      </c>
      <c r="P264" s="21"/>
    </row>
    <row r="265" spans="1:16">
      <c r="A265" s="15">
        <f>COUNTIF(E$44:G265,E265)</f>
        <v>28</v>
      </c>
      <c r="B265" s="15">
        <f>COUNTIF(E$44:G265,G265)</f>
        <v>28</v>
      </c>
      <c r="C265" s="143">
        <v>40461</v>
      </c>
      <c r="D265" s="144" t="s">
        <v>197</v>
      </c>
      <c r="E265" s="11" t="s">
        <v>183</v>
      </c>
      <c r="F265" s="24"/>
      <c r="G265" s="11" t="s">
        <v>193</v>
      </c>
      <c r="H265" s="24"/>
      <c r="J265" s="145">
        <f t="shared" si="462"/>
        <v>40461.8125</v>
      </c>
      <c r="K265" s="146">
        <f t="shared" si="463"/>
        <v>40461.8125</v>
      </c>
      <c r="L265" s="123"/>
      <c r="M265" s="142" t="str">
        <f t="shared" si="460"/>
        <v/>
      </c>
      <c r="O265" s="142" t="str">
        <f t="shared" si="461"/>
        <v/>
      </c>
      <c r="P265" s="21"/>
    </row>
    <row r="266" spans="1:16">
      <c r="A266" s="15">
        <f>COUNTIF(E$44:G266,E266)</f>
        <v>28</v>
      </c>
      <c r="B266" s="15">
        <f>COUNTIF(E$44:G266,G266)</f>
        <v>28</v>
      </c>
      <c r="C266" s="143">
        <v>40463</v>
      </c>
      <c r="D266" s="144" t="s">
        <v>197</v>
      </c>
      <c r="E266" s="11" t="s">
        <v>187</v>
      </c>
      <c r="F266" s="24"/>
      <c r="G266" s="11" t="s">
        <v>188</v>
      </c>
      <c r="H266" s="24"/>
      <c r="J266" s="145">
        <f t="shared" si="462"/>
        <v>40463.8125</v>
      </c>
      <c r="K266" s="146">
        <f t="shared" si="463"/>
        <v>40463.8125</v>
      </c>
      <c r="L266" s="123"/>
      <c r="M266" s="142" t="str">
        <f t="shared" si="460"/>
        <v/>
      </c>
      <c r="O266" s="142" t="str">
        <f t="shared" si="461"/>
        <v/>
      </c>
      <c r="P266" s="21"/>
    </row>
    <row r="267" spans="1:16">
      <c r="A267" s="15">
        <f>COUNTIF(E$44:G267,E267)</f>
        <v>29</v>
      </c>
      <c r="B267" s="15">
        <f>COUNTIF(E$44:G267,G267)</f>
        <v>28</v>
      </c>
      <c r="C267" s="143">
        <v>40466</v>
      </c>
      <c r="D267" s="144" t="s">
        <v>202</v>
      </c>
      <c r="E267" s="11" t="s">
        <v>178</v>
      </c>
      <c r="F267" s="24"/>
      <c r="G267" s="11" t="s">
        <v>180</v>
      </c>
      <c r="H267" s="24"/>
      <c r="J267" s="145">
        <f t="shared" si="462"/>
        <v>40466.916666666664</v>
      </c>
      <c r="K267" s="146">
        <f t="shared" si="463"/>
        <v>40466.916666666664</v>
      </c>
      <c r="L267" s="123"/>
      <c r="M267" s="142" t="str">
        <f t="shared" si="460"/>
        <v/>
      </c>
      <c r="O267" s="142" t="str">
        <f t="shared" si="461"/>
        <v/>
      </c>
      <c r="P267" s="21"/>
    </row>
    <row r="268" spans="1:16">
      <c r="A268" s="15">
        <f>COUNTIF(E$44:G268,E268)</f>
        <v>29</v>
      </c>
      <c r="B268" s="15">
        <f>COUNTIF(E$44:G268,G268)</f>
        <v>29</v>
      </c>
      <c r="C268" s="143">
        <v>40467</v>
      </c>
      <c r="D268" s="144" t="s">
        <v>203</v>
      </c>
      <c r="E268" s="11" t="s">
        <v>187</v>
      </c>
      <c r="F268" s="24"/>
      <c r="G268" s="11" t="s">
        <v>189</v>
      </c>
      <c r="H268" s="24"/>
      <c r="J268" s="145">
        <f t="shared" si="462"/>
        <v>40467.625</v>
      </c>
      <c r="K268" s="146">
        <f t="shared" si="463"/>
        <v>40467.625</v>
      </c>
      <c r="L268" s="123"/>
      <c r="M268" s="142" t="str">
        <f t="shared" si="460"/>
        <v/>
      </c>
      <c r="O268" s="142" t="str">
        <f t="shared" si="461"/>
        <v/>
      </c>
      <c r="P268" s="21"/>
    </row>
    <row r="269" spans="1:16">
      <c r="A269" s="15">
        <f>COUNTIF(E$44:G269,E269)</f>
        <v>29</v>
      </c>
      <c r="B269" s="15">
        <f>COUNTIF(E$44:G269,G269)</f>
        <v>29</v>
      </c>
      <c r="C269" s="143">
        <v>40467</v>
      </c>
      <c r="D269" s="144" t="s">
        <v>203</v>
      </c>
      <c r="E269" s="11" t="s">
        <v>185</v>
      </c>
      <c r="F269" s="24"/>
      <c r="G269" s="11" t="s">
        <v>184</v>
      </c>
      <c r="H269" s="24"/>
      <c r="J269" s="145">
        <f t="shared" si="462"/>
        <v>40467.625</v>
      </c>
      <c r="K269" s="146">
        <f t="shared" si="463"/>
        <v>40467.625</v>
      </c>
      <c r="L269" s="123"/>
      <c r="M269" s="142" t="str">
        <f t="shared" si="460"/>
        <v/>
      </c>
      <c r="O269" s="142" t="str">
        <f t="shared" si="461"/>
        <v/>
      </c>
      <c r="P269" s="21"/>
    </row>
    <row r="270" spans="1:16">
      <c r="A270" s="15">
        <f>COUNTIF(E$44:G270,E270)</f>
        <v>29</v>
      </c>
      <c r="B270" s="15">
        <f>COUNTIF(E$44:G270,G270)</f>
        <v>29</v>
      </c>
      <c r="C270" s="143">
        <v>40467</v>
      </c>
      <c r="D270" s="144" t="s">
        <v>204</v>
      </c>
      <c r="E270" s="11" t="s">
        <v>179</v>
      </c>
      <c r="F270" s="24"/>
      <c r="G270" s="11" t="s">
        <v>186</v>
      </c>
      <c r="H270" s="24"/>
      <c r="J270" s="145">
        <f t="shared" si="462"/>
        <v>40467.708333333336</v>
      </c>
      <c r="K270" s="146">
        <f t="shared" si="463"/>
        <v>40467.708333333336</v>
      </c>
      <c r="L270" s="123"/>
      <c r="M270" s="142" t="str">
        <f t="shared" si="460"/>
        <v/>
      </c>
      <c r="O270" s="142" t="str">
        <f t="shared" si="461"/>
        <v/>
      </c>
      <c r="P270" s="21"/>
    </row>
    <row r="271" spans="1:16">
      <c r="A271" s="15">
        <f>COUNTIF(E$44:G271,E271)</f>
        <v>29</v>
      </c>
      <c r="B271" s="15">
        <f>COUNTIF(E$44:G271,G271)</f>
        <v>29</v>
      </c>
      <c r="C271" s="143">
        <v>40467</v>
      </c>
      <c r="D271" s="144" t="s">
        <v>199</v>
      </c>
      <c r="E271" s="11" t="s">
        <v>193</v>
      </c>
      <c r="F271" s="24"/>
      <c r="G271" s="11" t="s">
        <v>188</v>
      </c>
      <c r="H271" s="24"/>
      <c r="J271" s="145">
        <f t="shared" si="462"/>
        <v>40467.791666666664</v>
      </c>
      <c r="K271" s="146">
        <f t="shared" si="463"/>
        <v>40467.791666666664</v>
      </c>
      <c r="L271" s="123"/>
      <c r="M271" s="142" t="str">
        <f t="shared" si="460"/>
        <v/>
      </c>
      <c r="O271" s="142" t="str">
        <f t="shared" si="461"/>
        <v/>
      </c>
      <c r="P271" s="21"/>
    </row>
    <row r="272" spans="1:16">
      <c r="A272" s="15">
        <f>COUNTIF(E$44:G272,E272)</f>
        <v>29</v>
      </c>
      <c r="B272" s="15">
        <f>COUNTIF(E$44:G272,G272)</f>
        <v>29</v>
      </c>
      <c r="C272" s="143">
        <v>40467</v>
      </c>
      <c r="D272" s="144" t="s">
        <v>207</v>
      </c>
      <c r="E272" s="11" t="s">
        <v>191</v>
      </c>
      <c r="F272" s="24"/>
      <c r="G272" s="11" t="s">
        <v>182</v>
      </c>
      <c r="H272" s="24"/>
      <c r="J272" s="145">
        <f t="shared" si="462"/>
        <v>40467.833333333336</v>
      </c>
      <c r="K272" s="146">
        <f t="shared" si="463"/>
        <v>40467.833333333336</v>
      </c>
      <c r="L272" s="123"/>
      <c r="M272" s="142" t="str">
        <f t="shared" si="460"/>
        <v/>
      </c>
      <c r="O272" s="142" t="str">
        <f t="shared" si="461"/>
        <v/>
      </c>
      <c r="P272" s="21"/>
    </row>
    <row r="273" spans="1:16">
      <c r="A273" s="15">
        <f>COUNTIF(E$44:G273,E273)</f>
        <v>28</v>
      </c>
      <c r="B273" s="15">
        <f>COUNTIF(E$44:G273,G273)</f>
        <v>29</v>
      </c>
      <c r="C273" s="143">
        <v>40467</v>
      </c>
      <c r="D273" s="144" t="s">
        <v>205</v>
      </c>
      <c r="E273" s="11" t="s">
        <v>190</v>
      </c>
      <c r="F273" s="24"/>
      <c r="G273" s="11" t="s">
        <v>183</v>
      </c>
      <c r="H273" s="24"/>
      <c r="J273" s="145">
        <f t="shared" si="462"/>
        <v>40467.875</v>
      </c>
      <c r="K273" s="146">
        <f t="shared" si="463"/>
        <v>40467.875</v>
      </c>
      <c r="L273" s="123"/>
      <c r="M273" s="142" t="str">
        <f t="shared" si="460"/>
        <v/>
      </c>
      <c r="O273" s="142" t="str">
        <f t="shared" si="461"/>
        <v/>
      </c>
      <c r="P273" s="21"/>
    </row>
    <row r="274" spans="1:16">
      <c r="A274" s="15">
        <f>COUNTIF(E$44:G274,E274)</f>
        <v>29</v>
      </c>
      <c r="B274" s="15">
        <f>COUNTIF(E$44:G274,G274)</f>
        <v>29</v>
      </c>
      <c r="C274" s="143">
        <v>40467</v>
      </c>
      <c r="D274" s="144" t="s">
        <v>200</v>
      </c>
      <c r="E274" s="11" t="s">
        <v>192</v>
      </c>
      <c r="F274" s="24"/>
      <c r="G274" s="11" t="s">
        <v>181</v>
      </c>
      <c r="H274" s="24"/>
      <c r="J274" s="145">
        <f t="shared" si="462"/>
        <v>40467.895833333336</v>
      </c>
      <c r="K274" s="146">
        <f t="shared" si="463"/>
        <v>40467.895833333336</v>
      </c>
      <c r="L274" s="123"/>
      <c r="M274" s="142" t="str">
        <f t="shared" si="460"/>
        <v/>
      </c>
      <c r="O274" s="142" t="str">
        <f t="shared" si="461"/>
        <v/>
      </c>
      <c r="P274" s="21"/>
    </row>
    <row r="275" spans="1:16">
      <c r="A275" s="15">
        <f>COUNTIF(E$44:G275,E275)</f>
        <v>29</v>
      </c>
      <c r="B275" s="15">
        <f>COUNTIF(E$44:G275,G275)</f>
        <v>29</v>
      </c>
      <c r="C275" s="143">
        <v>40471</v>
      </c>
      <c r="D275" s="144" t="s">
        <v>207</v>
      </c>
      <c r="E275" s="11" t="s">
        <v>190</v>
      </c>
      <c r="F275" s="24"/>
      <c r="G275" s="11" t="s">
        <v>180</v>
      </c>
      <c r="H275" s="24"/>
      <c r="J275" s="145">
        <f t="shared" si="462"/>
        <v>40471.833333333336</v>
      </c>
      <c r="K275" s="146">
        <f t="shared" si="463"/>
        <v>40471.833333333336</v>
      </c>
      <c r="L275" s="123"/>
      <c r="M275" s="142" t="str">
        <f t="shared" si="460"/>
        <v/>
      </c>
      <c r="O275" s="142" t="str">
        <f t="shared" si="461"/>
        <v/>
      </c>
      <c r="P275" s="21"/>
    </row>
    <row r="276" spans="1:16">
      <c r="A276" s="15">
        <f>COUNTIF(E$44:G276,E276)</f>
        <v>30</v>
      </c>
      <c r="B276" s="15">
        <f>COUNTIF(E$44:G276,G276)</f>
        <v>30</v>
      </c>
      <c r="C276" s="143">
        <v>40472</v>
      </c>
      <c r="D276" s="144" t="s">
        <v>208</v>
      </c>
      <c r="E276" s="11" t="s">
        <v>186</v>
      </c>
      <c r="F276" s="24"/>
      <c r="G276" s="11" t="s">
        <v>193</v>
      </c>
      <c r="H276" s="24"/>
      <c r="J276" s="145">
        <f t="shared" si="462"/>
        <v>40472.729166666664</v>
      </c>
      <c r="K276" s="146">
        <f t="shared" si="463"/>
        <v>40472.729166666664</v>
      </c>
      <c r="L276" s="123"/>
      <c r="M276" s="142" t="str">
        <f t="shared" si="460"/>
        <v/>
      </c>
      <c r="O276" s="142" t="str">
        <f t="shared" si="461"/>
        <v/>
      </c>
      <c r="P276" s="21"/>
    </row>
    <row r="277" spans="1:16">
      <c r="A277" s="15">
        <f>COUNTIF(E$44:G277,E277)</f>
        <v>30</v>
      </c>
      <c r="B277" s="15">
        <f>COUNTIF(E$44:G277,G277)</f>
        <v>30</v>
      </c>
      <c r="C277" s="143">
        <v>40474</v>
      </c>
      <c r="D277" s="144" t="s">
        <v>198</v>
      </c>
      <c r="E277" s="11" t="s">
        <v>183</v>
      </c>
      <c r="F277" s="24"/>
      <c r="G277" s="11" t="s">
        <v>178</v>
      </c>
      <c r="H277" s="24"/>
      <c r="J277" s="145">
        <f t="shared" si="462"/>
        <v>40474.583333333336</v>
      </c>
      <c r="K277" s="146">
        <f t="shared" si="463"/>
        <v>40474.583333333336</v>
      </c>
      <c r="L277" s="123"/>
      <c r="M277" s="142" t="str">
        <f t="shared" si="460"/>
        <v/>
      </c>
      <c r="O277" s="142" t="str">
        <f t="shared" si="461"/>
        <v/>
      </c>
      <c r="P277" s="21"/>
    </row>
    <row r="278" spans="1:16">
      <c r="A278" s="15">
        <f>COUNTIF(E$44:G278,E278)</f>
        <v>30</v>
      </c>
      <c r="B278" s="15">
        <f>COUNTIF(E$44:G278,G278)</f>
        <v>30</v>
      </c>
      <c r="C278" s="143">
        <v>40474</v>
      </c>
      <c r="D278" s="144" t="s">
        <v>203</v>
      </c>
      <c r="E278" s="11" t="s">
        <v>181</v>
      </c>
      <c r="F278" s="24"/>
      <c r="G278" s="11" t="s">
        <v>191</v>
      </c>
      <c r="H278" s="24"/>
      <c r="J278" s="145">
        <f t="shared" si="462"/>
        <v>40474.625</v>
      </c>
      <c r="K278" s="146">
        <f t="shared" si="463"/>
        <v>40474.625</v>
      </c>
      <c r="L278" s="123"/>
      <c r="M278" s="142" t="str">
        <f t="shared" si="460"/>
        <v/>
      </c>
      <c r="O278" s="142" t="str">
        <f t="shared" si="461"/>
        <v/>
      </c>
      <c r="P278" s="21"/>
    </row>
    <row r="279" spans="1:16">
      <c r="A279" s="15">
        <f>COUNTIF(E$44:G279,E279)</f>
        <v>30</v>
      </c>
      <c r="B279" s="15">
        <f>COUNTIF(E$44:G279,G279)</f>
        <v>30</v>
      </c>
      <c r="C279" s="143">
        <v>40474</v>
      </c>
      <c r="D279" s="144" t="s">
        <v>208</v>
      </c>
      <c r="E279" s="11" t="s">
        <v>189</v>
      </c>
      <c r="F279" s="24"/>
      <c r="G279" s="11" t="s">
        <v>185</v>
      </c>
      <c r="H279" s="24"/>
      <c r="J279" s="145">
        <f t="shared" si="462"/>
        <v>40474.729166666664</v>
      </c>
      <c r="K279" s="146">
        <f t="shared" si="463"/>
        <v>40474.729166666664</v>
      </c>
      <c r="L279" s="123"/>
      <c r="M279" s="142" t="str">
        <f t="shared" si="460"/>
        <v/>
      </c>
      <c r="O279" s="142" t="str">
        <f t="shared" si="461"/>
        <v/>
      </c>
      <c r="P279" s="21"/>
    </row>
    <row r="280" spans="1:16">
      <c r="A280" s="15">
        <f>COUNTIF(E$44:G280,E280)</f>
        <v>30</v>
      </c>
      <c r="B280" s="15">
        <f>COUNTIF(E$44:G280,G280)</f>
        <v>30</v>
      </c>
      <c r="C280" s="143">
        <v>40474</v>
      </c>
      <c r="D280" s="144" t="s">
        <v>206</v>
      </c>
      <c r="E280" s="11" t="s">
        <v>188</v>
      </c>
      <c r="F280" s="24"/>
      <c r="G280" s="11" t="s">
        <v>190</v>
      </c>
      <c r="H280" s="24"/>
      <c r="J280" s="145">
        <f t="shared" si="462"/>
        <v>40474.770833333336</v>
      </c>
      <c r="K280" s="146">
        <f t="shared" si="463"/>
        <v>40474.770833333336</v>
      </c>
      <c r="L280" s="123"/>
      <c r="M280" s="142" t="str">
        <f t="shared" si="460"/>
        <v/>
      </c>
      <c r="O280" s="142" t="str">
        <f t="shared" si="461"/>
        <v/>
      </c>
      <c r="P280" s="21"/>
    </row>
    <row r="281" spans="1:16">
      <c r="A281" s="15">
        <f>COUNTIF(E$44:G281,E281)</f>
        <v>30</v>
      </c>
      <c r="B281" s="15">
        <f>COUNTIF(E$44:G281,G281)</f>
        <v>30</v>
      </c>
      <c r="C281" s="143">
        <v>40474</v>
      </c>
      <c r="D281" s="144" t="s">
        <v>205</v>
      </c>
      <c r="E281" s="11" t="s">
        <v>180</v>
      </c>
      <c r="F281" s="24"/>
      <c r="G281" s="11" t="s">
        <v>187</v>
      </c>
      <c r="H281" s="24"/>
      <c r="J281" s="145">
        <f t="shared" si="462"/>
        <v>40474.875</v>
      </c>
      <c r="K281" s="146">
        <f t="shared" si="463"/>
        <v>40474.875</v>
      </c>
      <c r="L281" s="123"/>
      <c r="M281" s="142" t="str">
        <f t="shared" si="460"/>
        <v/>
      </c>
      <c r="O281" s="142" t="str">
        <f t="shared" si="461"/>
        <v/>
      </c>
      <c r="P281" s="21"/>
    </row>
    <row r="282" spans="1:16">
      <c r="A282" s="15">
        <f>COUNTIF(E$44:G282,E282)</f>
        <v>30</v>
      </c>
      <c r="B282" s="15">
        <f>COUNTIF(E$44:G282,G282)</f>
        <v>30</v>
      </c>
      <c r="C282" s="143">
        <v>40475</v>
      </c>
      <c r="D282" s="144" t="s">
        <v>198</v>
      </c>
      <c r="E282" s="11" t="s">
        <v>184</v>
      </c>
      <c r="F282" s="24"/>
      <c r="G282" s="11" t="s">
        <v>179</v>
      </c>
      <c r="H282" s="24"/>
      <c r="J282" s="145">
        <f t="shared" si="462"/>
        <v>40475.583333333336</v>
      </c>
      <c r="K282" s="146">
        <f t="shared" si="463"/>
        <v>40475.583333333336</v>
      </c>
      <c r="L282" s="123"/>
      <c r="M282" s="142" t="str">
        <f t="shared" si="460"/>
        <v/>
      </c>
      <c r="O282" s="142" t="str">
        <f t="shared" si="461"/>
        <v/>
      </c>
      <c r="P282" s="21"/>
    </row>
    <row r="283" spans="1:16">
      <c r="A283" s="15">
        <f>COUNTIF(E$44:G283,E283)</f>
        <v>30</v>
      </c>
      <c r="B283" s="15">
        <f>COUNTIF(E$44:G283,G283)</f>
        <v>30</v>
      </c>
      <c r="C283" s="143">
        <v>40475</v>
      </c>
      <c r="D283" s="144" t="s">
        <v>209</v>
      </c>
      <c r="E283" s="11" t="s">
        <v>192</v>
      </c>
      <c r="F283" s="24"/>
      <c r="G283" s="11" t="s">
        <v>182</v>
      </c>
      <c r="H283" s="24"/>
      <c r="J283" s="145">
        <f t="shared" si="462"/>
        <v>40475.75</v>
      </c>
      <c r="K283" s="146">
        <f t="shared" si="463"/>
        <v>40475.75</v>
      </c>
      <c r="L283" s="123"/>
      <c r="M283" s="142" t="str">
        <f t="shared" si="460"/>
        <v/>
      </c>
      <c r="O283" s="142" t="str">
        <f t="shared" si="461"/>
        <v/>
      </c>
      <c r="P283" s="21"/>
    </row>
    <row r="284" spans="1:16">
      <c r="A284" s="15"/>
      <c r="B284" s="15"/>
      <c r="C284" s="143"/>
      <c r="D284" s="144"/>
      <c r="E284" s="11"/>
      <c r="F284" s="24"/>
      <c r="G284" s="11"/>
      <c r="H284" s="24"/>
      <c r="J284" s="145">
        <f t="shared" si="462"/>
        <v>0</v>
      </c>
      <c r="K284" s="146">
        <f t="shared" si="463"/>
        <v>3.3306690738754696E-16</v>
      </c>
      <c r="L284" s="123"/>
      <c r="M284" s="142" t="str">
        <f t="shared" si="460"/>
        <v/>
      </c>
      <c r="O284" s="142" t="str">
        <f t="shared" si="461"/>
        <v/>
      </c>
      <c r="P284" s="21"/>
    </row>
    <row r="285" spans="1:16">
      <c r="A285" s="15"/>
      <c r="B285" s="15"/>
      <c r="C285" s="143"/>
      <c r="D285" s="144"/>
      <c r="E285" s="11"/>
      <c r="F285" s="24"/>
      <c r="G285" s="11"/>
      <c r="H285" s="24"/>
      <c r="J285" s="145">
        <f t="shared" si="462"/>
        <v>0</v>
      </c>
      <c r="K285" s="146">
        <f t="shared" si="463"/>
        <v>3.3306690738754696E-16</v>
      </c>
      <c r="L285" s="123"/>
      <c r="M285" s="142" t="str">
        <f t="shared" si="460"/>
        <v/>
      </c>
      <c r="O285" s="142" t="str">
        <f t="shared" si="461"/>
        <v/>
      </c>
      <c r="P285" s="21"/>
    </row>
    <row r="286" spans="1:16">
      <c r="A286" s="15"/>
      <c r="B286" s="15"/>
      <c r="C286" s="143"/>
      <c r="D286" s="144"/>
      <c r="E286" s="11"/>
      <c r="F286" s="24"/>
      <c r="G286" s="11"/>
      <c r="H286" s="24"/>
      <c r="J286" s="145">
        <f t="shared" si="462"/>
        <v>0</v>
      </c>
      <c r="K286" s="146">
        <f t="shared" si="463"/>
        <v>3.3306690738754696E-16</v>
      </c>
      <c r="L286" s="123"/>
      <c r="M286" s="142" t="str">
        <f t="shared" si="460"/>
        <v/>
      </c>
      <c r="O286" s="142" t="str">
        <f t="shared" si="461"/>
        <v/>
      </c>
      <c r="P286" s="21"/>
    </row>
    <row r="287" spans="1:16">
      <c r="A287" s="15"/>
      <c r="B287" s="15"/>
      <c r="C287" s="143"/>
      <c r="D287" s="144"/>
      <c r="E287" s="11"/>
      <c r="F287" s="24"/>
      <c r="G287" s="11"/>
      <c r="H287" s="24"/>
      <c r="J287" s="145">
        <f t="shared" si="462"/>
        <v>0</v>
      </c>
      <c r="K287" s="146">
        <f t="shared" si="463"/>
        <v>3.3306690738754696E-16</v>
      </c>
      <c r="L287" s="123"/>
      <c r="M287" s="142" t="str">
        <f t="shared" si="460"/>
        <v/>
      </c>
      <c r="O287" s="142" t="str">
        <f t="shared" si="461"/>
        <v/>
      </c>
      <c r="P287" s="21"/>
    </row>
    <row r="288" spans="1:16">
      <c r="A288" s="15"/>
      <c r="B288" s="15"/>
      <c r="C288" s="143"/>
      <c r="D288" s="144"/>
      <c r="E288" s="11"/>
      <c r="F288" s="24"/>
      <c r="G288" s="11"/>
      <c r="H288" s="24"/>
      <c r="J288" s="145">
        <f t="shared" si="462"/>
        <v>0</v>
      </c>
      <c r="K288" s="146">
        <f t="shared" si="463"/>
        <v>3.3306690738754696E-16</v>
      </c>
      <c r="L288" s="123"/>
      <c r="M288" s="142" t="str">
        <f t="shared" si="460"/>
        <v/>
      </c>
      <c r="O288" s="142" t="str">
        <f t="shared" si="461"/>
        <v/>
      </c>
      <c r="P288" s="21"/>
    </row>
    <row r="289" spans="1:16">
      <c r="A289" s="15"/>
      <c r="B289" s="15"/>
      <c r="C289" s="143"/>
      <c r="D289" s="144"/>
      <c r="E289" s="11"/>
      <c r="F289" s="24"/>
      <c r="G289" s="11"/>
      <c r="H289" s="24"/>
      <c r="J289" s="145">
        <f t="shared" si="462"/>
        <v>0</v>
      </c>
      <c r="K289" s="146">
        <f t="shared" si="463"/>
        <v>3.3306690738754696E-16</v>
      </c>
      <c r="L289" s="123"/>
      <c r="M289" s="142" t="str">
        <f t="shared" si="460"/>
        <v/>
      </c>
      <c r="O289" s="142" t="str">
        <f t="shared" si="461"/>
        <v/>
      </c>
      <c r="P289" s="21"/>
    </row>
    <row r="290" spans="1:16">
      <c r="A290" s="15"/>
      <c r="B290" s="15"/>
      <c r="C290" s="143"/>
      <c r="D290" s="144"/>
      <c r="E290" s="11"/>
      <c r="F290" s="24"/>
      <c r="G290" s="11"/>
      <c r="H290" s="24"/>
      <c r="J290" s="145">
        <f t="shared" si="462"/>
        <v>0</v>
      </c>
      <c r="K290" s="146">
        <f t="shared" si="463"/>
        <v>3.3306690738754696E-16</v>
      </c>
      <c r="L290" s="123"/>
      <c r="M290" s="142" t="str">
        <f t="shared" si="460"/>
        <v/>
      </c>
      <c r="O290" s="142" t="str">
        <f t="shared" si="461"/>
        <v/>
      </c>
      <c r="P290" s="21"/>
    </row>
    <row r="291" spans="1:16">
      <c r="A291" s="15"/>
      <c r="B291" s="15"/>
      <c r="C291" s="143"/>
      <c r="D291" s="144"/>
      <c r="E291" s="11"/>
      <c r="F291" s="24"/>
      <c r="G291" s="11"/>
      <c r="H291" s="24"/>
      <c r="J291" s="145">
        <f t="shared" si="462"/>
        <v>0</v>
      </c>
      <c r="K291" s="146">
        <f t="shared" si="463"/>
        <v>3.3306690738754696E-16</v>
      </c>
      <c r="L291" s="123"/>
      <c r="M291" s="142" t="str">
        <f t="shared" si="460"/>
        <v/>
      </c>
      <c r="O291" s="142" t="str">
        <f t="shared" si="461"/>
        <v/>
      </c>
      <c r="P291" s="21"/>
    </row>
    <row r="292" spans="1:16">
      <c r="A292" s="15"/>
      <c r="B292" s="15"/>
      <c r="C292" s="143"/>
      <c r="D292" s="144"/>
      <c r="E292" s="11"/>
      <c r="F292" s="24"/>
      <c r="G292" s="11"/>
      <c r="H292" s="24"/>
      <c r="J292" s="145">
        <f t="shared" si="462"/>
        <v>0</v>
      </c>
      <c r="K292" s="146">
        <f t="shared" si="463"/>
        <v>3.3306690738754696E-16</v>
      </c>
      <c r="L292" s="123"/>
      <c r="M292" s="142" t="str">
        <f t="shared" si="460"/>
        <v/>
      </c>
      <c r="O292" s="142" t="str">
        <f t="shared" si="461"/>
        <v/>
      </c>
      <c r="P292" s="21"/>
    </row>
    <row r="293" spans="1:16">
      <c r="A293" s="15"/>
      <c r="B293" s="15"/>
      <c r="C293" s="143"/>
      <c r="D293" s="144"/>
      <c r="E293" s="11"/>
      <c r="F293" s="24"/>
      <c r="G293" s="11"/>
      <c r="H293" s="24"/>
      <c r="J293" s="145">
        <f t="shared" si="462"/>
        <v>0</v>
      </c>
      <c r="K293" s="146">
        <f t="shared" si="463"/>
        <v>3.3306690738754696E-16</v>
      </c>
      <c r="L293" s="123"/>
      <c r="M293" s="142" t="str">
        <f t="shared" si="460"/>
        <v/>
      </c>
      <c r="O293" s="142" t="str">
        <f t="shared" si="461"/>
        <v/>
      </c>
      <c r="P293" s="21"/>
    </row>
    <row r="294" spans="1:16">
      <c r="A294" s="15"/>
      <c r="B294" s="15"/>
      <c r="C294" s="143"/>
      <c r="D294" s="144"/>
      <c r="E294" s="11"/>
      <c r="F294" s="24"/>
      <c r="G294" s="11"/>
      <c r="H294" s="24"/>
      <c r="J294" s="145">
        <f t="shared" si="462"/>
        <v>0</v>
      </c>
      <c r="K294" s="146">
        <f t="shared" si="463"/>
        <v>3.3306690738754696E-16</v>
      </c>
      <c r="L294" s="123"/>
      <c r="M294" s="142" t="str">
        <f t="shared" si="460"/>
        <v/>
      </c>
      <c r="O294" s="142" t="str">
        <f t="shared" si="461"/>
        <v/>
      </c>
      <c r="P294" s="21"/>
    </row>
    <row r="295" spans="1:16">
      <c r="A295" s="15"/>
      <c r="B295" s="15"/>
      <c r="C295" s="143"/>
      <c r="D295" s="144"/>
      <c r="E295" s="11"/>
      <c r="F295" s="24"/>
      <c r="G295" s="11"/>
      <c r="H295" s="24"/>
      <c r="J295" s="145">
        <f t="shared" si="462"/>
        <v>0</v>
      </c>
      <c r="K295" s="146">
        <f t="shared" si="463"/>
        <v>3.3306690738754696E-16</v>
      </c>
      <c r="L295" s="123"/>
      <c r="M295" s="142" t="str">
        <f t="shared" si="460"/>
        <v/>
      </c>
      <c r="O295" s="142" t="str">
        <f t="shared" si="461"/>
        <v/>
      </c>
      <c r="P295" s="21"/>
    </row>
    <row r="296" spans="1:16">
      <c r="A296" s="15"/>
      <c r="B296" s="15"/>
      <c r="C296" s="143"/>
      <c r="D296" s="144"/>
      <c r="E296" s="11"/>
      <c r="F296" s="24"/>
      <c r="G296" s="11"/>
      <c r="H296" s="24"/>
      <c r="J296" s="145">
        <f t="shared" si="462"/>
        <v>0</v>
      </c>
      <c r="K296" s="146">
        <f t="shared" si="463"/>
        <v>3.3306690738754696E-16</v>
      </c>
      <c r="L296" s="123"/>
      <c r="M296" s="142" t="str">
        <f t="shared" si="460"/>
        <v/>
      </c>
      <c r="O296" s="142" t="str">
        <f t="shared" si="461"/>
        <v/>
      </c>
      <c r="P296" s="21"/>
    </row>
    <row r="297" spans="1:16">
      <c r="A297" s="15"/>
      <c r="B297" s="15"/>
      <c r="C297" s="143"/>
      <c r="D297" s="144"/>
      <c r="E297" s="11"/>
      <c r="F297" s="24"/>
      <c r="G297" s="11"/>
      <c r="H297" s="24"/>
      <c r="J297" s="145">
        <f t="shared" si="462"/>
        <v>0</v>
      </c>
      <c r="K297" s="146">
        <f t="shared" si="463"/>
        <v>3.3306690738754696E-16</v>
      </c>
      <c r="L297" s="123"/>
      <c r="M297" s="142" t="str">
        <f t="shared" si="460"/>
        <v/>
      </c>
      <c r="O297" s="142" t="str">
        <f t="shared" si="461"/>
        <v/>
      </c>
      <c r="P297" s="21"/>
    </row>
    <row r="298" spans="1:16">
      <c r="A298" s="15"/>
      <c r="B298" s="15"/>
      <c r="C298" s="143"/>
      <c r="D298" s="144"/>
      <c r="E298" s="11"/>
      <c r="F298" s="24"/>
      <c r="G298" s="11"/>
      <c r="H298" s="24"/>
      <c r="J298" s="145">
        <f t="shared" si="462"/>
        <v>0</v>
      </c>
      <c r="K298" s="146">
        <f t="shared" si="463"/>
        <v>3.3306690738754696E-16</v>
      </c>
      <c r="L298" s="123"/>
      <c r="M298" s="142" t="str">
        <f t="shared" si="460"/>
        <v/>
      </c>
      <c r="O298" s="142" t="str">
        <f t="shared" si="461"/>
        <v/>
      </c>
      <c r="P298" s="21"/>
    </row>
    <row r="299" spans="1:16">
      <c r="A299" s="15"/>
      <c r="B299" s="15"/>
      <c r="C299" s="143"/>
      <c r="D299" s="144"/>
      <c r="E299" s="11"/>
      <c r="F299" s="24"/>
      <c r="G299" s="11"/>
      <c r="H299" s="24"/>
      <c r="J299" s="145">
        <f t="shared" si="462"/>
        <v>0</v>
      </c>
      <c r="K299" s="146">
        <f t="shared" si="463"/>
        <v>3.3306690738754696E-16</v>
      </c>
      <c r="L299" s="123"/>
      <c r="M299" s="142" t="str">
        <f t="shared" si="460"/>
        <v/>
      </c>
      <c r="O299" s="142" t="str">
        <f t="shared" si="461"/>
        <v/>
      </c>
      <c r="P299" s="21"/>
    </row>
    <row r="300" spans="1:16">
      <c r="A300" s="15"/>
      <c r="B300" s="15"/>
      <c r="C300" s="143"/>
      <c r="D300" s="144"/>
      <c r="E300" s="11"/>
      <c r="F300" s="24"/>
      <c r="G300" s="11"/>
      <c r="H300" s="24"/>
      <c r="J300" s="145">
        <f t="shared" si="462"/>
        <v>0</v>
      </c>
      <c r="K300" s="146">
        <f t="shared" si="463"/>
        <v>3.3306690738754696E-16</v>
      </c>
      <c r="L300" s="123"/>
      <c r="M300" s="142" t="str">
        <f t="shared" ref="M300:M363" si="464">IF(ISBLANK(F300),"",F300)</f>
        <v/>
      </c>
      <c r="O300" s="142" t="str">
        <f t="shared" ref="O300:O363" si="465">IF(ISBLANK(H300),"",H300)</f>
        <v/>
      </c>
      <c r="P300" s="21"/>
    </row>
    <row r="301" spans="1:16">
      <c r="A301" s="15"/>
      <c r="B301" s="15"/>
      <c r="C301" s="143"/>
      <c r="D301" s="144"/>
      <c r="E301" s="11"/>
      <c r="F301" s="24"/>
      <c r="G301" s="11"/>
      <c r="H301" s="24"/>
      <c r="J301" s="145">
        <f t="shared" ref="J301:J364" si="466">C301+D301</f>
        <v>0</v>
      </c>
      <c r="K301" s="146">
        <f t="shared" ref="K301:K364" si="467">IF($K$42="mas",J301+$L$42,J301-$L$42)</f>
        <v>3.3306690738754696E-16</v>
      </c>
      <c r="L301" s="123"/>
      <c r="M301" s="142" t="str">
        <f t="shared" si="464"/>
        <v/>
      </c>
      <c r="O301" s="142" t="str">
        <f t="shared" si="465"/>
        <v/>
      </c>
      <c r="P301" s="21"/>
    </row>
    <row r="302" spans="1:16">
      <c r="A302" s="15"/>
      <c r="B302" s="15"/>
      <c r="C302" s="143"/>
      <c r="D302" s="144"/>
      <c r="E302" s="11"/>
      <c r="F302" s="24"/>
      <c r="G302" s="11"/>
      <c r="H302" s="24"/>
      <c r="J302" s="145">
        <f t="shared" si="466"/>
        <v>0</v>
      </c>
      <c r="K302" s="146">
        <f t="shared" si="467"/>
        <v>3.3306690738754696E-16</v>
      </c>
      <c r="L302" s="123"/>
      <c r="M302" s="142" t="str">
        <f t="shared" si="464"/>
        <v/>
      </c>
      <c r="O302" s="142" t="str">
        <f t="shared" si="465"/>
        <v/>
      </c>
      <c r="P302" s="21"/>
    </row>
    <row r="303" spans="1:16">
      <c r="A303" s="15"/>
      <c r="B303" s="15"/>
      <c r="C303" s="143"/>
      <c r="D303" s="144"/>
      <c r="E303" s="11"/>
      <c r="F303" s="24"/>
      <c r="G303" s="11"/>
      <c r="H303" s="24"/>
      <c r="J303" s="145">
        <f t="shared" si="466"/>
        <v>0</v>
      </c>
      <c r="K303" s="146">
        <f t="shared" si="467"/>
        <v>3.3306690738754696E-16</v>
      </c>
      <c r="L303" s="123"/>
      <c r="M303" s="142" t="str">
        <f t="shared" si="464"/>
        <v/>
      </c>
      <c r="O303" s="142" t="str">
        <f t="shared" si="465"/>
        <v/>
      </c>
      <c r="P303" s="21"/>
    </row>
    <row r="304" spans="1:16">
      <c r="A304" s="15"/>
      <c r="B304" s="15"/>
      <c r="C304" s="143"/>
      <c r="D304" s="144"/>
      <c r="E304" s="11"/>
      <c r="F304" s="24"/>
      <c r="G304" s="11"/>
      <c r="H304" s="24"/>
      <c r="J304" s="145">
        <f t="shared" si="466"/>
        <v>0</v>
      </c>
      <c r="K304" s="146">
        <f t="shared" si="467"/>
        <v>3.3306690738754696E-16</v>
      </c>
      <c r="L304" s="123"/>
      <c r="M304" s="142" t="str">
        <f t="shared" si="464"/>
        <v/>
      </c>
      <c r="O304" s="142" t="str">
        <f t="shared" si="465"/>
        <v/>
      </c>
      <c r="P304" s="21"/>
    </row>
    <row r="305" spans="1:16">
      <c r="A305" s="15"/>
      <c r="B305" s="15"/>
      <c r="C305" s="143"/>
      <c r="D305" s="144"/>
      <c r="E305" s="11"/>
      <c r="F305" s="24"/>
      <c r="G305" s="11"/>
      <c r="H305" s="24"/>
      <c r="J305" s="145">
        <f t="shared" si="466"/>
        <v>0</v>
      </c>
      <c r="K305" s="146">
        <f t="shared" si="467"/>
        <v>3.3306690738754696E-16</v>
      </c>
      <c r="L305" s="123"/>
      <c r="M305" s="142" t="str">
        <f t="shared" si="464"/>
        <v/>
      </c>
      <c r="O305" s="142" t="str">
        <f t="shared" si="465"/>
        <v/>
      </c>
      <c r="P305" s="21"/>
    </row>
    <row r="306" spans="1:16">
      <c r="A306" s="15"/>
      <c r="B306" s="15"/>
      <c r="C306" s="143"/>
      <c r="D306" s="144"/>
      <c r="E306" s="11"/>
      <c r="F306" s="24"/>
      <c r="G306" s="11"/>
      <c r="H306" s="24"/>
      <c r="J306" s="145">
        <f t="shared" si="466"/>
        <v>0</v>
      </c>
      <c r="K306" s="146">
        <f t="shared" si="467"/>
        <v>3.3306690738754696E-16</v>
      </c>
      <c r="L306" s="123"/>
      <c r="M306" s="142" t="str">
        <f t="shared" si="464"/>
        <v/>
      </c>
      <c r="O306" s="142" t="str">
        <f t="shared" si="465"/>
        <v/>
      </c>
      <c r="P306" s="21"/>
    </row>
    <row r="307" spans="1:16">
      <c r="A307" s="15"/>
      <c r="B307" s="15"/>
      <c r="C307" s="143"/>
      <c r="D307" s="144"/>
      <c r="E307" s="11"/>
      <c r="F307" s="24"/>
      <c r="G307" s="11"/>
      <c r="H307" s="24"/>
      <c r="J307" s="145">
        <f t="shared" si="466"/>
        <v>0</v>
      </c>
      <c r="K307" s="146">
        <f t="shared" si="467"/>
        <v>3.3306690738754696E-16</v>
      </c>
      <c r="L307" s="123"/>
      <c r="M307" s="142" t="str">
        <f t="shared" si="464"/>
        <v/>
      </c>
      <c r="O307" s="142" t="str">
        <f t="shared" si="465"/>
        <v/>
      </c>
      <c r="P307" s="21"/>
    </row>
    <row r="308" spans="1:16">
      <c r="A308" s="15"/>
      <c r="B308" s="15"/>
      <c r="C308" s="143"/>
      <c r="D308" s="144"/>
      <c r="E308" s="11"/>
      <c r="F308" s="24"/>
      <c r="G308" s="11"/>
      <c r="H308" s="24"/>
      <c r="J308" s="145">
        <f t="shared" si="466"/>
        <v>0</v>
      </c>
      <c r="K308" s="146">
        <f t="shared" si="467"/>
        <v>3.3306690738754696E-16</v>
      </c>
      <c r="L308" s="123"/>
      <c r="M308" s="142" t="str">
        <f t="shared" si="464"/>
        <v/>
      </c>
      <c r="O308" s="142" t="str">
        <f t="shared" si="465"/>
        <v/>
      </c>
      <c r="P308" s="21"/>
    </row>
    <row r="309" spans="1:16">
      <c r="A309" s="15"/>
      <c r="B309" s="15"/>
      <c r="C309" s="143"/>
      <c r="D309" s="144"/>
      <c r="E309" s="11"/>
      <c r="F309" s="24"/>
      <c r="G309" s="11"/>
      <c r="H309" s="24"/>
      <c r="J309" s="145">
        <f t="shared" si="466"/>
        <v>0</v>
      </c>
      <c r="K309" s="146">
        <f t="shared" si="467"/>
        <v>3.3306690738754696E-16</v>
      </c>
      <c r="L309" s="123"/>
      <c r="M309" s="142" t="str">
        <f t="shared" si="464"/>
        <v/>
      </c>
      <c r="O309" s="142" t="str">
        <f t="shared" si="465"/>
        <v/>
      </c>
      <c r="P309" s="21"/>
    </row>
    <row r="310" spans="1:16">
      <c r="A310" s="15"/>
      <c r="B310" s="15"/>
      <c r="C310" s="143"/>
      <c r="D310" s="144"/>
      <c r="E310" s="11"/>
      <c r="F310" s="24"/>
      <c r="G310" s="11"/>
      <c r="H310" s="24"/>
      <c r="J310" s="145">
        <f t="shared" si="466"/>
        <v>0</v>
      </c>
      <c r="K310" s="146">
        <f t="shared" si="467"/>
        <v>3.3306690738754696E-16</v>
      </c>
      <c r="L310" s="123"/>
      <c r="M310" s="142" t="str">
        <f t="shared" si="464"/>
        <v/>
      </c>
      <c r="O310" s="142" t="str">
        <f t="shared" si="465"/>
        <v/>
      </c>
      <c r="P310" s="21"/>
    </row>
    <row r="311" spans="1:16">
      <c r="A311" s="15"/>
      <c r="B311" s="15"/>
      <c r="C311" s="143"/>
      <c r="D311" s="144"/>
      <c r="E311" s="11"/>
      <c r="F311" s="24"/>
      <c r="G311" s="11"/>
      <c r="H311" s="24"/>
      <c r="J311" s="145">
        <f t="shared" si="466"/>
        <v>0</v>
      </c>
      <c r="K311" s="146">
        <f t="shared" si="467"/>
        <v>3.3306690738754696E-16</v>
      </c>
      <c r="L311" s="123"/>
      <c r="M311" s="142" t="str">
        <f t="shared" si="464"/>
        <v/>
      </c>
      <c r="O311" s="142" t="str">
        <f t="shared" si="465"/>
        <v/>
      </c>
      <c r="P311" s="21"/>
    </row>
    <row r="312" spans="1:16">
      <c r="A312" s="15"/>
      <c r="B312" s="15"/>
      <c r="C312" s="143"/>
      <c r="D312" s="144"/>
      <c r="E312" s="11"/>
      <c r="F312" s="24"/>
      <c r="G312" s="11"/>
      <c r="H312" s="24"/>
      <c r="J312" s="145">
        <f t="shared" si="466"/>
        <v>0</v>
      </c>
      <c r="K312" s="146">
        <f t="shared" si="467"/>
        <v>3.3306690738754696E-16</v>
      </c>
      <c r="L312" s="123"/>
      <c r="M312" s="142" t="str">
        <f t="shared" si="464"/>
        <v/>
      </c>
      <c r="O312" s="142" t="str">
        <f t="shared" si="465"/>
        <v/>
      </c>
      <c r="P312" s="21"/>
    </row>
    <row r="313" spans="1:16">
      <c r="A313" s="15"/>
      <c r="B313" s="15"/>
      <c r="C313" s="143"/>
      <c r="D313" s="144"/>
      <c r="E313" s="11"/>
      <c r="F313" s="24"/>
      <c r="G313" s="11"/>
      <c r="H313" s="24"/>
      <c r="J313" s="145">
        <f t="shared" si="466"/>
        <v>0</v>
      </c>
      <c r="K313" s="146">
        <f t="shared" si="467"/>
        <v>3.3306690738754696E-16</v>
      </c>
      <c r="L313" s="123"/>
      <c r="M313" s="142" t="str">
        <f t="shared" si="464"/>
        <v/>
      </c>
      <c r="O313" s="142" t="str">
        <f t="shared" si="465"/>
        <v/>
      </c>
      <c r="P313" s="21"/>
    </row>
    <row r="314" spans="1:16">
      <c r="A314" s="15"/>
      <c r="B314" s="15"/>
      <c r="C314" s="143"/>
      <c r="D314" s="144"/>
      <c r="E314" s="11"/>
      <c r="F314" s="24"/>
      <c r="G314" s="11"/>
      <c r="H314" s="24"/>
      <c r="J314" s="145">
        <f t="shared" si="466"/>
        <v>0</v>
      </c>
      <c r="K314" s="146">
        <f t="shared" si="467"/>
        <v>3.3306690738754696E-16</v>
      </c>
      <c r="L314" s="123"/>
      <c r="M314" s="142" t="str">
        <f t="shared" si="464"/>
        <v/>
      </c>
      <c r="O314" s="142" t="str">
        <f t="shared" si="465"/>
        <v/>
      </c>
      <c r="P314" s="21"/>
    </row>
    <row r="315" spans="1:16">
      <c r="A315" s="15"/>
      <c r="B315" s="15"/>
      <c r="C315" s="143"/>
      <c r="D315" s="144"/>
      <c r="E315" s="11"/>
      <c r="F315" s="24"/>
      <c r="G315" s="11"/>
      <c r="H315" s="24"/>
      <c r="J315" s="145">
        <f t="shared" si="466"/>
        <v>0</v>
      </c>
      <c r="K315" s="146">
        <f t="shared" si="467"/>
        <v>3.3306690738754696E-16</v>
      </c>
      <c r="L315" s="123"/>
      <c r="M315" s="142" t="str">
        <f t="shared" si="464"/>
        <v/>
      </c>
      <c r="O315" s="142" t="str">
        <f t="shared" si="465"/>
        <v/>
      </c>
      <c r="P315" s="21"/>
    </row>
    <row r="316" spans="1:16">
      <c r="A316" s="15"/>
      <c r="B316" s="15"/>
      <c r="C316" s="143"/>
      <c r="D316" s="144"/>
      <c r="E316" s="11"/>
      <c r="F316" s="24"/>
      <c r="G316" s="11"/>
      <c r="H316" s="24"/>
      <c r="J316" s="145">
        <f t="shared" si="466"/>
        <v>0</v>
      </c>
      <c r="K316" s="146">
        <f t="shared" si="467"/>
        <v>3.3306690738754696E-16</v>
      </c>
      <c r="L316" s="123"/>
      <c r="M316" s="142" t="str">
        <f t="shared" si="464"/>
        <v/>
      </c>
      <c r="O316" s="142" t="str">
        <f t="shared" si="465"/>
        <v/>
      </c>
      <c r="P316" s="21"/>
    </row>
    <row r="317" spans="1:16">
      <c r="A317" s="15"/>
      <c r="B317" s="15"/>
      <c r="C317" s="143"/>
      <c r="D317" s="144"/>
      <c r="E317" s="11"/>
      <c r="F317" s="24"/>
      <c r="G317" s="11"/>
      <c r="H317" s="24"/>
      <c r="J317" s="145">
        <f t="shared" si="466"/>
        <v>0</v>
      </c>
      <c r="K317" s="146">
        <f t="shared" si="467"/>
        <v>3.3306690738754696E-16</v>
      </c>
      <c r="L317" s="123"/>
      <c r="M317" s="142" t="str">
        <f t="shared" si="464"/>
        <v/>
      </c>
      <c r="O317" s="142" t="str">
        <f t="shared" si="465"/>
        <v/>
      </c>
      <c r="P317" s="21"/>
    </row>
    <row r="318" spans="1:16">
      <c r="A318" s="15"/>
      <c r="B318" s="15"/>
      <c r="C318" s="143"/>
      <c r="D318" s="144"/>
      <c r="E318" s="11"/>
      <c r="F318" s="24"/>
      <c r="G318" s="11"/>
      <c r="H318" s="24"/>
      <c r="J318" s="145">
        <f t="shared" si="466"/>
        <v>0</v>
      </c>
      <c r="K318" s="146">
        <f t="shared" si="467"/>
        <v>3.3306690738754696E-16</v>
      </c>
      <c r="L318" s="123"/>
      <c r="M318" s="142" t="str">
        <f t="shared" si="464"/>
        <v/>
      </c>
      <c r="O318" s="142" t="str">
        <f t="shared" si="465"/>
        <v/>
      </c>
      <c r="P318" s="21"/>
    </row>
    <row r="319" spans="1:16">
      <c r="A319" s="15"/>
      <c r="B319" s="15"/>
      <c r="C319" s="143"/>
      <c r="D319" s="144"/>
      <c r="E319" s="11"/>
      <c r="F319" s="24"/>
      <c r="G319" s="11"/>
      <c r="H319" s="24"/>
      <c r="J319" s="145">
        <f t="shared" si="466"/>
        <v>0</v>
      </c>
      <c r="K319" s="146">
        <f t="shared" si="467"/>
        <v>3.3306690738754696E-16</v>
      </c>
      <c r="L319" s="123"/>
      <c r="M319" s="142" t="str">
        <f t="shared" si="464"/>
        <v/>
      </c>
      <c r="O319" s="142" t="str">
        <f t="shared" si="465"/>
        <v/>
      </c>
      <c r="P319" s="21"/>
    </row>
    <row r="320" spans="1:16">
      <c r="A320" s="15"/>
      <c r="B320" s="15"/>
      <c r="C320" s="143"/>
      <c r="D320" s="144"/>
      <c r="E320" s="11"/>
      <c r="F320" s="24"/>
      <c r="G320" s="11"/>
      <c r="H320" s="24"/>
      <c r="J320" s="145">
        <f t="shared" si="466"/>
        <v>0</v>
      </c>
      <c r="K320" s="146">
        <f t="shared" si="467"/>
        <v>3.3306690738754696E-16</v>
      </c>
      <c r="L320" s="123"/>
      <c r="M320" s="142" t="str">
        <f t="shared" si="464"/>
        <v/>
      </c>
      <c r="O320" s="142" t="str">
        <f t="shared" si="465"/>
        <v/>
      </c>
      <c r="P320" s="21"/>
    </row>
    <row r="321" spans="1:16">
      <c r="A321" s="15"/>
      <c r="B321" s="15"/>
      <c r="C321" s="143"/>
      <c r="D321" s="144"/>
      <c r="E321" s="11"/>
      <c r="F321" s="24"/>
      <c r="G321" s="11"/>
      <c r="H321" s="24"/>
      <c r="J321" s="145">
        <f t="shared" si="466"/>
        <v>0</v>
      </c>
      <c r="K321" s="146">
        <f t="shared" si="467"/>
        <v>3.3306690738754696E-16</v>
      </c>
      <c r="L321" s="123"/>
      <c r="M321" s="142" t="str">
        <f t="shared" si="464"/>
        <v/>
      </c>
      <c r="O321" s="142" t="str">
        <f t="shared" si="465"/>
        <v/>
      </c>
      <c r="P321" s="21"/>
    </row>
    <row r="322" spans="1:16">
      <c r="A322" s="15"/>
      <c r="B322" s="15"/>
      <c r="C322" s="143"/>
      <c r="D322" s="144"/>
      <c r="E322" s="11"/>
      <c r="F322" s="24"/>
      <c r="G322" s="11"/>
      <c r="H322" s="24"/>
      <c r="J322" s="145">
        <f t="shared" si="466"/>
        <v>0</v>
      </c>
      <c r="K322" s="146">
        <f t="shared" si="467"/>
        <v>3.3306690738754696E-16</v>
      </c>
      <c r="L322" s="123"/>
      <c r="M322" s="142" t="str">
        <f t="shared" si="464"/>
        <v/>
      </c>
      <c r="O322" s="142" t="str">
        <f t="shared" si="465"/>
        <v/>
      </c>
      <c r="P322" s="21"/>
    </row>
    <row r="323" spans="1:16">
      <c r="A323" s="15"/>
      <c r="B323" s="15"/>
      <c r="C323" s="143"/>
      <c r="D323" s="144"/>
      <c r="E323" s="11"/>
      <c r="F323" s="24"/>
      <c r="G323" s="11"/>
      <c r="H323" s="24"/>
      <c r="J323" s="145">
        <f t="shared" si="466"/>
        <v>0</v>
      </c>
      <c r="K323" s="146">
        <f t="shared" si="467"/>
        <v>3.3306690738754696E-16</v>
      </c>
      <c r="L323" s="123"/>
      <c r="M323" s="142" t="str">
        <f t="shared" si="464"/>
        <v/>
      </c>
      <c r="O323" s="142" t="str">
        <f t="shared" si="465"/>
        <v/>
      </c>
      <c r="P323" s="21"/>
    </row>
    <row r="324" spans="1:16">
      <c r="A324" s="15"/>
      <c r="B324" s="15"/>
      <c r="C324" s="143"/>
      <c r="D324" s="144"/>
      <c r="E324" s="11"/>
      <c r="F324" s="24"/>
      <c r="G324" s="11"/>
      <c r="H324" s="24"/>
      <c r="J324" s="145">
        <f t="shared" si="466"/>
        <v>0</v>
      </c>
      <c r="K324" s="146">
        <f t="shared" si="467"/>
        <v>3.3306690738754696E-16</v>
      </c>
      <c r="L324" s="123"/>
      <c r="M324" s="142" t="str">
        <f t="shared" si="464"/>
        <v/>
      </c>
      <c r="O324" s="142" t="str">
        <f t="shared" si="465"/>
        <v/>
      </c>
      <c r="P324" s="21"/>
    </row>
    <row r="325" spans="1:16">
      <c r="A325" s="15"/>
      <c r="B325" s="15"/>
      <c r="C325" s="143"/>
      <c r="D325" s="144"/>
      <c r="E325" s="11"/>
      <c r="F325" s="24"/>
      <c r="G325" s="11"/>
      <c r="H325" s="24"/>
      <c r="J325" s="145">
        <f t="shared" si="466"/>
        <v>0</v>
      </c>
      <c r="K325" s="146">
        <f t="shared" si="467"/>
        <v>3.3306690738754696E-16</v>
      </c>
      <c r="L325" s="123"/>
      <c r="M325" s="142" t="str">
        <f t="shared" si="464"/>
        <v/>
      </c>
      <c r="O325" s="142" t="str">
        <f t="shared" si="465"/>
        <v/>
      </c>
      <c r="P325" s="21"/>
    </row>
    <row r="326" spans="1:16">
      <c r="A326" s="15"/>
      <c r="B326" s="15"/>
      <c r="C326" s="143"/>
      <c r="D326" s="144"/>
      <c r="E326" s="11"/>
      <c r="F326" s="24"/>
      <c r="G326" s="11"/>
      <c r="H326" s="24"/>
      <c r="J326" s="145">
        <f t="shared" si="466"/>
        <v>0</v>
      </c>
      <c r="K326" s="146">
        <f t="shared" si="467"/>
        <v>3.3306690738754696E-16</v>
      </c>
      <c r="L326" s="123"/>
      <c r="M326" s="142" t="str">
        <f t="shared" si="464"/>
        <v/>
      </c>
      <c r="O326" s="142" t="str">
        <f t="shared" si="465"/>
        <v/>
      </c>
      <c r="P326" s="21"/>
    </row>
    <row r="327" spans="1:16">
      <c r="A327" s="15"/>
      <c r="B327" s="15"/>
      <c r="C327" s="143"/>
      <c r="D327" s="144"/>
      <c r="E327" s="11"/>
      <c r="F327" s="24"/>
      <c r="G327" s="11"/>
      <c r="H327" s="24"/>
      <c r="J327" s="145">
        <f t="shared" si="466"/>
        <v>0</v>
      </c>
      <c r="K327" s="146">
        <f t="shared" si="467"/>
        <v>3.3306690738754696E-16</v>
      </c>
      <c r="L327" s="123"/>
      <c r="M327" s="142" t="str">
        <f t="shared" si="464"/>
        <v/>
      </c>
      <c r="O327" s="142" t="str">
        <f t="shared" si="465"/>
        <v/>
      </c>
      <c r="P327" s="21"/>
    </row>
    <row r="328" spans="1:16">
      <c r="A328" s="15"/>
      <c r="B328" s="15"/>
      <c r="C328" s="143"/>
      <c r="D328" s="144"/>
      <c r="E328" s="11"/>
      <c r="F328" s="24"/>
      <c r="G328" s="11"/>
      <c r="H328" s="24"/>
      <c r="J328" s="145">
        <f t="shared" si="466"/>
        <v>0</v>
      </c>
      <c r="K328" s="146">
        <f t="shared" si="467"/>
        <v>3.3306690738754696E-16</v>
      </c>
      <c r="L328" s="123"/>
      <c r="M328" s="142" t="str">
        <f t="shared" si="464"/>
        <v/>
      </c>
      <c r="O328" s="142" t="str">
        <f t="shared" si="465"/>
        <v/>
      </c>
      <c r="P328" s="21"/>
    </row>
    <row r="329" spans="1:16">
      <c r="A329" s="15"/>
      <c r="B329" s="15"/>
      <c r="C329" s="143"/>
      <c r="D329" s="144"/>
      <c r="E329" s="11"/>
      <c r="F329" s="24"/>
      <c r="G329" s="11"/>
      <c r="H329" s="24"/>
      <c r="J329" s="145">
        <f t="shared" si="466"/>
        <v>0</v>
      </c>
      <c r="K329" s="146">
        <f t="shared" si="467"/>
        <v>3.3306690738754696E-16</v>
      </c>
      <c r="L329" s="123"/>
      <c r="M329" s="142" t="str">
        <f t="shared" si="464"/>
        <v/>
      </c>
      <c r="O329" s="142" t="str">
        <f t="shared" si="465"/>
        <v/>
      </c>
      <c r="P329" s="21"/>
    </row>
    <row r="330" spans="1:16">
      <c r="A330" s="15"/>
      <c r="B330" s="15"/>
      <c r="C330" s="143"/>
      <c r="D330" s="144"/>
      <c r="E330" s="11"/>
      <c r="F330" s="24"/>
      <c r="G330" s="11"/>
      <c r="H330" s="24"/>
      <c r="J330" s="145">
        <f t="shared" si="466"/>
        <v>0</v>
      </c>
      <c r="K330" s="146">
        <f t="shared" si="467"/>
        <v>3.3306690738754696E-16</v>
      </c>
      <c r="L330" s="123"/>
      <c r="M330" s="142" t="str">
        <f t="shared" si="464"/>
        <v/>
      </c>
      <c r="O330" s="142" t="str">
        <f t="shared" si="465"/>
        <v/>
      </c>
      <c r="P330" s="21"/>
    </row>
    <row r="331" spans="1:16">
      <c r="A331" s="15"/>
      <c r="B331" s="15"/>
      <c r="C331" s="143"/>
      <c r="D331" s="144"/>
      <c r="E331" s="11"/>
      <c r="F331" s="24"/>
      <c r="G331" s="11"/>
      <c r="H331" s="24"/>
      <c r="J331" s="145">
        <f t="shared" si="466"/>
        <v>0</v>
      </c>
      <c r="K331" s="146">
        <f t="shared" si="467"/>
        <v>3.3306690738754696E-16</v>
      </c>
      <c r="L331" s="123"/>
      <c r="M331" s="142" t="str">
        <f t="shared" si="464"/>
        <v/>
      </c>
      <c r="O331" s="142" t="str">
        <f t="shared" si="465"/>
        <v/>
      </c>
      <c r="P331" s="21"/>
    </row>
    <row r="332" spans="1:16">
      <c r="A332" s="15"/>
      <c r="B332" s="15"/>
      <c r="C332" s="143"/>
      <c r="D332" s="144"/>
      <c r="E332" s="11"/>
      <c r="F332" s="24"/>
      <c r="G332" s="11"/>
      <c r="H332" s="24"/>
      <c r="J332" s="145">
        <f t="shared" si="466"/>
        <v>0</v>
      </c>
      <c r="K332" s="146">
        <f t="shared" si="467"/>
        <v>3.3306690738754696E-16</v>
      </c>
      <c r="L332" s="123"/>
      <c r="M332" s="142" t="str">
        <f t="shared" si="464"/>
        <v/>
      </c>
      <c r="O332" s="142" t="str">
        <f t="shared" si="465"/>
        <v/>
      </c>
      <c r="P332" s="21"/>
    </row>
    <row r="333" spans="1:16">
      <c r="A333" s="15"/>
      <c r="B333" s="15"/>
      <c r="C333" s="143"/>
      <c r="D333" s="144"/>
      <c r="E333" s="11"/>
      <c r="F333" s="24"/>
      <c r="G333" s="11"/>
      <c r="H333" s="24"/>
      <c r="J333" s="145">
        <f t="shared" si="466"/>
        <v>0</v>
      </c>
      <c r="K333" s="146">
        <f t="shared" si="467"/>
        <v>3.3306690738754696E-16</v>
      </c>
      <c r="L333" s="123"/>
      <c r="M333" s="142" t="str">
        <f t="shared" si="464"/>
        <v/>
      </c>
      <c r="O333" s="142" t="str">
        <f t="shared" si="465"/>
        <v/>
      </c>
      <c r="P333" s="21"/>
    </row>
    <row r="334" spans="1:16">
      <c r="A334" s="15"/>
      <c r="B334" s="15"/>
      <c r="C334" s="143"/>
      <c r="D334" s="144"/>
      <c r="E334" s="11"/>
      <c r="F334" s="24"/>
      <c r="G334" s="11"/>
      <c r="H334" s="24"/>
      <c r="J334" s="145">
        <f t="shared" si="466"/>
        <v>0</v>
      </c>
      <c r="K334" s="146">
        <f t="shared" si="467"/>
        <v>3.3306690738754696E-16</v>
      </c>
      <c r="L334" s="123"/>
      <c r="M334" s="142" t="str">
        <f t="shared" si="464"/>
        <v/>
      </c>
      <c r="O334" s="142" t="str">
        <f t="shared" si="465"/>
        <v/>
      </c>
      <c r="P334" s="21"/>
    </row>
    <row r="335" spans="1:16">
      <c r="A335" s="15"/>
      <c r="B335" s="15"/>
      <c r="C335" s="143"/>
      <c r="D335" s="144"/>
      <c r="E335" s="11"/>
      <c r="F335" s="24"/>
      <c r="G335" s="11"/>
      <c r="H335" s="24"/>
      <c r="J335" s="145">
        <f t="shared" si="466"/>
        <v>0</v>
      </c>
      <c r="K335" s="146">
        <f t="shared" si="467"/>
        <v>3.3306690738754696E-16</v>
      </c>
      <c r="L335" s="123"/>
      <c r="M335" s="142" t="str">
        <f t="shared" si="464"/>
        <v/>
      </c>
      <c r="O335" s="142" t="str">
        <f t="shared" si="465"/>
        <v/>
      </c>
      <c r="P335" s="21"/>
    </row>
    <row r="336" spans="1:16">
      <c r="A336" s="15"/>
      <c r="B336" s="15"/>
      <c r="C336" s="143"/>
      <c r="D336" s="144"/>
      <c r="E336" s="11"/>
      <c r="F336" s="24"/>
      <c r="G336" s="11"/>
      <c r="H336" s="24"/>
      <c r="J336" s="145">
        <f t="shared" si="466"/>
        <v>0</v>
      </c>
      <c r="K336" s="146">
        <f t="shared" si="467"/>
        <v>3.3306690738754696E-16</v>
      </c>
      <c r="L336" s="123"/>
      <c r="M336" s="142" t="str">
        <f t="shared" si="464"/>
        <v/>
      </c>
      <c r="O336" s="142" t="str">
        <f t="shared" si="465"/>
        <v/>
      </c>
      <c r="P336" s="21"/>
    </row>
    <row r="337" spans="1:16">
      <c r="A337" s="15"/>
      <c r="B337" s="15"/>
      <c r="C337" s="143"/>
      <c r="D337" s="144"/>
      <c r="E337" s="11"/>
      <c r="F337" s="24"/>
      <c r="G337" s="11"/>
      <c r="H337" s="24"/>
      <c r="J337" s="145">
        <f t="shared" si="466"/>
        <v>0</v>
      </c>
      <c r="K337" s="146">
        <f t="shared" si="467"/>
        <v>3.3306690738754696E-16</v>
      </c>
      <c r="L337" s="123"/>
      <c r="M337" s="142" t="str">
        <f t="shared" si="464"/>
        <v/>
      </c>
      <c r="O337" s="142" t="str">
        <f t="shared" si="465"/>
        <v/>
      </c>
      <c r="P337" s="21"/>
    </row>
    <row r="338" spans="1:16">
      <c r="A338" s="15"/>
      <c r="B338" s="15"/>
      <c r="C338" s="143"/>
      <c r="D338" s="144"/>
      <c r="E338" s="11"/>
      <c r="F338" s="24"/>
      <c r="G338" s="11"/>
      <c r="H338" s="24"/>
      <c r="J338" s="145">
        <f t="shared" si="466"/>
        <v>0</v>
      </c>
      <c r="K338" s="146">
        <f t="shared" si="467"/>
        <v>3.3306690738754696E-16</v>
      </c>
      <c r="L338" s="123"/>
      <c r="M338" s="142" t="str">
        <f t="shared" si="464"/>
        <v/>
      </c>
      <c r="O338" s="142" t="str">
        <f t="shared" si="465"/>
        <v/>
      </c>
      <c r="P338" s="21"/>
    </row>
    <row r="339" spans="1:16">
      <c r="A339" s="15"/>
      <c r="B339" s="15"/>
      <c r="C339" s="143"/>
      <c r="D339" s="144"/>
      <c r="E339" s="11"/>
      <c r="F339" s="24"/>
      <c r="G339" s="11"/>
      <c r="H339" s="24"/>
      <c r="J339" s="145">
        <f t="shared" si="466"/>
        <v>0</v>
      </c>
      <c r="K339" s="146">
        <f t="shared" si="467"/>
        <v>3.3306690738754696E-16</v>
      </c>
      <c r="L339" s="123"/>
      <c r="M339" s="142" t="str">
        <f t="shared" si="464"/>
        <v/>
      </c>
      <c r="O339" s="142" t="str">
        <f t="shared" si="465"/>
        <v/>
      </c>
      <c r="P339" s="21"/>
    </row>
    <row r="340" spans="1:16">
      <c r="A340" s="15"/>
      <c r="B340" s="15"/>
      <c r="C340" s="143"/>
      <c r="D340" s="144"/>
      <c r="E340" s="11"/>
      <c r="F340" s="24"/>
      <c r="G340" s="11"/>
      <c r="H340" s="24"/>
      <c r="J340" s="145">
        <f t="shared" si="466"/>
        <v>0</v>
      </c>
      <c r="K340" s="146">
        <f t="shared" si="467"/>
        <v>3.3306690738754696E-16</v>
      </c>
      <c r="L340" s="123"/>
      <c r="M340" s="142" t="str">
        <f t="shared" si="464"/>
        <v/>
      </c>
      <c r="O340" s="142" t="str">
        <f t="shared" si="465"/>
        <v/>
      </c>
      <c r="P340" s="21"/>
    </row>
    <row r="341" spans="1:16">
      <c r="A341" s="15"/>
      <c r="B341" s="15"/>
      <c r="C341" s="143"/>
      <c r="D341" s="144"/>
      <c r="E341" s="11"/>
      <c r="F341" s="24"/>
      <c r="G341" s="11"/>
      <c r="H341" s="24"/>
      <c r="J341" s="145">
        <f t="shared" si="466"/>
        <v>0</v>
      </c>
      <c r="K341" s="146">
        <f t="shared" si="467"/>
        <v>3.3306690738754696E-16</v>
      </c>
      <c r="L341" s="123"/>
      <c r="M341" s="142" t="str">
        <f t="shared" si="464"/>
        <v/>
      </c>
      <c r="O341" s="142" t="str">
        <f t="shared" si="465"/>
        <v/>
      </c>
      <c r="P341" s="21"/>
    </row>
    <row r="342" spans="1:16">
      <c r="A342" s="15"/>
      <c r="B342" s="15"/>
      <c r="C342" s="143"/>
      <c r="D342" s="144"/>
      <c r="E342" s="11"/>
      <c r="F342" s="24"/>
      <c r="G342" s="11"/>
      <c r="H342" s="24"/>
      <c r="J342" s="145">
        <f t="shared" si="466"/>
        <v>0</v>
      </c>
      <c r="K342" s="146">
        <f t="shared" si="467"/>
        <v>3.3306690738754696E-16</v>
      </c>
      <c r="L342" s="123"/>
      <c r="M342" s="142" t="str">
        <f t="shared" si="464"/>
        <v/>
      </c>
      <c r="O342" s="142" t="str">
        <f t="shared" si="465"/>
        <v/>
      </c>
      <c r="P342" s="21"/>
    </row>
    <row r="343" spans="1:16">
      <c r="A343" s="15"/>
      <c r="B343" s="15"/>
      <c r="C343" s="143"/>
      <c r="D343" s="144"/>
      <c r="E343" s="11"/>
      <c r="F343" s="24"/>
      <c r="G343" s="11"/>
      <c r="H343" s="24"/>
      <c r="J343" s="145">
        <f t="shared" si="466"/>
        <v>0</v>
      </c>
      <c r="K343" s="146">
        <f t="shared" si="467"/>
        <v>3.3306690738754696E-16</v>
      </c>
      <c r="L343" s="123"/>
      <c r="M343" s="142" t="str">
        <f t="shared" si="464"/>
        <v/>
      </c>
      <c r="O343" s="142" t="str">
        <f t="shared" si="465"/>
        <v/>
      </c>
      <c r="P343" s="21"/>
    </row>
    <row r="344" spans="1:16">
      <c r="A344" s="15"/>
      <c r="B344" s="15"/>
      <c r="C344" s="143"/>
      <c r="D344" s="144"/>
      <c r="E344" s="11"/>
      <c r="F344" s="24"/>
      <c r="G344" s="11"/>
      <c r="H344" s="24"/>
      <c r="J344" s="145">
        <f t="shared" si="466"/>
        <v>0</v>
      </c>
      <c r="K344" s="146">
        <f t="shared" si="467"/>
        <v>3.3306690738754696E-16</v>
      </c>
      <c r="L344" s="123"/>
      <c r="M344" s="142" t="str">
        <f t="shared" si="464"/>
        <v/>
      </c>
      <c r="O344" s="142" t="str">
        <f t="shared" si="465"/>
        <v/>
      </c>
      <c r="P344" s="21"/>
    </row>
    <row r="345" spans="1:16">
      <c r="A345" s="15"/>
      <c r="B345" s="15"/>
      <c r="C345" s="143"/>
      <c r="D345" s="144"/>
      <c r="E345" s="11"/>
      <c r="F345" s="24"/>
      <c r="G345" s="11"/>
      <c r="H345" s="24"/>
      <c r="J345" s="145">
        <f t="shared" si="466"/>
        <v>0</v>
      </c>
      <c r="K345" s="146">
        <f t="shared" si="467"/>
        <v>3.3306690738754696E-16</v>
      </c>
      <c r="L345" s="123"/>
      <c r="M345" s="142" t="str">
        <f t="shared" si="464"/>
        <v/>
      </c>
      <c r="O345" s="142" t="str">
        <f t="shared" si="465"/>
        <v/>
      </c>
      <c r="P345" s="21"/>
    </row>
    <row r="346" spans="1:16">
      <c r="A346" s="15"/>
      <c r="B346" s="15"/>
      <c r="C346" s="143"/>
      <c r="D346" s="144"/>
      <c r="E346" s="11"/>
      <c r="F346" s="24"/>
      <c r="G346" s="11"/>
      <c r="H346" s="24"/>
      <c r="J346" s="145">
        <f t="shared" si="466"/>
        <v>0</v>
      </c>
      <c r="K346" s="146">
        <f t="shared" si="467"/>
        <v>3.3306690738754696E-16</v>
      </c>
      <c r="L346" s="123"/>
      <c r="M346" s="142" t="str">
        <f t="shared" si="464"/>
        <v/>
      </c>
      <c r="O346" s="142" t="str">
        <f t="shared" si="465"/>
        <v/>
      </c>
      <c r="P346" s="21"/>
    </row>
    <row r="347" spans="1:16">
      <c r="A347" s="15"/>
      <c r="B347" s="15"/>
      <c r="C347" s="143"/>
      <c r="D347" s="144"/>
      <c r="E347" s="11"/>
      <c r="F347" s="24"/>
      <c r="G347" s="11"/>
      <c r="H347" s="24"/>
      <c r="J347" s="145">
        <f t="shared" si="466"/>
        <v>0</v>
      </c>
      <c r="K347" s="146">
        <f t="shared" si="467"/>
        <v>3.3306690738754696E-16</v>
      </c>
      <c r="L347" s="123"/>
      <c r="M347" s="142" t="str">
        <f t="shared" si="464"/>
        <v/>
      </c>
      <c r="O347" s="142" t="str">
        <f t="shared" si="465"/>
        <v/>
      </c>
      <c r="P347" s="21"/>
    </row>
    <row r="348" spans="1:16">
      <c r="A348" s="15"/>
      <c r="B348" s="15"/>
      <c r="C348" s="143"/>
      <c r="D348" s="144"/>
      <c r="E348" s="11"/>
      <c r="F348" s="24"/>
      <c r="G348" s="11"/>
      <c r="H348" s="24"/>
      <c r="J348" s="145">
        <f t="shared" si="466"/>
        <v>0</v>
      </c>
      <c r="K348" s="146">
        <f t="shared" si="467"/>
        <v>3.3306690738754696E-16</v>
      </c>
      <c r="L348" s="123"/>
      <c r="M348" s="142" t="str">
        <f t="shared" si="464"/>
        <v/>
      </c>
      <c r="O348" s="142" t="str">
        <f t="shared" si="465"/>
        <v/>
      </c>
      <c r="P348" s="21"/>
    </row>
    <row r="349" spans="1:16">
      <c r="A349" s="15"/>
      <c r="B349" s="15"/>
      <c r="C349" s="143"/>
      <c r="D349" s="144"/>
      <c r="E349" s="11"/>
      <c r="F349" s="24"/>
      <c r="G349" s="11"/>
      <c r="H349" s="24"/>
      <c r="J349" s="145">
        <f t="shared" si="466"/>
        <v>0</v>
      </c>
      <c r="K349" s="146">
        <f t="shared" si="467"/>
        <v>3.3306690738754696E-16</v>
      </c>
      <c r="L349" s="123"/>
      <c r="M349" s="142" t="str">
        <f t="shared" si="464"/>
        <v/>
      </c>
      <c r="O349" s="142" t="str">
        <f t="shared" si="465"/>
        <v/>
      </c>
      <c r="P349" s="21"/>
    </row>
    <row r="350" spans="1:16">
      <c r="A350" s="15"/>
      <c r="B350" s="15"/>
      <c r="C350" s="143"/>
      <c r="D350" s="144"/>
      <c r="E350" s="11"/>
      <c r="F350" s="24"/>
      <c r="G350" s="11"/>
      <c r="H350" s="24"/>
      <c r="J350" s="145">
        <f t="shared" si="466"/>
        <v>0</v>
      </c>
      <c r="K350" s="146">
        <f t="shared" si="467"/>
        <v>3.3306690738754696E-16</v>
      </c>
      <c r="L350" s="123"/>
      <c r="M350" s="142" t="str">
        <f t="shared" si="464"/>
        <v/>
      </c>
      <c r="O350" s="142" t="str">
        <f t="shared" si="465"/>
        <v/>
      </c>
      <c r="P350" s="21"/>
    </row>
    <row r="351" spans="1:16">
      <c r="A351" s="15"/>
      <c r="B351" s="15"/>
      <c r="C351" s="143"/>
      <c r="D351" s="144"/>
      <c r="E351" s="11"/>
      <c r="F351" s="24"/>
      <c r="G351" s="11"/>
      <c r="H351" s="24"/>
      <c r="J351" s="145">
        <f t="shared" si="466"/>
        <v>0</v>
      </c>
      <c r="K351" s="146">
        <f t="shared" si="467"/>
        <v>3.3306690738754696E-16</v>
      </c>
      <c r="L351" s="123"/>
      <c r="M351" s="142" t="str">
        <f t="shared" si="464"/>
        <v/>
      </c>
      <c r="O351" s="142" t="str">
        <f t="shared" si="465"/>
        <v/>
      </c>
      <c r="P351" s="21"/>
    </row>
    <row r="352" spans="1:16">
      <c r="A352" s="15"/>
      <c r="B352" s="15"/>
      <c r="C352" s="143"/>
      <c r="D352" s="144"/>
      <c r="E352" s="11"/>
      <c r="F352" s="24"/>
      <c r="G352" s="11"/>
      <c r="H352" s="24"/>
      <c r="J352" s="145">
        <f t="shared" si="466"/>
        <v>0</v>
      </c>
      <c r="K352" s="146">
        <f t="shared" si="467"/>
        <v>3.3306690738754696E-16</v>
      </c>
      <c r="L352" s="123"/>
      <c r="M352" s="142" t="str">
        <f t="shared" si="464"/>
        <v/>
      </c>
      <c r="O352" s="142" t="str">
        <f t="shared" si="465"/>
        <v/>
      </c>
      <c r="P352" s="21"/>
    </row>
    <row r="353" spans="1:16">
      <c r="A353" s="15"/>
      <c r="B353" s="15"/>
      <c r="C353" s="143"/>
      <c r="D353" s="144"/>
      <c r="E353" s="11"/>
      <c r="F353" s="24"/>
      <c r="G353" s="11"/>
      <c r="H353" s="24"/>
      <c r="J353" s="145">
        <f t="shared" si="466"/>
        <v>0</v>
      </c>
      <c r="K353" s="146">
        <f t="shared" si="467"/>
        <v>3.3306690738754696E-16</v>
      </c>
      <c r="L353" s="123"/>
      <c r="M353" s="142" t="str">
        <f t="shared" si="464"/>
        <v/>
      </c>
      <c r="O353" s="142" t="str">
        <f t="shared" si="465"/>
        <v/>
      </c>
      <c r="P353" s="21"/>
    </row>
    <row r="354" spans="1:16">
      <c r="A354" s="15"/>
      <c r="B354" s="15"/>
      <c r="C354" s="143"/>
      <c r="D354" s="144"/>
      <c r="E354" s="11"/>
      <c r="F354" s="24"/>
      <c r="G354" s="11"/>
      <c r="H354" s="24"/>
      <c r="J354" s="145">
        <f t="shared" si="466"/>
        <v>0</v>
      </c>
      <c r="K354" s="146">
        <f t="shared" si="467"/>
        <v>3.3306690738754696E-16</v>
      </c>
      <c r="L354" s="123"/>
      <c r="M354" s="142" t="str">
        <f t="shared" si="464"/>
        <v/>
      </c>
      <c r="O354" s="142" t="str">
        <f t="shared" si="465"/>
        <v/>
      </c>
      <c r="P354" s="21"/>
    </row>
    <row r="355" spans="1:16">
      <c r="A355" s="15"/>
      <c r="B355" s="15"/>
      <c r="C355" s="143"/>
      <c r="D355" s="144"/>
      <c r="E355" s="11"/>
      <c r="F355" s="24"/>
      <c r="G355" s="11"/>
      <c r="H355" s="24"/>
      <c r="J355" s="145">
        <f t="shared" si="466"/>
        <v>0</v>
      </c>
      <c r="K355" s="146">
        <f t="shared" si="467"/>
        <v>3.3306690738754696E-16</v>
      </c>
      <c r="L355" s="123"/>
      <c r="M355" s="142" t="str">
        <f t="shared" si="464"/>
        <v/>
      </c>
      <c r="O355" s="142" t="str">
        <f t="shared" si="465"/>
        <v/>
      </c>
      <c r="P355" s="21"/>
    </row>
    <row r="356" spans="1:16">
      <c r="A356" s="15"/>
      <c r="B356" s="15"/>
      <c r="C356" s="143"/>
      <c r="D356" s="144"/>
      <c r="E356" s="11"/>
      <c r="F356" s="24"/>
      <c r="G356" s="11"/>
      <c r="H356" s="24"/>
      <c r="J356" s="145">
        <f t="shared" si="466"/>
        <v>0</v>
      </c>
      <c r="K356" s="146">
        <f t="shared" si="467"/>
        <v>3.3306690738754696E-16</v>
      </c>
      <c r="L356" s="123"/>
      <c r="M356" s="142" t="str">
        <f t="shared" si="464"/>
        <v/>
      </c>
      <c r="O356" s="142" t="str">
        <f t="shared" si="465"/>
        <v/>
      </c>
      <c r="P356" s="21"/>
    </row>
    <row r="357" spans="1:16">
      <c r="A357" s="15"/>
      <c r="B357" s="15"/>
      <c r="C357" s="143"/>
      <c r="D357" s="144"/>
      <c r="E357" s="11"/>
      <c r="F357" s="24"/>
      <c r="G357" s="11"/>
      <c r="H357" s="24"/>
      <c r="J357" s="145">
        <f t="shared" si="466"/>
        <v>0</v>
      </c>
      <c r="K357" s="146">
        <f t="shared" si="467"/>
        <v>3.3306690738754696E-16</v>
      </c>
      <c r="L357" s="123"/>
      <c r="M357" s="142" t="str">
        <f t="shared" si="464"/>
        <v/>
      </c>
      <c r="O357" s="142" t="str">
        <f t="shared" si="465"/>
        <v/>
      </c>
      <c r="P357" s="21"/>
    </row>
    <row r="358" spans="1:16">
      <c r="A358" s="15"/>
      <c r="B358" s="15"/>
      <c r="C358" s="143"/>
      <c r="D358" s="144"/>
      <c r="E358" s="11"/>
      <c r="F358" s="24"/>
      <c r="G358" s="11"/>
      <c r="H358" s="24"/>
      <c r="J358" s="145">
        <f t="shared" si="466"/>
        <v>0</v>
      </c>
      <c r="K358" s="146">
        <f t="shared" si="467"/>
        <v>3.3306690738754696E-16</v>
      </c>
      <c r="L358" s="123"/>
      <c r="M358" s="142" t="str">
        <f t="shared" si="464"/>
        <v/>
      </c>
      <c r="O358" s="142" t="str">
        <f t="shared" si="465"/>
        <v/>
      </c>
      <c r="P358" s="21"/>
    </row>
    <row r="359" spans="1:16">
      <c r="A359" s="15"/>
      <c r="B359" s="15"/>
      <c r="C359" s="143"/>
      <c r="D359" s="144"/>
      <c r="E359" s="11"/>
      <c r="F359" s="24"/>
      <c r="G359" s="11"/>
      <c r="H359" s="24"/>
      <c r="J359" s="145">
        <f t="shared" si="466"/>
        <v>0</v>
      </c>
      <c r="K359" s="146">
        <f t="shared" si="467"/>
        <v>3.3306690738754696E-16</v>
      </c>
      <c r="L359" s="123"/>
      <c r="M359" s="142" t="str">
        <f t="shared" si="464"/>
        <v/>
      </c>
      <c r="O359" s="142" t="str">
        <f t="shared" si="465"/>
        <v/>
      </c>
      <c r="P359" s="21"/>
    </row>
    <row r="360" spans="1:16">
      <c r="A360" s="15"/>
      <c r="B360" s="15"/>
      <c r="C360" s="143"/>
      <c r="D360" s="144"/>
      <c r="E360" s="11"/>
      <c r="F360" s="24"/>
      <c r="G360" s="11"/>
      <c r="H360" s="24"/>
      <c r="J360" s="145">
        <f t="shared" si="466"/>
        <v>0</v>
      </c>
      <c r="K360" s="146">
        <f t="shared" si="467"/>
        <v>3.3306690738754696E-16</v>
      </c>
      <c r="L360" s="123"/>
      <c r="M360" s="142" t="str">
        <f t="shared" si="464"/>
        <v/>
      </c>
      <c r="O360" s="142" t="str">
        <f t="shared" si="465"/>
        <v/>
      </c>
      <c r="P360" s="21"/>
    </row>
    <row r="361" spans="1:16">
      <c r="A361" s="15"/>
      <c r="B361" s="15"/>
      <c r="C361" s="143"/>
      <c r="D361" s="144"/>
      <c r="E361" s="11"/>
      <c r="F361" s="24"/>
      <c r="G361" s="11"/>
      <c r="H361" s="24"/>
      <c r="J361" s="145">
        <f t="shared" si="466"/>
        <v>0</v>
      </c>
      <c r="K361" s="146">
        <f t="shared" si="467"/>
        <v>3.3306690738754696E-16</v>
      </c>
      <c r="L361" s="123"/>
      <c r="M361" s="142" t="str">
        <f t="shared" si="464"/>
        <v/>
      </c>
      <c r="O361" s="142" t="str">
        <f t="shared" si="465"/>
        <v/>
      </c>
      <c r="P361" s="21"/>
    </row>
    <row r="362" spans="1:16">
      <c r="A362" s="15"/>
      <c r="B362" s="15"/>
      <c r="C362" s="143"/>
      <c r="D362" s="144"/>
      <c r="E362" s="11"/>
      <c r="F362" s="24"/>
      <c r="G362" s="11"/>
      <c r="H362" s="24"/>
      <c r="J362" s="145">
        <f t="shared" si="466"/>
        <v>0</v>
      </c>
      <c r="K362" s="146">
        <f t="shared" si="467"/>
        <v>3.3306690738754696E-16</v>
      </c>
      <c r="L362" s="123"/>
      <c r="M362" s="142" t="str">
        <f t="shared" si="464"/>
        <v/>
      </c>
      <c r="O362" s="142" t="str">
        <f t="shared" si="465"/>
        <v/>
      </c>
      <c r="P362" s="21"/>
    </row>
    <row r="363" spans="1:16">
      <c r="A363" s="15"/>
      <c r="B363" s="15"/>
      <c r="C363" s="143"/>
      <c r="D363" s="144"/>
      <c r="E363" s="11"/>
      <c r="F363" s="24"/>
      <c r="G363" s="11"/>
      <c r="H363" s="24"/>
      <c r="J363" s="145">
        <f t="shared" si="466"/>
        <v>0</v>
      </c>
      <c r="K363" s="146">
        <f t="shared" si="467"/>
        <v>3.3306690738754696E-16</v>
      </c>
      <c r="L363" s="123"/>
      <c r="M363" s="142" t="str">
        <f t="shared" si="464"/>
        <v/>
      </c>
      <c r="O363" s="142" t="str">
        <f t="shared" si="465"/>
        <v/>
      </c>
      <c r="P363" s="21"/>
    </row>
    <row r="364" spans="1:16">
      <c r="A364" s="15"/>
      <c r="B364" s="15"/>
      <c r="C364" s="143"/>
      <c r="D364" s="144"/>
      <c r="E364" s="11"/>
      <c r="F364" s="24"/>
      <c r="G364" s="11"/>
      <c r="H364" s="24"/>
      <c r="J364" s="145">
        <f t="shared" si="466"/>
        <v>0</v>
      </c>
      <c r="K364" s="146">
        <f t="shared" si="467"/>
        <v>3.3306690738754696E-16</v>
      </c>
      <c r="L364" s="123"/>
      <c r="M364" s="142" t="str">
        <f t="shared" ref="M364:M427" si="468">IF(ISBLANK(F364),"",F364)</f>
        <v/>
      </c>
      <c r="O364" s="142" t="str">
        <f t="shared" ref="O364:O427" si="469">IF(ISBLANK(H364),"",H364)</f>
        <v/>
      </c>
      <c r="P364" s="21"/>
    </row>
    <row r="365" spans="1:16">
      <c r="A365" s="15"/>
      <c r="B365" s="15"/>
      <c r="C365" s="143"/>
      <c r="D365" s="144"/>
      <c r="E365" s="11"/>
      <c r="F365" s="24"/>
      <c r="G365" s="11"/>
      <c r="H365" s="24"/>
      <c r="J365" s="145">
        <f t="shared" ref="J365:J428" si="470">C365+D365</f>
        <v>0</v>
      </c>
      <c r="K365" s="146">
        <f t="shared" ref="K365:K428" si="471">IF($K$42="mas",J365+$L$42,J365-$L$42)</f>
        <v>3.3306690738754696E-16</v>
      </c>
      <c r="L365" s="123"/>
      <c r="M365" s="142" t="str">
        <f t="shared" si="468"/>
        <v/>
      </c>
      <c r="O365" s="142" t="str">
        <f t="shared" si="469"/>
        <v/>
      </c>
      <c r="P365" s="21"/>
    </row>
    <row r="366" spans="1:16">
      <c r="A366" s="15"/>
      <c r="B366" s="15"/>
      <c r="C366" s="143"/>
      <c r="D366" s="144"/>
      <c r="E366" s="11"/>
      <c r="F366" s="24"/>
      <c r="G366" s="11"/>
      <c r="H366" s="24"/>
      <c r="J366" s="145">
        <f t="shared" si="470"/>
        <v>0</v>
      </c>
      <c r="K366" s="146">
        <f t="shared" si="471"/>
        <v>3.3306690738754696E-16</v>
      </c>
      <c r="L366" s="123"/>
      <c r="M366" s="142" t="str">
        <f t="shared" si="468"/>
        <v/>
      </c>
      <c r="O366" s="142" t="str">
        <f t="shared" si="469"/>
        <v/>
      </c>
      <c r="P366" s="21"/>
    </row>
    <row r="367" spans="1:16">
      <c r="A367" s="15"/>
      <c r="B367" s="15"/>
      <c r="C367" s="143"/>
      <c r="D367" s="144"/>
      <c r="E367" s="11"/>
      <c r="F367" s="24"/>
      <c r="G367" s="11"/>
      <c r="H367" s="24"/>
      <c r="J367" s="145">
        <f t="shared" si="470"/>
        <v>0</v>
      </c>
      <c r="K367" s="146">
        <f t="shared" si="471"/>
        <v>3.3306690738754696E-16</v>
      </c>
      <c r="L367" s="123"/>
      <c r="M367" s="142" t="str">
        <f t="shared" si="468"/>
        <v/>
      </c>
      <c r="O367" s="142" t="str">
        <f t="shared" si="469"/>
        <v/>
      </c>
      <c r="P367" s="21"/>
    </row>
    <row r="368" spans="1:16">
      <c r="A368" s="15"/>
      <c r="B368" s="15"/>
      <c r="C368" s="143"/>
      <c r="D368" s="144"/>
      <c r="E368" s="11"/>
      <c r="F368" s="24"/>
      <c r="G368" s="11"/>
      <c r="H368" s="24"/>
      <c r="J368" s="145">
        <f t="shared" si="470"/>
        <v>0</v>
      </c>
      <c r="K368" s="146">
        <f t="shared" si="471"/>
        <v>3.3306690738754696E-16</v>
      </c>
      <c r="L368" s="123"/>
      <c r="M368" s="142" t="str">
        <f t="shared" si="468"/>
        <v/>
      </c>
      <c r="O368" s="142" t="str">
        <f t="shared" si="469"/>
        <v/>
      </c>
      <c r="P368" s="21"/>
    </row>
    <row r="369" spans="1:16">
      <c r="A369" s="15"/>
      <c r="B369" s="15"/>
      <c r="C369" s="143"/>
      <c r="D369" s="144"/>
      <c r="E369" s="11"/>
      <c r="F369" s="24"/>
      <c r="G369" s="11"/>
      <c r="H369" s="24"/>
      <c r="J369" s="145">
        <f t="shared" si="470"/>
        <v>0</v>
      </c>
      <c r="K369" s="146">
        <f t="shared" si="471"/>
        <v>3.3306690738754696E-16</v>
      </c>
      <c r="L369" s="123"/>
      <c r="M369" s="142" t="str">
        <f t="shared" si="468"/>
        <v/>
      </c>
      <c r="O369" s="142" t="str">
        <f t="shared" si="469"/>
        <v/>
      </c>
      <c r="P369" s="21"/>
    </row>
    <row r="370" spans="1:16">
      <c r="A370" s="15"/>
      <c r="B370" s="15"/>
      <c r="C370" s="143"/>
      <c r="D370" s="144"/>
      <c r="E370" s="11"/>
      <c r="F370" s="24"/>
      <c r="G370" s="11"/>
      <c r="H370" s="24"/>
      <c r="J370" s="145">
        <f t="shared" si="470"/>
        <v>0</v>
      </c>
      <c r="K370" s="146">
        <f t="shared" si="471"/>
        <v>3.3306690738754696E-16</v>
      </c>
      <c r="L370" s="123"/>
      <c r="M370" s="142" t="str">
        <f t="shared" si="468"/>
        <v/>
      </c>
      <c r="O370" s="142" t="str">
        <f t="shared" si="469"/>
        <v/>
      </c>
      <c r="P370" s="21"/>
    </row>
    <row r="371" spans="1:16">
      <c r="A371" s="15"/>
      <c r="B371" s="15"/>
      <c r="C371" s="143"/>
      <c r="D371" s="144"/>
      <c r="E371" s="11"/>
      <c r="F371" s="24"/>
      <c r="G371" s="11"/>
      <c r="H371" s="24"/>
      <c r="J371" s="145">
        <f t="shared" si="470"/>
        <v>0</v>
      </c>
      <c r="K371" s="146">
        <f t="shared" si="471"/>
        <v>3.3306690738754696E-16</v>
      </c>
      <c r="L371" s="123"/>
      <c r="M371" s="142" t="str">
        <f t="shared" si="468"/>
        <v/>
      </c>
      <c r="O371" s="142" t="str">
        <f t="shared" si="469"/>
        <v/>
      </c>
      <c r="P371" s="21"/>
    </row>
    <row r="372" spans="1:16">
      <c r="A372" s="15"/>
      <c r="B372" s="15"/>
      <c r="C372" s="143"/>
      <c r="D372" s="144"/>
      <c r="E372" s="11"/>
      <c r="F372" s="24"/>
      <c r="G372" s="11"/>
      <c r="H372" s="24"/>
      <c r="J372" s="145">
        <f t="shared" si="470"/>
        <v>0</v>
      </c>
      <c r="K372" s="146">
        <f t="shared" si="471"/>
        <v>3.3306690738754696E-16</v>
      </c>
      <c r="L372" s="123"/>
      <c r="M372" s="142" t="str">
        <f t="shared" si="468"/>
        <v/>
      </c>
      <c r="O372" s="142" t="str">
        <f t="shared" si="469"/>
        <v/>
      </c>
      <c r="P372" s="21"/>
    </row>
    <row r="373" spans="1:16">
      <c r="A373" s="15"/>
      <c r="B373" s="15"/>
      <c r="C373" s="143"/>
      <c r="D373" s="144"/>
      <c r="E373" s="11"/>
      <c r="F373" s="24"/>
      <c r="G373" s="11"/>
      <c r="H373" s="24"/>
      <c r="J373" s="145">
        <f t="shared" si="470"/>
        <v>0</v>
      </c>
      <c r="K373" s="146">
        <f t="shared" si="471"/>
        <v>3.3306690738754696E-16</v>
      </c>
      <c r="L373" s="123"/>
      <c r="M373" s="142" t="str">
        <f t="shared" si="468"/>
        <v/>
      </c>
      <c r="O373" s="142" t="str">
        <f t="shared" si="469"/>
        <v/>
      </c>
      <c r="P373" s="21"/>
    </row>
    <row r="374" spans="1:16">
      <c r="A374" s="15"/>
      <c r="B374" s="15"/>
      <c r="C374" s="143"/>
      <c r="D374" s="144"/>
      <c r="E374" s="11"/>
      <c r="F374" s="24"/>
      <c r="G374" s="11"/>
      <c r="H374" s="24"/>
      <c r="J374" s="145">
        <f t="shared" si="470"/>
        <v>0</v>
      </c>
      <c r="K374" s="146">
        <f t="shared" si="471"/>
        <v>3.3306690738754696E-16</v>
      </c>
      <c r="L374" s="123"/>
      <c r="M374" s="142" t="str">
        <f t="shared" si="468"/>
        <v/>
      </c>
      <c r="O374" s="142" t="str">
        <f t="shared" si="469"/>
        <v/>
      </c>
      <c r="P374" s="21"/>
    </row>
    <row r="375" spans="1:16">
      <c r="A375" s="15"/>
      <c r="B375" s="15"/>
      <c r="C375" s="143"/>
      <c r="D375" s="144"/>
      <c r="E375" s="11"/>
      <c r="F375" s="24"/>
      <c r="G375" s="11"/>
      <c r="H375" s="24"/>
      <c r="J375" s="145">
        <f t="shared" si="470"/>
        <v>0</v>
      </c>
      <c r="K375" s="146">
        <f t="shared" si="471"/>
        <v>3.3306690738754696E-16</v>
      </c>
      <c r="L375" s="123"/>
      <c r="M375" s="142" t="str">
        <f t="shared" si="468"/>
        <v/>
      </c>
      <c r="O375" s="142" t="str">
        <f t="shared" si="469"/>
        <v/>
      </c>
      <c r="P375" s="21"/>
    </row>
    <row r="376" spans="1:16">
      <c r="A376" s="15"/>
      <c r="B376" s="15"/>
      <c r="C376" s="143"/>
      <c r="D376" s="144"/>
      <c r="E376" s="11"/>
      <c r="F376" s="24"/>
      <c r="G376" s="11"/>
      <c r="H376" s="24"/>
      <c r="J376" s="145">
        <f t="shared" si="470"/>
        <v>0</v>
      </c>
      <c r="K376" s="146">
        <f t="shared" si="471"/>
        <v>3.3306690738754696E-16</v>
      </c>
      <c r="L376" s="123"/>
      <c r="M376" s="142" t="str">
        <f t="shared" si="468"/>
        <v/>
      </c>
      <c r="O376" s="142" t="str">
        <f t="shared" si="469"/>
        <v/>
      </c>
      <c r="P376" s="21"/>
    </row>
    <row r="377" spans="1:16">
      <c r="A377" s="15"/>
      <c r="B377" s="15"/>
      <c r="C377" s="143"/>
      <c r="D377" s="144"/>
      <c r="E377" s="11"/>
      <c r="F377" s="24"/>
      <c r="G377" s="11"/>
      <c r="H377" s="24"/>
      <c r="J377" s="145">
        <f t="shared" si="470"/>
        <v>0</v>
      </c>
      <c r="K377" s="146">
        <f t="shared" si="471"/>
        <v>3.3306690738754696E-16</v>
      </c>
      <c r="L377" s="123"/>
      <c r="M377" s="142" t="str">
        <f t="shared" si="468"/>
        <v/>
      </c>
      <c r="O377" s="142" t="str">
        <f t="shared" si="469"/>
        <v/>
      </c>
      <c r="P377" s="21"/>
    </row>
    <row r="378" spans="1:16">
      <c r="A378" s="15"/>
      <c r="B378" s="15"/>
      <c r="C378" s="143"/>
      <c r="D378" s="144"/>
      <c r="E378" s="11"/>
      <c r="F378" s="24"/>
      <c r="G378" s="11"/>
      <c r="H378" s="24"/>
      <c r="J378" s="145">
        <f t="shared" si="470"/>
        <v>0</v>
      </c>
      <c r="K378" s="146">
        <f t="shared" si="471"/>
        <v>3.3306690738754696E-16</v>
      </c>
      <c r="L378" s="123"/>
      <c r="M378" s="142" t="str">
        <f t="shared" si="468"/>
        <v/>
      </c>
      <c r="O378" s="142" t="str">
        <f t="shared" si="469"/>
        <v/>
      </c>
      <c r="P378" s="21"/>
    </row>
    <row r="379" spans="1:16">
      <c r="A379" s="15"/>
      <c r="B379" s="15"/>
      <c r="C379" s="143"/>
      <c r="D379" s="144"/>
      <c r="E379" s="11"/>
      <c r="F379" s="24"/>
      <c r="G379" s="11"/>
      <c r="H379" s="24"/>
      <c r="J379" s="145">
        <f t="shared" si="470"/>
        <v>0</v>
      </c>
      <c r="K379" s="146">
        <f t="shared" si="471"/>
        <v>3.3306690738754696E-16</v>
      </c>
      <c r="L379" s="123"/>
      <c r="M379" s="142" t="str">
        <f t="shared" si="468"/>
        <v/>
      </c>
      <c r="O379" s="142" t="str">
        <f t="shared" si="469"/>
        <v/>
      </c>
      <c r="P379" s="21"/>
    </row>
    <row r="380" spans="1:16">
      <c r="A380" s="15"/>
      <c r="B380" s="15"/>
      <c r="C380" s="143"/>
      <c r="D380" s="144"/>
      <c r="E380" s="11"/>
      <c r="F380" s="24"/>
      <c r="G380" s="11"/>
      <c r="H380" s="24"/>
      <c r="J380" s="145">
        <f t="shared" si="470"/>
        <v>0</v>
      </c>
      <c r="K380" s="146">
        <f t="shared" si="471"/>
        <v>3.3306690738754696E-16</v>
      </c>
      <c r="L380" s="123"/>
      <c r="M380" s="142" t="str">
        <f t="shared" si="468"/>
        <v/>
      </c>
      <c r="O380" s="142" t="str">
        <f t="shared" si="469"/>
        <v/>
      </c>
      <c r="P380" s="21"/>
    </row>
    <row r="381" spans="1:16">
      <c r="A381" s="15"/>
      <c r="B381" s="15"/>
      <c r="C381" s="143"/>
      <c r="D381" s="144"/>
      <c r="E381" s="11"/>
      <c r="F381" s="24"/>
      <c r="G381" s="11"/>
      <c r="H381" s="24"/>
      <c r="J381" s="145">
        <f t="shared" si="470"/>
        <v>0</v>
      </c>
      <c r="K381" s="146">
        <f t="shared" si="471"/>
        <v>3.3306690738754696E-16</v>
      </c>
      <c r="L381" s="123"/>
      <c r="M381" s="142" t="str">
        <f t="shared" si="468"/>
        <v/>
      </c>
      <c r="O381" s="142" t="str">
        <f t="shared" si="469"/>
        <v/>
      </c>
      <c r="P381" s="21"/>
    </row>
    <row r="382" spans="1:16">
      <c r="A382" s="15"/>
      <c r="B382" s="15"/>
      <c r="C382" s="143"/>
      <c r="D382" s="144"/>
      <c r="E382" s="11"/>
      <c r="F382" s="24"/>
      <c r="G382" s="11"/>
      <c r="H382" s="24"/>
      <c r="J382" s="145">
        <f t="shared" si="470"/>
        <v>0</v>
      </c>
      <c r="K382" s="146">
        <f t="shared" si="471"/>
        <v>3.3306690738754696E-16</v>
      </c>
      <c r="L382" s="123"/>
      <c r="M382" s="142" t="str">
        <f t="shared" si="468"/>
        <v/>
      </c>
      <c r="O382" s="142" t="str">
        <f t="shared" si="469"/>
        <v/>
      </c>
      <c r="P382" s="21"/>
    </row>
    <row r="383" spans="1:16">
      <c r="A383" s="15"/>
      <c r="B383" s="15"/>
      <c r="C383" s="143"/>
      <c r="D383" s="144"/>
      <c r="E383" s="11"/>
      <c r="F383" s="24"/>
      <c r="G383" s="11"/>
      <c r="H383" s="24"/>
      <c r="J383" s="145">
        <f t="shared" si="470"/>
        <v>0</v>
      </c>
      <c r="K383" s="146">
        <f t="shared" si="471"/>
        <v>3.3306690738754696E-16</v>
      </c>
      <c r="L383" s="123"/>
      <c r="M383" s="142" t="str">
        <f t="shared" si="468"/>
        <v/>
      </c>
      <c r="O383" s="142" t="str">
        <f t="shared" si="469"/>
        <v/>
      </c>
      <c r="P383" s="21"/>
    </row>
    <row r="384" spans="1:16">
      <c r="A384" s="15"/>
      <c r="B384" s="15"/>
      <c r="C384" s="143"/>
      <c r="D384" s="144"/>
      <c r="E384" s="11"/>
      <c r="F384" s="24"/>
      <c r="G384" s="11"/>
      <c r="H384" s="24"/>
      <c r="J384" s="145">
        <f t="shared" si="470"/>
        <v>0</v>
      </c>
      <c r="K384" s="146">
        <f t="shared" si="471"/>
        <v>3.3306690738754696E-16</v>
      </c>
      <c r="L384" s="123"/>
      <c r="M384" s="142" t="str">
        <f t="shared" si="468"/>
        <v/>
      </c>
      <c r="O384" s="142" t="str">
        <f t="shared" si="469"/>
        <v/>
      </c>
      <c r="P384" s="21"/>
    </row>
    <row r="385" spans="1:16">
      <c r="A385" s="15"/>
      <c r="B385" s="15"/>
      <c r="C385" s="143"/>
      <c r="D385" s="144"/>
      <c r="E385" s="11"/>
      <c r="F385" s="24"/>
      <c r="G385" s="11"/>
      <c r="H385" s="24"/>
      <c r="J385" s="145">
        <f t="shared" si="470"/>
        <v>0</v>
      </c>
      <c r="K385" s="146">
        <f t="shared" si="471"/>
        <v>3.3306690738754696E-16</v>
      </c>
      <c r="L385" s="123"/>
      <c r="M385" s="142" t="str">
        <f t="shared" si="468"/>
        <v/>
      </c>
      <c r="O385" s="142" t="str">
        <f t="shared" si="469"/>
        <v/>
      </c>
      <c r="P385" s="21"/>
    </row>
    <row r="386" spans="1:16">
      <c r="A386" s="15"/>
      <c r="B386" s="15"/>
      <c r="C386" s="143"/>
      <c r="D386" s="144"/>
      <c r="E386" s="11"/>
      <c r="F386" s="24"/>
      <c r="G386" s="11"/>
      <c r="H386" s="24"/>
      <c r="J386" s="145">
        <f t="shared" si="470"/>
        <v>0</v>
      </c>
      <c r="K386" s="146">
        <f t="shared" si="471"/>
        <v>3.3306690738754696E-16</v>
      </c>
      <c r="L386" s="123"/>
      <c r="M386" s="142" t="str">
        <f t="shared" si="468"/>
        <v/>
      </c>
      <c r="O386" s="142" t="str">
        <f t="shared" si="469"/>
        <v/>
      </c>
      <c r="P386" s="21"/>
    </row>
    <row r="387" spans="1:16">
      <c r="A387" s="15"/>
      <c r="B387" s="15"/>
      <c r="C387" s="143"/>
      <c r="D387" s="144"/>
      <c r="E387" s="11"/>
      <c r="F387" s="24"/>
      <c r="G387" s="11"/>
      <c r="H387" s="24"/>
      <c r="J387" s="145">
        <f t="shared" si="470"/>
        <v>0</v>
      </c>
      <c r="K387" s="146">
        <f t="shared" si="471"/>
        <v>3.3306690738754696E-16</v>
      </c>
      <c r="L387" s="123"/>
      <c r="M387" s="142" t="str">
        <f t="shared" si="468"/>
        <v/>
      </c>
      <c r="O387" s="142" t="str">
        <f t="shared" si="469"/>
        <v/>
      </c>
      <c r="P387" s="21"/>
    </row>
    <row r="388" spans="1:16">
      <c r="A388" s="15"/>
      <c r="B388" s="15"/>
      <c r="C388" s="143"/>
      <c r="D388" s="144"/>
      <c r="E388" s="11"/>
      <c r="F388" s="24"/>
      <c r="G388" s="11"/>
      <c r="H388" s="24"/>
      <c r="J388" s="145">
        <f t="shared" si="470"/>
        <v>0</v>
      </c>
      <c r="K388" s="146">
        <f t="shared" si="471"/>
        <v>3.3306690738754696E-16</v>
      </c>
      <c r="L388" s="123"/>
      <c r="M388" s="142" t="str">
        <f t="shared" si="468"/>
        <v/>
      </c>
      <c r="O388" s="142" t="str">
        <f t="shared" si="469"/>
        <v/>
      </c>
      <c r="P388" s="21"/>
    </row>
    <row r="389" spans="1:16">
      <c r="A389" s="15"/>
      <c r="B389" s="15"/>
      <c r="C389" s="143"/>
      <c r="D389" s="144"/>
      <c r="E389" s="11"/>
      <c r="F389" s="24"/>
      <c r="G389" s="11"/>
      <c r="H389" s="24"/>
      <c r="J389" s="145">
        <f t="shared" si="470"/>
        <v>0</v>
      </c>
      <c r="K389" s="146">
        <f t="shared" si="471"/>
        <v>3.3306690738754696E-16</v>
      </c>
      <c r="L389" s="123"/>
      <c r="M389" s="142" t="str">
        <f t="shared" si="468"/>
        <v/>
      </c>
      <c r="O389" s="142" t="str">
        <f t="shared" si="469"/>
        <v/>
      </c>
      <c r="P389" s="21"/>
    </row>
    <row r="390" spans="1:16">
      <c r="A390" s="15"/>
      <c r="B390" s="15"/>
      <c r="C390" s="143"/>
      <c r="D390" s="144"/>
      <c r="E390" s="11"/>
      <c r="F390" s="24"/>
      <c r="G390" s="11"/>
      <c r="H390" s="24"/>
      <c r="J390" s="145">
        <f t="shared" si="470"/>
        <v>0</v>
      </c>
      <c r="K390" s="146">
        <f t="shared" si="471"/>
        <v>3.3306690738754696E-16</v>
      </c>
      <c r="L390" s="123"/>
      <c r="M390" s="142" t="str">
        <f t="shared" si="468"/>
        <v/>
      </c>
      <c r="O390" s="142" t="str">
        <f t="shared" si="469"/>
        <v/>
      </c>
      <c r="P390" s="21"/>
    </row>
    <row r="391" spans="1:16">
      <c r="A391" s="15"/>
      <c r="B391" s="15"/>
      <c r="C391" s="143"/>
      <c r="D391" s="144"/>
      <c r="E391" s="11"/>
      <c r="F391" s="24"/>
      <c r="G391" s="11"/>
      <c r="H391" s="24"/>
      <c r="J391" s="145">
        <f t="shared" si="470"/>
        <v>0</v>
      </c>
      <c r="K391" s="146">
        <f t="shared" si="471"/>
        <v>3.3306690738754696E-16</v>
      </c>
      <c r="L391" s="123"/>
      <c r="M391" s="142" t="str">
        <f t="shared" si="468"/>
        <v/>
      </c>
      <c r="O391" s="142" t="str">
        <f t="shared" si="469"/>
        <v/>
      </c>
      <c r="P391" s="21"/>
    </row>
    <row r="392" spans="1:16">
      <c r="A392" s="15"/>
      <c r="B392" s="15"/>
      <c r="C392" s="143"/>
      <c r="D392" s="144"/>
      <c r="E392" s="11"/>
      <c r="F392" s="24"/>
      <c r="G392" s="11"/>
      <c r="H392" s="24"/>
      <c r="J392" s="145">
        <f t="shared" si="470"/>
        <v>0</v>
      </c>
      <c r="K392" s="146">
        <f t="shared" si="471"/>
        <v>3.3306690738754696E-16</v>
      </c>
      <c r="L392" s="123"/>
      <c r="M392" s="142" t="str">
        <f t="shared" si="468"/>
        <v/>
      </c>
      <c r="O392" s="142" t="str">
        <f t="shared" si="469"/>
        <v/>
      </c>
      <c r="P392" s="21"/>
    </row>
    <row r="393" spans="1:16">
      <c r="A393" s="15"/>
      <c r="B393" s="15"/>
      <c r="C393" s="143"/>
      <c r="D393" s="144"/>
      <c r="E393" s="11"/>
      <c r="F393" s="24"/>
      <c r="G393" s="11"/>
      <c r="H393" s="24"/>
      <c r="J393" s="145">
        <f t="shared" si="470"/>
        <v>0</v>
      </c>
      <c r="K393" s="146">
        <f t="shared" si="471"/>
        <v>3.3306690738754696E-16</v>
      </c>
      <c r="L393" s="123"/>
      <c r="M393" s="142" t="str">
        <f t="shared" si="468"/>
        <v/>
      </c>
      <c r="O393" s="142" t="str">
        <f t="shared" si="469"/>
        <v/>
      </c>
      <c r="P393" s="21"/>
    </row>
    <row r="394" spans="1:16">
      <c r="A394" s="15"/>
      <c r="B394" s="15"/>
      <c r="C394" s="143"/>
      <c r="D394" s="144"/>
      <c r="E394" s="11"/>
      <c r="F394" s="24"/>
      <c r="G394" s="11"/>
      <c r="H394" s="24"/>
      <c r="J394" s="145">
        <f t="shared" si="470"/>
        <v>0</v>
      </c>
      <c r="K394" s="146">
        <f t="shared" si="471"/>
        <v>3.3306690738754696E-16</v>
      </c>
      <c r="L394" s="123"/>
      <c r="M394" s="142" t="str">
        <f t="shared" si="468"/>
        <v/>
      </c>
      <c r="O394" s="142" t="str">
        <f t="shared" si="469"/>
        <v/>
      </c>
      <c r="P394" s="21"/>
    </row>
    <row r="395" spans="1:16">
      <c r="A395" s="15"/>
      <c r="B395" s="15"/>
      <c r="C395" s="143"/>
      <c r="D395" s="144"/>
      <c r="E395" s="11"/>
      <c r="F395" s="24"/>
      <c r="G395" s="11"/>
      <c r="H395" s="24"/>
      <c r="J395" s="145">
        <f t="shared" si="470"/>
        <v>0</v>
      </c>
      <c r="K395" s="146">
        <f t="shared" si="471"/>
        <v>3.3306690738754696E-16</v>
      </c>
      <c r="L395" s="123"/>
      <c r="M395" s="142" t="str">
        <f t="shared" si="468"/>
        <v/>
      </c>
      <c r="O395" s="142" t="str">
        <f t="shared" si="469"/>
        <v/>
      </c>
      <c r="P395" s="21"/>
    </row>
    <row r="396" spans="1:16">
      <c r="A396" s="15"/>
      <c r="B396" s="15"/>
      <c r="C396" s="143"/>
      <c r="D396" s="144"/>
      <c r="E396" s="11"/>
      <c r="F396" s="24"/>
      <c r="G396" s="11"/>
      <c r="H396" s="24"/>
      <c r="J396" s="145">
        <f t="shared" si="470"/>
        <v>0</v>
      </c>
      <c r="K396" s="146">
        <f t="shared" si="471"/>
        <v>3.3306690738754696E-16</v>
      </c>
      <c r="L396" s="123"/>
      <c r="M396" s="142" t="str">
        <f t="shared" si="468"/>
        <v/>
      </c>
      <c r="O396" s="142" t="str">
        <f t="shared" si="469"/>
        <v/>
      </c>
      <c r="P396" s="21"/>
    </row>
    <row r="397" spans="1:16">
      <c r="A397" s="15"/>
      <c r="B397" s="15"/>
      <c r="C397" s="143"/>
      <c r="D397" s="144"/>
      <c r="E397" s="11"/>
      <c r="F397" s="24"/>
      <c r="G397" s="11"/>
      <c r="H397" s="24"/>
      <c r="J397" s="145">
        <f t="shared" si="470"/>
        <v>0</v>
      </c>
      <c r="K397" s="146">
        <f t="shared" si="471"/>
        <v>3.3306690738754696E-16</v>
      </c>
      <c r="L397" s="123"/>
      <c r="M397" s="142" t="str">
        <f t="shared" si="468"/>
        <v/>
      </c>
      <c r="O397" s="142" t="str">
        <f t="shared" si="469"/>
        <v/>
      </c>
      <c r="P397" s="21"/>
    </row>
    <row r="398" spans="1:16">
      <c r="A398" s="15"/>
      <c r="B398" s="15"/>
      <c r="C398" s="143"/>
      <c r="D398" s="144"/>
      <c r="E398" s="11"/>
      <c r="F398" s="24"/>
      <c r="G398" s="11"/>
      <c r="H398" s="24"/>
      <c r="J398" s="145">
        <f t="shared" si="470"/>
        <v>0</v>
      </c>
      <c r="K398" s="146">
        <f t="shared" si="471"/>
        <v>3.3306690738754696E-16</v>
      </c>
      <c r="L398" s="123"/>
      <c r="M398" s="142" t="str">
        <f t="shared" si="468"/>
        <v/>
      </c>
      <c r="O398" s="142" t="str">
        <f t="shared" si="469"/>
        <v/>
      </c>
      <c r="P398" s="21"/>
    </row>
    <row r="399" spans="1:16">
      <c r="A399" s="15"/>
      <c r="B399" s="15"/>
      <c r="C399" s="143"/>
      <c r="D399" s="144"/>
      <c r="E399" s="11"/>
      <c r="F399" s="24"/>
      <c r="G399" s="11"/>
      <c r="H399" s="24"/>
      <c r="J399" s="145">
        <f t="shared" si="470"/>
        <v>0</v>
      </c>
      <c r="K399" s="146">
        <f t="shared" si="471"/>
        <v>3.3306690738754696E-16</v>
      </c>
      <c r="L399" s="123"/>
      <c r="M399" s="142" t="str">
        <f t="shared" si="468"/>
        <v/>
      </c>
      <c r="O399" s="142" t="str">
        <f t="shared" si="469"/>
        <v/>
      </c>
      <c r="P399" s="21"/>
    </row>
    <row r="400" spans="1:16">
      <c r="A400" s="15"/>
      <c r="B400" s="15"/>
      <c r="C400" s="143"/>
      <c r="D400" s="144"/>
      <c r="E400" s="11"/>
      <c r="F400" s="24"/>
      <c r="G400" s="11"/>
      <c r="H400" s="24"/>
      <c r="J400" s="145">
        <f t="shared" si="470"/>
        <v>0</v>
      </c>
      <c r="K400" s="146">
        <f t="shared" si="471"/>
        <v>3.3306690738754696E-16</v>
      </c>
      <c r="L400" s="123"/>
      <c r="M400" s="142" t="str">
        <f t="shared" si="468"/>
        <v/>
      </c>
      <c r="O400" s="142" t="str">
        <f t="shared" si="469"/>
        <v/>
      </c>
      <c r="P400" s="21"/>
    </row>
    <row r="401" spans="1:16">
      <c r="A401" s="15"/>
      <c r="B401" s="15"/>
      <c r="C401" s="143"/>
      <c r="D401" s="144"/>
      <c r="E401" s="11"/>
      <c r="F401" s="24"/>
      <c r="G401" s="11"/>
      <c r="H401" s="24"/>
      <c r="J401" s="145">
        <f t="shared" si="470"/>
        <v>0</v>
      </c>
      <c r="K401" s="146">
        <f t="shared" si="471"/>
        <v>3.3306690738754696E-16</v>
      </c>
      <c r="L401" s="123"/>
      <c r="M401" s="142" t="str">
        <f t="shared" si="468"/>
        <v/>
      </c>
      <c r="O401" s="142" t="str">
        <f t="shared" si="469"/>
        <v/>
      </c>
      <c r="P401" s="21"/>
    </row>
    <row r="402" spans="1:16">
      <c r="A402" s="15"/>
      <c r="B402" s="15"/>
      <c r="C402" s="143"/>
      <c r="D402" s="144"/>
      <c r="E402" s="11"/>
      <c r="F402" s="24"/>
      <c r="G402" s="11"/>
      <c r="H402" s="24"/>
      <c r="J402" s="145">
        <f t="shared" si="470"/>
        <v>0</v>
      </c>
      <c r="K402" s="146">
        <f t="shared" si="471"/>
        <v>3.3306690738754696E-16</v>
      </c>
      <c r="L402" s="123"/>
      <c r="M402" s="142" t="str">
        <f t="shared" si="468"/>
        <v/>
      </c>
      <c r="O402" s="142" t="str">
        <f t="shared" si="469"/>
        <v/>
      </c>
      <c r="P402" s="21"/>
    </row>
    <row r="403" spans="1:16">
      <c r="A403" s="15"/>
      <c r="B403" s="15"/>
      <c r="C403" s="143"/>
      <c r="D403" s="144"/>
      <c r="E403" s="11"/>
      <c r="F403" s="24"/>
      <c r="G403" s="11"/>
      <c r="H403" s="24"/>
      <c r="J403" s="145">
        <f t="shared" si="470"/>
        <v>0</v>
      </c>
      <c r="K403" s="146">
        <f t="shared" si="471"/>
        <v>3.3306690738754696E-16</v>
      </c>
      <c r="L403" s="123"/>
      <c r="M403" s="142" t="str">
        <f t="shared" si="468"/>
        <v/>
      </c>
      <c r="O403" s="142" t="str">
        <f t="shared" si="469"/>
        <v/>
      </c>
      <c r="P403" s="21"/>
    </row>
    <row r="404" spans="1:16">
      <c r="A404" s="15"/>
      <c r="B404" s="15"/>
      <c r="C404" s="143"/>
      <c r="D404" s="144"/>
      <c r="E404" s="11"/>
      <c r="F404" s="24"/>
      <c r="G404" s="11"/>
      <c r="H404" s="24"/>
      <c r="J404" s="145">
        <f t="shared" si="470"/>
        <v>0</v>
      </c>
      <c r="K404" s="146">
        <f t="shared" si="471"/>
        <v>3.3306690738754696E-16</v>
      </c>
      <c r="L404" s="123"/>
      <c r="M404" s="142" t="str">
        <f t="shared" si="468"/>
        <v/>
      </c>
      <c r="O404" s="142" t="str">
        <f t="shared" si="469"/>
        <v/>
      </c>
      <c r="P404" s="21"/>
    </row>
    <row r="405" spans="1:16">
      <c r="A405" s="15"/>
      <c r="B405" s="15"/>
      <c r="C405" s="143"/>
      <c r="D405" s="144"/>
      <c r="E405" s="11"/>
      <c r="F405" s="24"/>
      <c r="G405" s="11"/>
      <c r="H405" s="24"/>
      <c r="J405" s="145">
        <f t="shared" si="470"/>
        <v>0</v>
      </c>
      <c r="K405" s="146">
        <f t="shared" si="471"/>
        <v>3.3306690738754696E-16</v>
      </c>
      <c r="L405" s="123"/>
      <c r="M405" s="142" t="str">
        <f t="shared" si="468"/>
        <v/>
      </c>
      <c r="O405" s="142" t="str">
        <f t="shared" si="469"/>
        <v/>
      </c>
      <c r="P405" s="21"/>
    </row>
    <row r="406" spans="1:16">
      <c r="A406" s="15"/>
      <c r="B406" s="15"/>
      <c r="C406" s="143"/>
      <c r="D406" s="144"/>
      <c r="E406" s="11"/>
      <c r="F406" s="24"/>
      <c r="G406" s="11"/>
      <c r="H406" s="24"/>
      <c r="J406" s="145">
        <f t="shared" si="470"/>
        <v>0</v>
      </c>
      <c r="K406" s="146">
        <f t="shared" si="471"/>
        <v>3.3306690738754696E-16</v>
      </c>
      <c r="L406" s="123"/>
      <c r="M406" s="142" t="str">
        <f t="shared" si="468"/>
        <v/>
      </c>
      <c r="O406" s="142" t="str">
        <f t="shared" si="469"/>
        <v/>
      </c>
      <c r="P406" s="21"/>
    </row>
    <row r="407" spans="1:16">
      <c r="A407" s="15"/>
      <c r="B407" s="15"/>
      <c r="C407" s="143"/>
      <c r="D407" s="144"/>
      <c r="E407" s="11"/>
      <c r="F407" s="24"/>
      <c r="G407" s="11"/>
      <c r="H407" s="24"/>
      <c r="J407" s="145">
        <f t="shared" si="470"/>
        <v>0</v>
      </c>
      <c r="K407" s="146">
        <f t="shared" si="471"/>
        <v>3.3306690738754696E-16</v>
      </c>
      <c r="L407" s="123"/>
      <c r="M407" s="142" t="str">
        <f t="shared" si="468"/>
        <v/>
      </c>
      <c r="O407" s="142" t="str">
        <f t="shared" si="469"/>
        <v/>
      </c>
      <c r="P407" s="21"/>
    </row>
    <row r="408" spans="1:16">
      <c r="A408" s="15"/>
      <c r="B408" s="15"/>
      <c r="C408" s="143"/>
      <c r="D408" s="144"/>
      <c r="E408" s="11"/>
      <c r="F408" s="24"/>
      <c r="G408" s="11"/>
      <c r="H408" s="24"/>
      <c r="J408" s="145">
        <f t="shared" si="470"/>
        <v>0</v>
      </c>
      <c r="K408" s="146">
        <f t="shared" si="471"/>
        <v>3.3306690738754696E-16</v>
      </c>
      <c r="L408" s="123"/>
      <c r="M408" s="142" t="str">
        <f t="shared" si="468"/>
        <v/>
      </c>
      <c r="O408" s="142" t="str">
        <f t="shared" si="469"/>
        <v/>
      </c>
      <c r="P408" s="21"/>
    </row>
    <row r="409" spans="1:16">
      <c r="A409" s="15"/>
      <c r="B409" s="15"/>
      <c r="C409" s="143"/>
      <c r="D409" s="144"/>
      <c r="E409" s="11"/>
      <c r="F409" s="24"/>
      <c r="G409" s="11"/>
      <c r="H409" s="24"/>
      <c r="J409" s="145">
        <f t="shared" si="470"/>
        <v>0</v>
      </c>
      <c r="K409" s="146">
        <f t="shared" si="471"/>
        <v>3.3306690738754696E-16</v>
      </c>
      <c r="L409" s="123"/>
      <c r="M409" s="142" t="str">
        <f t="shared" si="468"/>
        <v/>
      </c>
      <c r="O409" s="142" t="str">
        <f t="shared" si="469"/>
        <v/>
      </c>
      <c r="P409" s="21"/>
    </row>
    <row r="410" spans="1:16">
      <c r="A410" s="15"/>
      <c r="B410" s="15"/>
      <c r="C410" s="143"/>
      <c r="D410" s="144"/>
      <c r="E410" s="11"/>
      <c r="F410" s="24"/>
      <c r="G410" s="11"/>
      <c r="H410" s="24"/>
      <c r="J410" s="145">
        <f t="shared" si="470"/>
        <v>0</v>
      </c>
      <c r="K410" s="146">
        <f t="shared" si="471"/>
        <v>3.3306690738754696E-16</v>
      </c>
      <c r="L410" s="123"/>
      <c r="M410" s="142" t="str">
        <f t="shared" si="468"/>
        <v/>
      </c>
      <c r="O410" s="142" t="str">
        <f t="shared" si="469"/>
        <v/>
      </c>
      <c r="P410" s="21"/>
    </row>
    <row r="411" spans="1:16">
      <c r="A411" s="15"/>
      <c r="B411" s="15"/>
      <c r="C411" s="143"/>
      <c r="D411" s="144"/>
      <c r="E411" s="11"/>
      <c r="F411" s="24"/>
      <c r="G411" s="11"/>
      <c r="H411" s="24"/>
      <c r="J411" s="145">
        <f t="shared" si="470"/>
        <v>0</v>
      </c>
      <c r="K411" s="146">
        <f t="shared" si="471"/>
        <v>3.3306690738754696E-16</v>
      </c>
      <c r="L411" s="123"/>
      <c r="M411" s="142" t="str">
        <f t="shared" si="468"/>
        <v/>
      </c>
      <c r="O411" s="142" t="str">
        <f t="shared" si="469"/>
        <v/>
      </c>
      <c r="P411" s="21"/>
    </row>
    <row r="412" spans="1:16">
      <c r="A412" s="15"/>
      <c r="B412" s="15"/>
      <c r="C412" s="143"/>
      <c r="D412" s="144"/>
      <c r="E412" s="11"/>
      <c r="F412" s="24"/>
      <c r="G412" s="11"/>
      <c r="H412" s="24"/>
      <c r="J412" s="145">
        <f t="shared" si="470"/>
        <v>0</v>
      </c>
      <c r="K412" s="146">
        <f t="shared" si="471"/>
        <v>3.3306690738754696E-16</v>
      </c>
      <c r="L412" s="123"/>
      <c r="M412" s="142" t="str">
        <f t="shared" si="468"/>
        <v/>
      </c>
      <c r="O412" s="142" t="str">
        <f t="shared" si="469"/>
        <v/>
      </c>
      <c r="P412" s="21"/>
    </row>
    <row r="413" spans="1:16">
      <c r="A413" s="15"/>
      <c r="B413" s="15"/>
      <c r="C413" s="143"/>
      <c r="D413" s="144"/>
      <c r="E413" s="11"/>
      <c r="F413" s="24"/>
      <c r="G413" s="11"/>
      <c r="H413" s="24"/>
      <c r="J413" s="145">
        <f t="shared" si="470"/>
        <v>0</v>
      </c>
      <c r="K413" s="146">
        <f t="shared" si="471"/>
        <v>3.3306690738754696E-16</v>
      </c>
      <c r="L413" s="123"/>
      <c r="M413" s="142" t="str">
        <f t="shared" si="468"/>
        <v/>
      </c>
      <c r="O413" s="142" t="str">
        <f t="shared" si="469"/>
        <v/>
      </c>
      <c r="P413" s="21"/>
    </row>
    <row r="414" spans="1:16">
      <c r="A414" s="15"/>
      <c r="B414" s="15"/>
      <c r="C414" s="143"/>
      <c r="D414" s="144"/>
      <c r="E414" s="11"/>
      <c r="F414" s="24"/>
      <c r="G414" s="11"/>
      <c r="H414" s="24"/>
      <c r="J414" s="145">
        <f t="shared" si="470"/>
        <v>0</v>
      </c>
      <c r="K414" s="146">
        <f t="shared" si="471"/>
        <v>3.3306690738754696E-16</v>
      </c>
      <c r="L414" s="123"/>
      <c r="M414" s="142" t="str">
        <f t="shared" si="468"/>
        <v/>
      </c>
      <c r="O414" s="142" t="str">
        <f t="shared" si="469"/>
        <v/>
      </c>
      <c r="P414" s="21"/>
    </row>
    <row r="415" spans="1:16">
      <c r="A415" s="15"/>
      <c r="B415" s="15"/>
      <c r="C415" s="143"/>
      <c r="D415" s="144"/>
      <c r="E415" s="11"/>
      <c r="F415" s="24"/>
      <c r="G415" s="11"/>
      <c r="H415" s="24"/>
      <c r="J415" s="145">
        <f t="shared" si="470"/>
        <v>0</v>
      </c>
      <c r="K415" s="146">
        <f t="shared" si="471"/>
        <v>3.3306690738754696E-16</v>
      </c>
      <c r="L415" s="123"/>
      <c r="M415" s="142" t="str">
        <f t="shared" si="468"/>
        <v/>
      </c>
      <c r="O415" s="142" t="str">
        <f t="shared" si="469"/>
        <v/>
      </c>
      <c r="P415" s="21"/>
    </row>
    <row r="416" spans="1:16">
      <c r="A416" s="15"/>
      <c r="B416" s="15"/>
      <c r="C416" s="143"/>
      <c r="D416" s="144"/>
      <c r="E416" s="11"/>
      <c r="F416" s="24"/>
      <c r="G416" s="11"/>
      <c r="H416" s="24"/>
      <c r="J416" s="145">
        <f t="shared" si="470"/>
        <v>0</v>
      </c>
      <c r="K416" s="146">
        <f t="shared" si="471"/>
        <v>3.3306690738754696E-16</v>
      </c>
      <c r="L416" s="123"/>
      <c r="M416" s="142" t="str">
        <f t="shared" si="468"/>
        <v/>
      </c>
      <c r="O416" s="142" t="str">
        <f t="shared" si="469"/>
        <v/>
      </c>
      <c r="P416" s="21"/>
    </row>
    <row r="417" spans="1:16">
      <c r="A417" s="15"/>
      <c r="B417" s="15"/>
      <c r="C417" s="143"/>
      <c r="D417" s="144"/>
      <c r="E417" s="11"/>
      <c r="F417" s="24"/>
      <c r="G417" s="11"/>
      <c r="H417" s="24"/>
      <c r="J417" s="145">
        <f t="shared" si="470"/>
        <v>0</v>
      </c>
      <c r="K417" s="146">
        <f t="shared" si="471"/>
        <v>3.3306690738754696E-16</v>
      </c>
      <c r="L417" s="123"/>
      <c r="M417" s="142" t="str">
        <f t="shared" si="468"/>
        <v/>
      </c>
      <c r="O417" s="142" t="str">
        <f t="shared" si="469"/>
        <v/>
      </c>
      <c r="P417" s="21"/>
    </row>
    <row r="418" spans="1:16">
      <c r="A418" s="15"/>
      <c r="B418" s="15"/>
      <c r="C418" s="143"/>
      <c r="D418" s="144"/>
      <c r="E418" s="11"/>
      <c r="F418" s="24"/>
      <c r="G418" s="11"/>
      <c r="H418" s="24"/>
      <c r="J418" s="145">
        <f t="shared" si="470"/>
        <v>0</v>
      </c>
      <c r="K418" s="146">
        <f t="shared" si="471"/>
        <v>3.3306690738754696E-16</v>
      </c>
      <c r="L418" s="123"/>
      <c r="M418" s="142" t="str">
        <f t="shared" si="468"/>
        <v/>
      </c>
      <c r="O418" s="142" t="str">
        <f t="shared" si="469"/>
        <v/>
      </c>
      <c r="P418" s="21"/>
    </row>
    <row r="419" spans="1:16">
      <c r="A419" s="15"/>
      <c r="B419" s="15"/>
      <c r="C419" s="143"/>
      <c r="D419" s="144"/>
      <c r="E419" s="11"/>
      <c r="F419" s="24"/>
      <c r="G419" s="11"/>
      <c r="H419" s="24"/>
      <c r="J419" s="145">
        <f t="shared" si="470"/>
        <v>0</v>
      </c>
      <c r="K419" s="146">
        <f t="shared" si="471"/>
        <v>3.3306690738754696E-16</v>
      </c>
      <c r="L419" s="123"/>
      <c r="M419" s="142" t="str">
        <f t="shared" si="468"/>
        <v/>
      </c>
      <c r="O419" s="142" t="str">
        <f t="shared" si="469"/>
        <v/>
      </c>
      <c r="P419" s="21"/>
    </row>
    <row r="420" spans="1:16">
      <c r="A420" s="15"/>
      <c r="B420" s="15"/>
      <c r="C420" s="143"/>
      <c r="D420" s="144"/>
      <c r="E420" s="11"/>
      <c r="F420" s="24"/>
      <c r="G420" s="11"/>
      <c r="H420" s="24"/>
      <c r="J420" s="145">
        <f t="shared" si="470"/>
        <v>0</v>
      </c>
      <c r="K420" s="146">
        <f t="shared" si="471"/>
        <v>3.3306690738754696E-16</v>
      </c>
      <c r="L420" s="123"/>
      <c r="M420" s="142" t="str">
        <f t="shared" si="468"/>
        <v/>
      </c>
      <c r="O420" s="142" t="str">
        <f t="shared" si="469"/>
        <v/>
      </c>
      <c r="P420" s="21"/>
    </row>
    <row r="421" spans="1:16">
      <c r="A421" s="15"/>
      <c r="B421" s="15"/>
      <c r="C421" s="143"/>
      <c r="D421" s="144"/>
      <c r="E421" s="11"/>
      <c r="F421" s="24"/>
      <c r="G421" s="11"/>
      <c r="H421" s="24"/>
      <c r="J421" s="145">
        <f t="shared" si="470"/>
        <v>0</v>
      </c>
      <c r="K421" s="146">
        <f t="shared" si="471"/>
        <v>3.3306690738754696E-16</v>
      </c>
      <c r="L421" s="123"/>
      <c r="M421" s="142" t="str">
        <f t="shared" si="468"/>
        <v/>
      </c>
      <c r="O421" s="142" t="str">
        <f t="shared" si="469"/>
        <v/>
      </c>
      <c r="P421" s="21"/>
    </row>
    <row r="422" spans="1:16">
      <c r="A422" s="15"/>
      <c r="B422" s="15"/>
      <c r="C422" s="143"/>
      <c r="D422" s="144"/>
      <c r="E422" s="11"/>
      <c r="F422" s="24"/>
      <c r="G422" s="11"/>
      <c r="H422" s="24"/>
      <c r="J422" s="145">
        <f t="shared" si="470"/>
        <v>0</v>
      </c>
      <c r="K422" s="146">
        <f t="shared" si="471"/>
        <v>3.3306690738754696E-16</v>
      </c>
      <c r="L422" s="123"/>
      <c r="M422" s="142" t="str">
        <f t="shared" si="468"/>
        <v/>
      </c>
      <c r="O422" s="142" t="str">
        <f t="shared" si="469"/>
        <v/>
      </c>
      <c r="P422" s="21"/>
    </row>
    <row r="423" spans="1:16">
      <c r="A423" s="15"/>
      <c r="B423" s="15"/>
      <c r="C423" s="143"/>
      <c r="D423" s="144"/>
      <c r="E423" s="11"/>
      <c r="F423" s="24"/>
      <c r="G423" s="11"/>
      <c r="H423" s="24"/>
      <c r="J423" s="145">
        <f t="shared" si="470"/>
        <v>0</v>
      </c>
      <c r="K423" s="146">
        <f t="shared" si="471"/>
        <v>3.3306690738754696E-16</v>
      </c>
      <c r="L423" s="123"/>
      <c r="M423" s="142" t="str">
        <f t="shared" si="468"/>
        <v/>
      </c>
      <c r="O423" s="142" t="str">
        <f t="shared" si="469"/>
        <v/>
      </c>
      <c r="P423" s="21"/>
    </row>
    <row r="424" spans="1:16">
      <c r="A424" s="15"/>
      <c r="B424" s="15"/>
      <c r="C424" s="143"/>
      <c r="D424" s="144"/>
      <c r="E424" s="11"/>
      <c r="F424" s="24"/>
      <c r="G424" s="11"/>
      <c r="H424" s="24"/>
      <c r="J424" s="145">
        <f t="shared" si="470"/>
        <v>0</v>
      </c>
      <c r="K424" s="146">
        <f t="shared" si="471"/>
        <v>3.3306690738754696E-16</v>
      </c>
      <c r="L424" s="123"/>
      <c r="M424" s="142" t="str">
        <f t="shared" si="468"/>
        <v/>
      </c>
      <c r="O424" s="142" t="str">
        <f t="shared" si="469"/>
        <v/>
      </c>
      <c r="P424" s="21"/>
    </row>
    <row r="425" spans="1:16">
      <c r="A425" s="15"/>
      <c r="B425" s="15"/>
      <c r="C425" s="143"/>
      <c r="D425" s="144"/>
      <c r="E425" s="11"/>
      <c r="F425" s="24"/>
      <c r="G425" s="11"/>
      <c r="H425" s="24"/>
      <c r="J425" s="145">
        <f t="shared" si="470"/>
        <v>0</v>
      </c>
      <c r="K425" s="146">
        <f t="shared" si="471"/>
        <v>3.3306690738754696E-16</v>
      </c>
      <c r="L425" s="123"/>
      <c r="M425" s="142" t="str">
        <f t="shared" si="468"/>
        <v/>
      </c>
      <c r="O425" s="142" t="str">
        <f t="shared" si="469"/>
        <v/>
      </c>
      <c r="P425" s="21"/>
    </row>
    <row r="426" spans="1:16">
      <c r="A426" s="15"/>
      <c r="B426" s="15"/>
      <c r="C426" s="143"/>
      <c r="D426" s="144"/>
      <c r="E426" s="11"/>
      <c r="F426" s="24"/>
      <c r="G426" s="11"/>
      <c r="H426" s="24"/>
      <c r="J426" s="145">
        <f t="shared" si="470"/>
        <v>0</v>
      </c>
      <c r="K426" s="146">
        <f t="shared" si="471"/>
        <v>3.3306690738754696E-16</v>
      </c>
      <c r="L426" s="123"/>
      <c r="M426" s="142" t="str">
        <f t="shared" si="468"/>
        <v/>
      </c>
      <c r="O426" s="142" t="str">
        <f t="shared" si="469"/>
        <v/>
      </c>
      <c r="P426" s="21"/>
    </row>
    <row r="427" spans="1:16">
      <c r="A427" s="15"/>
      <c r="B427" s="15"/>
      <c r="C427" s="143"/>
      <c r="D427" s="144"/>
      <c r="E427" s="11"/>
      <c r="F427" s="24"/>
      <c r="G427" s="11"/>
      <c r="H427" s="24"/>
      <c r="J427" s="145">
        <f t="shared" si="470"/>
        <v>0</v>
      </c>
      <c r="K427" s="146">
        <f t="shared" si="471"/>
        <v>3.3306690738754696E-16</v>
      </c>
      <c r="L427" s="123"/>
      <c r="M427" s="142" t="str">
        <f t="shared" si="468"/>
        <v/>
      </c>
      <c r="O427" s="142" t="str">
        <f t="shared" si="469"/>
        <v/>
      </c>
      <c r="P427" s="21"/>
    </row>
    <row r="428" spans="1:16">
      <c r="A428" s="15"/>
      <c r="B428" s="15"/>
      <c r="C428" s="143"/>
      <c r="D428" s="144"/>
      <c r="E428" s="11"/>
      <c r="F428" s="24"/>
      <c r="G428" s="11"/>
      <c r="H428" s="24"/>
      <c r="J428" s="145">
        <f t="shared" si="470"/>
        <v>0</v>
      </c>
      <c r="K428" s="146">
        <f t="shared" si="471"/>
        <v>3.3306690738754696E-16</v>
      </c>
      <c r="L428" s="123"/>
      <c r="M428" s="142" t="str">
        <f t="shared" ref="M428:M491" si="472">IF(ISBLANK(F428),"",F428)</f>
        <v/>
      </c>
      <c r="O428" s="142" t="str">
        <f t="shared" ref="O428:O491" si="473">IF(ISBLANK(H428),"",H428)</f>
        <v/>
      </c>
      <c r="P428" s="21"/>
    </row>
    <row r="429" spans="1:16">
      <c r="A429" s="15"/>
      <c r="B429" s="15"/>
      <c r="C429" s="143"/>
      <c r="D429" s="144"/>
      <c r="E429" s="11"/>
      <c r="F429" s="24"/>
      <c r="G429" s="11"/>
      <c r="H429" s="24"/>
      <c r="J429" s="145">
        <f t="shared" ref="J429:J492" si="474">C429+D429</f>
        <v>0</v>
      </c>
      <c r="K429" s="146">
        <f t="shared" ref="K429:K492" si="475">IF($K$42="mas",J429+$L$42,J429-$L$42)</f>
        <v>3.3306690738754696E-16</v>
      </c>
      <c r="L429" s="123"/>
      <c r="M429" s="142" t="str">
        <f t="shared" si="472"/>
        <v/>
      </c>
      <c r="O429" s="142" t="str">
        <f t="shared" si="473"/>
        <v/>
      </c>
      <c r="P429" s="21"/>
    </row>
    <row r="430" spans="1:16">
      <c r="A430" s="15"/>
      <c r="B430" s="15"/>
      <c r="C430" s="143"/>
      <c r="D430" s="144"/>
      <c r="E430" s="11"/>
      <c r="F430" s="24"/>
      <c r="G430" s="11"/>
      <c r="H430" s="24"/>
      <c r="J430" s="145">
        <f t="shared" si="474"/>
        <v>0</v>
      </c>
      <c r="K430" s="146">
        <f t="shared" si="475"/>
        <v>3.3306690738754696E-16</v>
      </c>
      <c r="L430" s="123"/>
      <c r="M430" s="142" t="str">
        <f t="shared" si="472"/>
        <v/>
      </c>
      <c r="O430" s="142" t="str">
        <f t="shared" si="473"/>
        <v/>
      </c>
      <c r="P430" s="21"/>
    </row>
    <row r="431" spans="1:16">
      <c r="A431" s="15"/>
      <c r="B431" s="15"/>
      <c r="C431" s="143"/>
      <c r="D431" s="144"/>
      <c r="E431" s="11"/>
      <c r="F431" s="24"/>
      <c r="G431" s="11"/>
      <c r="H431" s="24"/>
      <c r="J431" s="145">
        <f t="shared" si="474"/>
        <v>0</v>
      </c>
      <c r="K431" s="146">
        <f t="shared" si="475"/>
        <v>3.3306690738754696E-16</v>
      </c>
      <c r="L431" s="123"/>
      <c r="M431" s="142" t="str">
        <f t="shared" si="472"/>
        <v/>
      </c>
      <c r="O431" s="142" t="str">
        <f t="shared" si="473"/>
        <v/>
      </c>
      <c r="P431" s="21"/>
    </row>
    <row r="432" spans="1:16">
      <c r="A432" s="15"/>
      <c r="B432" s="15"/>
      <c r="C432" s="143"/>
      <c r="D432" s="144"/>
      <c r="E432" s="11"/>
      <c r="F432" s="24"/>
      <c r="G432" s="11"/>
      <c r="H432" s="24"/>
      <c r="J432" s="145">
        <f t="shared" si="474"/>
        <v>0</v>
      </c>
      <c r="K432" s="146">
        <f t="shared" si="475"/>
        <v>3.3306690738754696E-16</v>
      </c>
      <c r="L432" s="123"/>
      <c r="M432" s="142" t="str">
        <f t="shared" si="472"/>
        <v/>
      </c>
      <c r="O432" s="142" t="str">
        <f t="shared" si="473"/>
        <v/>
      </c>
      <c r="P432" s="21"/>
    </row>
    <row r="433" spans="1:16">
      <c r="A433" s="15"/>
      <c r="B433" s="15"/>
      <c r="C433" s="143"/>
      <c r="D433" s="144"/>
      <c r="E433" s="11"/>
      <c r="F433" s="24"/>
      <c r="G433" s="11"/>
      <c r="H433" s="24"/>
      <c r="J433" s="145">
        <f t="shared" si="474"/>
        <v>0</v>
      </c>
      <c r="K433" s="146">
        <f t="shared" si="475"/>
        <v>3.3306690738754696E-16</v>
      </c>
      <c r="L433" s="123"/>
      <c r="M433" s="142" t="str">
        <f t="shared" si="472"/>
        <v/>
      </c>
      <c r="O433" s="142" t="str">
        <f t="shared" si="473"/>
        <v/>
      </c>
      <c r="P433" s="21"/>
    </row>
    <row r="434" spans="1:16">
      <c r="A434" s="15"/>
      <c r="B434" s="15"/>
      <c r="C434" s="143"/>
      <c r="D434" s="144"/>
      <c r="E434" s="11"/>
      <c r="F434" s="24"/>
      <c r="G434" s="11"/>
      <c r="H434" s="24"/>
      <c r="J434" s="145">
        <f t="shared" si="474"/>
        <v>0</v>
      </c>
      <c r="K434" s="146">
        <f t="shared" si="475"/>
        <v>3.3306690738754696E-16</v>
      </c>
      <c r="L434" s="123"/>
      <c r="M434" s="142" t="str">
        <f t="shared" si="472"/>
        <v/>
      </c>
      <c r="O434" s="142" t="str">
        <f t="shared" si="473"/>
        <v/>
      </c>
      <c r="P434" s="21"/>
    </row>
    <row r="435" spans="1:16">
      <c r="A435" s="15"/>
      <c r="B435" s="15"/>
      <c r="C435" s="143"/>
      <c r="D435" s="144"/>
      <c r="E435" s="11"/>
      <c r="F435" s="24"/>
      <c r="G435" s="11"/>
      <c r="H435" s="24"/>
      <c r="J435" s="145">
        <f t="shared" si="474"/>
        <v>0</v>
      </c>
      <c r="K435" s="146">
        <f t="shared" si="475"/>
        <v>3.3306690738754696E-16</v>
      </c>
      <c r="L435" s="123"/>
      <c r="M435" s="142" t="str">
        <f t="shared" si="472"/>
        <v/>
      </c>
      <c r="O435" s="142" t="str">
        <f t="shared" si="473"/>
        <v/>
      </c>
      <c r="P435" s="21"/>
    </row>
    <row r="436" spans="1:16">
      <c r="A436" s="15"/>
      <c r="B436" s="15"/>
      <c r="C436" s="143"/>
      <c r="D436" s="144"/>
      <c r="E436" s="11"/>
      <c r="F436" s="24"/>
      <c r="G436" s="11"/>
      <c r="H436" s="24"/>
      <c r="J436" s="145">
        <f t="shared" si="474"/>
        <v>0</v>
      </c>
      <c r="K436" s="146">
        <f t="shared" si="475"/>
        <v>3.3306690738754696E-16</v>
      </c>
      <c r="L436" s="123"/>
      <c r="M436" s="142" t="str">
        <f t="shared" si="472"/>
        <v/>
      </c>
      <c r="O436" s="142" t="str">
        <f t="shared" si="473"/>
        <v/>
      </c>
      <c r="P436" s="21"/>
    </row>
    <row r="437" spans="1:16">
      <c r="A437" s="15"/>
      <c r="B437" s="15"/>
      <c r="C437" s="143"/>
      <c r="D437" s="144"/>
      <c r="E437" s="11"/>
      <c r="F437" s="24"/>
      <c r="G437" s="11"/>
      <c r="H437" s="24"/>
      <c r="J437" s="145">
        <f t="shared" si="474"/>
        <v>0</v>
      </c>
      <c r="K437" s="146">
        <f t="shared" si="475"/>
        <v>3.3306690738754696E-16</v>
      </c>
      <c r="L437" s="123"/>
      <c r="M437" s="142" t="str">
        <f t="shared" si="472"/>
        <v/>
      </c>
      <c r="O437" s="142" t="str">
        <f t="shared" si="473"/>
        <v/>
      </c>
      <c r="P437" s="21"/>
    </row>
    <row r="438" spans="1:16">
      <c r="A438" s="15"/>
      <c r="B438" s="15"/>
      <c r="C438" s="143"/>
      <c r="D438" s="144"/>
      <c r="E438" s="11"/>
      <c r="F438" s="24"/>
      <c r="G438" s="11"/>
      <c r="H438" s="24"/>
      <c r="J438" s="145">
        <f t="shared" si="474"/>
        <v>0</v>
      </c>
      <c r="K438" s="146">
        <f t="shared" si="475"/>
        <v>3.3306690738754696E-16</v>
      </c>
      <c r="L438" s="123"/>
      <c r="M438" s="142" t="str">
        <f t="shared" si="472"/>
        <v/>
      </c>
      <c r="O438" s="142" t="str">
        <f t="shared" si="473"/>
        <v/>
      </c>
      <c r="P438" s="21"/>
    </row>
    <row r="439" spans="1:16">
      <c r="A439" s="15"/>
      <c r="B439" s="15"/>
      <c r="C439" s="143"/>
      <c r="D439" s="144"/>
      <c r="E439" s="11"/>
      <c r="F439" s="24"/>
      <c r="G439" s="11"/>
      <c r="H439" s="24"/>
      <c r="J439" s="145">
        <f t="shared" si="474"/>
        <v>0</v>
      </c>
      <c r="K439" s="146">
        <f t="shared" si="475"/>
        <v>3.3306690738754696E-16</v>
      </c>
      <c r="L439" s="123"/>
      <c r="M439" s="142" t="str">
        <f t="shared" si="472"/>
        <v/>
      </c>
      <c r="O439" s="142" t="str">
        <f t="shared" si="473"/>
        <v/>
      </c>
      <c r="P439" s="21"/>
    </row>
    <row r="440" spans="1:16">
      <c r="A440" s="15"/>
      <c r="B440" s="15"/>
      <c r="C440" s="143"/>
      <c r="D440" s="144"/>
      <c r="E440" s="11"/>
      <c r="F440" s="24"/>
      <c r="G440" s="11"/>
      <c r="H440" s="24"/>
      <c r="J440" s="145">
        <f t="shared" si="474"/>
        <v>0</v>
      </c>
      <c r="K440" s="146">
        <f t="shared" si="475"/>
        <v>3.3306690738754696E-16</v>
      </c>
      <c r="L440" s="123"/>
      <c r="M440" s="142" t="str">
        <f t="shared" si="472"/>
        <v/>
      </c>
      <c r="O440" s="142" t="str">
        <f t="shared" si="473"/>
        <v/>
      </c>
      <c r="P440" s="21"/>
    </row>
    <row r="441" spans="1:16">
      <c r="A441" s="15"/>
      <c r="B441" s="15"/>
      <c r="C441" s="143"/>
      <c r="D441" s="144"/>
      <c r="E441" s="11"/>
      <c r="F441" s="24"/>
      <c r="G441" s="11"/>
      <c r="H441" s="24"/>
      <c r="J441" s="145">
        <f t="shared" si="474"/>
        <v>0</v>
      </c>
      <c r="K441" s="146">
        <f t="shared" si="475"/>
        <v>3.3306690738754696E-16</v>
      </c>
      <c r="L441" s="123"/>
      <c r="M441" s="142" t="str">
        <f t="shared" si="472"/>
        <v/>
      </c>
      <c r="O441" s="142" t="str">
        <f t="shared" si="473"/>
        <v/>
      </c>
      <c r="P441" s="21"/>
    </row>
    <row r="442" spans="1:16">
      <c r="A442" s="15"/>
      <c r="B442" s="15"/>
      <c r="C442" s="143"/>
      <c r="D442" s="144"/>
      <c r="E442" s="11"/>
      <c r="F442" s="24"/>
      <c r="G442" s="11"/>
      <c r="H442" s="24"/>
      <c r="J442" s="145">
        <f t="shared" si="474"/>
        <v>0</v>
      </c>
      <c r="K442" s="146">
        <f t="shared" si="475"/>
        <v>3.3306690738754696E-16</v>
      </c>
      <c r="L442" s="123"/>
      <c r="M442" s="142" t="str">
        <f t="shared" si="472"/>
        <v/>
      </c>
      <c r="O442" s="142" t="str">
        <f t="shared" si="473"/>
        <v/>
      </c>
      <c r="P442" s="21"/>
    </row>
    <row r="443" spans="1:16">
      <c r="A443" s="15"/>
      <c r="B443" s="15"/>
      <c r="C443" s="143"/>
      <c r="D443" s="144"/>
      <c r="E443" s="11"/>
      <c r="F443" s="24"/>
      <c r="G443" s="11"/>
      <c r="H443" s="24"/>
      <c r="J443" s="145">
        <f t="shared" si="474"/>
        <v>0</v>
      </c>
      <c r="K443" s="146">
        <f t="shared" si="475"/>
        <v>3.3306690738754696E-16</v>
      </c>
      <c r="L443" s="123"/>
      <c r="M443" s="142" t="str">
        <f t="shared" si="472"/>
        <v/>
      </c>
      <c r="O443" s="142" t="str">
        <f t="shared" si="473"/>
        <v/>
      </c>
      <c r="P443" s="21"/>
    </row>
    <row r="444" spans="1:16">
      <c r="A444" s="15"/>
      <c r="B444" s="15"/>
      <c r="C444" s="143"/>
      <c r="D444" s="144"/>
      <c r="E444" s="11"/>
      <c r="F444" s="24"/>
      <c r="G444" s="11"/>
      <c r="H444" s="24"/>
      <c r="J444" s="145">
        <f t="shared" si="474"/>
        <v>0</v>
      </c>
      <c r="K444" s="146">
        <f t="shared" si="475"/>
        <v>3.3306690738754696E-16</v>
      </c>
      <c r="L444" s="123"/>
      <c r="M444" s="142" t="str">
        <f t="shared" si="472"/>
        <v/>
      </c>
      <c r="O444" s="142" t="str">
        <f t="shared" si="473"/>
        <v/>
      </c>
      <c r="P444" s="21"/>
    </row>
    <row r="445" spans="1:16">
      <c r="A445" s="15"/>
      <c r="B445" s="15"/>
      <c r="C445" s="143"/>
      <c r="D445" s="144"/>
      <c r="E445" s="11"/>
      <c r="F445" s="24"/>
      <c r="G445" s="11"/>
      <c r="H445" s="24"/>
      <c r="J445" s="145">
        <f t="shared" si="474"/>
        <v>0</v>
      </c>
      <c r="K445" s="146">
        <f t="shared" si="475"/>
        <v>3.3306690738754696E-16</v>
      </c>
      <c r="L445" s="123"/>
      <c r="M445" s="142" t="str">
        <f t="shared" si="472"/>
        <v/>
      </c>
      <c r="O445" s="142" t="str">
        <f t="shared" si="473"/>
        <v/>
      </c>
      <c r="P445" s="21"/>
    </row>
    <row r="446" spans="1:16">
      <c r="A446" s="15"/>
      <c r="B446" s="15"/>
      <c r="C446" s="143"/>
      <c r="D446" s="144"/>
      <c r="E446" s="11"/>
      <c r="F446" s="24"/>
      <c r="G446" s="11"/>
      <c r="H446" s="24"/>
      <c r="J446" s="145">
        <f t="shared" si="474"/>
        <v>0</v>
      </c>
      <c r="K446" s="146">
        <f t="shared" si="475"/>
        <v>3.3306690738754696E-16</v>
      </c>
      <c r="L446" s="123"/>
      <c r="M446" s="142" t="str">
        <f t="shared" si="472"/>
        <v/>
      </c>
      <c r="O446" s="142" t="str">
        <f t="shared" si="473"/>
        <v/>
      </c>
      <c r="P446" s="21"/>
    </row>
    <row r="447" spans="1:16">
      <c r="A447" s="15"/>
      <c r="B447" s="15"/>
      <c r="C447" s="143"/>
      <c r="D447" s="144"/>
      <c r="E447" s="11"/>
      <c r="F447" s="24"/>
      <c r="G447" s="11"/>
      <c r="H447" s="24"/>
      <c r="J447" s="145">
        <f t="shared" si="474"/>
        <v>0</v>
      </c>
      <c r="K447" s="146">
        <f t="shared" si="475"/>
        <v>3.3306690738754696E-16</v>
      </c>
      <c r="L447" s="123"/>
      <c r="M447" s="142" t="str">
        <f t="shared" si="472"/>
        <v/>
      </c>
      <c r="O447" s="142" t="str">
        <f t="shared" si="473"/>
        <v/>
      </c>
      <c r="P447" s="21"/>
    </row>
    <row r="448" spans="1:16">
      <c r="A448" s="15"/>
      <c r="B448" s="15"/>
      <c r="C448" s="143"/>
      <c r="D448" s="144"/>
      <c r="E448" s="11"/>
      <c r="F448" s="24"/>
      <c r="G448" s="11"/>
      <c r="H448" s="24"/>
      <c r="J448" s="145">
        <f t="shared" si="474"/>
        <v>0</v>
      </c>
      <c r="K448" s="146">
        <f t="shared" si="475"/>
        <v>3.3306690738754696E-16</v>
      </c>
      <c r="L448" s="123"/>
      <c r="M448" s="142" t="str">
        <f t="shared" si="472"/>
        <v/>
      </c>
      <c r="O448" s="142" t="str">
        <f t="shared" si="473"/>
        <v/>
      </c>
      <c r="P448" s="21"/>
    </row>
    <row r="449" spans="1:16">
      <c r="A449" s="15"/>
      <c r="B449" s="15"/>
      <c r="C449" s="143"/>
      <c r="D449" s="144"/>
      <c r="E449" s="11"/>
      <c r="F449" s="24"/>
      <c r="G449" s="11"/>
      <c r="H449" s="24"/>
      <c r="J449" s="145">
        <f t="shared" si="474"/>
        <v>0</v>
      </c>
      <c r="K449" s="146">
        <f t="shared" si="475"/>
        <v>3.3306690738754696E-16</v>
      </c>
      <c r="L449" s="123"/>
      <c r="M449" s="142" t="str">
        <f t="shared" si="472"/>
        <v/>
      </c>
      <c r="O449" s="142" t="str">
        <f t="shared" si="473"/>
        <v/>
      </c>
      <c r="P449" s="21"/>
    </row>
    <row r="450" spans="1:16">
      <c r="A450" s="15"/>
      <c r="B450" s="15"/>
      <c r="C450" s="143"/>
      <c r="D450" s="144"/>
      <c r="E450" s="11"/>
      <c r="F450" s="24"/>
      <c r="G450" s="11"/>
      <c r="H450" s="24"/>
      <c r="J450" s="145">
        <f t="shared" si="474"/>
        <v>0</v>
      </c>
      <c r="K450" s="146">
        <f t="shared" si="475"/>
        <v>3.3306690738754696E-16</v>
      </c>
      <c r="L450" s="123"/>
      <c r="M450" s="142" t="str">
        <f t="shared" si="472"/>
        <v/>
      </c>
      <c r="O450" s="142" t="str">
        <f t="shared" si="473"/>
        <v/>
      </c>
      <c r="P450" s="21"/>
    </row>
    <row r="451" spans="1:16">
      <c r="A451" s="15"/>
      <c r="B451" s="15"/>
      <c r="C451" s="143"/>
      <c r="D451" s="144"/>
      <c r="E451" s="11"/>
      <c r="F451" s="24"/>
      <c r="G451" s="11"/>
      <c r="H451" s="24"/>
      <c r="J451" s="145">
        <f t="shared" si="474"/>
        <v>0</v>
      </c>
      <c r="K451" s="146">
        <f t="shared" si="475"/>
        <v>3.3306690738754696E-16</v>
      </c>
      <c r="L451" s="123"/>
      <c r="M451" s="142" t="str">
        <f t="shared" si="472"/>
        <v/>
      </c>
      <c r="O451" s="142" t="str">
        <f t="shared" si="473"/>
        <v/>
      </c>
      <c r="P451" s="21"/>
    </row>
    <row r="452" spans="1:16">
      <c r="A452" s="15"/>
      <c r="B452" s="15"/>
      <c r="C452" s="143"/>
      <c r="D452" s="144"/>
      <c r="E452" s="11"/>
      <c r="F452" s="24"/>
      <c r="G452" s="11"/>
      <c r="H452" s="24"/>
      <c r="J452" s="145">
        <f t="shared" si="474"/>
        <v>0</v>
      </c>
      <c r="K452" s="146">
        <f t="shared" si="475"/>
        <v>3.3306690738754696E-16</v>
      </c>
      <c r="L452" s="123"/>
      <c r="M452" s="142" t="str">
        <f t="shared" si="472"/>
        <v/>
      </c>
      <c r="O452" s="142" t="str">
        <f t="shared" si="473"/>
        <v/>
      </c>
      <c r="P452" s="21"/>
    </row>
    <row r="453" spans="1:16">
      <c r="A453" s="15"/>
      <c r="B453" s="15"/>
      <c r="C453" s="143"/>
      <c r="D453" s="144"/>
      <c r="E453" s="11"/>
      <c r="F453" s="24"/>
      <c r="G453" s="11"/>
      <c r="H453" s="24"/>
      <c r="J453" s="145">
        <f t="shared" si="474"/>
        <v>0</v>
      </c>
      <c r="K453" s="146">
        <f t="shared" si="475"/>
        <v>3.3306690738754696E-16</v>
      </c>
      <c r="L453" s="123"/>
      <c r="M453" s="142" t="str">
        <f t="shared" si="472"/>
        <v/>
      </c>
      <c r="O453" s="142" t="str">
        <f t="shared" si="473"/>
        <v/>
      </c>
      <c r="P453" s="21"/>
    </row>
    <row r="454" spans="1:16">
      <c r="A454" s="15"/>
      <c r="B454" s="15"/>
      <c r="C454" s="143"/>
      <c r="D454" s="144"/>
      <c r="E454" s="11"/>
      <c r="F454" s="24"/>
      <c r="G454" s="11"/>
      <c r="H454" s="24"/>
      <c r="J454" s="145">
        <f t="shared" si="474"/>
        <v>0</v>
      </c>
      <c r="K454" s="146">
        <f t="shared" si="475"/>
        <v>3.3306690738754696E-16</v>
      </c>
      <c r="L454" s="123"/>
      <c r="M454" s="142" t="str">
        <f t="shared" si="472"/>
        <v/>
      </c>
      <c r="O454" s="142" t="str">
        <f t="shared" si="473"/>
        <v/>
      </c>
      <c r="P454" s="21"/>
    </row>
    <row r="455" spans="1:16">
      <c r="A455" s="15"/>
      <c r="B455" s="15"/>
      <c r="C455" s="143"/>
      <c r="D455" s="144"/>
      <c r="E455" s="11"/>
      <c r="F455" s="24"/>
      <c r="G455" s="11"/>
      <c r="H455" s="24"/>
      <c r="J455" s="145">
        <f t="shared" si="474"/>
        <v>0</v>
      </c>
      <c r="K455" s="146">
        <f t="shared" si="475"/>
        <v>3.3306690738754696E-16</v>
      </c>
      <c r="L455" s="123"/>
      <c r="M455" s="142" t="str">
        <f t="shared" si="472"/>
        <v/>
      </c>
      <c r="O455" s="142" t="str">
        <f t="shared" si="473"/>
        <v/>
      </c>
      <c r="P455" s="21"/>
    </row>
    <row r="456" spans="1:16">
      <c r="A456" s="15"/>
      <c r="B456" s="15"/>
      <c r="C456" s="143"/>
      <c r="D456" s="144"/>
      <c r="E456" s="11"/>
      <c r="F456" s="24"/>
      <c r="G456" s="11"/>
      <c r="H456" s="24"/>
      <c r="J456" s="145">
        <f t="shared" si="474"/>
        <v>0</v>
      </c>
      <c r="K456" s="146">
        <f t="shared" si="475"/>
        <v>3.3306690738754696E-16</v>
      </c>
      <c r="L456" s="123"/>
      <c r="M456" s="142" t="str">
        <f t="shared" si="472"/>
        <v/>
      </c>
      <c r="O456" s="142" t="str">
        <f t="shared" si="473"/>
        <v/>
      </c>
      <c r="P456" s="21"/>
    </row>
    <row r="457" spans="1:16">
      <c r="A457" s="15"/>
      <c r="B457" s="15"/>
      <c r="C457" s="143"/>
      <c r="D457" s="144"/>
      <c r="E457" s="11"/>
      <c r="F457" s="24"/>
      <c r="G457" s="11"/>
      <c r="H457" s="24"/>
      <c r="J457" s="145">
        <f t="shared" si="474"/>
        <v>0</v>
      </c>
      <c r="K457" s="146">
        <f t="shared" si="475"/>
        <v>3.3306690738754696E-16</v>
      </c>
      <c r="L457" s="123"/>
      <c r="M457" s="142" t="str">
        <f t="shared" si="472"/>
        <v/>
      </c>
      <c r="O457" s="142" t="str">
        <f t="shared" si="473"/>
        <v/>
      </c>
      <c r="P457" s="21"/>
    </row>
    <row r="458" spans="1:16">
      <c r="A458" s="15"/>
      <c r="B458" s="15"/>
      <c r="C458" s="143"/>
      <c r="D458" s="144"/>
      <c r="E458" s="11"/>
      <c r="F458" s="24"/>
      <c r="G458" s="11"/>
      <c r="H458" s="24"/>
      <c r="J458" s="145">
        <f t="shared" si="474"/>
        <v>0</v>
      </c>
      <c r="K458" s="146">
        <f t="shared" si="475"/>
        <v>3.3306690738754696E-16</v>
      </c>
      <c r="L458" s="123"/>
      <c r="M458" s="142" t="str">
        <f t="shared" si="472"/>
        <v/>
      </c>
      <c r="O458" s="142" t="str">
        <f t="shared" si="473"/>
        <v/>
      </c>
      <c r="P458" s="21"/>
    </row>
    <row r="459" spans="1:16">
      <c r="A459" s="15"/>
      <c r="B459" s="15"/>
      <c r="C459" s="143"/>
      <c r="D459" s="144"/>
      <c r="E459" s="11"/>
      <c r="F459" s="24"/>
      <c r="G459" s="11"/>
      <c r="H459" s="24"/>
      <c r="J459" s="145">
        <f t="shared" si="474"/>
        <v>0</v>
      </c>
      <c r="K459" s="146">
        <f t="shared" si="475"/>
        <v>3.3306690738754696E-16</v>
      </c>
      <c r="L459" s="123"/>
      <c r="M459" s="142" t="str">
        <f t="shared" si="472"/>
        <v/>
      </c>
      <c r="O459" s="142" t="str">
        <f t="shared" si="473"/>
        <v/>
      </c>
      <c r="P459" s="21"/>
    </row>
    <row r="460" spans="1:16">
      <c r="A460" s="15"/>
      <c r="B460" s="15"/>
      <c r="C460" s="143"/>
      <c r="D460" s="144"/>
      <c r="E460" s="11"/>
      <c r="F460" s="24"/>
      <c r="G460" s="11"/>
      <c r="H460" s="24"/>
      <c r="J460" s="145">
        <f t="shared" si="474"/>
        <v>0</v>
      </c>
      <c r="K460" s="146">
        <f t="shared" si="475"/>
        <v>3.3306690738754696E-16</v>
      </c>
      <c r="L460" s="123"/>
      <c r="M460" s="142" t="str">
        <f t="shared" si="472"/>
        <v/>
      </c>
      <c r="O460" s="142" t="str">
        <f t="shared" si="473"/>
        <v/>
      </c>
      <c r="P460" s="21"/>
    </row>
    <row r="461" spans="1:16">
      <c r="J461" s="145">
        <f t="shared" si="474"/>
        <v>0</v>
      </c>
      <c r="K461" s="146">
        <f t="shared" si="475"/>
        <v>3.3306690738754696E-16</v>
      </c>
      <c r="L461" s="123"/>
      <c r="M461" s="142" t="str">
        <f t="shared" si="472"/>
        <v/>
      </c>
      <c r="O461" s="142" t="str">
        <f t="shared" si="473"/>
        <v/>
      </c>
      <c r="P461" s="21"/>
    </row>
    <row r="462" spans="1:16">
      <c r="J462" s="145">
        <f t="shared" si="474"/>
        <v>0</v>
      </c>
      <c r="K462" s="146">
        <f t="shared" si="475"/>
        <v>3.3306690738754696E-16</v>
      </c>
      <c r="L462" s="123"/>
      <c r="M462" s="142" t="str">
        <f t="shared" si="472"/>
        <v/>
      </c>
      <c r="O462" s="142" t="str">
        <f t="shared" si="473"/>
        <v/>
      </c>
      <c r="P462" s="21"/>
    </row>
    <row r="463" spans="1:16">
      <c r="J463" s="145">
        <f t="shared" si="474"/>
        <v>0</v>
      </c>
      <c r="K463" s="146">
        <f t="shared" si="475"/>
        <v>3.3306690738754696E-16</v>
      </c>
      <c r="L463" s="123"/>
      <c r="M463" s="142" t="str">
        <f t="shared" si="472"/>
        <v/>
      </c>
      <c r="O463" s="142" t="str">
        <f t="shared" si="473"/>
        <v/>
      </c>
      <c r="P463" s="21"/>
    </row>
    <row r="464" spans="1:16">
      <c r="J464" s="145">
        <f t="shared" si="474"/>
        <v>0</v>
      </c>
      <c r="K464" s="146">
        <f t="shared" si="475"/>
        <v>3.3306690738754696E-16</v>
      </c>
      <c r="L464" s="123"/>
      <c r="M464" s="142" t="str">
        <f t="shared" si="472"/>
        <v/>
      </c>
      <c r="O464" s="142" t="str">
        <f t="shared" si="473"/>
        <v/>
      </c>
      <c r="P464" s="21"/>
    </row>
    <row r="465" spans="10:16">
      <c r="J465" s="145">
        <f t="shared" si="474"/>
        <v>0</v>
      </c>
      <c r="K465" s="146">
        <f t="shared" si="475"/>
        <v>3.3306690738754696E-16</v>
      </c>
      <c r="L465" s="123"/>
      <c r="M465" s="142" t="str">
        <f t="shared" si="472"/>
        <v/>
      </c>
      <c r="O465" s="142" t="str">
        <f t="shared" si="473"/>
        <v/>
      </c>
      <c r="P465" s="21"/>
    </row>
    <row r="466" spans="10:16">
      <c r="J466" s="145">
        <f t="shared" si="474"/>
        <v>0</v>
      </c>
      <c r="K466" s="146">
        <f t="shared" si="475"/>
        <v>3.3306690738754696E-16</v>
      </c>
      <c r="L466" s="123"/>
      <c r="M466" s="142" t="str">
        <f t="shared" si="472"/>
        <v/>
      </c>
      <c r="O466" s="142" t="str">
        <f t="shared" si="473"/>
        <v/>
      </c>
      <c r="P466" s="21"/>
    </row>
    <row r="467" spans="10:16">
      <c r="J467" s="145">
        <f t="shared" si="474"/>
        <v>0</v>
      </c>
      <c r="K467" s="146">
        <f t="shared" si="475"/>
        <v>3.3306690738754696E-16</v>
      </c>
      <c r="L467" s="123"/>
      <c r="M467" s="142" t="str">
        <f t="shared" si="472"/>
        <v/>
      </c>
      <c r="O467" s="142" t="str">
        <f t="shared" si="473"/>
        <v/>
      </c>
      <c r="P467" s="21"/>
    </row>
    <row r="468" spans="10:16">
      <c r="J468" s="145">
        <f t="shared" si="474"/>
        <v>0</v>
      </c>
      <c r="K468" s="146">
        <f t="shared" si="475"/>
        <v>3.3306690738754696E-16</v>
      </c>
      <c r="L468" s="123"/>
      <c r="M468" s="142" t="str">
        <f t="shared" si="472"/>
        <v/>
      </c>
      <c r="O468" s="142" t="str">
        <f t="shared" si="473"/>
        <v/>
      </c>
      <c r="P468" s="21"/>
    </row>
    <row r="469" spans="10:16">
      <c r="J469" s="145">
        <f t="shared" si="474"/>
        <v>0</v>
      </c>
      <c r="K469" s="146">
        <f t="shared" si="475"/>
        <v>3.3306690738754696E-16</v>
      </c>
      <c r="L469" s="123"/>
      <c r="M469" s="142" t="str">
        <f t="shared" si="472"/>
        <v/>
      </c>
      <c r="O469" s="142" t="str">
        <f t="shared" si="473"/>
        <v/>
      </c>
      <c r="P469" s="21"/>
    </row>
    <row r="470" spans="10:16">
      <c r="J470" s="145">
        <f t="shared" si="474"/>
        <v>0</v>
      </c>
      <c r="K470" s="146">
        <f t="shared" si="475"/>
        <v>3.3306690738754696E-16</v>
      </c>
      <c r="L470" s="123"/>
      <c r="M470" s="142" t="str">
        <f t="shared" si="472"/>
        <v/>
      </c>
      <c r="O470" s="142" t="str">
        <f t="shared" si="473"/>
        <v/>
      </c>
      <c r="P470" s="21"/>
    </row>
    <row r="471" spans="10:16">
      <c r="J471" s="145">
        <f t="shared" si="474"/>
        <v>0</v>
      </c>
      <c r="K471" s="146">
        <f t="shared" si="475"/>
        <v>3.3306690738754696E-16</v>
      </c>
      <c r="L471" s="123"/>
      <c r="M471" s="142" t="str">
        <f t="shared" si="472"/>
        <v/>
      </c>
      <c r="O471" s="142" t="str">
        <f t="shared" si="473"/>
        <v/>
      </c>
      <c r="P471" s="21"/>
    </row>
    <row r="472" spans="10:16">
      <c r="J472" s="145">
        <f t="shared" si="474"/>
        <v>0</v>
      </c>
      <c r="K472" s="146">
        <f t="shared" si="475"/>
        <v>3.3306690738754696E-16</v>
      </c>
      <c r="L472" s="123"/>
      <c r="M472" s="142" t="str">
        <f t="shared" si="472"/>
        <v/>
      </c>
      <c r="O472" s="142" t="str">
        <f t="shared" si="473"/>
        <v/>
      </c>
      <c r="P472" s="21"/>
    </row>
    <row r="473" spans="10:16">
      <c r="J473" s="145">
        <f t="shared" si="474"/>
        <v>0</v>
      </c>
      <c r="K473" s="146">
        <f t="shared" si="475"/>
        <v>3.3306690738754696E-16</v>
      </c>
      <c r="L473" s="123"/>
      <c r="M473" s="142" t="str">
        <f t="shared" si="472"/>
        <v/>
      </c>
      <c r="O473" s="142" t="str">
        <f t="shared" si="473"/>
        <v/>
      </c>
      <c r="P473" s="21"/>
    </row>
    <row r="474" spans="10:16">
      <c r="J474" s="145">
        <f t="shared" si="474"/>
        <v>0</v>
      </c>
      <c r="K474" s="146">
        <f t="shared" si="475"/>
        <v>3.3306690738754696E-16</v>
      </c>
      <c r="L474" s="123"/>
      <c r="M474" s="142" t="str">
        <f t="shared" si="472"/>
        <v/>
      </c>
      <c r="O474" s="142" t="str">
        <f t="shared" si="473"/>
        <v/>
      </c>
      <c r="P474" s="21"/>
    </row>
    <row r="475" spans="10:16">
      <c r="J475" s="145">
        <f t="shared" si="474"/>
        <v>0</v>
      </c>
      <c r="K475" s="146">
        <f t="shared" si="475"/>
        <v>3.3306690738754696E-16</v>
      </c>
      <c r="L475" s="123"/>
      <c r="M475" s="142" t="str">
        <f t="shared" si="472"/>
        <v/>
      </c>
      <c r="O475" s="142" t="str">
        <f t="shared" si="473"/>
        <v/>
      </c>
      <c r="P475" s="21"/>
    </row>
    <row r="476" spans="10:16">
      <c r="J476" s="145">
        <f t="shared" si="474"/>
        <v>0</v>
      </c>
      <c r="K476" s="146">
        <f t="shared" si="475"/>
        <v>3.3306690738754696E-16</v>
      </c>
      <c r="L476" s="123"/>
      <c r="M476" s="142" t="str">
        <f t="shared" si="472"/>
        <v/>
      </c>
      <c r="O476" s="142" t="str">
        <f t="shared" si="473"/>
        <v/>
      </c>
      <c r="P476" s="21"/>
    </row>
    <row r="477" spans="10:16">
      <c r="J477" s="145">
        <f t="shared" si="474"/>
        <v>0</v>
      </c>
      <c r="K477" s="146">
        <f t="shared" si="475"/>
        <v>3.3306690738754696E-16</v>
      </c>
      <c r="L477" s="123"/>
      <c r="M477" s="142" t="str">
        <f t="shared" si="472"/>
        <v/>
      </c>
      <c r="O477" s="142" t="str">
        <f t="shared" si="473"/>
        <v/>
      </c>
      <c r="P477" s="21"/>
    </row>
    <row r="478" spans="10:16">
      <c r="J478" s="145">
        <f t="shared" si="474"/>
        <v>0</v>
      </c>
      <c r="K478" s="146">
        <f t="shared" si="475"/>
        <v>3.3306690738754696E-16</v>
      </c>
      <c r="L478" s="123"/>
      <c r="M478" s="142" t="str">
        <f t="shared" si="472"/>
        <v/>
      </c>
      <c r="O478" s="142" t="str">
        <f t="shared" si="473"/>
        <v/>
      </c>
      <c r="P478" s="21"/>
    </row>
    <row r="479" spans="10:16">
      <c r="J479" s="145">
        <f t="shared" si="474"/>
        <v>0</v>
      </c>
      <c r="K479" s="146">
        <f t="shared" si="475"/>
        <v>3.3306690738754696E-16</v>
      </c>
      <c r="L479" s="123"/>
      <c r="M479" s="142" t="str">
        <f t="shared" si="472"/>
        <v/>
      </c>
      <c r="O479" s="142" t="str">
        <f t="shared" si="473"/>
        <v/>
      </c>
      <c r="P479" s="21"/>
    </row>
    <row r="480" spans="10:16">
      <c r="J480" s="145">
        <f t="shared" si="474"/>
        <v>0</v>
      </c>
      <c r="K480" s="146">
        <f t="shared" si="475"/>
        <v>3.3306690738754696E-16</v>
      </c>
      <c r="L480" s="123"/>
      <c r="M480" s="142" t="str">
        <f t="shared" si="472"/>
        <v/>
      </c>
      <c r="O480" s="142" t="str">
        <f t="shared" si="473"/>
        <v/>
      </c>
      <c r="P480" s="21"/>
    </row>
    <row r="481" spans="10:16">
      <c r="J481" s="145">
        <f t="shared" si="474"/>
        <v>0</v>
      </c>
      <c r="K481" s="146">
        <f t="shared" si="475"/>
        <v>3.3306690738754696E-16</v>
      </c>
      <c r="L481" s="123"/>
      <c r="M481" s="142" t="str">
        <f t="shared" si="472"/>
        <v/>
      </c>
      <c r="O481" s="142" t="str">
        <f t="shared" si="473"/>
        <v/>
      </c>
      <c r="P481" s="21"/>
    </row>
    <row r="482" spans="10:16">
      <c r="J482" s="145">
        <f t="shared" si="474"/>
        <v>0</v>
      </c>
      <c r="K482" s="146">
        <f t="shared" si="475"/>
        <v>3.3306690738754696E-16</v>
      </c>
      <c r="L482" s="123"/>
      <c r="M482" s="142" t="str">
        <f t="shared" si="472"/>
        <v/>
      </c>
      <c r="O482" s="142" t="str">
        <f t="shared" si="473"/>
        <v/>
      </c>
      <c r="P482" s="21"/>
    </row>
    <row r="483" spans="10:16">
      <c r="J483" s="145">
        <f t="shared" si="474"/>
        <v>0</v>
      </c>
      <c r="K483" s="146">
        <f t="shared" si="475"/>
        <v>3.3306690738754696E-16</v>
      </c>
      <c r="L483" s="123"/>
      <c r="M483" s="142" t="str">
        <f t="shared" si="472"/>
        <v/>
      </c>
      <c r="O483" s="142" t="str">
        <f t="shared" si="473"/>
        <v/>
      </c>
      <c r="P483" s="21"/>
    </row>
    <row r="484" spans="10:16">
      <c r="J484" s="145">
        <f t="shared" si="474"/>
        <v>0</v>
      </c>
      <c r="K484" s="146">
        <f t="shared" si="475"/>
        <v>3.3306690738754696E-16</v>
      </c>
      <c r="L484" s="123"/>
      <c r="M484" s="142" t="str">
        <f t="shared" si="472"/>
        <v/>
      </c>
      <c r="O484" s="142" t="str">
        <f t="shared" si="473"/>
        <v/>
      </c>
      <c r="P484" s="21"/>
    </row>
    <row r="485" spans="10:16">
      <c r="J485" s="145">
        <f t="shared" si="474"/>
        <v>0</v>
      </c>
      <c r="K485" s="146">
        <f t="shared" si="475"/>
        <v>3.3306690738754696E-16</v>
      </c>
      <c r="L485" s="123"/>
      <c r="M485" s="142" t="str">
        <f t="shared" si="472"/>
        <v/>
      </c>
      <c r="O485" s="142" t="str">
        <f t="shared" si="473"/>
        <v/>
      </c>
      <c r="P485" s="21"/>
    </row>
    <row r="486" spans="10:16">
      <c r="J486" s="145">
        <f t="shared" si="474"/>
        <v>0</v>
      </c>
      <c r="K486" s="146">
        <f t="shared" si="475"/>
        <v>3.3306690738754696E-16</v>
      </c>
      <c r="L486" s="123"/>
      <c r="M486" s="142" t="str">
        <f t="shared" si="472"/>
        <v/>
      </c>
      <c r="O486" s="142" t="str">
        <f t="shared" si="473"/>
        <v/>
      </c>
      <c r="P486" s="21"/>
    </row>
    <row r="487" spans="10:16">
      <c r="J487" s="145">
        <f t="shared" si="474"/>
        <v>0</v>
      </c>
      <c r="K487" s="146">
        <f t="shared" si="475"/>
        <v>3.3306690738754696E-16</v>
      </c>
      <c r="L487" s="123"/>
      <c r="M487" s="142" t="str">
        <f t="shared" si="472"/>
        <v/>
      </c>
      <c r="O487" s="142" t="str">
        <f t="shared" si="473"/>
        <v/>
      </c>
      <c r="P487" s="21"/>
    </row>
    <row r="488" spans="10:16">
      <c r="J488" s="145">
        <f t="shared" si="474"/>
        <v>0</v>
      </c>
      <c r="K488" s="146">
        <f t="shared" si="475"/>
        <v>3.3306690738754696E-16</v>
      </c>
      <c r="L488" s="123"/>
      <c r="M488" s="142" t="str">
        <f t="shared" si="472"/>
        <v/>
      </c>
      <c r="O488" s="142" t="str">
        <f t="shared" si="473"/>
        <v/>
      </c>
      <c r="P488" s="21"/>
    </row>
    <row r="489" spans="10:16">
      <c r="J489" s="145">
        <f t="shared" si="474"/>
        <v>0</v>
      </c>
      <c r="K489" s="146">
        <f t="shared" si="475"/>
        <v>3.3306690738754696E-16</v>
      </c>
      <c r="L489" s="123"/>
      <c r="M489" s="142" t="str">
        <f t="shared" si="472"/>
        <v/>
      </c>
      <c r="O489" s="142" t="str">
        <f t="shared" si="473"/>
        <v/>
      </c>
      <c r="P489" s="21"/>
    </row>
    <row r="490" spans="10:16">
      <c r="J490" s="145">
        <f t="shared" si="474"/>
        <v>0</v>
      </c>
      <c r="K490" s="146">
        <f t="shared" si="475"/>
        <v>3.3306690738754696E-16</v>
      </c>
      <c r="L490" s="123"/>
      <c r="M490" s="142" t="str">
        <f t="shared" si="472"/>
        <v/>
      </c>
      <c r="O490" s="142" t="str">
        <f t="shared" si="473"/>
        <v/>
      </c>
      <c r="P490" s="21"/>
    </row>
    <row r="491" spans="10:16">
      <c r="J491" s="145">
        <f t="shared" si="474"/>
        <v>0</v>
      </c>
      <c r="K491" s="146">
        <f t="shared" si="475"/>
        <v>3.3306690738754696E-16</v>
      </c>
      <c r="L491" s="123"/>
      <c r="M491" s="142" t="str">
        <f t="shared" si="472"/>
        <v/>
      </c>
      <c r="O491" s="142" t="str">
        <f t="shared" si="473"/>
        <v/>
      </c>
      <c r="P491" s="21"/>
    </row>
    <row r="492" spans="10:16">
      <c r="J492" s="145">
        <f t="shared" si="474"/>
        <v>0</v>
      </c>
      <c r="K492" s="146">
        <f t="shared" si="475"/>
        <v>3.3306690738754696E-16</v>
      </c>
      <c r="L492" s="123"/>
      <c r="M492" s="142" t="str">
        <f t="shared" ref="M492:M555" si="476">IF(ISBLANK(F492),"",F492)</f>
        <v/>
      </c>
      <c r="O492" s="142" t="str">
        <f t="shared" ref="O492:O555" si="477">IF(ISBLANK(H492),"",H492)</f>
        <v/>
      </c>
      <c r="P492" s="21"/>
    </row>
    <row r="493" spans="10:16">
      <c r="J493" s="145">
        <f t="shared" ref="J493:J556" si="478">C493+D493</f>
        <v>0</v>
      </c>
      <c r="K493" s="146">
        <f t="shared" ref="K493:K556" si="479">IF($K$42="mas",J493+$L$42,J493-$L$42)</f>
        <v>3.3306690738754696E-16</v>
      </c>
      <c r="L493" s="123"/>
      <c r="M493" s="142" t="str">
        <f t="shared" si="476"/>
        <v/>
      </c>
      <c r="O493" s="142" t="str">
        <f t="shared" si="477"/>
        <v/>
      </c>
      <c r="P493" s="21"/>
    </row>
    <row r="494" spans="10:16">
      <c r="J494" s="145">
        <f t="shared" si="478"/>
        <v>0</v>
      </c>
      <c r="K494" s="146">
        <f t="shared" si="479"/>
        <v>3.3306690738754696E-16</v>
      </c>
      <c r="L494" s="123"/>
      <c r="M494" s="142" t="str">
        <f t="shared" si="476"/>
        <v/>
      </c>
      <c r="O494" s="142" t="str">
        <f t="shared" si="477"/>
        <v/>
      </c>
      <c r="P494" s="21"/>
    </row>
    <row r="495" spans="10:16">
      <c r="J495" s="145">
        <f t="shared" si="478"/>
        <v>0</v>
      </c>
      <c r="K495" s="146">
        <f t="shared" si="479"/>
        <v>3.3306690738754696E-16</v>
      </c>
      <c r="L495" s="123"/>
      <c r="M495" s="142" t="str">
        <f t="shared" si="476"/>
        <v/>
      </c>
      <c r="O495" s="142" t="str">
        <f t="shared" si="477"/>
        <v/>
      </c>
      <c r="P495" s="21"/>
    </row>
    <row r="496" spans="10:16">
      <c r="J496" s="145">
        <f t="shared" si="478"/>
        <v>0</v>
      </c>
      <c r="K496" s="146">
        <f t="shared" si="479"/>
        <v>3.3306690738754696E-16</v>
      </c>
      <c r="L496" s="123"/>
      <c r="M496" s="142" t="str">
        <f t="shared" si="476"/>
        <v/>
      </c>
      <c r="O496" s="142" t="str">
        <f t="shared" si="477"/>
        <v/>
      </c>
      <c r="P496" s="21"/>
    </row>
    <row r="497" spans="10:16">
      <c r="J497" s="145">
        <f t="shared" si="478"/>
        <v>0</v>
      </c>
      <c r="K497" s="146">
        <f t="shared" si="479"/>
        <v>3.3306690738754696E-16</v>
      </c>
      <c r="L497" s="123"/>
      <c r="M497" s="142" t="str">
        <f t="shared" si="476"/>
        <v/>
      </c>
      <c r="O497" s="142" t="str">
        <f t="shared" si="477"/>
        <v/>
      </c>
      <c r="P497" s="21"/>
    </row>
    <row r="498" spans="10:16">
      <c r="J498" s="145">
        <f t="shared" si="478"/>
        <v>0</v>
      </c>
      <c r="K498" s="146">
        <f t="shared" si="479"/>
        <v>3.3306690738754696E-16</v>
      </c>
      <c r="L498" s="123"/>
      <c r="M498" s="142" t="str">
        <f t="shared" si="476"/>
        <v/>
      </c>
      <c r="O498" s="142" t="str">
        <f t="shared" si="477"/>
        <v/>
      </c>
      <c r="P498" s="21"/>
    </row>
    <row r="499" spans="10:16">
      <c r="J499" s="145">
        <f t="shared" si="478"/>
        <v>0</v>
      </c>
      <c r="K499" s="146">
        <f t="shared" si="479"/>
        <v>3.3306690738754696E-16</v>
      </c>
      <c r="L499" s="123"/>
      <c r="M499" s="142" t="str">
        <f t="shared" si="476"/>
        <v/>
      </c>
      <c r="O499" s="142" t="str">
        <f t="shared" si="477"/>
        <v/>
      </c>
      <c r="P499" s="21"/>
    </row>
    <row r="500" spans="10:16">
      <c r="J500" s="145">
        <f t="shared" si="478"/>
        <v>0</v>
      </c>
      <c r="K500" s="146">
        <f t="shared" si="479"/>
        <v>3.3306690738754696E-16</v>
      </c>
      <c r="L500" s="123"/>
      <c r="M500" s="142" t="str">
        <f t="shared" si="476"/>
        <v/>
      </c>
      <c r="O500" s="142" t="str">
        <f t="shared" si="477"/>
        <v/>
      </c>
      <c r="P500" s="21"/>
    </row>
    <row r="501" spans="10:16">
      <c r="J501" s="145">
        <f t="shared" si="478"/>
        <v>0</v>
      </c>
      <c r="K501" s="146">
        <f t="shared" si="479"/>
        <v>3.3306690738754696E-16</v>
      </c>
      <c r="L501" s="123"/>
      <c r="M501" s="142" t="str">
        <f t="shared" si="476"/>
        <v/>
      </c>
      <c r="O501" s="142" t="str">
        <f t="shared" si="477"/>
        <v/>
      </c>
      <c r="P501" s="21"/>
    </row>
    <row r="502" spans="10:16">
      <c r="J502" s="145">
        <f t="shared" si="478"/>
        <v>0</v>
      </c>
      <c r="K502" s="146">
        <f t="shared" si="479"/>
        <v>3.3306690738754696E-16</v>
      </c>
      <c r="L502" s="123"/>
      <c r="M502" s="142" t="str">
        <f t="shared" si="476"/>
        <v/>
      </c>
      <c r="O502" s="142" t="str">
        <f t="shared" si="477"/>
        <v/>
      </c>
      <c r="P502" s="21"/>
    </row>
    <row r="503" spans="10:16">
      <c r="J503" s="145">
        <f t="shared" si="478"/>
        <v>0</v>
      </c>
      <c r="K503" s="146">
        <f t="shared" si="479"/>
        <v>3.3306690738754696E-16</v>
      </c>
      <c r="L503" s="123"/>
      <c r="M503" s="142" t="str">
        <f t="shared" si="476"/>
        <v/>
      </c>
      <c r="O503" s="142" t="str">
        <f t="shared" si="477"/>
        <v/>
      </c>
      <c r="P503" s="21"/>
    </row>
    <row r="504" spans="10:16">
      <c r="J504" s="145">
        <f t="shared" si="478"/>
        <v>0</v>
      </c>
      <c r="K504" s="146">
        <f t="shared" si="479"/>
        <v>3.3306690738754696E-16</v>
      </c>
      <c r="L504" s="123"/>
      <c r="M504" s="142" t="str">
        <f t="shared" si="476"/>
        <v/>
      </c>
      <c r="O504" s="142" t="str">
        <f t="shared" si="477"/>
        <v/>
      </c>
      <c r="P504" s="21"/>
    </row>
    <row r="505" spans="10:16">
      <c r="J505" s="145">
        <f t="shared" si="478"/>
        <v>0</v>
      </c>
      <c r="K505" s="146">
        <f t="shared" si="479"/>
        <v>3.3306690738754696E-16</v>
      </c>
      <c r="L505" s="123"/>
      <c r="M505" s="142" t="str">
        <f t="shared" si="476"/>
        <v/>
      </c>
      <c r="O505" s="142" t="str">
        <f t="shared" si="477"/>
        <v/>
      </c>
      <c r="P505" s="21"/>
    </row>
    <row r="506" spans="10:16">
      <c r="J506" s="145">
        <f t="shared" si="478"/>
        <v>0</v>
      </c>
      <c r="K506" s="146">
        <f t="shared" si="479"/>
        <v>3.3306690738754696E-16</v>
      </c>
      <c r="L506" s="123"/>
      <c r="M506" s="142" t="str">
        <f t="shared" si="476"/>
        <v/>
      </c>
      <c r="O506" s="142" t="str">
        <f t="shared" si="477"/>
        <v/>
      </c>
      <c r="P506" s="21"/>
    </row>
    <row r="507" spans="10:16">
      <c r="J507" s="145">
        <f t="shared" si="478"/>
        <v>0</v>
      </c>
      <c r="K507" s="146">
        <f t="shared" si="479"/>
        <v>3.3306690738754696E-16</v>
      </c>
      <c r="L507" s="123"/>
      <c r="M507" s="142" t="str">
        <f t="shared" si="476"/>
        <v/>
      </c>
      <c r="O507" s="142" t="str">
        <f t="shared" si="477"/>
        <v/>
      </c>
      <c r="P507" s="21"/>
    </row>
    <row r="508" spans="10:16">
      <c r="J508" s="145">
        <f t="shared" si="478"/>
        <v>0</v>
      </c>
      <c r="K508" s="146">
        <f t="shared" si="479"/>
        <v>3.3306690738754696E-16</v>
      </c>
      <c r="L508" s="123"/>
      <c r="M508" s="142" t="str">
        <f t="shared" si="476"/>
        <v/>
      </c>
      <c r="O508" s="142" t="str">
        <f t="shared" si="477"/>
        <v/>
      </c>
      <c r="P508" s="21"/>
    </row>
    <row r="509" spans="10:16">
      <c r="J509" s="145">
        <f t="shared" si="478"/>
        <v>0</v>
      </c>
      <c r="K509" s="146">
        <f t="shared" si="479"/>
        <v>3.3306690738754696E-16</v>
      </c>
      <c r="L509" s="123"/>
      <c r="M509" s="142" t="str">
        <f t="shared" si="476"/>
        <v/>
      </c>
      <c r="O509" s="142" t="str">
        <f t="shared" si="477"/>
        <v/>
      </c>
      <c r="P509" s="21"/>
    </row>
    <row r="510" spans="10:16">
      <c r="J510" s="145">
        <f t="shared" si="478"/>
        <v>0</v>
      </c>
      <c r="K510" s="146">
        <f t="shared" si="479"/>
        <v>3.3306690738754696E-16</v>
      </c>
      <c r="L510" s="123"/>
      <c r="M510" s="142" t="str">
        <f t="shared" si="476"/>
        <v/>
      </c>
      <c r="O510" s="142" t="str">
        <f t="shared" si="477"/>
        <v/>
      </c>
      <c r="P510" s="21"/>
    </row>
    <row r="511" spans="10:16">
      <c r="J511" s="145">
        <f t="shared" si="478"/>
        <v>0</v>
      </c>
      <c r="K511" s="146">
        <f t="shared" si="479"/>
        <v>3.3306690738754696E-16</v>
      </c>
      <c r="L511" s="123"/>
      <c r="M511" s="142" t="str">
        <f t="shared" si="476"/>
        <v/>
      </c>
      <c r="O511" s="142" t="str">
        <f t="shared" si="477"/>
        <v/>
      </c>
      <c r="P511" s="21"/>
    </row>
    <row r="512" spans="10:16">
      <c r="J512" s="145">
        <f t="shared" si="478"/>
        <v>0</v>
      </c>
      <c r="K512" s="146">
        <f t="shared" si="479"/>
        <v>3.3306690738754696E-16</v>
      </c>
      <c r="L512" s="123"/>
      <c r="M512" s="142" t="str">
        <f t="shared" si="476"/>
        <v/>
      </c>
      <c r="O512" s="142" t="str">
        <f t="shared" si="477"/>
        <v/>
      </c>
      <c r="P512" s="21"/>
    </row>
    <row r="513" spans="10:16">
      <c r="J513" s="145">
        <f t="shared" si="478"/>
        <v>0</v>
      </c>
      <c r="K513" s="146">
        <f t="shared" si="479"/>
        <v>3.3306690738754696E-16</v>
      </c>
      <c r="L513" s="123"/>
      <c r="M513" s="142" t="str">
        <f t="shared" si="476"/>
        <v/>
      </c>
      <c r="O513" s="142" t="str">
        <f t="shared" si="477"/>
        <v/>
      </c>
      <c r="P513" s="21"/>
    </row>
    <row r="514" spans="10:16">
      <c r="J514" s="145">
        <f t="shared" si="478"/>
        <v>0</v>
      </c>
      <c r="K514" s="146">
        <f t="shared" si="479"/>
        <v>3.3306690738754696E-16</v>
      </c>
      <c r="L514" s="123"/>
      <c r="M514" s="142" t="str">
        <f t="shared" si="476"/>
        <v/>
      </c>
      <c r="O514" s="142" t="str">
        <f t="shared" si="477"/>
        <v/>
      </c>
      <c r="P514" s="21"/>
    </row>
    <row r="515" spans="10:16">
      <c r="J515" s="145">
        <f t="shared" si="478"/>
        <v>0</v>
      </c>
      <c r="K515" s="146">
        <f t="shared" si="479"/>
        <v>3.3306690738754696E-16</v>
      </c>
      <c r="L515" s="123"/>
      <c r="M515" s="142" t="str">
        <f t="shared" si="476"/>
        <v/>
      </c>
      <c r="O515" s="142" t="str">
        <f t="shared" si="477"/>
        <v/>
      </c>
      <c r="P515" s="21"/>
    </row>
    <row r="516" spans="10:16">
      <c r="J516" s="145">
        <f t="shared" si="478"/>
        <v>0</v>
      </c>
      <c r="K516" s="146">
        <f t="shared" si="479"/>
        <v>3.3306690738754696E-16</v>
      </c>
      <c r="L516" s="123"/>
      <c r="M516" s="142" t="str">
        <f t="shared" si="476"/>
        <v/>
      </c>
      <c r="O516" s="142" t="str">
        <f t="shared" si="477"/>
        <v/>
      </c>
      <c r="P516" s="21"/>
    </row>
    <row r="517" spans="10:16">
      <c r="J517" s="145">
        <f t="shared" si="478"/>
        <v>0</v>
      </c>
      <c r="K517" s="146">
        <f t="shared" si="479"/>
        <v>3.3306690738754696E-16</v>
      </c>
      <c r="L517" s="123"/>
      <c r="M517" s="142" t="str">
        <f t="shared" si="476"/>
        <v/>
      </c>
      <c r="O517" s="142" t="str">
        <f t="shared" si="477"/>
        <v/>
      </c>
      <c r="P517" s="21"/>
    </row>
    <row r="518" spans="10:16">
      <c r="J518" s="145">
        <f t="shared" si="478"/>
        <v>0</v>
      </c>
      <c r="K518" s="146">
        <f t="shared" si="479"/>
        <v>3.3306690738754696E-16</v>
      </c>
      <c r="L518" s="123"/>
      <c r="M518" s="142" t="str">
        <f t="shared" si="476"/>
        <v/>
      </c>
      <c r="O518" s="142" t="str">
        <f t="shared" si="477"/>
        <v/>
      </c>
      <c r="P518" s="21"/>
    </row>
    <row r="519" spans="10:16">
      <c r="J519" s="145">
        <f t="shared" si="478"/>
        <v>0</v>
      </c>
      <c r="K519" s="146">
        <f t="shared" si="479"/>
        <v>3.3306690738754696E-16</v>
      </c>
      <c r="L519" s="123"/>
      <c r="M519" s="142" t="str">
        <f t="shared" si="476"/>
        <v/>
      </c>
      <c r="O519" s="142" t="str">
        <f t="shared" si="477"/>
        <v/>
      </c>
      <c r="P519" s="21"/>
    </row>
    <row r="520" spans="10:16">
      <c r="J520" s="145">
        <f t="shared" si="478"/>
        <v>0</v>
      </c>
      <c r="K520" s="146">
        <f t="shared" si="479"/>
        <v>3.3306690738754696E-16</v>
      </c>
      <c r="L520" s="123"/>
      <c r="M520" s="142" t="str">
        <f t="shared" si="476"/>
        <v/>
      </c>
      <c r="O520" s="142" t="str">
        <f t="shared" si="477"/>
        <v/>
      </c>
      <c r="P520" s="21"/>
    </row>
    <row r="521" spans="10:16">
      <c r="J521" s="145">
        <f t="shared" si="478"/>
        <v>0</v>
      </c>
      <c r="K521" s="146">
        <f t="shared" si="479"/>
        <v>3.3306690738754696E-16</v>
      </c>
      <c r="L521" s="123"/>
      <c r="M521" s="142" t="str">
        <f t="shared" si="476"/>
        <v/>
      </c>
      <c r="O521" s="142" t="str">
        <f t="shared" si="477"/>
        <v/>
      </c>
      <c r="P521" s="21"/>
    </row>
    <row r="522" spans="10:16">
      <c r="J522" s="145">
        <f t="shared" si="478"/>
        <v>0</v>
      </c>
      <c r="K522" s="146">
        <f t="shared" si="479"/>
        <v>3.3306690738754696E-16</v>
      </c>
      <c r="L522" s="123"/>
      <c r="M522" s="142" t="str">
        <f t="shared" si="476"/>
        <v/>
      </c>
      <c r="O522" s="142" t="str">
        <f t="shared" si="477"/>
        <v/>
      </c>
      <c r="P522" s="21"/>
    </row>
    <row r="523" spans="10:16">
      <c r="J523" s="145">
        <f t="shared" si="478"/>
        <v>0</v>
      </c>
      <c r="K523" s="146">
        <f t="shared" si="479"/>
        <v>3.3306690738754696E-16</v>
      </c>
      <c r="L523" s="123"/>
      <c r="M523" s="142" t="str">
        <f t="shared" si="476"/>
        <v/>
      </c>
      <c r="O523" s="142" t="str">
        <f t="shared" si="477"/>
        <v/>
      </c>
      <c r="P523" s="21"/>
    </row>
    <row r="524" spans="10:16">
      <c r="J524" s="145">
        <f t="shared" si="478"/>
        <v>0</v>
      </c>
      <c r="K524" s="146">
        <f t="shared" si="479"/>
        <v>3.3306690738754696E-16</v>
      </c>
      <c r="L524" s="123"/>
      <c r="M524" s="142" t="str">
        <f t="shared" si="476"/>
        <v/>
      </c>
      <c r="O524" s="142" t="str">
        <f t="shared" si="477"/>
        <v/>
      </c>
      <c r="P524" s="21"/>
    </row>
    <row r="525" spans="10:16">
      <c r="J525" s="145">
        <f t="shared" si="478"/>
        <v>0</v>
      </c>
      <c r="K525" s="146">
        <f t="shared" si="479"/>
        <v>3.3306690738754696E-16</v>
      </c>
      <c r="L525" s="123"/>
      <c r="M525" s="142" t="str">
        <f t="shared" si="476"/>
        <v/>
      </c>
      <c r="O525" s="142" t="str">
        <f t="shared" si="477"/>
        <v/>
      </c>
      <c r="P525" s="21"/>
    </row>
    <row r="526" spans="10:16">
      <c r="J526" s="145">
        <f t="shared" si="478"/>
        <v>0</v>
      </c>
      <c r="K526" s="146">
        <f t="shared" si="479"/>
        <v>3.3306690738754696E-16</v>
      </c>
      <c r="L526" s="123"/>
      <c r="M526" s="142" t="str">
        <f t="shared" si="476"/>
        <v/>
      </c>
      <c r="O526" s="142" t="str">
        <f t="shared" si="477"/>
        <v/>
      </c>
      <c r="P526" s="21"/>
    </row>
    <row r="527" spans="10:16">
      <c r="J527" s="145">
        <f t="shared" si="478"/>
        <v>0</v>
      </c>
      <c r="K527" s="146">
        <f t="shared" si="479"/>
        <v>3.3306690738754696E-16</v>
      </c>
      <c r="L527" s="123"/>
      <c r="M527" s="142" t="str">
        <f t="shared" si="476"/>
        <v/>
      </c>
      <c r="O527" s="142" t="str">
        <f t="shared" si="477"/>
        <v/>
      </c>
      <c r="P527" s="21"/>
    </row>
    <row r="528" spans="10:16">
      <c r="J528" s="145">
        <f t="shared" si="478"/>
        <v>0</v>
      </c>
      <c r="K528" s="146">
        <f t="shared" si="479"/>
        <v>3.3306690738754696E-16</v>
      </c>
      <c r="L528" s="123"/>
      <c r="M528" s="142" t="str">
        <f t="shared" si="476"/>
        <v/>
      </c>
      <c r="O528" s="142" t="str">
        <f t="shared" si="477"/>
        <v/>
      </c>
      <c r="P528" s="21"/>
    </row>
    <row r="529" spans="10:16">
      <c r="J529" s="145">
        <f t="shared" si="478"/>
        <v>0</v>
      </c>
      <c r="K529" s="146">
        <f t="shared" si="479"/>
        <v>3.3306690738754696E-16</v>
      </c>
      <c r="L529" s="123"/>
      <c r="M529" s="142" t="str">
        <f t="shared" si="476"/>
        <v/>
      </c>
      <c r="O529" s="142" t="str">
        <f t="shared" si="477"/>
        <v/>
      </c>
      <c r="P529" s="21"/>
    </row>
    <row r="530" spans="10:16">
      <c r="J530" s="145">
        <f t="shared" si="478"/>
        <v>0</v>
      </c>
      <c r="K530" s="146">
        <f t="shared" si="479"/>
        <v>3.3306690738754696E-16</v>
      </c>
      <c r="L530" s="123"/>
      <c r="M530" s="142" t="str">
        <f t="shared" si="476"/>
        <v/>
      </c>
      <c r="O530" s="142" t="str">
        <f t="shared" si="477"/>
        <v/>
      </c>
      <c r="P530" s="21"/>
    </row>
    <row r="531" spans="10:16">
      <c r="J531" s="145">
        <f t="shared" si="478"/>
        <v>0</v>
      </c>
      <c r="K531" s="146">
        <f t="shared" si="479"/>
        <v>3.3306690738754696E-16</v>
      </c>
      <c r="L531" s="123"/>
      <c r="M531" s="142" t="str">
        <f t="shared" si="476"/>
        <v/>
      </c>
      <c r="O531" s="142" t="str">
        <f t="shared" si="477"/>
        <v/>
      </c>
      <c r="P531" s="21"/>
    </row>
    <row r="532" spans="10:16">
      <c r="J532" s="145">
        <f t="shared" si="478"/>
        <v>0</v>
      </c>
      <c r="K532" s="146">
        <f t="shared" si="479"/>
        <v>3.3306690738754696E-16</v>
      </c>
      <c r="L532" s="123"/>
      <c r="M532" s="142" t="str">
        <f t="shared" si="476"/>
        <v/>
      </c>
      <c r="O532" s="142" t="str">
        <f t="shared" si="477"/>
        <v/>
      </c>
      <c r="P532" s="21"/>
    </row>
    <row r="533" spans="10:16">
      <c r="J533" s="145">
        <f t="shared" si="478"/>
        <v>0</v>
      </c>
      <c r="K533" s="146">
        <f t="shared" si="479"/>
        <v>3.3306690738754696E-16</v>
      </c>
      <c r="L533" s="123"/>
      <c r="M533" s="142" t="str">
        <f t="shared" si="476"/>
        <v/>
      </c>
      <c r="O533" s="142" t="str">
        <f t="shared" si="477"/>
        <v/>
      </c>
      <c r="P533" s="21"/>
    </row>
    <row r="534" spans="10:16">
      <c r="J534" s="145">
        <f t="shared" si="478"/>
        <v>0</v>
      </c>
      <c r="K534" s="146">
        <f t="shared" si="479"/>
        <v>3.3306690738754696E-16</v>
      </c>
      <c r="L534" s="123"/>
      <c r="M534" s="142" t="str">
        <f t="shared" si="476"/>
        <v/>
      </c>
      <c r="O534" s="142" t="str">
        <f t="shared" si="477"/>
        <v/>
      </c>
      <c r="P534" s="21"/>
    </row>
    <row r="535" spans="10:16">
      <c r="J535" s="145">
        <f t="shared" si="478"/>
        <v>0</v>
      </c>
      <c r="K535" s="146">
        <f t="shared" si="479"/>
        <v>3.3306690738754696E-16</v>
      </c>
      <c r="L535" s="123"/>
      <c r="M535" s="142" t="str">
        <f t="shared" si="476"/>
        <v/>
      </c>
      <c r="O535" s="142" t="str">
        <f t="shared" si="477"/>
        <v/>
      </c>
      <c r="P535" s="21"/>
    </row>
    <row r="536" spans="10:16">
      <c r="J536" s="145">
        <f t="shared" si="478"/>
        <v>0</v>
      </c>
      <c r="K536" s="146">
        <f t="shared" si="479"/>
        <v>3.3306690738754696E-16</v>
      </c>
      <c r="L536" s="123"/>
      <c r="M536" s="142" t="str">
        <f t="shared" si="476"/>
        <v/>
      </c>
      <c r="O536" s="142" t="str">
        <f t="shared" si="477"/>
        <v/>
      </c>
      <c r="P536" s="21"/>
    </row>
    <row r="537" spans="10:16">
      <c r="J537" s="145">
        <f t="shared" si="478"/>
        <v>0</v>
      </c>
      <c r="K537" s="146">
        <f t="shared" si="479"/>
        <v>3.3306690738754696E-16</v>
      </c>
      <c r="L537" s="123"/>
      <c r="M537" s="142" t="str">
        <f t="shared" si="476"/>
        <v/>
      </c>
      <c r="O537" s="142" t="str">
        <f t="shared" si="477"/>
        <v/>
      </c>
      <c r="P537" s="21"/>
    </row>
    <row r="538" spans="10:16">
      <c r="J538" s="145">
        <f t="shared" si="478"/>
        <v>0</v>
      </c>
      <c r="K538" s="146">
        <f t="shared" si="479"/>
        <v>3.3306690738754696E-16</v>
      </c>
      <c r="L538" s="123"/>
      <c r="M538" s="142" t="str">
        <f t="shared" si="476"/>
        <v/>
      </c>
      <c r="O538" s="142" t="str">
        <f t="shared" si="477"/>
        <v/>
      </c>
      <c r="P538" s="21"/>
    </row>
    <row r="539" spans="10:16">
      <c r="J539" s="145">
        <f t="shared" si="478"/>
        <v>0</v>
      </c>
      <c r="K539" s="146">
        <f t="shared" si="479"/>
        <v>3.3306690738754696E-16</v>
      </c>
      <c r="L539" s="123"/>
      <c r="M539" s="142" t="str">
        <f t="shared" si="476"/>
        <v/>
      </c>
      <c r="O539" s="142" t="str">
        <f t="shared" si="477"/>
        <v/>
      </c>
      <c r="P539" s="21"/>
    </row>
    <row r="540" spans="10:16">
      <c r="J540" s="145">
        <f t="shared" si="478"/>
        <v>0</v>
      </c>
      <c r="K540" s="146">
        <f t="shared" si="479"/>
        <v>3.3306690738754696E-16</v>
      </c>
      <c r="L540" s="123"/>
      <c r="M540" s="142" t="str">
        <f t="shared" si="476"/>
        <v/>
      </c>
      <c r="O540" s="142" t="str">
        <f t="shared" si="477"/>
        <v/>
      </c>
      <c r="P540" s="21"/>
    </row>
    <row r="541" spans="10:16">
      <c r="J541" s="145">
        <f t="shared" si="478"/>
        <v>0</v>
      </c>
      <c r="K541" s="146">
        <f t="shared" si="479"/>
        <v>3.3306690738754696E-16</v>
      </c>
      <c r="L541" s="123"/>
      <c r="M541" s="142" t="str">
        <f t="shared" si="476"/>
        <v/>
      </c>
      <c r="O541" s="142" t="str">
        <f t="shared" si="477"/>
        <v/>
      </c>
      <c r="P541" s="21"/>
    </row>
    <row r="542" spans="10:16">
      <c r="J542" s="145">
        <f t="shared" si="478"/>
        <v>0</v>
      </c>
      <c r="K542" s="146">
        <f t="shared" si="479"/>
        <v>3.3306690738754696E-16</v>
      </c>
      <c r="L542" s="123"/>
      <c r="M542" s="142" t="str">
        <f t="shared" si="476"/>
        <v/>
      </c>
      <c r="O542" s="142" t="str">
        <f t="shared" si="477"/>
        <v/>
      </c>
      <c r="P542" s="21"/>
    </row>
    <row r="543" spans="10:16">
      <c r="J543" s="145">
        <f t="shared" si="478"/>
        <v>0</v>
      </c>
      <c r="K543" s="146">
        <f t="shared" si="479"/>
        <v>3.3306690738754696E-16</v>
      </c>
      <c r="L543" s="123"/>
      <c r="M543" s="142" t="str">
        <f t="shared" si="476"/>
        <v/>
      </c>
      <c r="O543" s="142" t="str">
        <f t="shared" si="477"/>
        <v/>
      </c>
      <c r="P543" s="21"/>
    </row>
    <row r="544" spans="10:16">
      <c r="J544" s="145">
        <f t="shared" si="478"/>
        <v>0</v>
      </c>
      <c r="K544" s="146">
        <f t="shared" si="479"/>
        <v>3.3306690738754696E-16</v>
      </c>
      <c r="L544" s="123"/>
      <c r="M544" s="142" t="str">
        <f t="shared" si="476"/>
        <v/>
      </c>
      <c r="O544" s="142" t="str">
        <f t="shared" si="477"/>
        <v/>
      </c>
      <c r="P544" s="21"/>
    </row>
    <row r="545" spans="10:16">
      <c r="J545" s="145">
        <f t="shared" si="478"/>
        <v>0</v>
      </c>
      <c r="K545" s="146">
        <f t="shared" si="479"/>
        <v>3.3306690738754696E-16</v>
      </c>
      <c r="L545" s="123"/>
      <c r="M545" s="142" t="str">
        <f t="shared" si="476"/>
        <v/>
      </c>
      <c r="O545" s="142" t="str">
        <f t="shared" si="477"/>
        <v/>
      </c>
      <c r="P545" s="21"/>
    </row>
    <row r="546" spans="10:16">
      <c r="J546" s="145">
        <f t="shared" si="478"/>
        <v>0</v>
      </c>
      <c r="K546" s="146">
        <f t="shared" si="479"/>
        <v>3.3306690738754696E-16</v>
      </c>
      <c r="L546" s="123"/>
      <c r="M546" s="142" t="str">
        <f t="shared" si="476"/>
        <v/>
      </c>
      <c r="O546" s="142" t="str">
        <f t="shared" si="477"/>
        <v/>
      </c>
      <c r="P546" s="21"/>
    </row>
    <row r="547" spans="10:16">
      <c r="J547" s="145">
        <f t="shared" si="478"/>
        <v>0</v>
      </c>
      <c r="K547" s="146">
        <f t="shared" si="479"/>
        <v>3.3306690738754696E-16</v>
      </c>
      <c r="L547" s="123"/>
      <c r="M547" s="142" t="str">
        <f t="shared" si="476"/>
        <v/>
      </c>
      <c r="O547" s="142" t="str">
        <f t="shared" si="477"/>
        <v/>
      </c>
      <c r="P547" s="21"/>
    </row>
    <row r="548" spans="10:16">
      <c r="J548" s="145">
        <f t="shared" si="478"/>
        <v>0</v>
      </c>
      <c r="K548" s="146">
        <f t="shared" si="479"/>
        <v>3.3306690738754696E-16</v>
      </c>
      <c r="L548" s="123"/>
      <c r="M548" s="142" t="str">
        <f t="shared" si="476"/>
        <v/>
      </c>
      <c r="O548" s="142" t="str">
        <f t="shared" si="477"/>
        <v/>
      </c>
      <c r="P548" s="21"/>
    </row>
    <row r="549" spans="10:16">
      <c r="J549" s="145">
        <f t="shared" si="478"/>
        <v>0</v>
      </c>
      <c r="K549" s="146">
        <f t="shared" si="479"/>
        <v>3.3306690738754696E-16</v>
      </c>
      <c r="L549" s="123"/>
      <c r="M549" s="142" t="str">
        <f t="shared" si="476"/>
        <v/>
      </c>
      <c r="O549" s="142" t="str">
        <f t="shared" si="477"/>
        <v/>
      </c>
      <c r="P549" s="21"/>
    </row>
    <row r="550" spans="10:16">
      <c r="J550" s="145">
        <f t="shared" si="478"/>
        <v>0</v>
      </c>
      <c r="K550" s="146">
        <f t="shared" si="479"/>
        <v>3.3306690738754696E-16</v>
      </c>
      <c r="L550" s="123"/>
      <c r="M550" s="142" t="str">
        <f t="shared" si="476"/>
        <v/>
      </c>
      <c r="O550" s="142" t="str">
        <f t="shared" si="477"/>
        <v/>
      </c>
      <c r="P550" s="21"/>
    </row>
    <row r="551" spans="10:16">
      <c r="J551" s="145">
        <f t="shared" si="478"/>
        <v>0</v>
      </c>
      <c r="K551" s="146">
        <f t="shared" si="479"/>
        <v>3.3306690738754696E-16</v>
      </c>
      <c r="L551" s="123"/>
      <c r="M551" s="142" t="str">
        <f t="shared" si="476"/>
        <v/>
      </c>
      <c r="O551" s="142" t="str">
        <f t="shared" si="477"/>
        <v/>
      </c>
      <c r="P551" s="21"/>
    </row>
    <row r="552" spans="10:16">
      <c r="J552" s="145">
        <f t="shared" si="478"/>
        <v>0</v>
      </c>
      <c r="K552" s="146">
        <f t="shared" si="479"/>
        <v>3.3306690738754696E-16</v>
      </c>
      <c r="L552" s="123"/>
      <c r="M552" s="142" t="str">
        <f t="shared" si="476"/>
        <v/>
      </c>
      <c r="O552" s="142" t="str">
        <f t="shared" si="477"/>
        <v/>
      </c>
      <c r="P552" s="21"/>
    </row>
    <row r="553" spans="10:16">
      <c r="J553" s="145">
        <f t="shared" si="478"/>
        <v>0</v>
      </c>
      <c r="K553" s="146">
        <f t="shared" si="479"/>
        <v>3.3306690738754696E-16</v>
      </c>
      <c r="L553" s="123"/>
      <c r="M553" s="142" t="str">
        <f t="shared" si="476"/>
        <v/>
      </c>
      <c r="O553" s="142" t="str">
        <f t="shared" si="477"/>
        <v/>
      </c>
      <c r="P553" s="21"/>
    </row>
    <row r="554" spans="10:16">
      <c r="J554" s="145">
        <f t="shared" si="478"/>
        <v>0</v>
      </c>
      <c r="K554" s="146">
        <f t="shared" si="479"/>
        <v>3.3306690738754696E-16</v>
      </c>
      <c r="L554" s="123"/>
      <c r="M554" s="142" t="str">
        <f t="shared" si="476"/>
        <v/>
      </c>
      <c r="O554" s="142" t="str">
        <f t="shared" si="477"/>
        <v/>
      </c>
      <c r="P554" s="21"/>
    </row>
    <row r="555" spans="10:16">
      <c r="J555" s="145">
        <f t="shared" si="478"/>
        <v>0</v>
      </c>
      <c r="K555" s="146">
        <f t="shared" si="479"/>
        <v>3.3306690738754696E-16</v>
      </c>
      <c r="L555" s="123"/>
      <c r="M555" s="142" t="str">
        <f t="shared" si="476"/>
        <v/>
      </c>
      <c r="O555" s="142" t="str">
        <f t="shared" si="477"/>
        <v/>
      </c>
      <c r="P555" s="21"/>
    </row>
    <row r="556" spans="10:16">
      <c r="J556" s="145">
        <f t="shared" si="478"/>
        <v>0</v>
      </c>
      <c r="K556" s="146">
        <f t="shared" si="479"/>
        <v>3.3306690738754696E-16</v>
      </c>
      <c r="L556" s="123"/>
      <c r="M556" s="142" t="str">
        <f t="shared" ref="M556:M619" si="480">IF(ISBLANK(F556),"",F556)</f>
        <v/>
      </c>
      <c r="O556" s="142" t="str">
        <f t="shared" ref="O556:O619" si="481">IF(ISBLANK(H556),"",H556)</f>
        <v/>
      </c>
      <c r="P556" s="21"/>
    </row>
    <row r="557" spans="10:16">
      <c r="J557" s="145">
        <f t="shared" ref="J557:J620" si="482">C557+D557</f>
        <v>0</v>
      </c>
      <c r="K557" s="146">
        <f t="shared" ref="K557:K620" si="483">IF($K$42="mas",J557+$L$42,J557-$L$42)</f>
        <v>3.3306690738754696E-16</v>
      </c>
      <c r="L557" s="123"/>
      <c r="M557" s="142" t="str">
        <f t="shared" si="480"/>
        <v/>
      </c>
      <c r="O557" s="142" t="str">
        <f t="shared" si="481"/>
        <v/>
      </c>
      <c r="P557" s="21"/>
    </row>
    <row r="558" spans="10:16">
      <c r="J558" s="145">
        <f t="shared" si="482"/>
        <v>0</v>
      </c>
      <c r="K558" s="146">
        <f t="shared" si="483"/>
        <v>3.3306690738754696E-16</v>
      </c>
      <c r="L558" s="123"/>
      <c r="M558" s="142" t="str">
        <f t="shared" si="480"/>
        <v/>
      </c>
      <c r="O558" s="142" t="str">
        <f t="shared" si="481"/>
        <v/>
      </c>
      <c r="P558" s="21"/>
    </row>
    <row r="559" spans="10:16">
      <c r="J559" s="145">
        <f t="shared" si="482"/>
        <v>0</v>
      </c>
      <c r="K559" s="146">
        <f t="shared" si="483"/>
        <v>3.3306690738754696E-16</v>
      </c>
      <c r="L559" s="123"/>
      <c r="M559" s="142" t="str">
        <f t="shared" si="480"/>
        <v/>
      </c>
      <c r="O559" s="142" t="str">
        <f t="shared" si="481"/>
        <v/>
      </c>
      <c r="P559" s="21"/>
    </row>
    <row r="560" spans="10:16">
      <c r="J560" s="145">
        <f t="shared" si="482"/>
        <v>0</v>
      </c>
      <c r="K560" s="146">
        <f t="shared" si="483"/>
        <v>3.3306690738754696E-16</v>
      </c>
      <c r="L560" s="123"/>
      <c r="M560" s="142" t="str">
        <f t="shared" si="480"/>
        <v/>
      </c>
      <c r="O560" s="142" t="str">
        <f t="shared" si="481"/>
        <v/>
      </c>
      <c r="P560" s="21"/>
    </row>
    <row r="561" spans="10:16">
      <c r="J561" s="145">
        <f t="shared" si="482"/>
        <v>0</v>
      </c>
      <c r="K561" s="146">
        <f t="shared" si="483"/>
        <v>3.3306690738754696E-16</v>
      </c>
      <c r="L561" s="123"/>
      <c r="M561" s="142" t="str">
        <f t="shared" si="480"/>
        <v/>
      </c>
      <c r="O561" s="142" t="str">
        <f t="shared" si="481"/>
        <v/>
      </c>
      <c r="P561" s="21"/>
    </row>
    <row r="562" spans="10:16">
      <c r="J562" s="145">
        <f t="shared" si="482"/>
        <v>0</v>
      </c>
      <c r="K562" s="146">
        <f t="shared" si="483"/>
        <v>3.3306690738754696E-16</v>
      </c>
      <c r="L562" s="123"/>
      <c r="M562" s="142" t="str">
        <f t="shared" si="480"/>
        <v/>
      </c>
      <c r="O562" s="142" t="str">
        <f t="shared" si="481"/>
        <v/>
      </c>
      <c r="P562" s="21"/>
    </row>
    <row r="563" spans="10:16">
      <c r="J563" s="145">
        <f t="shared" si="482"/>
        <v>0</v>
      </c>
      <c r="K563" s="146">
        <f t="shared" si="483"/>
        <v>3.3306690738754696E-16</v>
      </c>
      <c r="L563" s="123"/>
      <c r="M563" s="142" t="str">
        <f t="shared" si="480"/>
        <v/>
      </c>
      <c r="O563" s="142" t="str">
        <f t="shared" si="481"/>
        <v/>
      </c>
      <c r="P563" s="21"/>
    </row>
    <row r="564" spans="10:16">
      <c r="J564" s="145">
        <f t="shared" si="482"/>
        <v>0</v>
      </c>
      <c r="K564" s="146">
        <f t="shared" si="483"/>
        <v>3.3306690738754696E-16</v>
      </c>
      <c r="L564" s="123"/>
      <c r="M564" s="142" t="str">
        <f t="shared" si="480"/>
        <v/>
      </c>
      <c r="O564" s="142" t="str">
        <f t="shared" si="481"/>
        <v/>
      </c>
      <c r="P564" s="21"/>
    </row>
    <row r="565" spans="10:16">
      <c r="J565" s="145">
        <f t="shared" si="482"/>
        <v>0</v>
      </c>
      <c r="K565" s="146">
        <f t="shared" si="483"/>
        <v>3.3306690738754696E-16</v>
      </c>
      <c r="L565" s="123"/>
      <c r="M565" s="142" t="str">
        <f t="shared" si="480"/>
        <v/>
      </c>
      <c r="O565" s="142" t="str">
        <f t="shared" si="481"/>
        <v/>
      </c>
      <c r="P565" s="21"/>
    </row>
    <row r="566" spans="10:16">
      <c r="J566" s="145">
        <f t="shared" si="482"/>
        <v>0</v>
      </c>
      <c r="K566" s="146">
        <f t="shared" si="483"/>
        <v>3.3306690738754696E-16</v>
      </c>
      <c r="L566" s="123"/>
      <c r="M566" s="142" t="str">
        <f t="shared" si="480"/>
        <v/>
      </c>
      <c r="O566" s="142" t="str">
        <f t="shared" si="481"/>
        <v/>
      </c>
      <c r="P566" s="21"/>
    </row>
    <row r="567" spans="10:16">
      <c r="J567" s="145">
        <f t="shared" si="482"/>
        <v>0</v>
      </c>
      <c r="K567" s="146">
        <f t="shared" si="483"/>
        <v>3.3306690738754696E-16</v>
      </c>
      <c r="L567" s="123"/>
      <c r="M567" s="142" t="str">
        <f t="shared" si="480"/>
        <v/>
      </c>
      <c r="O567" s="142" t="str">
        <f t="shared" si="481"/>
        <v/>
      </c>
      <c r="P567" s="21"/>
    </row>
    <row r="568" spans="10:16">
      <c r="J568" s="145">
        <f t="shared" si="482"/>
        <v>0</v>
      </c>
      <c r="K568" s="146">
        <f t="shared" si="483"/>
        <v>3.3306690738754696E-16</v>
      </c>
      <c r="L568" s="123"/>
      <c r="M568" s="142" t="str">
        <f t="shared" si="480"/>
        <v/>
      </c>
      <c r="O568" s="142" t="str">
        <f t="shared" si="481"/>
        <v/>
      </c>
      <c r="P568" s="21"/>
    </row>
    <row r="569" spans="10:16">
      <c r="J569" s="145">
        <f t="shared" si="482"/>
        <v>0</v>
      </c>
      <c r="K569" s="146">
        <f t="shared" si="483"/>
        <v>3.3306690738754696E-16</v>
      </c>
      <c r="L569" s="123"/>
      <c r="M569" s="142" t="str">
        <f t="shared" si="480"/>
        <v/>
      </c>
      <c r="O569" s="142" t="str">
        <f t="shared" si="481"/>
        <v/>
      </c>
      <c r="P569" s="21"/>
    </row>
    <row r="570" spans="10:16">
      <c r="J570" s="145">
        <f t="shared" si="482"/>
        <v>0</v>
      </c>
      <c r="K570" s="146">
        <f t="shared" si="483"/>
        <v>3.3306690738754696E-16</v>
      </c>
      <c r="L570" s="123"/>
      <c r="M570" s="142" t="str">
        <f t="shared" si="480"/>
        <v/>
      </c>
      <c r="O570" s="142" t="str">
        <f t="shared" si="481"/>
        <v/>
      </c>
      <c r="P570" s="21"/>
    </row>
    <row r="571" spans="10:16">
      <c r="J571" s="145">
        <f t="shared" si="482"/>
        <v>0</v>
      </c>
      <c r="K571" s="146">
        <f t="shared" si="483"/>
        <v>3.3306690738754696E-16</v>
      </c>
      <c r="L571" s="123"/>
      <c r="M571" s="142" t="str">
        <f t="shared" si="480"/>
        <v/>
      </c>
      <c r="O571" s="142" t="str">
        <f t="shared" si="481"/>
        <v/>
      </c>
      <c r="P571" s="21"/>
    </row>
    <row r="572" spans="10:16">
      <c r="J572" s="145">
        <f t="shared" si="482"/>
        <v>0</v>
      </c>
      <c r="K572" s="146">
        <f t="shared" si="483"/>
        <v>3.3306690738754696E-16</v>
      </c>
      <c r="L572" s="123"/>
      <c r="M572" s="142" t="str">
        <f t="shared" si="480"/>
        <v/>
      </c>
      <c r="O572" s="142" t="str">
        <f t="shared" si="481"/>
        <v/>
      </c>
      <c r="P572" s="21"/>
    </row>
    <row r="573" spans="10:16">
      <c r="J573" s="145">
        <f t="shared" si="482"/>
        <v>0</v>
      </c>
      <c r="K573" s="146">
        <f t="shared" si="483"/>
        <v>3.3306690738754696E-16</v>
      </c>
      <c r="L573" s="123"/>
      <c r="M573" s="142" t="str">
        <f t="shared" si="480"/>
        <v/>
      </c>
      <c r="O573" s="142" t="str">
        <f t="shared" si="481"/>
        <v/>
      </c>
      <c r="P573" s="21"/>
    </row>
    <row r="574" spans="10:16">
      <c r="J574" s="145">
        <f t="shared" si="482"/>
        <v>0</v>
      </c>
      <c r="K574" s="146">
        <f t="shared" si="483"/>
        <v>3.3306690738754696E-16</v>
      </c>
      <c r="L574" s="123"/>
      <c r="M574" s="142" t="str">
        <f t="shared" si="480"/>
        <v/>
      </c>
      <c r="O574" s="142" t="str">
        <f t="shared" si="481"/>
        <v/>
      </c>
      <c r="P574" s="21"/>
    </row>
    <row r="575" spans="10:16">
      <c r="J575" s="145">
        <f t="shared" si="482"/>
        <v>0</v>
      </c>
      <c r="K575" s="146">
        <f t="shared" si="483"/>
        <v>3.3306690738754696E-16</v>
      </c>
      <c r="L575" s="123"/>
      <c r="M575" s="142" t="str">
        <f t="shared" si="480"/>
        <v/>
      </c>
      <c r="O575" s="142" t="str">
        <f t="shared" si="481"/>
        <v/>
      </c>
      <c r="P575" s="21"/>
    </row>
    <row r="576" spans="10:16">
      <c r="J576" s="145">
        <f t="shared" si="482"/>
        <v>0</v>
      </c>
      <c r="K576" s="146">
        <f t="shared" si="483"/>
        <v>3.3306690738754696E-16</v>
      </c>
      <c r="L576" s="123"/>
      <c r="M576" s="142" t="str">
        <f t="shared" si="480"/>
        <v/>
      </c>
      <c r="O576" s="142" t="str">
        <f t="shared" si="481"/>
        <v/>
      </c>
      <c r="P576" s="21"/>
    </row>
    <row r="577" spans="10:16">
      <c r="J577" s="145">
        <f t="shared" si="482"/>
        <v>0</v>
      </c>
      <c r="K577" s="146">
        <f t="shared" si="483"/>
        <v>3.3306690738754696E-16</v>
      </c>
      <c r="L577" s="123"/>
      <c r="M577" s="142" t="str">
        <f t="shared" si="480"/>
        <v/>
      </c>
      <c r="O577" s="142" t="str">
        <f t="shared" si="481"/>
        <v/>
      </c>
      <c r="P577" s="21"/>
    </row>
    <row r="578" spans="10:16">
      <c r="J578" s="145">
        <f t="shared" si="482"/>
        <v>0</v>
      </c>
      <c r="K578" s="146">
        <f t="shared" si="483"/>
        <v>3.3306690738754696E-16</v>
      </c>
      <c r="L578" s="123"/>
      <c r="M578" s="142" t="str">
        <f t="shared" si="480"/>
        <v/>
      </c>
      <c r="O578" s="142" t="str">
        <f t="shared" si="481"/>
        <v/>
      </c>
      <c r="P578" s="21"/>
    </row>
    <row r="579" spans="10:16">
      <c r="J579" s="145">
        <f t="shared" si="482"/>
        <v>0</v>
      </c>
      <c r="K579" s="146">
        <f t="shared" si="483"/>
        <v>3.3306690738754696E-16</v>
      </c>
      <c r="L579" s="123"/>
      <c r="M579" s="142" t="str">
        <f t="shared" si="480"/>
        <v/>
      </c>
      <c r="O579" s="142" t="str">
        <f t="shared" si="481"/>
        <v/>
      </c>
      <c r="P579" s="21"/>
    </row>
    <row r="580" spans="10:16">
      <c r="J580" s="145">
        <f t="shared" si="482"/>
        <v>0</v>
      </c>
      <c r="K580" s="146">
        <f t="shared" si="483"/>
        <v>3.3306690738754696E-16</v>
      </c>
      <c r="L580" s="123"/>
      <c r="M580" s="142" t="str">
        <f t="shared" si="480"/>
        <v/>
      </c>
      <c r="O580" s="142" t="str">
        <f t="shared" si="481"/>
        <v/>
      </c>
      <c r="P580" s="21"/>
    </row>
    <row r="581" spans="10:16">
      <c r="J581" s="145">
        <f t="shared" si="482"/>
        <v>0</v>
      </c>
      <c r="K581" s="146">
        <f t="shared" si="483"/>
        <v>3.3306690738754696E-16</v>
      </c>
      <c r="L581" s="123"/>
      <c r="M581" s="142" t="str">
        <f t="shared" si="480"/>
        <v/>
      </c>
      <c r="O581" s="142" t="str">
        <f t="shared" si="481"/>
        <v/>
      </c>
      <c r="P581" s="21"/>
    </row>
    <row r="582" spans="10:16">
      <c r="J582" s="145">
        <f t="shared" si="482"/>
        <v>0</v>
      </c>
      <c r="K582" s="146">
        <f t="shared" si="483"/>
        <v>3.3306690738754696E-16</v>
      </c>
      <c r="L582" s="123"/>
      <c r="M582" s="142" t="str">
        <f t="shared" si="480"/>
        <v/>
      </c>
      <c r="O582" s="142" t="str">
        <f t="shared" si="481"/>
        <v/>
      </c>
      <c r="P582" s="21"/>
    </row>
    <row r="583" spans="10:16">
      <c r="J583" s="145">
        <f t="shared" si="482"/>
        <v>0</v>
      </c>
      <c r="K583" s="146">
        <f t="shared" si="483"/>
        <v>3.3306690738754696E-16</v>
      </c>
      <c r="L583" s="123"/>
      <c r="M583" s="142" t="str">
        <f t="shared" si="480"/>
        <v/>
      </c>
      <c r="O583" s="142" t="str">
        <f t="shared" si="481"/>
        <v/>
      </c>
      <c r="P583" s="21"/>
    </row>
    <row r="584" spans="10:16">
      <c r="J584" s="145">
        <f t="shared" si="482"/>
        <v>0</v>
      </c>
      <c r="K584" s="146">
        <f t="shared" si="483"/>
        <v>3.3306690738754696E-16</v>
      </c>
      <c r="L584" s="123"/>
      <c r="M584" s="142" t="str">
        <f t="shared" si="480"/>
        <v/>
      </c>
      <c r="O584" s="142" t="str">
        <f t="shared" si="481"/>
        <v/>
      </c>
      <c r="P584" s="21"/>
    </row>
    <row r="585" spans="10:16">
      <c r="J585" s="145">
        <f t="shared" si="482"/>
        <v>0</v>
      </c>
      <c r="K585" s="146">
        <f t="shared" si="483"/>
        <v>3.3306690738754696E-16</v>
      </c>
      <c r="L585" s="123"/>
      <c r="M585" s="142" t="str">
        <f t="shared" si="480"/>
        <v/>
      </c>
      <c r="O585" s="142" t="str">
        <f t="shared" si="481"/>
        <v/>
      </c>
      <c r="P585" s="21"/>
    </row>
    <row r="586" spans="10:16">
      <c r="J586" s="145">
        <f t="shared" si="482"/>
        <v>0</v>
      </c>
      <c r="K586" s="146">
        <f t="shared" si="483"/>
        <v>3.3306690738754696E-16</v>
      </c>
      <c r="L586" s="123"/>
      <c r="M586" s="142" t="str">
        <f t="shared" si="480"/>
        <v/>
      </c>
      <c r="O586" s="142" t="str">
        <f t="shared" si="481"/>
        <v/>
      </c>
      <c r="P586" s="21"/>
    </row>
    <row r="587" spans="10:16">
      <c r="J587" s="145">
        <f t="shared" si="482"/>
        <v>0</v>
      </c>
      <c r="K587" s="146">
        <f t="shared" si="483"/>
        <v>3.3306690738754696E-16</v>
      </c>
      <c r="L587" s="123"/>
      <c r="M587" s="142" t="str">
        <f t="shared" si="480"/>
        <v/>
      </c>
      <c r="O587" s="142" t="str">
        <f t="shared" si="481"/>
        <v/>
      </c>
      <c r="P587" s="21"/>
    </row>
    <row r="588" spans="10:16">
      <c r="J588" s="145">
        <f t="shared" si="482"/>
        <v>0</v>
      </c>
      <c r="K588" s="146">
        <f t="shared" si="483"/>
        <v>3.3306690738754696E-16</v>
      </c>
      <c r="L588" s="123"/>
      <c r="M588" s="142" t="str">
        <f t="shared" si="480"/>
        <v/>
      </c>
      <c r="O588" s="142" t="str">
        <f t="shared" si="481"/>
        <v/>
      </c>
      <c r="P588" s="21"/>
    </row>
    <row r="589" spans="10:16">
      <c r="J589" s="145">
        <f t="shared" si="482"/>
        <v>0</v>
      </c>
      <c r="K589" s="146">
        <f t="shared" si="483"/>
        <v>3.3306690738754696E-16</v>
      </c>
      <c r="L589" s="123"/>
      <c r="M589" s="142" t="str">
        <f t="shared" si="480"/>
        <v/>
      </c>
      <c r="O589" s="142" t="str">
        <f t="shared" si="481"/>
        <v/>
      </c>
      <c r="P589" s="21"/>
    </row>
    <row r="590" spans="10:16">
      <c r="J590" s="145">
        <f t="shared" si="482"/>
        <v>0</v>
      </c>
      <c r="K590" s="146">
        <f t="shared" si="483"/>
        <v>3.3306690738754696E-16</v>
      </c>
      <c r="L590" s="123"/>
      <c r="M590" s="142" t="str">
        <f t="shared" si="480"/>
        <v/>
      </c>
      <c r="O590" s="142" t="str">
        <f t="shared" si="481"/>
        <v/>
      </c>
      <c r="P590" s="21"/>
    </row>
    <row r="591" spans="10:16">
      <c r="J591" s="145">
        <f t="shared" si="482"/>
        <v>0</v>
      </c>
      <c r="K591" s="146">
        <f t="shared" si="483"/>
        <v>3.3306690738754696E-16</v>
      </c>
      <c r="L591" s="123"/>
      <c r="M591" s="142" t="str">
        <f t="shared" si="480"/>
        <v/>
      </c>
      <c r="O591" s="142" t="str">
        <f t="shared" si="481"/>
        <v/>
      </c>
      <c r="P591" s="21"/>
    </row>
    <row r="592" spans="10:16">
      <c r="J592" s="145">
        <f t="shared" si="482"/>
        <v>0</v>
      </c>
      <c r="K592" s="146">
        <f t="shared" si="483"/>
        <v>3.3306690738754696E-16</v>
      </c>
      <c r="L592" s="123"/>
      <c r="M592" s="142" t="str">
        <f t="shared" si="480"/>
        <v/>
      </c>
      <c r="O592" s="142" t="str">
        <f t="shared" si="481"/>
        <v/>
      </c>
      <c r="P592" s="21"/>
    </row>
    <row r="593" spans="10:16">
      <c r="J593" s="145">
        <f t="shared" si="482"/>
        <v>0</v>
      </c>
      <c r="K593" s="146">
        <f t="shared" si="483"/>
        <v>3.3306690738754696E-16</v>
      </c>
      <c r="L593" s="123"/>
      <c r="M593" s="142" t="str">
        <f t="shared" si="480"/>
        <v/>
      </c>
      <c r="O593" s="142" t="str">
        <f t="shared" si="481"/>
        <v/>
      </c>
      <c r="P593" s="21"/>
    </row>
    <row r="594" spans="10:16">
      <c r="J594" s="145">
        <f t="shared" si="482"/>
        <v>0</v>
      </c>
      <c r="K594" s="146">
        <f t="shared" si="483"/>
        <v>3.3306690738754696E-16</v>
      </c>
      <c r="L594" s="123"/>
      <c r="M594" s="142" t="str">
        <f t="shared" si="480"/>
        <v/>
      </c>
      <c r="O594" s="142" t="str">
        <f t="shared" si="481"/>
        <v/>
      </c>
      <c r="P594" s="21"/>
    </row>
    <row r="595" spans="10:16">
      <c r="J595" s="145">
        <f t="shared" si="482"/>
        <v>0</v>
      </c>
      <c r="K595" s="146">
        <f t="shared" si="483"/>
        <v>3.3306690738754696E-16</v>
      </c>
      <c r="L595" s="123"/>
      <c r="M595" s="142" t="str">
        <f t="shared" si="480"/>
        <v/>
      </c>
      <c r="O595" s="142" t="str">
        <f t="shared" si="481"/>
        <v/>
      </c>
      <c r="P595" s="21"/>
    </row>
    <row r="596" spans="10:16">
      <c r="J596" s="145">
        <f t="shared" si="482"/>
        <v>0</v>
      </c>
      <c r="K596" s="146">
        <f t="shared" si="483"/>
        <v>3.3306690738754696E-16</v>
      </c>
      <c r="L596" s="123"/>
      <c r="M596" s="142" t="str">
        <f t="shared" si="480"/>
        <v/>
      </c>
      <c r="O596" s="142" t="str">
        <f t="shared" si="481"/>
        <v/>
      </c>
      <c r="P596" s="21"/>
    </row>
    <row r="597" spans="10:16">
      <c r="J597" s="145">
        <f t="shared" si="482"/>
        <v>0</v>
      </c>
      <c r="K597" s="146">
        <f t="shared" si="483"/>
        <v>3.3306690738754696E-16</v>
      </c>
      <c r="L597" s="123"/>
      <c r="M597" s="142" t="str">
        <f t="shared" si="480"/>
        <v/>
      </c>
      <c r="O597" s="142" t="str">
        <f t="shared" si="481"/>
        <v/>
      </c>
      <c r="P597" s="21"/>
    </row>
    <row r="598" spans="10:16">
      <c r="J598" s="145">
        <f t="shared" si="482"/>
        <v>0</v>
      </c>
      <c r="K598" s="146">
        <f t="shared" si="483"/>
        <v>3.3306690738754696E-16</v>
      </c>
      <c r="L598" s="123"/>
      <c r="M598" s="142" t="str">
        <f t="shared" si="480"/>
        <v/>
      </c>
      <c r="O598" s="142" t="str">
        <f t="shared" si="481"/>
        <v/>
      </c>
      <c r="P598" s="21"/>
    </row>
    <row r="599" spans="10:16">
      <c r="J599" s="145">
        <f t="shared" si="482"/>
        <v>0</v>
      </c>
      <c r="K599" s="146">
        <f t="shared" si="483"/>
        <v>3.3306690738754696E-16</v>
      </c>
      <c r="L599" s="123"/>
      <c r="M599" s="142" t="str">
        <f t="shared" si="480"/>
        <v/>
      </c>
      <c r="O599" s="142" t="str">
        <f t="shared" si="481"/>
        <v/>
      </c>
      <c r="P599" s="21"/>
    </row>
    <row r="600" spans="10:16">
      <c r="J600" s="145">
        <f t="shared" si="482"/>
        <v>0</v>
      </c>
      <c r="K600" s="146">
        <f t="shared" si="483"/>
        <v>3.3306690738754696E-16</v>
      </c>
      <c r="L600" s="123"/>
      <c r="M600" s="142" t="str">
        <f t="shared" si="480"/>
        <v/>
      </c>
      <c r="O600" s="142" t="str">
        <f t="shared" si="481"/>
        <v/>
      </c>
      <c r="P600" s="21"/>
    </row>
    <row r="601" spans="10:16">
      <c r="J601" s="145">
        <f t="shared" si="482"/>
        <v>0</v>
      </c>
      <c r="K601" s="146">
        <f t="shared" si="483"/>
        <v>3.3306690738754696E-16</v>
      </c>
      <c r="L601" s="123"/>
      <c r="M601" s="142" t="str">
        <f t="shared" si="480"/>
        <v/>
      </c>
      <c r="O601" s="142" t="str">
        <f t="shared" si="481"/>
        <v/>
      </c>
      <c r="P601" s="21"/>
    </row>
    <row r="602" spans="10:16">
      <c r="J602" s="145">
        <f t="shared" si="482"/>
        <v>0</v>
      </c>
      <c r="K602" s="146">
        <f t="shared" si="483"/>
        <v>3.3306690738754696E-16</v>
      </c>
      <c r="L602" s="123"/>
      <c r="M602" s="142" t="str">
        <f t="shared" si="480"/>
        <v/>
      </c>
      <c r="O602" s="142" t="str">
        <f t="shared" si="481"/>
        <v/>
      </c>
      <c r="P602" s="21"/>
    </row>
    <row r="603" spans="10:16">
      <c r="J603" s="145">
        <f t="shared" si="482"/>
        <v>0</v>
      </c>
      <c r="K603" s="146">
        <f t="shared" si="483"/>
        <v>3.3306690738754696E-16</v>
      </c>
      <c r="L603" s="123"/>
      <c r="M603" s="142" t="str">
        <f t="shared" si="480"/>
        <v/>
      </c>
      <c r="O603" s="142" t="str">
        <f t="shared" si="481"/>
        <v/>
      </c>
      <c r="P603" s="21"/>
    </row>
    <row r="604" spans="10:16">
      <c r="J604" s="145">
        <f t="shared" si="482"/>
        <v>0</v>
      </c>
      <c r="K604" s="146">
        <f t="shared" si="483"/>
        <v>3.3306690738754696E-16</v>
      </c>
      <c r="L604" s="123"/>
      <c r="M604" s="142" t="str">
        <f t="shared" si="480"/>
        <v/>
      </c>
      <c r="O604" s="142" t="str">
        <f t="shared" si="481"/>
        <v/>
      </c>
      <c r="P604" s="21"/>
    </row>
    <row r="605" spans="10:16">
      <c r="J605" s="145">
        <f t="shared" si="482"/>
        <v>0</v>
      </c>
      <c r="K605" s="146">
        <f t="shared" si="483"/>
        <v>3.3306690738754696E-16</v>
      </c>
      <c r="L605" s="123"/>
      <c r="M605" s="142" t="str">
        <f t="shared" si="480"/>
        <v/>
      </c>
      <c r="O605" s="142" t="str">
        <f t="shared" si="481"/>
        <v/>
      </c>
      <c r="P605" s="21"/>
    </row>
    <row r="606" spans="10:16">
      <c r="J606" s="145">
        <f t="shared" si="482"/>
        <v>0</v>
      </c>
      <c r="K606" s="146">
        <f t="shared" si="483"/>
        <v>3.3306690738754696E-16</v>
      </c>
      <c r="L606" s="123"/>
      <c r="M606" s="142" t="str">
        <f t="shared" si="480"/>
        <v/>
      </c>
      <c r="O606" s="142" t="str">
        <f t="shared" si="481"/>
        <v/>
      </c>
      <c r="P606" s="21"/>
    </row>
    <row r="607" spans="10:16">
      <c r="J607" s="145">
        <f t="shared" si="482"/>
        <v>0</v>
      </c>
      <c r="K607" s="146">
        <f t="shared" si="483"/>
        <v>3.3306690738754696E-16</v>
      </c>
      <c r="L607" s="123"/>
      <c r="M607" s="142" t="str">
        <f t="shared" si="480"/>
        <v/>
      </c>
      <c r="O607" s="142" t="str">
        <f t="shared" si="481"/>
        <v/>
      </c>
      <c r="P607" s="21"/>
    </row>
    <row r="608" spans="10:16">
      <c r="J608" s="145">
        <f t="shared" si="482"/>
        <v>0</v>
      </c>
      <c r="K608" s="146">
        <f t="shared" si="483"/>
        <v>3.3306690738754696E-16</v>
      </c>
      <c r="L608" s="123"/>
      <c r="M608" s="142" t="str">
        <f t="shared" si="480"/>
        <v/>
      </c>
      <c r="O608" s="142" t="str">
        <f t="shared" si="481"/>
        <v/>
      </c>
      <c r="P608" s="21"/>
    </row>
    <row r="609" spans="10:16">
      <c r="J609" s="145">
        <f t="shared" si="482"/>
        <v>0</v>
      </c>
      <c r="K609" s="146">
        <f t="shared" si="483"/>
        <v>3.3306690738754696E-16</v>
      </c>
      <c r="L609" s="123"/>
      <c r="M609" s="142" t="str">
        <f t="shared" si="480"/>
        <v/>
      </c>
      <c r="O609" s="142" t="str">
        <f t="shared" si="481"/>
        <v/>
      </c>
      <c r="P609" s="21"/>
    </row>
    <row r="610" spans="10:16">
      <c r="J610" s="145">
        <f t="shared" si="482"/>
        <v>0</v>
      </c>
      <c r="K610" s="146">
        <f t="shared" si="483"/>
        <v>3.3306690738754696E-16</v>
      </c>
      <c r="L610" s="123"/>
      <c r="M610" s="142" t="str">
        <f t="shared" si="480"/>
        <v/>
      </c>
      <c r="O610" s="142" t="str">
        <f t="shared" si="481"/>
        <v/>
      </c>
      <c r="P610" s="21"/>
    </row>
    <row r="611" spans="10:16">
      <c r="J611" s="145">
        <f t="shared" si="482"/>
        <v>0</v>
      </c>
      <c r="K611" s="146">
        <f t="shared" si="483"/>
        <v>3.3306690738754696E-16</v>
      </c>
      <c r="L611" s="123"/>
      <c r="M611" s="142" t="str">
        <f t="shared" si="480"/>
        <v/>
      </c>
      <c r="O611" s="142" t="str">
        <f t="shared" si="481"/>
        <v/>
      </c>
      <c r="P611" s="21"/>
    </row>
    <row r="612" spans="10:16">
      <c r="J612" s="145">
        <f t="shared" si="482"/>
        <v>0</v>
      </c>
      <c r="K612" s="146">
        <f t="shared" si="483"/>
        <v>3.3306690738754696E-16</v>
      </c>
      <c r="L612" s="123"/>
      <c r="M612" s="142" t="str">
        <f t="shared" si="480"/>
        <v/>
      </c>
      <c r="O612" s="142" t="str">
        <f t="shared" si="481"/>
        <v/>
      </c>
      <c r="P612" s="21"/>
    </row>
    <row r="613" spans="10:16">
      <c r="J613" s="145">
        <f t="shared" si="482"/>
        <v>0</v>
      </c>
      <c r="K613" s="146">
        <f t="shared" si="483"/>
        <v>3.3306690738754696E-16</v>
      </c>
      <c r="L613" s="123"/>
      <c r="M613" s="142" t="str">
        <f t="shared" si="480"/>
        <v/>
      </c>
      <c r="O613" s="142" t="str">
        <f t="shared" si="481"/>
        <v/>
      </c>
      <c r="P613" s="21"/>
    </row>
    <row r="614" spans="10:16">
      <c r="J614" s="145">
        <f t="shared" si="482"/>
        <v>0</v>
      </c>
      <c r="K614" s="146">
        <f t="shared" si="483"/>
        <v>3.3306690738754696E-16</v>
      </c>
      <c r="L614" s="123"/>
      <c r="M614" s="142" t="str">
        <f t="shared" si="480"/>
        <v/>
      </c>
      <c r="O614" s="142" t="str">
        <f t="shared" si="481"/>
        <v/>
      </c>
      <c r="P614" s="21"/>
    </row>
    <row r="615" spans="10:16">
      <c r="J615" s="145">
        <f t="shared" si="482"/>
        <v>0</v>
      </c>
      <c r="K615" s="146">
        <f t="shared" si="483"/>
        <v>3.3306690738754696E-16</v>
      </c>
      <c r="L615" s="123"/>
      <c r="M615" s="142" t="str">
        <f t="shared" si="480"/>
        <v/>
      </c>
      <c r="O615" s="142" t="str">
        <f t="shared" si="481"/>
        <v/>
      </c>
      <c r="P615" s="21"/>
    </row>
    <row r="616" spans="10:16">
      <c r="J616" s="145">
        <f t="shared" si="482"/>
        <v>0</v>
      </c>
      <c r="K616" s="146">
        <f t="shared" si="483"/>
        <v>3.3306690738754696E-16</v>
      </c>
      <c r="L616" s="123"/>
      <c r="M616" s="142" t="str">
        <f t="shared" si="480"/>
        <v/>
      </c>
      <c r="O616" s="142" t="str">
        <f t="shared" si="481"/>
        <v/>
      </c>
      <c r="P616" s="21"/>
    </row>
    <row r="617" spans="10:16">
      <c r="J617" s="145">
        <f t="shared" si="482"/>
        <v>0</v>
      </c>
      <c r="K617" s="146">
        <f t="shared" si="483"/>
        <v>3.3306690738754696E-16</v>
      </c>
      <c r="L617" s="123"/>
      <c r="M617" s="142" t="str">
        <f t="shared" si="480"/>
        <v/>
      </c>
      <c r="O617" s="142" t="str">
        <f t="shared" si="481"/>
        <v/>
      </c>
      <c r="P617" s="21"/>
    </row>
    <row r="618" spans="10:16">
      <c r="J618" s="145">
        <f t="shared" si="482"/>
        <v>0</v>
      </c>
      <c r="K618" s="146">
        <f t="shared" si="483"/>
        <v>3.3306690738754696E-16</v>
      </c>
      <c r="L618" s="123"/>
      <c r="M618" s="142" t="str">
        <f t="shared" si="480"/>
        <v/>
      </c>
      <c r="O618" s="142" t="str">
        <f t="shared" si="481"/>
        <v/>
      </c>
      <c r="P618" s="21"/>
    </row>
    <row r="619" spans="10:16">
      <c r="J619" s="145">
        <f t="shared" si="482"/>
        <v>0</v>
      </c>
      <c r="K619" s="146">
        <f t="shared" si="483"/>
        <v>3.3306690738754696E-16</v>
      </c>
      <c r="L619" s="123"/>
      <c r="M619" s="142" t="str">
        <f t="shared" si="480"/>
        <v/>
      </c>
      <c r="O619" s="142" t="str">
        <f t="shared" si="481"/>
        <v/>
      </c>
      <c r="P619" s="21"/>
    </row>
    <row r="620" spans="10:16">
      <c r="J620" s="145">
        <f t="shared" si="482"/>
        <v>0</v>
      </c>
      <c r="K620" s="146">
        <f t="shared" si="483"/>
        <v>3.3306690738754696E-16</v>
      </c>
      <c r="L620" s="123"/>
      <c r="M620" s="142" t="str">
        <f t="shared" ref="M620:M683" si="484">IF(ISBLANK(F620),"",F620)</f>
        <v/>
      </c>
      <c r="O620" s="142" t="str">
        <f t="shared" ref="O620:O683" si="485">IF(ISBLANK(H620),"",H620)</f>
        <v/>
      </c>
      <c r="P620" s="21"/>
    </row>
    <row r="621" spans="10:16">
      <c r="J621" s="145">
        <f t="shared" ref="J621:J684" si="486">C621+D621</f>
        <v>0</v>
      </c>
      <c r="K621" s="146">
        <f t="shared" ref="K621:K684" si="487">IF($K$42="mas",J621+$L$42,J621-$L$42)</f>
        <v>3.3306690738754696E-16</v>
      </c>
      <c r="L621" s="123"/>
      <c r="M621" s="142" t="str">
        <f t="shared" si="484"/>
        <v/>
      </c>
      <c r="O621" s="142" t="str">
        <f t="shared" si="485"/>
        <v/>
      </c>
      <c r="P621" s="21"/>
    </row>
    <row r="622" spans="10:16">
      <c r="J622" s="145">
        <f t="shared" si="486"/>
        <v>0</v>
      </c>
      <c r="K622" s="146">
        <f t="shared" si="487"/>
        <v>3.3306690738754696E-16</v>
      </c>
      <c r="L622" s="123"/>
      <c r="M622" s="142" t="str">
        <f t="shared" si="484"/>
        <v/>
      </c>
      <c r="O622" s="142" t="str">
        <f t="shared" si="485"/>
        <v/>
      </c>
      <c r="P622" s="21"/>
    </row>
    <row r="623" spans="10:16">
      <c r="J623" s="145">
        <f t="shared" si="486"/>
        <v>0</v>
      </c>
      <c r="K623" s="146">
        <f t="shared" si="487"/>
        <v>3.3306690738754696E-16</v>
      </c>
      <c r="L623" s="123"/>
      <c r="M623" s="142" t="str">
        <f t="shared" si="484"/>
        <v/>
      </c>
      <c r="O623" s="142" t="str">
        <f t="shared" si="485"/>
        <v/>
      </c>
      <c r="P623" s="21"/>
    </row>
    <row r="624" spans="10:16">
      <c r="J624" s="145">
        <f t="shared" si="486"/>
        <v>0</v>
      </c>
      <c r="K624" s="146">
        <f t="shared" si="487"/>
        <v>3.3306690738754696E-16</v>
      </c>
      <c r="L624" s="123"/>
      <c r="M624" s="142" t="str">
        <f t="shared" si="484"/>
        <v/>
      </c>
      <c r="O624" s="142" t="str">
        <f t="shared" si="485"/>
        <v/>
      </c>
      <c r="P624" s="21"/>
    </row>
    <row r="625" spans="10:16">
      <c r="J625" s="145">
        <f t="shared" si="486"/>
        <v>0</v>
      </c>
      <c r="K625" s="146">
        <f t="shared" si="487"/>
        <v>3.3306690738754696E-16</v>
      </c>
      <c r="L625" s="123"/>
      <c r="M625" s="142" t="str">
        <f t="shared" si="484"/>
        <v/>
      </c>
      <c r="O625" s="142" t="str">
        <f t="shared" si="485"/>
        <v/>
      </c>
      <c r="P625" s="21"/>
    </row>
    <row r="626" spans="10:16">
      <c r="J626" s="145">
        <f t="shared" si="486"/>
        <v>0</v>
      </c>
      <c r="K626" s="146">
        <f t="shared" si="487"/>
        <v>3.3306690738754696E-16</v>
      </c>
      <c r="L626" s="123"/>
      <c r="M626" s="142" t="str">
        <f t="shared" si="484"/>
        <v/>
      </c>
      <c r="O626" s="142" t="str">
        <f t="shared" si="485"/>
        <v/>
      </c>
      <c r="P626" s="21"/>
    </row>
    <row r="627" spans="10:16">
      <c r="J627" s="145">
        <f t="shared" si="486"/>
        <v>0</v>
      </c>
      <c r="K627" s="146">
        <f t="shared" si="487"/>
        <v>3.3306690738754696E-16</v>
      </c>
      <c r="L627" s="123"/>
      <c r="M627" s="142" t="str">
        <f t="shared" si="484"/>
        <v/>
      </c>
      <c r="O627" s="142" t="str">
        <f t="shared" si="485"/>
        <v/>
      </c>
      <c r="P627" s="21"/>
    </row>
    <row r="628" spans="10:16">
      <c r="J628" s="145">
        <f t="shared" si="486"/>
        <v>0</v>
      </c>
      <c r="K628" s="146">
        <f t="shared" si="487"/>
        <v>3.3306690738754696E-16</v>
      </c>
      <c r="L628" s="123"/>
      <c r="M628" s="142" t="str">
        <f t="shared" si="484"/>
        <v/>
      </c>
      <c r="O628" s="142" t="str">
        <f t="shared" si="485"/>
        <v/>
      </c>
      <c r="P628" s="21"/>
    </row>
    <row r="629" spans="10:16">
      <c r="J629" s="145">
        <f t="shared" si="486"/>
        <v>0</v>
      </c>
      <c r="K629" s="146">
        <f t="shared" si="487"/>
        <v>3.3306690738754696E-16</v>
      </c>
      <c r="L629" s="123"/>
      <c r="M629" s="142" t="str">
        <f t="shared" si="484"/>
        <v/>
      </c>
      <c r="O629" s="142" t="str">
        <f t="shared" si="485"/>
        <v/>
      </c>
      <c r="P629" s="21"/>
    </row>
    <row r="630" spans="10:16">
      <c r="J630" s="145">
        <f t="shared" si="486"/>
        <v>0</v>
      </c>
      <c r="K630" s="146">
        <f t="shared" si="487"/>
        <v>3.3306690738754696E-16</v>
      </c>
      <c r="L630" s="123"/>
      <c r="M630" s="142" t="str">
        <f t="shared" si="484"/>
        <v/>
      </c>
      <c r="O630" s="142" t="str">
        <f t="shared" si="485"/>
        <v/>
      </c>
      <c r="P630" s="21"/>
    </row>
    <row r="631" spans="10:16">
      <c r="J631" s="145">
        <f t="shared" si="486"/>
        <v>0</v>
      </c>
      <c r="K631" s="146">
        <f t="shared" si="487"/>
        <v>3.3306690738754696E-16</v>
      </c>
      <c r="L631" s="123"/>
      <c r="M631" s="142" t="str">
        <f t="shared" si="484"/>
        <v/>
      </c>
      <c r="O631" s="142" t="str">
        <f t="shared" si="485"/>
        <v/>
      </c>
      <c r="P631" s="21"/>
    </row>
    <row r="632" spans="10:16">
      <c r="J632" s="145">
        <f t="shared" si="486"/>
        <v>0</v>
      </c>
      <c r="K632" s="146">
        <f t="shared" si="487"/>
        <v>3.3306690738754696E-16</v>
      </c>
      <c r="L632" s="123"/>
      <c r="M632" s="142" t="str">
        <f t="shared" si="484"/>
        <v/>
      </c>
      <c r="O632" s="142" t="str">
        <f t="shared" si="485"/>
        <v/>
      </c>
      <c r="P632" s="21"/>
    </row>
    <row r="633" spans="10:16">
      <c r="J633" s="145">
        <f t="shared" si="486"/>
        <v>0</v>
      </c>
      <c r="K633" s="146">
        <f t="shared" si="487"/>
        <v>3.3306690738754696E-16</v>
      </c>
      <c r="L633" s="123"/>
      <c r="M633" s="142" t="str">
        <f t="shared" si="484"/>
        <v/>
      </c>
      <c r="O633" s="142" t="str">
        <f t="shared" si="485"/>
        <v/>
      </c>
      <c r="P633" s="21"/>
    </row>
    <row r="634" spans="10:16">
      <c r="J634" s="145">
        <f t="shared" si="486"/>
        <v>0</v>
      </c>
      <c r="K634" s="146">
        <f t="shared" si="487"/>
        <v>3.3306690738754696E-16</v>
      </c>
      <c r="L634" s="123"/>
      <c r="M634" s="142" t="str">
        <f t="shared" si="484"/>
        <v/>
      </c>
      <c r="O634" s="142" t="str">
        <f t="shared" si="485"/>
        <v/>
      </c>
      <c r="P634" s="21"/>
    </row>
    <row r="635" spans="10:16">
      <c r="J635" s="145">
        <f t="shared" si="486"/>
        <v>0</v>
      </c>
      <c r="K635" s="146">
        <f t="shared" si="487"/>
        <v>3.3306690738754696E-16</v>
      </c>
      <c r="L635" s="123"/>
      <c r="M635" s="142" t="str">
        <f t="shared" si="484"/>
        <v/>
      </c>
      <c r="O635" s="142" t="str">
        <f t="shared" si="485"/>
        <v/>
      </c>
      <c r="P635" s="21"/>
    </row>
    <row r="636" spans="10:16">
      <c r="J636" s="145">
        <f t="shared" si="486"/>
        <v>0</v>
      </c>
      <c r="K636" s="146">
        <f t="shared" si="487"/>
        <v>3.3306690738754696E-16</v>
      </c>
      <c r="L636" s="123"/>
      <c r="M636" s="142" t="str">
        <f t="shared" si="484"/>
        <v/>
      </c>
      <c r="O636" s="142" t="str">
        <f t="shared" si="485"/>
        <v/>
      </c>
      <c r="P636" s="21"/>
    </row>
    <row r="637" spans="10:16">
      <c r="J637" s="145">
        <f t="shared" si="486"/>
        <v>0</v>
      </c>
      <c r="K637" s="146">
        <f t="shared" si="487"/>
        <v>3.3306690738754696E-16</v>
      </c>
      <c r="L637" s="123"/>
      <c r="M637" s="142" t="str">
        <f t="shared" si="484"/>
        <v/>
      </c>
      <c r="O637" s="142" t="str">
        <f t="shared" si="485"/>
        <v/>
      </c>
      <c r="P637" s="21"/>
    </row>
    <row r="638" spans="10:16">
      <c r="J638" s="145">
        <f t="shared" si="486"/>
        <v>0</v>
      </c>
      <c r="K638" s="146">
        <f t="shared" si="487"/>
        <v>3.3306690738754696E-16</v>
      </c>
      <c r="L638" s="123"/>
      <c r="M638" s="142" t="str">
        <f t="shared" si="484"/>
        <v/>
      </c>
      <c r="O638" s="142" t="str">
        <f t="shared" si="485"/>
        <v/>
      </c>
      <c r="P638" s="21"/>
    </row>
    <row r="639" spans="10:16">
      <c r="J639" s="145">
        <f t="shared" si="486"/>
        <v>0</v>
      </c>
      <c r="K639" s="146">
        <f t="shared" si="487"/>
        <v>3.3306690738754696E-16</v>
      </c>
      <c r="L639" s="123"/>
      <c r="M639" s="142" t="str">
        <f t="shared" si="484"/>
        <v/>
      </c>
      <c r="O639" s="142" t="str">
        <f t="shared" si="485"/>
        <v/>
      </c>
      <c r="P639" s="21"/>
    </row>
    <row r="640" spans="10:16">
      <c r="J640" s="145">
        <f t="shared" si="486"/>
        <v>0</v>
      </c>
      <c r="K640" s="146">
        <f t="shared" si="487"/>
        <v>3.3306690738754696E-16</v>
      </c>
      <c r="L640" s="123"/>
      <c r="M640" s="142" t="str">
        <f t="shared" si="484"/>
        <v/>
      </c>
      <c r="O640" s="142" t="str">
        <f t="shared" si="485"/>
        <v/>
      </c>
      <c r="P640" s="21"/>
    </row>
    <row r="641" spans="10:16">
      <c r="J641" s="145">
        <f t="shared" si="486"/>
        <v>0</v>
      </c>
      <c r="K641" s="146">
        <f t="shared" si="487"/>
        <v>3.3306690738754696E-16</v>
      </c>
      <c r="L641" s="123"/>
      <c r="M641" s="142" t="str">
        <f t="shared" si="484"/>
        <v/>
      </c>
      <c r="O641" s="142" t="str">
        <f t="shared" si="485"/>
        <v/>
      </c>
      <c r="P641" s="21"/>
    </row>
    <row r="642" spans="10:16">
      <c r="J642" s="145">
        <f t="shared" si="486"/>
        <v>0</v>
      </c>
      <c r="K642" s="146">
        <f t="shared" si="487"/>
        <v>3.3306690738754696E-16</v>
      </c>
      <c r="L642" s="123"/>
      <c r="M642" s="142" t="str">
        <f t="shared" si="484"/>
        <v/>
      </c>
      <c r="O642" s="142" t="str">
        <f t="shared" si="485"/>
        <v/>
      </c>
      <c r="P642" s="21"/>
    </row>
    <row r="643" spans="10:16">
      <c r="J643" s="145">
        <f t="shared" si="486"/>
        <v>0</v>
      </c>
      <c r="K643" s="146">
        <f t="shared" si="487"/>
        <v>3.3306690738754696E-16</v>
      </c>
      <c r="L643" s="123"/>
      <c r="M643" s="142" t="str">
        <f t="shared" si="484"/>
        <v/>
      </c>
      <c r="O643" s="142" t="str">
        <f t="shared" si="485"/>
        <v/>
      </c>
      <c r="P643" s="21"/>
    </row>
    <row r="644" spans="10:16">
      <c r="J644" s="145">
        <f t="shared" si="486"/>
        <v>0</v>
      </c>
      <c r="K644" s="146">
        <f t="shared" si="487"/>
        <v>3.3306690738754696E-16</v>
      </c>
      <c r="L644" s="123"/>
      <c r="M644" s="142" t="str">
        <f t="shared" si="484"/>
        <v/>
      </c>
      <c r="O644" s="142" t="str">
        <f t="shared" si="485"/>
        <v/>
      </c>
      <c r="P644" s="21"/>
    </row>
    <row r="645" spans="10:16">
      <c r="J645" s="145">
        <f t="shared" si="486"/>
        <v>0</v>
      </c>
      <c r="K645" s="146">
        <f t="shared" si="487"/>
        <v>3.3306690738754696E-16</v>
      </c>
      <c r="L645" s="123"/>
      <c r="M645" s="142" t="str">
        <f t="shared" si="484"/>
        <v/>
      </c>
      <c r="O645" s="142" t="str">
        <f t="shared" si="485"/>
        <v/>
      </c>
      <c r="P645" s="21"/>
    </row>
    <row r="646" spans="10:16">
      <c r="J646" s="145">
        <f t="shared" si="486"/>
        <v>0</v>
      </c>
      <c r="K646" s="146">
        <f t="shared" si="487"/>
        <v>3.3306690738754696E-16</v>
      </c>
      <c r="L646" s="123"/>
      <c r="M646" s="142" t="str">
        <f t="shared" si="484"/>
        <v/>
      </c>
      <c r="O646" s="142" t="str">
        <f t="shared" si="485"/>
        <v/>
      </c>
      <c r="P646" s="21"/>
    </row>
    <row r="647" spans="10:16">
      <c r="J647" s="145">
        <f t="shared" si="486"/>
        <v>0</v>
      </c>
      <c r="K647" s="146">
        <f t="shared" si="487"/>
        <v>3.3306690738754696E-16</v>
      </c>
      <c r="L647" s="123"/>
      <c r="M647" s="142" t="str">
        <f t="shared" si="484"/>
        <v/>
      </c>
      <c r="O647" s="142" t="str">
        <f t="shared" si="485"/>
        <v/>
      </c>
      <c r="P647" s="21"/>
    </row>
    <row r="648" spans="10:16">
      <c r="J648" s="145">
        <f t="shared" si="486"/>
        <v>0</v>
      </c>
      <c r="K648" s="146">
        <f t="shared" si="487"/>
        <v>3.3306690738754696E-16</v>
      </c>
      <c r="L648" s="123"/>
      <c r="M648" s="142" t="str">
        <f t="shared" si="484"/>
        <v/>
      </c>
      <c r="O648" s="142" t="str">
        <f t="shared" si="485"/>
        <v/>
      </c>
      <c r="P648" s="21"/>
    </row>
    <row r="649" spans="10:16">
      <c r="J649" s="145">
        <f t="shared" si="486"/>
        <v>0</v>
      </c>
      <c r="K649" s="146">
        <f t="shared" si="487"/>
        <v>3.3306690738754696E-16</v>
      </c>
      <c r="L649" s="123"/>
      <c r="M649" s="142" t="str">
        <f t="shared" si="484"/>
        <v/>
      </c>
      <c r="O649" s="142" t="str">
        <f t="shared" si="485"/>
        <v/>
      </c>
      <c r="P649" s="21"/>
    </row>
    <row r="650" spans="10:16">
      <c r="J650" s="145">
        <f t="shared" si="486"/>
        <v>0</v>
      </c>
      <c r="K650" s="146">
        <f t="shared" si="487"/>
        <v>3.3306690738754696E-16</v>
      </c>
      <c r="L650" s="123"/>
      <c r="M650" s="142" t="str">
        <f t="shared" si="484"/>
        <v/>
      </c>
      <c r="O650" s="142" t="str">
        <f t="shared" si="485"/>
        <v/>
      </c>
      <c r="P650" s="21"/>
    </row>
    <row r="651" spans="10:16">
      <c r="J651" s="145">
        <f t="shared" si="486"/>
        <v>0</v>
      </c>
      <c r="K651" s="146">
        <f t="shared" si="487"/>
        <v>3.3306690738754696E-16</v>
      </c>
      <c r="L651" s="123"/>
      <c r="M651" s="142" t="str">
        <f t="shared" si="484"/>
        <v/>
      </c>
      <c r="O651" s="142" t="str">
        <f t="shared" si="485"/>
        <v/>
      </c>
      <c r="P651" s="21"/>
    </row>
    <row r="652" spans="10:16">
      <c r="J652" s="145">
        <f t="shared" si="486"/>
        <v>0</v>
      </c>
      <c r="K652" s="146">
        <f t="shared" si="487"/>
        <v>3.3306690738754696E-16</v>
      </c>
      <c r="L652" s="123"/>
      <c r="M652" s="142" t="str">
        <f t="shared" si="484"/>
        <v/>
      </c>
      <c r="O652" s="142" t="str">
        <f t="shared" si="485"/>
        <v/>
      </c>
      <c r="P652" s="21"/>
    </row>
    <row r="653" spans="10:16">
      <c r="J653" s="145">
        <f t="shared" si="486"/>
        <v>0</v>
      </c>
      <c r="K653" s="146">
        <f t="shared" si="487"/>
        <v>3.3306690738754696E-16</v>
      </c>
      <c r="L653" s="123"/>
      <c r="M653" s="142" t="str">
        <f t="shared" si="484"/>
        <v/>
      </c>
      <c r="O653" s="142" t="str">
        <f t="shared" si="485"/>
        <v/>
      </c>
      <c r="P653" s="21"/>
    </row>
    <row r="654" spans="10:16">
      <c r="J654" s="145">
        <f t="shared" si="486"/>
        <v>0</v>
      </c>
      <c r="K654" s="146">
        <f t="shared" si="487"/>
        <v>3.3306690738754696E-16</v>
      </c>
      <c r="L654" s="123"/>
      <c r="M654" s="142" t="str">
        <f t="shared" si="484"/>
        <v/>
      </c>
      <c r="O654" s="142" t="str">
        <f t="shared" si="485"/>
        <v/>
      </c>
      <c r="P654" s="21"/>
    </row>
    <row r="655" spans="10:16">
      <c r="J655" s="145">
        <f t="shared" si="486"/>
        <v>0</v>
      </c>
      <c r="K655" s="146">
        <f t="shared" si="487"/>
        <v>3.3306690738754696E-16</v>
      </c>
      <c r="L655" s="123"/>
      <c r="M655" s="142" t="str">
        <f t="shared" si="484"/>
        <v/>
      </c>
      <c r="O655" s="142" t="str">
        <f t="shared" si="485"/>
        <v/>
      </c>
      <c r="P655" s="21"/>
    </row>
    <row r="656" spans="10:16">
      <c r="J656" s="145">
        <f t="shared" si="486"/>
        <v>0</v>
      </c>
      <c r="K656" s="146">
        <f t="shared" si="487"/>
        <v>3.3306690738754696E-16</v>
      </c>
      <c r="L656" s="123"/>
      <c r="M656" s="142" t="str">
        <f t="shared" si="484"/>
        <v/>
      </c>
      <c r="O656" s="142" t="str">
        <f t="shared" si="485"/>
        <v/>
      </c>
      <c r="P656" s="21"/>
    </row>
    <row r="657" spans="10:16">
      <c r="J657" s="145">
        <f t="shared" si="486"/>
        <v>0</v>
      </c>
      <c r="K657" s="146">
        <f t="shared" si="487"/>
        <v>3.3306690738754696E-16</v>
      </c>
      <c r="L657" s="123"/>
      <c r="M657" s="142" t="str">
        <f t="shared" si="484"/>
        <v/>
      </c>
      <c r="O657" s="142" t="str">
        <f t="shared" si="485"/>
        <v/>
      </c>
      <c r="P657" s="21"/>
    </row>
    <row r="658" spans="10:16">
      <c r="J658" s="145">
        <f t="shared" si="486"/>
        <v>0</v>
      </c>
      <c r="K658" s="146">
        <f t="shared" si="487"/>
        <v>3.3306690738754696E-16</v>
      </c>
      <c r="L658" s="123"/>
      <c r="M658" s="142" t="str">
        <f t="shared" si="484"/>
        <v/>
      </c>
      <c r="O658" s="142" t="str">
        <f t="shared" si="485"/>
        <v/>
      </c>
      <c r="P658" s="21"/>
    </row>
    <row r="659" spans="10:16">
      <c r="J659" s="145">
        <f t="shared" si="486"/>
        <v>0</v>
      </c>
      <c r="K659" s="146">
        <f t="shared" si="487"/>
        <v>3.3306690738754696E-16</v>
      </c>
      <c r="L659" s="123"/>
      <c r="M659" s="142" t="str">
        <f t="shared" si="484"/>
        <v/>
      </c>
      <c r="O659" s="142" t="str">
        <f t="shared" si="485"/>
        <v/>
      </c>
      <c r="P659" s="21"/>
    </row>
    <row r="660" spans="10:16">
      <c r="J660" s="145">
        <f t="shared" si="486"/>
        <v>0</v>
      </c>
      <c r="K660" s="146">
        <f t="shared" si="487"/>
        <v>3.3306690738754696E-16</v>
      </c>
      <c r="L660" s="123"/>
      <c r="M660" s="142" t="str">
        <f t="shared" si="484"/>
        <v/>
      </c>
      <c r="O660" s="142" t="str">
        <f t="shared" si="485"/>
        <v/>
      </c>
      <c r="P660" s="21"/>
    </row>
    <row r="661" spans="10:16">
      <c r="J661" s="145">
        <f t="shared" si="486"/>
        <v>0</v>
      </c>
      <c r="K661" s="146">
        <f t="shared" si="487"/>
        <v>3.3306690738754696E-16</v>
      </c>
      <c r="L661" s="123"/>
      <c r="M661" s="142" t="str">
        <f t="shared" si="484"/>
        <v/>
      </c>
      <c r="O661" s="142" t="str">
        <f t="shared" si="485"/>
        <v/>
      </c>
      <c r="P661" s="21"/>
    </row>
    <row r="662" spans="10:16">
      <c r="J662" s="145">
        <f t="shared" si="486"/>
        <v>0</v>
      </c>
      <c r="K662" s="146">
        <f t="shared" si="487"/>
        <v>3.3306690738754696E-16</v>
      </c>
      <c r="L662" s="123"/>
      <c r="M662" s="142" t="str">
        <f t="shared" si="484"/>
        <v/>
      </c>
      <c r="O662" s="142" t="str">
        <f t="shared" si="485"/>
        <v/>
      </c>
      <c r="P662" s="21"/>
    </row>
    <row r="663" spans="10:16">
      <c r="J663" s="145">
        <f t="shared" si="486"/>
        <v>0</v>
      </c>
      <c r="K663" s="146">
        <f t="shared" si="487"/>
        <v>3.3306690738754696E-16</v>
      </c>
      <c r="L663" s="123"/>
      <c r="M663" s="142" t="str">
        <f t="shared" si="484"/>
        <v/>
      </c>
      <c r="O663" s="142" t="str">
        <f t="shared" si="485"/>
        <v/>
      </c>
      <c r="P663" s="21"/>
    </row>
    <row r="664" spans="10:16">
      <c r="J664" s="145">
        <f t="shared" si="486"/>
        <v>0</v>
      </c>
      <c r="K664" s="146">
        <f t="shared" si="487"/>
        <v>3.3306690738754696E-16</v>
      </c>
      <c r="L664" s="123"/>
      <c r="M664" s="142" t="str">
        <f t="shared" si="484"/>
        <v/>
      </c>
      <c r="O664" s="142" t="str">
        <f t="shared" si="485"/>
        <v/>
      </c>
      <c r="P664" s="21"/>
    </row>
    <row r="665" spans="10:16">
      <c r="J665" s="145">
        <f t="shared" si="486"/>
        <v>0</v>
      </c>
      <c r="K665" s="146">
        <f t="shared" si="487"/>
        <v>3.3306690738754696E-16</v>
      </c>
      <c r="L665" s="123"/>
      <c r="M665" s="142" t="str">
        <f t="shared" si="484"/>
        <v/>
      </c>
      <c r="O665" s="142" t="str">
        <f t="shared" si="485"/>
        <v/>
      </c>
      <c r="P665" s="21"/>
    </row>
    <row r="666" spans="10:16">
      <c r="J666" s="145">
        <f t="shared" si="486"/>
        <v>0</v>
      </c>
      <c r="K666" s="146">
        <f t="shared" si="487"/>
        <v>3.3306690738754696E-16</v>
      </c>
      <c r="L666" s="123"/>
      <c r="M666" s="142" t="str">
        <f t="shared" si="484"/>
        <v/>
      </c>
      <c r="O666" s="142" t="str">
        <f t="shared" si="485"/>
        <v/>
      </c>
      <c r="P666" s="21"/>
    </row>
    <row r="667" spans="10:16">
      <c r="J667" s="145">
        <f t="shared" si="486"/>
        <v>0</v>
      </c>
      <c r="K667" s="146">
        <f t="shared" si="487"/>
        <v>3.3306690738754696E-16</v>
      </c>
      <c r="L667" s="123"/>
      <c r="M667" s="142" t="str">
        <f t="shared" si="484"/>
        <v/>
      </c>
      <c r="O667" s="142" t="str">
        <f t="shared" si="485"/>
        <v/>
      </c>
      <c r="P667" s="21"/>
    </row>
    <row r="668" spans="10:16">
      <c r="J668" s="145">
        <f t="shared" si="486"/>
        <v>0</v>
      </c>
      <c r="K668" s="146">
        <f t="shared" si="487"/>
        <v>3.3306690738754696E-16</v>
      </c>
      <c r="L668" s="123"/>
      <c r="M668" s="142" t="str">
        <f t="shared" si="484"/>
        <v/>
      </c>
      <c r="O668" s="142" t="str">
        <f t="shared" si="485"/>
        <v/>
      </c>
      <c r="P668" s="21"/>
    </row>
    <row r="669" spans="10:16">
      <c r="J669" s="145">
        <f t="shared" si="486"/>
        <v>0</v>
      </c>
      <c r="K669" s="146">
        <f t="shared" si="487"/>
        <v>3.3306690738754696E-16</v>
      </c>
      <c r="L669" s="123"/>
      <c r="M669" s="142" t="str">
        <f t="shared" si="484"/>
        <v/>
      </c>
      <c r="O669" s="142" t="str">
        <f t="shared" si="485"/>
        <v/>
      </c>
      <c r="P669" s="21"/>
    </row>
    <row r="670" spans="10:16">
      <c r="J670" s="145">
        <f t="shared" si="486"/>
        <v>0</v>
      </c>
      <c r="K670" s="146">
        <f t="shared" si="487"/>
        <v>3.3306690738754696E-16</v>
      </c>
      <c r="L670" s="123"/>
      <c r="M670" s="142" t="str">
        <f t="shared" si="484"/>
        <v/>
      </c>
      <c r="O670" s="142" t="str">
        <f t="shared" si="485"/>
        <v/>
      </c>
      <c r="P670" s="21"/>
    </row>
    <row r="671" spans="10:16">
      <c r="J671" s="145">
        <f t="shared" si="486"/>
        <v>0</v>
      </c>
      <c r="K671" s="146">
        <f t="shared" si="487"/>
        <v>3.3306690738754696E-16</v>
      </c>
      <c r="L671" s="123"/>
      <c r="M671" s="142" t="str">
        <f t="shared" si="484"/>
        <v/>
      </c>
      <c r="O671" s="142" t="str">
        <f t="shared" si="485"/>
        <v/>
      </c>
      <c r="P671" s="21"/>
    </row>
    <row r="672" spans="10:16">
      <c r="J672" s="145">
        <f t="shared" si="486"/>
        <v>0</v>
      </c>
      <c r="K672" s="146">
        <f t="shared" si="487"/>
        <v>3.3306690738754696E-16</v>
      </c>
      <c r="L672" s="123"/>
      <c r="M672" s="142" t="str">
        <f t="shared" si="484"/>
        <v/>
      </c>
      <c r="O672" s="142" t="str">
        <f t="shared" si="485"/>
        <v/>
      </c>
      <c r="P672" s="21"/>
    </row>
    <row r="673" spans="10:16">
      <c r="J673" s="145">
        <f t="shared" si="486"/>
        <v>0</v>
      </c>
      <c r="K673" s="146">
        <f t="shared" si="487"/>
        <v>3.3306690738754696E-16</v>
      </c>
      <c r="L673" s="123"/>
      <c r="M673" s="142" t="str">
        <f t="shared" si="484"/>
        <v/>
      </c>
      <c r="O673" s="142" t="str">
        <f t="shared" si="485"/>
        <v/>
      </c>
      <c r="P673" s="21"/>
    </row>
    <row r="674" spans="10:16">
      <c r="J674" s="145">
        <f t="shared" si="486"/>
        <v>0</v>
      </c>
      <c r="K674" s="146">
        <f t="shared" si="487"/>
        <v>3.3306690738754696E-16</v>
      </c>
      <c r="L674" s="123"/>
      <c r="M674" s="142" t="str">
        <f t="shared" si="484"/>
        <v/>
      </c>
      <c r="O674" s="142" t="str">
        <f t="shared" si="485"/>
        <v/>
      </c>
      <c r="P674" s="21"/>
    </row>
    <row r="675" spans="10:16">
      <c r="J675" s="145">
        <f t="shared" si="486"/>
        <v>0</v>
      </c>
      <c r="K675" s="146">
        <f t="shared" si="487"/>
        <v>3.3306690738754696E-16</v>
      </c>
      <c r="L675" s="123"/>
      <c r="M675" s="142" t="str">
        <f t="shared" si="484"/>
        <v/>
      </c>
      <c r="O675" s="142" t="str">
        <f t="shared" si="485"/>
        <v/>
      </c>
      <c r="P675" s="21"/>
    </row>
    <row r="676" spans="10:16">
      <c r="J676" s="145">
        <f t="shared" si="486"/>
        <v>0</v>
      </c>
      <c r="K676" s="146">
        <f t="shared" si="487"/>
        <v>3.3306690738754696E-16</v>
      </c>
      <c r="L676" s="123"/>
      <c r="M676" s="142" t="str">
        <f t="shared" si="484"/>
        <v/>
      </c>
      <c r="O676" s="142" t="str">
        <f t="shared" si="485"/>
        <v/>
      </c>
      <c r="P676" s="21"/>
    </row>
    <row r="677" spans="10:16">
      <c r="J677" s="145">
        <f t="shared" si="486"/>
        <v>0</v>
      </c>
      <c r="K677" s="146">
        <f t="shared" si="487"/>
        <v>3.3306690738754696E-16</v>
      </c>
      <c r="L677" s="123"/>
      <c r="M677" s="142" t="str">
        <f t="shared" si="484"/>
        <v/>
      </c>
      <c r="O677" s="142" t="str">
        <f t="shared" si="485"/>
        <v/>
      </c>
      <c r="P677" s="21"/>
    </row>
    <row r="678" spans="10:16">
      <c r="J678" s="145">
        <f t="shared" si="486"/>
        <v>0</v>
      </c>
      <c r="K678" s="146">
        <f t="shared" si="487"/>
        <v>3.3306690738754696E-16</v>
      </c>
      <c r="L678" s="123"/>
      <c r="M678" s="142" t="str">
        <f t="shared" si="484"/>
        <v/>
      </c>
      <c r="O678" s="142" t="str">
        <f t="shared" si="485"/>
        <v/>
      </c>
      <c r="P678" s="21"/>
    </row>
    <row r="679" spans="10:16">
      <c r="J679" s="145">
        <f t="shared" si="486"/>
        <v>0</v>
      </c>
      <c r="K679" s="146">
        <f t="shared" si="487"/>
        <v>3.3306690738754696E-16</v>
      </c>
      <c r="L679" s="123"/>
      <c r="M679" s="142" t="str">
        <f t="shared" si="484"/>
        <v/>
      </c>
      <c r="O679" s="142" t="str">
        <f t="shared" si="485"/>
        <v/>
      </c>
      <c r="P679" s="21"/>
    </row>
    <row r="680" spans="10:16">
      <c r="J680" s="145">
        <f t="shared" si="486"/>
        <v>0</v>
      </c>
      <c r="K680" s="146">
        <f t="shared" si="487"/>
        <v>3.3306690738754696E-16</v>
      </c>
      <c r="L680" s="123"/>
      <c r="M680" s="142" t="str">
        <f t="shared" si="484"/>
        <v/>
      </c>
      <c r="O680" s="142" t="str">
        <f t="shared" si="485"/>
        <v/>
      </c>
      <c r="P680" s="21"/>
    </row>
    <row r="681" spans="10:16">
      <c r="J681" s="145">
        <f t="shared" si="486"/>
        <v>0</v>
      </c>
      <c r="K681" s="146">
        <f t="shared" si="487"/>
        <v>3.3306690738754696E-16</v>
      </c>
      <c r="L681" s="123"/>
      <c r="M681" s="142" t="str">
        <f t="shared" si="484"/>
        <v/>
      </c>
      <c r="O681" s="142" t="str">
        <f t="shared" si="485"/>
        <v/>
      </c>
      <c r="P681" s="21"/>
    </row>
    <row r="682" spans="10:16">
      <c r="J682" s="145">
        <f t="shared" si="486"/>
        <v>0</v>
      </c>
      <c r="K682" s="146">
        <f t="shared" si="487"/>
        <v>3.3306690738754696E-16</v>
      </c>
      <c r="L682" s="123"/>
      <c r="M682" s="142" t="str">
        <f t="shared" si="484"/>
        <v/>
      </c>
      <c r="O682" s="142" t="str">
        <f t="shared" si="485"/>
        <v/>
      </c>
      <c r="P682" s="21"/>
    </row>
    <row r="683" spans="10:16">
      <c r="J683" s="145">
        <f t="shared" si="486"/>
        <v>0</v>
      </c>
      <c r="K683" s="146">
        <f t="shared" si="487"/>
        <v>3.3306690738754696E-16</v>
      </c>
      <c r="L683" s="123"/>
      <c r="M683" s="142" t="str">
        <f t="shared" si="484"/>
        <v/>
      </c>
      <c r="O683" s="142" t="str">
        <f t="shared" si="485"/>
        <v/>
      </c>
      <c r="P683" s="21"/>
    </row>
    <row r="684" spans="10:16">
      <c r="J684" s="145">
        <f t="shared" si="486"/>
        <v>0</v>
      </c>
      <c r="K684" s="146">
        <f t="shared" si="487"/>
        <v>3.3306690738754696E-16</v>
      </c>
      <c r="L684" s="123"/>
      <c r="M684" s="142" t="str">
        <f t="shared" ref="M684:M747" si="488">IF(ISBLANK(F684),"",F684)</f>
        <v/>
      </c>
      <c r="O684" s="142" t="str">
        <f t="shared" ref="O684:O747" si="489">IF(ISBLANK(H684),"",H684)</f>
        <v/>
      </c>
      <c r="P684" s="21"/>
    </row>
    <row r="685" spans="10:16">
      <c r="J685" s="145">
        <f t="shared" ref="J685:J748" si="490">C685+D685</f>
        <v>0</v>
      </c>
      <c r="K685" s="146">
        <f t="shared" ref="K685:K748" si="491">IF($K$42="mas",J685+$L$42,J685-$L$42)</f>
        <v>3.3306690738754696E-16</v>
      </c>
      <c r="L685" s="123"/>
      <c r="M685" s="142" t="str">
        <f t="shared" si="488"/>
        <v/>
      </c>
      <c r="O685" s="142" t="str">
        <f t="shared" si="489"/>
        <v/>
      </c>
      <c r="P685" s="21"/>
    </row>
    <row r="686" spans="10:16">
      <c r="J686" s="145">
        <f t="shared" si="490"/>
        <v>0</v>
      </c>
      <c r="K686" s="146">
        <f t="shared" si="491"/>
        <v>3.3306690738754696E-16</v>
      </c>
      <c r="L686" s="123"/>
      <c r="M686" s="142" t="str">
        <f t="shared" si="488"/>
        <v/>
      </c>
      <c r="O686" s="142" t="str">
        <f t="shared" si="489"/>
        <v/>
      </c>
      <c r="P686" s="21"/>
    </row>
    <row r="687" spans="10:16">
      <c r="J687" s="145">
        <f t="shared" si="490"/>
        <v>0</v>
      </c>
      <c r="K687" s="146">
        <f t="shared" si="491"/>
        <v>3.3306690738754696E-16</v>
      </c>
      <c r="L687" s="123"/>
      <c r="M687" s="142" t="str">
        <f t="shared" si="488"/>
        <v/>
      </c>
      <c r="O687" s="142" t="str">
        <f t="shared" si="489"/>
        <v/>
      </c>
      <c r="P687" s="21"/>
    </row>
    <row r="688" spans="10:16">
      <c r="J688" s="145">
        <f t="shared" si="490"/>
        <v>0</v>
      </c>
      <c r="K688" s="146">
        <f t="shared" si="491"/>
        <v>3.3306690738754696E-16</v>
      </c>
      <c r="L688" s="123"/>
      <c r="M688" s="142" t="str">
        <f t="shared" si="488"/>
        <v/>
      </c>
      <c r="O688" s="142" t="str">
        <f t="shared" si="489"/>
        <v/>
      </c>
      <c r="P688" s="21"/>
    </row>
    <row r="689" spans="10:16">
      <c r="J689" s="145">
        <f t="shared" si="490"/>
        <v>0</v>
      </c>
      <c r="K689" s="146">
        <f t="shared" si="491"/>
        <v>3.3306690738754696E-16</v>
      </c>
      <c r="L689" s="123"/>
      <c r="M689" s="142" t="str">
        <f t="shared" si="488"/>
        <v/>
      </c>
      <c r="O689" s="142" t="str">
        <f t="shared" si="489"/>
        <v/>
      </c>
      <c r="P689" s="21"/>
    </row>
    <row r="690" spans="10:16">
      <c r="J690" s="145">
        <f t="shared" si="490"/>
        <v>0</v>
      </c>
      <c r="K690" s="146">
        <f t="shared" si="491"/>
        <v>3.3306690738754696E-16</v>
      </c>
      <c r="L690" s="123"/>
      <c r="M690" s="142" t="str">
        <f t="shared" si="488"/>
        <v/>
      </c>
      <c r="O690" s="142" t="str">
        <f t="shared" si="489"/>
        <v/>
      </c>
      <c r="P690" s="21"/>
    </row>
    <row r="691" spans="10:16">
      <c r="J691" s="145">
        <f t="shared" si="490"/>
        <v>0</v>
      </c>
      <c r="K691" s="146">
        <f t="shared" si="491"/>
        <v>3.3306690738754696E-16</v>
      </c>
      <c r="L691" s="123"/>
      <c r="M691" s="142" t="str">
        <f t="shared" si="488"/>
        <v/>
      </c>
      <c r="O691" s="142" t="str">
        <f t="shared" si="489"/>
        <v/>
      </c>
      <c r="P691" s="21"/>
    </row>
    <row r="692" spans="10:16">
      <c r="J692" s="145">
        <f t="shared" si="490"/>
        <v>0</v>
      </c>
      <c r="K692" s="146">
        <f t="shared" si="491"/>
        <v>3.3306690738754696E-16</v>
      </c>
      <c r="L692" s="123"/>
      <c r="M692" s="142" t="str">
        <f t="shared" si="488"/>
        <v/>
      </c>
      <c r="O692" s="142" t="str">
        <f t="shared" si="489"/>
        <v/>
      </c>
      <c r="P692" s="21"/>
    </row>
    <row r="693" spans="10:16">
      <c r="J693" s="145">
        <f t="shared" si="490"/>
        <v>0</v>
      </c>
      <c r="K693" s="146">
        <f t="shared" si="491"/>
        <v>3.3306690738754696E-16</v>
      </c>
      <c r="L693" s="123"/>
      <c r="M693" s="142" t="str">
        <f t="shared" si="488"/>
        <v/>
      </c>
      <c r="O693" s="142" t="str">
        <f t="shared" si="489"/>
        <v/>
      </c>
      <c r="P693" s="21"/>
    </row>
    <row r="694" spans="10:16">
      <c r="J694" s="145">
        <f t="shared" si="490"/>
        <v>0</v>
      </c>
      <c r="K694" s="146">
        <f t="shared" si="491"/>
        <v>3.3306690738754696E-16</v>
      </c>
      <c r="L694" s="123"/>
      <c r="M694" s="142" t="str">
        <f t="shared" si="488"/>
        <v/>
      </c>
      <c r="O694" s="142" t="str">
        <f t="shared" si="489"/>
        <v/>
      </c>
      <c r="P694" s="21"/>
    </row>
    <row r="695" spans="10:16">
      <c r="J695" s="145">
        <f t="shared" si="490"/>
        <v>0</v>
      </c>
      <c r="K695" s="146">
        <f t="shared" si="491"/>
        <v>3.3306690738754696E-16</v>
      </c>
      <c r="L695" s="123"/>
      <c r="M695" s="142" t="str">
        <f t="shared" si="488"/>
        <v/>
      </c>
      <c r="O695" s="142" t="str">
        <f t="shared" si="489"/>
        <v/>
      </c>
      <c r="P695" s="21"/>
    </row>
    <row r="696" spans="10:16">
      <c r="J696" s="145">
        <f t="shared" si="490"/>
        <v>0</v>
      </c>
      <c r="K696" s="146">
        <f t="shared" si="491"/>
        <v>3.3306690738754696E-16</v>
      </c>
      <c r="L696" s="123"/>
      <c r="M696" s="142" t="str">
        <f t="shared" si="488"/>
        <v/>
      </c>
      <c r="O696" s="142" t="str">
        <f t="shared" si="489"/>
        <v/>
      </c>
      <c r="P696" s="21"/>
    </row>
    <row r="697" spans="10:16">
      <c r="J697" s="145">
        <f t="shared" si="490"/>
        <v>0</v>
      </c>
      <c r="K697" s="146">
        <f t="shared" si="491"/>
        <v>3.3306690738754696E-16</v>
      </c>
      <c r="L697" s="123"/>
      <c r="M697" s="142" t="str">
        <f t="shared" si="488"/>
        <v/>
      </c>
      <c r="O697" s="142" t="str">
        <f t="shared" si="489"/>
        <v/>
      </c>
      <c r="P697" s="21"/>
    </row>
    <row r="698" spans="10:16">
      <c r="J698" s="145">
        <f t="shared" si="490"/>
        <v>0</v>
      </c>
      <c r="K698" s="146">
        <f t="shared" si="491"/>
        <v>3.3306690738754696E-16</v>
      </c>
      <c r="L698" s="123"/>
      <c r="M698" s="142" t="str">
        <f t="shared" si="488"/>
        <v/>
      </c>
      <c r="O698" s="142" t="str">
        <f t="shared" si="489"/>
        <v/>
      </c>
      <c r="P698" s="21"/>
    </row>
    <row r="699" spans="10:16">
      <c r="J699" s="145">
        <f t="shared" si="490"/>
        <v>0</v>
      </c>
      <c r="K699" s="146">
        <f t="shared" si="491"/>
        <v>3.3306690738754696E-16</v>
      </c>
      <c r="L699" s="123"/>
      <c r="M699" s="142" t="str">
        <f t="shared" si="488"/>
        <v/>
      </c>
      <c r="O699" s="142" t="str">
        <f t="shared" si="489"/>
        <v/>
      </c>
      <c r="P699" s="21"/>
    </row>
    <row r="700" spans="10:16">
      <c r="J700" s="145">
        <f t="shared" si="490"/>
        <v>0</v>
      </c>
      <c r="K700" s="146">
        <f t="shared" si="491"/>
        <v>3.3306690738754696E-16</v>
      </c>
      <c r="L700" s="123"/>
      <c r="M700" s="142" t="str">
        <f t="shared" si="488"/>
        <v/>
      </c>
      <c r="O700" s="142" t="str">
        <f t="shared" si="489"/>
        <v/>
      </c>
      <c r="P700" s="21"/>
    </row>
    <row r="701" spans="10:16">
      <c r="J701" s="145">
        <f t="shared" si="490"/>
        <v>0</v>
      </c>
      <c r="K701" s="146">
        <f t="shared" si="491"/>
        <v>3.3306690738754696E-16</v>
      </c>
      <c r="L701" s="123"/>
      <c r="M701" s="142" t="str">
        <f t="shared" si="488"/>
        <v/>
      </c>
      <c r="O701" s="142" t="str">
        <f t="shared" si="489"/>
        <v/>
      </c>
      <c r="P701" s="21"/>
    </row>
    <row r="702" spans="10:16">
      <c r="J702" s="145">
        <f t="shared" si="490"/>
        <v>0</v>
      </c>
      <c r="K702" s="146">
        <f t="shared" si="491"/>
        <v>3.3306690738754696E-16</v>
      </c>
      <c r="L702" s="123"/>
      <c r="M702" s="142" t="str">
        <f t="shared" si="488"/>
        <v/>
      </c>
      <c r="O702" s="142" t="str">
        <f t="shared" si="489"/>
        <v/>
      </c>
      <c r="P702" s="21"/>
    </row>
    <row r="703" spans="10:16">
      <c r="J703" s="145">
        <f t="shared" si="490"/>
        <v>0</v>
      </c>
      <c r="K703" s="146">
        <f t="shared" si="491"/>
        <v>3.3306690738754696E-16</v>
      </c>
      <c r="L703" s="123"/>
      <c r="M703" s="142" t="str">
        <f t="shared" si="488"/>
        <v/>
      </c>
      <c r="O703" s="142" t="str">
        <f t="shared" si="489"/>
        <v/>
      </c>
      <c r="P703" s="21"/>
    </row>
    <row r="704" spans="10:16">
      <c r="J704" s="145">
        <f t="shared" si="490"/>
        <v>0</v>
      </c>
      <c r="K704" s="146">
        <f t="shared" si="491"/>
        <v>3.3306690738754696E-16</v>
      </c>
      <c r="L704" s="123"/>
      <c r="M704" s="142" t="str">
        <f t="shared" si="488"/>
        <v/>
      </c>
      <c r="O704" s="142" t="str">
        <f t="shared" si="489"/>
        <v/>
      </c>
      <c r="P704" s="21"/>
    </row>
    <row r="705" spans="10:16">
      <c r="J705" s="145">
        <f t="shared" si="490"/>
        <v>0</v>
      </c>
      <c r="K705" s="146">
        <f t="shared" si="491"/>
        <v>3.3306690738754696E-16</v>
      </c>
      <c r="L705" s="123"/>
      <c r="M705" s="142" t="str">
        <f t="shared" si="488"/>
        <v/>
      </c>
      <c r="O705" s="142" t="str">
        <f t="shared" si="489"/>
        <v/>
      </c>
      <c r="P705" s="21"/>
    </row>
    <row r="706" spans="10:16">
      <c r="J706" s="145">
        <f t="shared" si="490"/>
        <v>0</v>
      </c>
      <c r="K706" s="146">
        <f t="shared" si="491"/>
        <v>3.3306690738754696E-16</v>
      </c>
      <c r="L706" s="123"/>
      <c r="M706" s="142" t="str">
        <f t="shared" si="488"/>
        <v/>
      </c>
      <c r="O706" s="142" t="str">
        <f t="shared" si="489"/>
        <v/>
      </c>
      <c r="P706" s="21"/>
    </row>
    <row r="707" spans="10:16">
      <c r="J707" s="145">
        <f t="shared" si="490"/>
        <v>0</v>
      </c>
      <c r="K707" s="146">
        <f t="shared" si="491"/>
        <v>3.3306690738754696E-16</v>
      </c>
      <c r="L707" s="123"/>
      <c r="M707" s="142" t="str">
        <f t="shared" si="488"/>
        <v/>
      </c>
      <c r="O707" s="142" t="str">
        <f t="shared" si="489"/>
        <v/>
      </c>
      <c r="P707" s="21"/>
    </row>
    <row r="708" spans="10:16">
      <c r="J708" s="145">
        <f t="shared" si="490"/>
        <v>0</v>
      </c>
      <c r="K708" s="146">
        <f t="shared" si="491"/>
        <v>3.3306690738754696E-16</v>
      </c>
      <c r="L708" s="123"/>
      <c r="M708" s="142" t="str">
        <f t="shared" si="488"/>
        <v/>
      </c>
      <c r="O708" s="142" t="str">
        <f t="shared" si="489"/>
        <v/>
      </c>
      <c r="P708" s="21"/>
    </row>
    <row r="709" spans="10:16">
      <c r="J709" s="145">
        <f t="shared" si="490"/>
        <v>0</v>
      </c>
      <c r="K709" s="146">
        <f t="shared" si="491"/>
        <v>3.3306690738754696E-16</v>
      </c>
      <c r="L709" s="123"/>
      <c r="M709" s="142" t="str">
        <f t="shared" si="488"/>
        <v/>
      </c>
      <c r="O709" s="142" t="str">
        <f t="shared" si="489"/>
        <v/>
      </c>
      <c r="P709" s="21"/>
    </row>
    <row r="710" spans="10:16">
      <c r="J710" s="145">
        <f t="shared" si="490"/>
        <v>0</v>
      </c>
      <c r="K710" s="146">
        <f t="shared" si="491"/>
        <v>3.3306690738754696E-16</v>
      </c>
      <c r="L710" s="123"/>
      <c r="M710" s="142" t="str">
        <f t="shared" si="488"/>
        <v/>
      </c>
      <c r="O710" s="142" t="str">
        <f t="shared" si="489"/>
        <v/>
      </c>
      <c r="P710" s="21"/>
    </row>
    <row r="711" spans="10:16">
      <c r="J711" s="145">
        <f t="shared" si="490"/>
        <v>0</v>
      </c>
      <c r="K711" s="146">
        <f t="shared" si="491"/>
        <v>3.3306690738754696E-16</v>
      </c>
      <c r="L711" s="123"/>
      <c r="M711" s="142" t="str">
        <f t="shared" si="488"/>
        <v/>
      </c>
      <c r="O711" s="142" t="str">
        <f t="shared" si="489"/>
        <v/>
      </c>
      <c r="P711" s="21"/>
    </row>
    <row r="712" spans="10:16">
      <c r="J712" s="145">
        <f t="shared" si="490"/>
        <v>0</v>
      </c>
      <c r="K712" s="146">
        <f t="shared" si="491"/>
        <v>3.3306690738754696E-16</v>
      </c>
      <c r="L712" s="123"/>
      <c r="M712" s="142" t="str">
        <f t="shared" si="488"/>
        <v/>
      </c>
      <c r="O712" s="142" t="str">
        <f t="shared" si="489"/>
        <v/>
      </c>
      <c r="P712" s="21"/>
    </row>
    <row r="713" spans="10:16">
      <c r="J713" s="145">
        <f t="shared" si="490"/>
        <v>0</v>
      </c>
      <c r="K713" s="146">
        <f t="shared" si="491"/>
        <v>3.3306690738754696E-16</v>
      </c>
      <c r="L713" s="123"/>
      <c r="M713" s="142" t="str">
        <f t="shared" si="488"/>
        <v/>
      </c>
      <c r="O713" s="142" t="str">
        <f t="shared" si="489"/>
        <v/>
      </c>
      <c r="P713" s="21"/>
    </row>
    <row r="714" spans="10:16">
      <c r="J714" s="145">
        <f t="shared" si="490"/>
        <v>0</v>
      </c>
      <c r="K714" s="146">
        <f t="shared" si="491"/>
        <v>3.3306690738754696E-16</v>
      </c>
      <c r="L714" s="123"/>
      <c r="M714" s="142" t="str">
        <f t="shared" si="488"/>
        <v/>
      </c>
      <c r="O714" s="142" t="str">
        <f t="shared" si="489"/>
        <v/>
      </c>
      <c r="P714" s="21"/>
    </row>
    <row r="715" spans="10:16">
      <c r="J715" s="145">
        <f t="shared" si="490"/>
        <v>0</v>
      </c>
      <c r="K715" s="146">
        <f t="shared" si="491"/>
        <v>3.3306690738754696E-16</v>
      </c>
      <c r="L715" s="123"/>
      <c r="M715" s="142" t="str">
        <f t="shared" si="488"/>
        <v/>
      </c>
      <c r="O715" s="142" t="str">
        <f t="shared" si="489"/>
        <v/>
      </c>
      <c r="P715" s="21"/>
    </row>
    <row r="716" spans="10:16">
      <c r="J716" s="145">
        <f t="shared" si="490"/>
        <v>0</v>
      </c>
      <c r="K716" s="146">
        <f t="shared" si="491"/>
        <v>3.3306690738754696E-16</v>
      </c>
      <c r="L716" s="123"/>
      <c r="M716" s="142" t="str">
        <f t="shared" si="488"/>
        <v/>
      </c>
      <c r="O716" s="142" t="str">
        <f t="shared" si="489"/>
        <v/>
      </c>
      <c r="P716" s="21"/>
    </row>
    <row r="717" spans="10:16">
      <c r="J717" s="145">
        <f t="shared" si="490"/>
        <v>0</v>
      </c>
      <c r="K717" s="146">
        <f t="shared" si="491"/>
        <v>3.3306690738754696E-16</v>
      </c>
      <c r="L717" s="123"/>
      <c r="M717" s="142" t="str">
        <f t="shared" si="488"/>
        <v/>
      </c>
      <c r="O717" s="142" t="str">
        <f t="shared" si="489"/>
        <v/>
      </c>
      <c r="P717" s="21"/>
    </row>
    <row r="718" spans="10:16">
      <c r="J718" s="145">
        <f t="shared" si="490"/>
        <v>0</v>
      </c>
      <c r="K718" s="146">
        <f t="shared" si="491"/>
        <v>3.3306690738754696E-16</v>
      </c>
      <c r="L718" s="123"/>
      <c r="M718" s="142" t="str">
        <f t="shared" si="488"/>
        <v/>
      </c>
      <c r="O718" s="142" t="str">
        <f t="shared" si="489"/>
        <v/>
      </c>
      <c r="P718" s="21"/>
    </row>
    <row r="719" spans="10:16">
      <c r="J719" s="145">
        <f t="shared" si="490"/>
        <v>0</v>
      </c>
      <c r="K719" s="146">
        <f t="shared" si="491"/>
        <v>3.3306690738754696E-16</v>
      </c>
      <c r="L719" s="123"/>
      <c r="M719" s="142" t="str">
        <f t="shared" si="488"/>
        <v/>
      </c>
      <c r="O719" s="142" t="str">
        <f t="shared" si="489"/>
        <v/>
      </c>
      <c r="P719" s="21"/>
    </row>
    <row r="720" spans="10:16">
      <c r="J720" s="145">
        <f t="shared" si="490"/>
        <v>0</v>
      </c>
      <c r="K720" s="146">
        <f t="shared" si="491"/>
        <v>3.3306690738754696E-16</v>
      </c>
      <c r="L720" s="123"/>
      <c r="M720" s="142" t="str">
        <f t="shared" si="488"/>
        <v/>
      </c>
      <c r="O720" s="142" t="str">
        <f t="shared" si="489"/>
        <v/>
      </c>
      <c r="P720" s="21"/>
    </row>
    <row r="721" spans="10:16">
      <c r="J721" s="145">
        <f t="shared" si="490"/>
        <v>0</v>
      </c>
      <c r="K721" s="146">
        <f t="shared" si="491"/>
        <v>3.3306690738754696E-16</v>
      </c>
      <c r="L721" s="123"/>
      <c r="M721" s="142" t="str">
        <f t="shared" si="488"/>
        <v/>
      </c>
      <c r="O721" s="142" t="str">
        <f t="shared" si="489"/>
        <v/>
      </c>
      <c r="P721" s="21"/>
    </row>
    <row r="722" spans="10:16">
      <c r="J722" s="145">
        <f t="shared" si="490"/>
        <v>0</v>
      </c>
      <c r="K722" s="146">
        <f t="shared" si="491"/>
        <v>3.3306690738754696E-16</v>
      </c>
      <c r="L722" s="123"/>
      <c r="M722" s="142" t="str">
        <f t="shared" si="488"/>
        <v/>
      </c>
      <c r="O722" s="142" t="str">
        <f t="shared" si="489"/>
        <v/>
      </c>
      <c r="P722" s="21"/>
    </row>
    <row r="723" spans="10:16">
      <c r="J723" s="145">
        <f t="shared" si="490"/>
        <v>0</v>
      </c>
      <c r="K723" s="146">
        <f t="shared" si="491"/>
        <v>3.3306690738754696E-16</v>
      </c>
      <c r="L723" s="123"/>
      <c r="M723" s="142" t="str">
        <f t="shared" si="488"/>
        <v/>
      </c>
      <c r="O723" s="142" t="str">
        <f t="shared" si="489"/>
        <v/>
      </c>
      <c r="P723" s="21"/>
    </row>
    <row r="724" spans="10:16">
      <c r="J724" s="145">
        <f t="shared" si="490"/>
        <v>0</v>
      </c>
      <c r="K724" s="146">
        <f t="shared" si="491"/>
        <v>3.3306690738754696E-16</v>
      </c>
      <c r="L724" s="123"/>
      <c r="M724" s="142" t="str">
        <f t="shared" si="488"/>
        <v/>
      </c>
      <c r="O724" s="142" t="str">
        <f t="shared" si="489"/>
        <v/>
      </c>
      <c r="P724" s="21"/>
    </row>
    <row r="725" spans="10:16">
      <c r="J725" s="145">
        <f t="shared" si="490"/>
        <v>0</v>
      </c>
      <c r="K725" s="146">
        <f t="shared" si="491"/>
        <v>3.3306690738754696E-16</v>
      </c>
      <c r="L725" s="123"/>
      <c r="M725" s="142" t="str">
        <f t="shared" si="488"/>
        <v/>
      </c>
      <c r="O725" s="142" t="str">
        <f t="shared" si="489"/>
        <v/>
      </c>
      <c r="P725" s="21"/>
    </row>
    <row r="726" spans="10:16">
      <c r="J726" s="145">
        <f t="shared" si="490"/>
        <v>0</v>
      </c>
      <c r="K726" s="146">
        <f t="shared" si="491"/>
        <v>3.3306690738754696E-16</v>
      </c>
      <c r="L726" s="123"/>
      <c r="M726" s="142" t="str">
        <f t="shared" si="488"/>
        <v/>
      </c>
      <c r="O726" s="142" t="str">
        <f t="shared" si="489"/>
        <v/>
      </c>
      <c r="P726" s="21"/>
    </row>
    <row r="727" spans="10:16">
      <c r="J727" s="145">
        <f t="shared" si="490"/>
        <v>0</v>
      </c>
      <c r="K727" s="146">
        <f t="shared" si="491"/>
        <v>3.3306690738754696E-16</v>
      </c>
      <c r="L727" s="123"/>
      <c r="M727" s="142" t="str">
        <f t="shared" si="488"/>
        <v/>
      </c>
      <c r="O727" s="142" t="str">
        <f t="shared" si="489"/>
        <v/>
      </c>
      <c r="P727" s="21"/>
    </row>
    <row r="728" spans="10:16">
      <c r="J728" s="145">
        <f t="shared" si="490"/>
        <v>0</v>
      </c>
      <c r="K728" s="146">
        <f t="shared" si="491"/>
        <v>3.3306690738754696E-16</v>
      </c>
      <c r="L728" s="123"/>
      <c r="M728" s="142" t="str">
        <f t="shared" si="488"/>
        <v/>
      </c>
      <c r="O728" s="142" t="str">
        <f t="shared" si="489"/>
        <v/>
      </c>
      <c r="P728" s="21"/>
    </row>
    <row r="729" spans="10:16">
      <c r="J729" s="145">
        <f t="shared" si="490"/>
        <v>0</v>
      </c>
      <c r="K729" s="146">
        <f t="shared" si="491"/>
        <v>3.3306690738754696E-16</v>
      </c>
      <c r="L729" s="123"/>
      <c r="M729" s="142" t="str">
        <f t="shared" si="488"/>
        <v/>
      </c>
      <c r="O729" s="142" t="str">
        <f t="shared" si="489"/>
        <v/>
      </c>
      <c r="P729" s="21"/>
    </row>
    <row r="730" spans="10:16">
      <c r="J730" s="145">
        <f t="shared" si="490"/>
        <v>0</v>
      </c>
      <c r="K730" s="146">
        <f t="shared" si="491"/>
        <v>3.3306690738754696E-16</v>
      </c>
      <c r="L730" s="123"/>
      <c r="M730" s="142" t="str">
        <f t="shared" si="488"/>
        <v/>
      </c>
      <c r="O730" s="142" t="str">
        <f t="shared" si="489"/>
        <v/>
      </c>
      <c r="P730" s="21"/>
    </row>
    <row r="731" spans="10:16">
      <c r="J731" s="145">
        <f t="shared" si="490"/>
        <v>0</v>
      </c>
      <c r="K731" s="146">
        <f t="shared" si="491"/>
        <v>3.3306690738754696E-16</v>
      </c>
      <c r="L731" s="123"/>
      <c r="M731" s="142" t="str">
        <f t="shared" si="488"/>
        <v/>
      </c>
      <c r="O731" s="142" t="str">
        <f t="shared" si="489"/>
        <v/>
      </c>
      <c r="P731" s="21"/>
    </row>
    <row r="732" spans="10:16">
      <c r="J732" s="145">
        <f t="shared" si="490"/>
        <v>0</v>
      </c>
      <c r="K732" s="146">
        <f t="shared" si="491"/>
        <v>3.3306690738754696E-16</v>
      </c>
      <c r="L732" s="123"/>
      <c r="M732" s="142" t="str">
        <f t="shared" si="488"/>
        <v/>
      </c>
      <c r="O732" s="142" t="str">
        <f t="shared" si="489"/>
        <v/>
      </c>
      <c r="P732" s="21"/>
    </row>
    <row r="733" spans="10:16">
      <c r="J733" s="145">
        <f t="shared" si="490"/>
        <v>0</v>
      </c>
      <c r="K733" s="146">
        <f t="shared" si="491"/>
        <v>3.3306690738754696E-16</v>
      </c>
      <c r="L733" s="123"/>
      <c r="M733" s="142" t="str">
        <f t="shared" si="488"/>
        <v/>
      </c>
      <c r="O733" s="142" t="str">
        <f t="shared" si="489"/>
        <v/>
      </c>
      <c r="P733" s="21"/>
    </row>
    <row r="734" spans="10:16">
      <c r="J734" s="145">
        <f t="shared" si="490"/>
        <v>0</v>
      </c>
      <c r="K734" s="146">
        <f t="shared" si="491"/>
        <v>3.3306690738754696E-16</v>
      </c>
      <c r="L734" s="123"/>
      <c r="M734" s="142" t="str">
        <f t="shared" si="488"/>
        <v/>
      </c>
      <c r="O734" s="142" t="str">
        <f t="shared" si="489"/>
        <v/>
      </c>
      <c r="P734" s="21"/>
    </row>
    <row r="735" spans="10:16">
      <c r="J735" s="145">
        <f t="shared" si="490"/>
        <v>0</v>
      </c>
      <c r="K735" s="146">
        <f t="shared" si="491"/>
        <v>3.3306690738754696E-16</v>
      </c>
      <c r="L735" s="123"/>
      <c r="M735" s="142" t="str">
        <f t="shared" si="488"/>
        <v/>
      </c>
      <c r="O735" s="142" t="str">
        <f t="shared" si="489"/>
        <v/>
      </c>
      <c r="P735" s="21"/>
    </row>
    <row r="736" spans="10:16">
      <c r="J736" s="145">
        <f t="shared" si="490"/>
        <v>0</v>
      </c>
      <c r="K736" s="146">
        <f t="shared" si="491"/>
        <v>3.3306690738754696E-16</v>
      </c>
      <c r="L736" s="123"/>
      <c r="M736" s="142" t="str">
        <f t="shared" si="488"/>
        <v/>
      </c>
      <c r="O736" s="142" t="str">
        <f t="shared" si="489"/>
        <v/>
      </c>
      <c r="P736" s="21"/>
    </row>
    <row r="737" spans="10:16">
      <c r="J737" s="145">
        <f t="shared" si="490"/>
        <v>0</v>
      </c>
      <c r="K737" s="146">
        <f t="shared" si="491"/>
        <v>3.3306690738754696E-16</v>
      </c>
      <c r="L737" s="123"/>
      <c r="M737" s="142" t="str">
        <f t="shared" si="488"/>
        <v/>
      </c>
      <c r="O737" s="142" t="str">
        <f t="shared" si="489"/>
        <v/>
      </c>
      <c r="P737" s="21"/>
    </row>
    <row r="738" spans="10:16">
      <c r="J738" s="145">
        <f t="shared" si="490"/>
        <v>0</v>
      </c>
      <c r="K738" s="146">
        <f t="shared" si="491"/>
        <v>3.3306690738754696E-16</v>
      </c>
      <c r="L738" s="123"/>
      <c r="M738" s="142" t="str">
        <f t="shared" si="488"/>
        <v/>
      </c>
      <c r="O738" s="142" t="str">
        <f t="shared" si="489"/>
        <v/>
      </c>
      <c r="P738" s="21"/>
    </row>
    <row r="739" spans="10:16">
      <c r="J739" s="145">
        <f t="shared" si="490"/>
        <v>0</v>
      </c>
      <c r="K739" s="146">
        <f t="shared" si="491"/>
        <v>3.3306690738754696E-16</v>
      </c>
      <c r="L739" s="123"/>
      <c r="M739" s="142" t="str">
        <f t="shared" si="488"/>
        <v/>
      </c>
      <c r="O739" s="142" t="str">
        <f t="shared" si="489"/>
        <v/>
      </c>
      <c r="P739" s="21"/>
    </row>
    <row r="740" spans="10:16">
      <c r="J740" s="145">
        <f t="shared" si="490"/>
        <v>0</v>
      </c>
      <c r="K740" s="146">
        <f t="shared" si="491"/>
        <v>3.3306690738754696E-16</v>
      </c>
      <c r="L740" s="123"/>
      <c r="M740" s="142" t="str">
        <f t="shared" si="488"/>
        <v/>
      </c>
      <c r="O740" s="142" t="str">
        <f t="shared" si="489"/>
        <v/>
      </c>
      <c r="P740" s="21"/>
    </row>
    <row r="741" spans="10:16">
      <c r="J741" s="145">
        <f t="shared" si="490"/>
        <v>0</v>
      </c>
      <c r="K741" s="146">
        <f t="shared" si="491"/>
        <v>3.3306690738754696E-16</v>
      </c>
      <c r="L741" s="123"/>
      <c r="M741" s="142" t="str">
        <f t="shared" si="488"/>
        <v/>
      </c>
      <c r="O741" s="142" t="str">
        <f t="shared" si="489"/>
        <v/>
      </c>
      <c r="P741" s="21"/>
    </row>
    <row r="742" spans="10:16">
      <c r="J742" s="145">
        <f t="shared" si="490"/>
        <v>0</v>
      </c>
      <c r="K742" s="146">
        <f t="shared" si="491"/>
        <v>3.3306690738754696E-16</v>
      </c>
      <c r="L742" s="123"/>
      <c r="M742" s="142" t="str">
        <f t="shared" si="488"/>
        <v/>
      </c>
      <c r="O742" s="142" t="str">
        <f t="shared" si="489"/>
        <v/>
      </c>
      <c r="P742" s="21"/>
    </row>
    <row r="743" spans="10:16">
      <c r="J743" s="145">
        <f t="shared" si="490"/>
        <v>0</v>
      </c>
      <c r="K743" s="146">
        <f t="shared" si="491"/>
        <v>3.3306690738754696E-16</v>
      </c>
      <c r="L743" s="123"/>
      <c r="M743" s="142" t="str">
        <f t="shared" si="488"/>
        <v/>
      </c>
      <c r="O743" s="142" t="str">
        <f t="shared" si="489"/>
        <v/>
      </c>
      <c r="P743" s="21"/>
    </row>
    <row r="744" spans="10:16">
      <c r="J744" s="145">
        <f t="shared" si="490"/>
        <v>0</v>
      </c>
      <c r="K744" s="146">
        <f t="shared" si="491"/>
        <v>3.3306690738754696E-16</v>
      </c>
      <c r="L744" s="123"/>
      <c r="M744" s="142" t="str">
        <f t="shared" si="488"/>
        <v/>
      </c>
      <c r="O744" s="142" t="str">
        <f t="shared" si="489"/>
        <v/>
      </c>
      <c r="P744" s="21"/>
    </row>
    <row r="745" spans="10:16">
      <c r="J745" s="145">
        <f t="shared" si="490"/>
        <v>0</v>
      </c>
      <c r="K745" s="146">
        <f t="shared" si="491"/>
        <v>3.3306690738754696E-16</v>
      </c>
      <c r="L745" s="123"/>
      <c r="M745" s="142" t="str">
        <f t="shared" si="488"/>
        <v/>
      </c>
      <c r="O745" s="142" t="str">
        <f t="shared" si="489"/>
        <v/>
      </c>
      <c r="P745" s="21"/>
    </row>
    <row r="746" spans="10:16">
      <c r="J746" s="145">
        <f t="shared" si="490"/>
        <v>0</v>
      </c>
      <c r="K746" s="146">
        <f t="shared" si="491"/>
        <v>3.3306690738754696E-16</v>
      </c>
      <c r="L746" s="123"/>
      <c r="M746" s="142" t="str">
        <f t="shared" si="488"/>
        <v/>
      </c>
      <c r="O746" s="142" t="str">
        <f t="shared" si="489"/>
        <v/>
      </c>
      <c r="P746" s="21"/>
    </row>
    <row r="747" spans="10:16">
      <c r="J747" s="145">
        <f t="shared" si="490"/>
        <v>0</v>
      </c>
      <c r="K747" s="146">
        <f t="shared" si="491"/>
        <v>3.3306690738754696E-16</v>
      </c>
      <c r="L747" s="123"/>
      <c r="M747" s="142" t="str">
        <f t="shared" si="488"/>
        <v/>
      </c>
      <c r="O747" s="142" t="str">
        <f t="shared" si="489"/>
        <v/>
      </c>
      <c r="P747" s="21"/>
    </row>
    <row r="748" spans="10:16">
      <c r="J748" s="145">
        <f t="shared" si="490"/>
        <v>0</v>
      </c>
      <c r="K748" s="146">
        <f t="shared" si="491"/>
        <v>3.3306690738754696E-16</v>
      </c>
      <c r="L748" s="123"/>
      <c r="M748" s="142" t="str">
        <f t="shared" ref="M748:M801" si="492">IF(ISBLANK(F748),"",F748)</f>
        <v/>
      </c>
      <c r="O748" s="142" t="str">
        <f t="shared" ref="O748:O801" si="493">IF(ISBLANK(H748),"",H748)</f>
        <v/>
      </c>
      <c r="P748" s="21"/>
    </row>
    <row r="749" spans="10:16">
      <c r="J749" s="145">
        <f t="shared" ref="J749:J801" si="494">C749+D749</f>
        <v>0</v>
      </c>
      <c r="K749" s="146">
        <f t="shared" ref="K749:K801" si="495">IF($K$42="mas",J749+$L$42,J749-$L$42)</f>
        <v>3.3306690738754696E-16</v>
      </c>
      <c r="L749" s="123"/>
      <c r="M749" s="142" t="str">
        <f t="shared" si="492"/>
        <v/>
      </c>
      <c r="O749" s="142" t="str">
        <f t="shared" si="493"/>
        <v/>
      </c>
      <c r="P749" s="21"/>
    </row>
    <row r="750" spans="10:16">
      <c r="J750" s="145">
        <f t="shared" si="494"/>
        <v>0</v>
      </c>
      <c r="K750" s="146">
        <f t="shared" si="495"/>
        <v>3.3306690738754696E-16</v>
      </c>
      <c r="L750" s="123"/>
      <c r="M750" s="142" t="str">
        <f t="shared" si="492"/>
        <v/>
      </c>
      <c r="O750" s="142" t="str">
        <f t="shared" si="493"/>
        <v/>
      </c>
      <c r="P750" s="21"/>
    </row>
    <row r="751" spans="10:16">
      <c r="J751" s="145">
        <f t="shared" si="494"/>
        <v>0</v>
      </c>
      <c r="K751" s="146">
        <f t="shared" si="495"/>
        <v>3.3306690738754696E-16</v>
      </c>
      <c r="L751" s="123"/>
      <c r="M751" s="142" t="str">
        <f t="shared" si="492"/>
        <v/>
      </c>
      <c r="O751" s="142" t="str">
        <f t="shared" si="493"/>
        <v/>
      </c>
      <c r="P751" s="21"/>
    </row>
    <row r="752" spans="10:16">
      <c r="J752" s="145">
        <f t="shared" si="494"/>
        <v>0</v>
      </c>
      <c r="K752" s="146">
        <f t="shared" si="495"/>
        <v>3.3306690738754696E-16</v>
      </c>
      <c r="L752" s="123"/>
      <c r="M752" s="142" t="str">
        <f t="shared" si="492"/>
        <v/>
      </c>
      <c r="O752" s="142" t="str">
        <f t="shared" si="493"/>
        <v/>
      </c>
      <c r="P752" s="21"/>
    </row>
    <row r="753" spans="10:16">
      <c r="J753" s="145">
        <f t="shared" si="494"/>
        <v>0</v>
      </c>
      <c r="K753" s="146">
        <f t="shared" si="495"/>
        <v>3.3306690738754696E-16</v>
      </c>
      <c r="L753" s="123"/>
      <c r="M753" s="142" t="str">
        <f t="shared" si="492"/>
        <v/>
      </c>
      <c r="O753" s="142" t="str">
        <f t="shared" si="493"/>
        <v/>
      </c>
      <c r="P753" s="21"/>
    </row>
    <row r="754" spans="10:16">
      <c r="J754" s="145">
        <f t="shared" si="494"/>
        <v>0</v>
      </c>
      <c r="K754" s="146">
        <f t="shared" si="495"/>
        <v>3.3306690738754696E-16</v>
      </c>
      <c r="L754" s="123"/>
      <c r="M754" s="142" t="str">
        <f t="shared" si="492"/>
        <v/>
      </c>
      <c r="O754" s="142" t="str">
        <f t="shared" si="493"/>
        <v/>
      </c>
      <c r="P754" s="21"/>
    </row>
    <row r="755" spans="10:16">
      <c r="J755" s="145">
        <f t="shared" si="494"/>
        <v>0</v>
      </c>
      <c r="K755" s="146">
        <f t="shared" si="495"/>
        <v>3.3306690738754696E-16</v>
      </c>
      <c r="L755" s="123"/>
      <c r="M755" s="142" t="str">
        <f t="shared" si="492"/>
        <v/>
      </c>
      <c r="O755" s="142" t="str">
        <f t="shared" si="493"/>
        <v/>
      </c>
      <c r="P755" s="21"/>
    </row>
    <row r="756" spans="10:16">
      <c r="J756" s="145">
        <f t="shared" si="494"/>
        <v>0</v>
      </c>
      <c r="K756" s="146">
        <f t="shared" si="495"/>
        <v>3.3306690738754696E-16</v>
      </c>
      <c r="L756" s="123"/>
      <c r="M756" s="142" t="str">
        <f t="shared" si="492"/>
        <v/>
      </c>
      <c r="O756" s="142" t="str">
        <f t="shared" si="493"/>
        <v/>
      </c>
      <c r="P756" s="21"/>
    </row>
    <row r="757" spans="10:16">
      <c r="J757" s="145">
        <f t="shared" si="494"/>
        <v>0</v>
      </c>
      <c r="K757" s="146">
        <f t="shared" si="495"/>
        <v>3.3306690738754696E-16</v>
      </c>
      <c r="L757" s="123"/>
      <c r="M757" s="142" t="str">
        <f t="shared" si="492"/>
        <v/>
      </c>
      <c r="O757" s="142" t="str">
        <f t="shared" si="493"/>
        <v/>
      </c>
      <c r="P757" s="21"/>
    </row>
    <row r="758" spans="10:16">
      <c r="J758" s="145">
        <f t="shared" si="494"/>
        <v>0</v>
      </c>
      <c r="K758" s="146">
        <f t="shared" si="495"/>
        <v>3.3306690738754696E-16</v>
      </c>
      <c r="L758" s="123"/>
      <c r="M758" s="142" t="str">
        <f t="shared" si="492"/>
        <v/>
      </c>
      <c r="O758" s="142" t="str">
        <f t="shared" si="493"/>
        <v/>
      </c>
      <c r="P758" s="21"/>
    </row>
    <row r="759" spans="10:16">
      <c r="J759" s="145">
        <f t="shared" si="494"/>
        <v>0</v>
      </c>
      <c r="K759" s="146">
        <f t="shared" si="495"/>
        <v>3.3306690738754696E-16</v>
      </c>
      <c r="L759" s="123"/>
      <c r="M759" s="142" t="str">
        <f t="shared" si="492"/>
        <v/>
      </c>
      <c r="O759" s="142" t="str">
        <f t="shared" si="493"/>
        <v/>
      </c>
      <c r="P759" s="21"/>
    </row>
    <row r="760" spans="10:16">
      <c r="J760" s="145">
        <f t="shared" si="494"/>
        <v>0</v>
      </c>
      <c r="K760" s="146">
        <f t="shared" si="495"/>
        <v>3.3306690738754696E-16</v>
      </c>
      <c r="L760" s="123"/>
      <c r="M760" s="142" t="str">
        <f t="shared" si="492"/>
        <v/>
      </c>
      <c r="O760" s="142" t="str">
        <f t="shared" si="493"/>
        <v/>
      </c>
      <c r="P760" s="21"/>
    </row>
    <row r="761" spans="10:16">
      <c r="J761" s="145">
        <f t="shared" si="494"/>
        <v>0</v>
      </c>
      <c r="K761" s="146">
        <f t="shared" si="495"/>
        <v>3.3306690738754696E-16</v>
      </c>
      <c r="L761" s="123"/>
      <c r="M761" s="142" t="str">
        <f t="shared" si="492"/>
        <v/>
      </c>
      <c r="O761" s="142" t="str">
        <f t="shared" si="493"/>
        <v/>
      </c>
      <c r="P761" s="21"/>
    </row>
    <row r="762" spans="10:16">
      <c r="J762" s="145">
        <f t="shared" si="494"/>
        <v>0</v>
      </c>
      <c r="K762" s="146">
        <f t="shared" si="495"/>
        <v>3.3306690738754696E-16</v>
      </c>
      <c r="L762" s="123"/>
      <c r="M762" s="142" t="str">
        <f t="shared" si="492"/>
        <v/>
      </c>
      <c r="O762" s="142" t="str">
        <f t="shared" si="493"/>
        <v/>
      </c>
      <c r="P762" s="21"/>
    </row>
    <row r="763" spans="10:16">
      <c r="J763" s="145">
        <f t="shared" si="494"/>
        <v>0</v>
      </c>
      <c r="K763" s="146">
        <f t="shared" si="495"/>
        <v>3.3306690738754696E-16</v>
      </c>
      <c r="L763" s="123"/>
      <c r="M763" s="142" t="str">
        <f t="shared" si="492"/>
        <v/>
      </c>
      <c r="O763" s="142" t="str">
        <f t="shared" si="493"/>
        <v/>
      </c>
      <c r="P763" s="21"/>
    </row>
    <row r="764" spans="10:16">
      <c r="J764" s="145">
        <f t="shared" si="494"/>
        <v>0</v>
      </c>
      <c r="K764" s="146">
        <f t="shared" si="495"/>
        <v>3.3306690738754696E-16</v>
      </c>
      <c r="L764" s="123"/>
      <c r="M764" s="142" t="str">
        <f t="shared" si="492"/>
        <v/>
      </c>
      <c r="O764" s="142" t="str">
        <f t="shared" si="493"/>
        <v/>
      </c>
      <c r="P764" s="21"/>
    </row>
    <row r="765" spans="10:16">
      <c r="J765" s="145">
        <f t="shared" si="494"/>
        <v>0</v>
      </c>
      <c r="K765" s="146">
        <f t="shared" si="495"/>
        <v>3.3306690738754696E-16</v>
      </c>
      <c r="L765" s="123"/>
      <c r="M765" s="142" t="str">
        <f t="shared" si="492"/>
        <v/>
      </c>
      <c r="O765" s="142" t="str">
        <f t="shared" si="493"/>
        <v/>
      </c>
      <c r="P765" s="21"/>
    </row>
    <row r="766" spans="10:16">
      <c r="J766" s="145">
        <f t="shared" si="494"/>
        <v>0</v>
      </c>
      <c r="K766" s="146">
        <f t="shared" si="495"/>
        <v>3.3306690738754696E-16</v>
      </c>
      <c r="L766" s="123"/>
      <c r="M766" s="142" t="str">
        <f t="shared" si="492"/>
        <v/>
      </c>
      <c r="O766" s="142" t="str">
        <f t="shared" si="493"/>
        <v/>
      </c>
      <c r="P766" s="21"/>
    </row>
    <row r="767" spans="10:16">
      <c r="J767" s="145">
        <f t="shared" si="494"/>
        <v>0</v>
      </c>
      <c r="K767" s="146">
        <f t="shared" si="495"/>
        <v>3.3306690738754696E-16</v>
      </c>
      <c r="L767" s="123"/>
      <c r="M767" s="142" t="str">
        <f t="shared" si="492"/>
        <v/>
      </c>
      <c r="O767" s="142" t="str">
        <f t="shared" si="493"/>
        <v/>
      </c>
      <c r="P767" s="21"/>
    </row>
    <row r="768" spans="10:16">
      <c r="J768" s="145">
        <f t="shared" si="494"/>
        <v>0</v>
      </c>
      <c r="K768" s="146">
        <f t="shared" si="495"/>
        <v>3.3306690738754696E-16</v>
      </c>
      <c r="L768" s="123"/>
      <c r="M768" s="142" t="str">
        <f t="shared" si="492"/>
        <v/>
      </c>
      <c r="O768" s="142" t="str">
        <f t="shared" si="493"/>
        <v/>
      </c>
      <c r="P768" s="21"/>
    </row>
    <row r="769" spans="10:16">
      <c r="J769" s="145">
        <f t="shared" si="494"/>
        <v>0</v>
      </c>
      <c r="K769" s="146">
        <f t="shared" si="495"/>
        <v>3.3306690738754696E-16</v>
      </c>
      <c r="L769" s="123"/>
      <c r="M769" s="142" t="str">
        <f t="shared" si="492"/>
        <v/>
      </c>
      <c r="O769" s="142" t="str">
        <f t="shared" si="493"/>
        <v/>
      </c>
      <c r="P769" s="21"/>
    </row>
    <row r="770" spans="10:16">
      <c r="J770" s="145">
        <f t="shared" si="494"/>
        <v>0</v>
      </c>
      <c r="K770" s="146">
        <f t="shared" si="495"/>
        <v>3.3306690738754696E-16</v>
      </c>
      <c r="L770" s="123"/>
      <c r="M770" s="142" t="str">
        <f t="shared" si="492"/>
        <v/>
      </c>
      <c r="O770" s="142" t="str">
        <f t="shared" si="493"/>
        <v/>
      </c>
      <c r="P770" s="21"/>
    </row>
    <row r="771" spans="10:16">
      <c r="J771" s="145">
        <f t="shared" si="494"/>
        <v>0</v>
      </c>
      <c r="K771" s="146">
        <f t="shared" si="495"/>
        <v>3.3306690738754696E-16</v>
      </c>
      <c r="L771" s="123"/>
      <c r="M771" s="142" t="str">
        <f t="shared" si="492"/>
        <v/>
      </c>
      <c r="O771" s="142" t="str">
        <f t="shared" si="493"/>
        <v/>
      </c>
      <c r="P771" s="21"/>
    </row>
    <row r="772" spans="10:16">
      <c r="J772" s="145">
        <f t="shared" si="494"/>
        <v>0</v>
      </c>
      <c r="K772" s="146">
        <f t="shared" si="495"/>
        <v>3.3306690738754696E-16</v>
      </c>
      <c r="L772" s="123"/>
      <c r="M772" s="142" t="str">
        <f t="shared" si="492"/>
        <v/>
      </c>
      <c r="O772" s="142" t="str">
        <f t="shared" si="493"/>
        <v/>
      </c>
      <c r="P772" s="21"/>
    </row>
    <row r="773" spans="10:16">
      <c r="J773" s="145">
        <f t="shared" si="494"/>
        <v>0</v>
      </c>
      <c r="K773" s="146">
        <f t="shared" si="495"/>
        <v>3.3306690738754696E-16</v>
      </c>
      <c r="L773" s="123"/>
      <c r="M773" s="142" t="str">
        <f t="shared" si="492"/>
        <v/>
      </c>
      <c r="O773" s="142" t="str">
        <f t="shared" si="493"/>
        <v/>
      </c>
      <c r="P773" s="21"/>
    </row>
    <row r="774" spans="10:16">
      <c r="J774" s="145">
        <f t="shared" si="494"/>
        <v>0</v>
      </c>
      <c r="K774" s="146">
        <f t="shared" si="495"/>
        <v>3.3306690738754696E-16</v>
      </c>
      <c r="L774" s="123"/>
      <c r="M774" s="142" t="str">
        <f t="shared" si="492"/>
        <v/>
      </c>
      <c r="O774" s="142" t="str">
        <f t="shared" si="493"/>
        <v/>
      </c>
      <c r="P774" s="21"/>
    </row>
    <row r="775" spans="10:16">
      <c r="J775" s="145">
        <f t="shared" si="494"/>
        <v>0</v>
      </c>
      <c r="K775" s="146">
        <f t="shared" si="495"/>
        <v>3.3306690738754696E-16</v>
      </c>
      <c r="L775" s="123"/>
      <c r="M775" s="142" t="str">
        <f t="shared" si="492"/>
        <v/>
      </c>
      <c r="O775" s="142" t="str">
        <f t="shared" si="493"/>
        <v/>
      </c>
      <c r="P775" s="21"/>
    </row>
    <row r="776" spans="10:16">
      <c r="J776" s="145">
        <f t="shared" si="494"/>
        <v>0</v>
      </c>
      <c r="K776" s="146">
        <f t="shared" si="495"/>
        <v>3.3306690738754696E-16</v>
      </c>
      <c r="L776" s="123"/>
      <c r="M776" s="142" t="str">
        <f t="shared" si="492"/>
        <v/>
      </c>
      <c r="O776" s="142" t="str">
        <f t="shared" si="493"/>
        <v/>
      </c>
      <c r="P776" s="21"/>
    </row>
    <row r="777" spans="10:16">
      <c r="J777" s="145">
        <f t="shared" si="494"/>
        <v>0</v>
      </c>
      <c r="K777" s="146">
        <f t="shared" si="495"/>
        <v>3.3306690738754696E-16</v>
      </c>
      <c r="L777" s="123"/>
      <c r="M777" s="142" t="str">
        <f t="shared" si="492"/>
        <v/>
      </c>
      <c r="O777" s="142" t="str">
        <f t="shared" si="493"/>
        <v/>
      </c>
      <c r="P777" s="21"/>
    </row>
    <row r="778" spans="10:16">
      <c r="J778" s="145">
        <f t="shared" si="494"/>
        <v>0</v>
      </c>
      <c r="K778" s="146">
        <f t="shared" si="495"/>
        <v>3.3306690738754696E-16</v>
      </c>
      <c r="L778" s="123"/>
      <c r="M778" s="142" t="str">
        <f t="shared" si="492"/>
        <v/>
      </c>
      <c r="O778" s="142" t="str">
        <f t="shared" si="493"/>
        <v/>
      </c>
      <c r="P778" s="21"/>
    </row>
    <row r="779" spans="10:16">
      <c r="J779" s="145">
        <f t="shared" si="494"/>
        <v>0</v>
      </c>
      <c r="K779" s="146">
        <f t="shared" si="495"/>
        <v>3.3306690738754696E-16</v>
      </c>
      <c r="L779" s="123"/>
      <c r="M779" s="142" t="str">
        <f t="shared" si="492"/>
        <v/>
      </c>
      <c r="O779" s="142" t="str">
        <f t="shared" si="493"/>
        <v/>
      </c>
      <c r="P779" s="21"/>
    </row>
    <row r="780" spans="10:16">
      <c r="J780" s="145">
        <f t="shared" si="494"/>
        <v>0</v>
      </c>
      <c r="K780" s="146">
        <f t="shared" si="495"/>
        <v>3.3306690738754696E-16</v>
      </c>
      <c r="L780" s="123"/>
      <c r="M780" s="142" t="str">
        <f t="shared" si="492"/>
        <v/>
      </c>
      <c r="O780" s="142" t="str">
        <f t="shared" si="493"/>
        <v/>
      </c>
      <c r="P780" s="21"/>
    </row>
    <row r="781" spans="10:16">
      <c r="J781" s="145">
        <f t="shared" si="494"/>
        <v>0</v>
      </c>
      <c r="K781" s="146">
        <f t="shared" si="495"/>
        <v>3.3306690738754696E-16</v>
      </c>
      <c r="L781" s="123"/>
      <c r="M781" s="142" t="str">
        <f t="shared" si="492"/>
        <v/>
      </c>
      <c r="O781" s="142" t="str">
        <f t="shared" si="493"/>
        <v/>
      </c>
      <c r="P781" s="21"/>
    </row>
    <row r="782" spans="10:16">
      <c r="J782" s="145">
        <f t="shared" si="494"/>
        <v>0</v>
      </c>
      <c r="K782" s="146">
        <f t="shared" si="495"/>
        <v>3.3306690738754696E-16</v>
      </c>
      <c r="L782" s="123"/>
      <c r="M782" s="142" t="str">
        <f t="shared" si="492"/>
        <v/>
      </c>
      <c r="O782" s="142" t="str">
        <f t="shared" si="493"/>
        <v/>
      </c>
      <c r="P782" s="21"/>
    </row>
    <row r="783" spans="10:16">
      <c r="J783" s="145">
        <f t="shared" si="494"/>
        <v>0</v>
      </c>
      <c r="K783" s="146">
        <f t="shared" si="495"/>
        <v>3.3306690738754696E-16</v>
      </c>
      <c r="L783" s="123"/>
      <c r="M783" s="142" t="str">
        <f t="shared" si="492"/>
        <v/>
      </c>
      <c r="O783" s="142" t="str">
        <f t="shared" si="493"/>
        <v/>
      </c>
      <c r="P783" s="21"/>
    </row>
    <row r="784" spans="10:16">
      <c r="J784" s="145">
        <f t="shared" si="494"/>
        <v>0</v>
      </c>
      <c r="K784" s="146">
        <f t="shared" si="495"/>
        <v>3.3306690738754696E-16</v>
      </c>
      <c r="L784" s="123"/>
      <c r="M784" s="142" t="str">
        <f t="shared" si="492"/>
        <v/>
      </c>
      <c r="O784" s="142" t="str">
        <f t="shared" si="493"/>
        <v/>
      </c>
      <c r="P784" s="21"/>
    </row>
    <row r="785" spans="10:16">
      <c r="J785" s="145">
        <f t="shared" si="494"/>
        <v>0</v>
      </c>
      <c r="K785" s="146">
        <f t="shared" si="495"/>
        <v>3.3306690738754696E-16</v>
      </c>
      <c r="L785" s="123"/>
      <c r="M785" s="142" t="str">
        <f t="shared" si="492"/>
        <v/>
      </c>
      <c r="O785" s="142" t="str">
        <f t="shared" si="493"/>
        <v/>
      </c>
      <c r="P785" s="21"/>
    </row>
    <row r="786" spans="10:16">
      <c r="J786" s="145">
        <f t="shared" si="494"/>
        <v>0</v>
      </c>
      <c r="K786" s="146">
        <f t="shared" si="495"/>
        <v>3.3306690738754696E-16</v>
      </c>
      <c r="L786" s="123"/>
      <c r="M786" s="142" t="str">
        <f t="shared" si="492"/>
        <v/>
      </c>
      <c r="O786" s="142" t="str">
        <f t="shared" si="493"/>
        <v/>
      </c>
      <c r="P786" s="21"/>
    </row>
    <row r="787" spans="10:16">
      <c r="J787" s="145">
        <f t="shared" si="494"/>
        <v>0</v>
      </c>
      <c r="K787" s="146">
        <f t="shared" si="495"/>
        <v>3.3306690738754696E-16</v>
      </c>
      <c r="L787" s="123"/>
      <c r="M787" s="142" t="str">
        <f t="shared" si="492"/>
        <v/>
      </c>
      <c r="O787" s="142" t="str">
        <f t="shared" si="493"/>
        <v/>
      </c>
      <c r="P787" s="21"/>
    </row>
    <row r="788" spans="10:16">
      <c r="J788" s="145">
        <f t="shared" si="494"/>
        <v>0</v>
      </c>
      <c r="K788" s="146">
        <f t="shared" si="495"/>
        <v>3.3306690738754696E-16</v>
      </c>
      <c r="L788" s="123"/>
      <c r="M788" s="142" t="str">
        <f t="shared" si="492"/>
        <v/>
      </c>
      <c r="O788" s="142" t="str">
        <f t="shared" si="493"/>
        <v/>
      </c>
      <c r="P788" s="21"/>
    </row>
    <row r="789" spans="10:16">
      <c r="J789" s="145">
        <f t="shared" si="494"/>
        <v>0</v>
      </c>
      <c r="K789" s="146">
        <f t="shared" si="495"/>
        <v>3.3306690738754696E-16</v>
      </c>
      <c r="L789" s="123"/>
      <c r="M789" s="142" t="str">
        <f t="shared" si="492"/>
        <v/>
      </c>
      <c r="O789" s="142" t="str">
        <f t="shared" si="493"/>
        <v/>
      </c>
      <c r="P789" s="21"/>
    </row>
    <row r="790" spans="10:16">
      <c r="J790" s="145">
        <f t="shared" si="494"/>
        <v>0</v>
      </c>
      <c r="K790" s="146">
        <f t="shared" si="495"/>
        <v>3.3306690738754696E-16</v>
      </c>
      <c r="L790" s="123"/>
      <c r="M790" s="142" t="str">
        <f t="shared" si="492"/>
        <v/>
      </c>
      <c r="O790" s="142" t="str">
        <f t="shared" si="493"/>
        <v/>
      </c>
      <c r="P790" s="21"/>
    </row>
    <row r="791" spans="10:16">
      <c r="J791" s="145">
        <f t="shared" si="494"/>
        <v>0</v>
      </c>
      <c r="K791" s="146">
        <f t="shared" si="495"/>
        <v>3.3306690738754696E-16</v>
      </c>
      <c r="L791" s="123"/>
      <c r="M791" s="142" t="str">
        <f t="shared" si="492"/>
        <v/>
      </c>
      <c r="O791" s="142" t="str">
        <f t="shared" si="493"/>
        <v/>
      </c>
      <c r="P791" s="21"/>
    </row>
    <row r="792" spans="10:16">
      <c r="J792" s="145">
        <f t="shared" si="494"/>
        <v>0</v>
      </c>
      <c r="K792" s="146">
        <f t="shared" si="495"/>
        <v>3.3306690738754696E-16</v>
      </c>
      <c r="L792" s="123"/>
      <c r="M792" s="142" t="str">
        <f t="shared" si="492"/>
        <v/>
      </c>
      <c r="O792" s="142" t="str">
        <f t="shared" si="493"/>
        <v/>
      </c>
      <c r="P792" s="21"/>
    </row>
    <row r="793" spans="10:16">
      <c r="J793" s="145">
        <f t="shared" si="494"/>
        <v>0</v>
      </c>
      <c r="K793" s="146">
        <f t="shared" si="495"/>
        <v>3.3306690738754696E-16</v>
      </c>
      <c r="L793" s="123"/>
      <c r="M793" s="142" t="str">
        <f t="shared" si="492"/>
        <v/>
      </c>
      <c r="O793" s="142" t="str">
        <f t="shared" si="493"/>
        <v/>
      </c>
      <c r="P793" s="21"/>
    </row>
    <row r="794" spans="10:16">
      <c r="J794" s="145">
        <f t="shared" si="494"/>
        <v>0</v>
      </c>
      <c r="K794" s="146">
        <f t="shared" si="495"/>
        <v>3.3306690738754696E-16</v>
      </c>
      <c r="L794" s="123"/>
      <c r="M794" s="142" t="str">
        <f t="shared" si="492"/>
        <v/>
      </c>
      <c r="O794" s="142" t="str">
        <f t="shared" si="493"/>
        <v/>
      </c>
      <c r="P794" s="21"/>
    </row>
    <row r="795" spans="10:16">
      <c r="J795" s="145">
        <f t="shared" si="494"/>
        <v>0</v>
      </c>
      <c r="K795" s="146">
        <f t="shared" si="495"/>
        <v>3.3306690738754696E-16</v>
      </c>
      <c r="L795" s="123"/>
      <c r="M795" s="142" t="str">
        <f t="shared" si="492"/>
        <v/>
      </c>
      <c r="O795" s="142" t="str">
        <f t="shared" si="493"/>
        <v/>
      </c>
      <c r="P795" s="21"/>
    </row>
    <row r="796" spans="10:16">
      <c r="J796" s="145">
        <f t="shared" si="494"/>
        <v>0</v>
      </c>
      <c r="K796" s="146">
        <f t="shared" si="495"/>
        <v>3.3306690738754696E-16</v>
      </c>
      <c r="L796" s="123"/>
      <c r="M796" s="142" t="str">
        <f t="shared" si="492"/>
        <v/>
      </c>
      <c r="O796" s="142" t="str">
        <f t="shared" si="493"/>
        <v/>
      </c>
      <c r="P796" s="21"/>
    </row>
    <row r="797" spans="10:16">
      <c r="J797" s="145">
        <f t="shared" si="494"/>
        <v>0</v>
      </c>
      <c r="K797" s="146">
        <f t="shared" si="495"/>
        <v>3.3306690738754696E-16</v>
      </c>
      <c r="L797" s="123"/>
      <c r="M797" s="142" t="str">
        <f t="shared" si="492"/>
        <v/>
      </c>
      <c r="O797" s="142" t="str">
        <f t="shared" si="493"/>
        <v/>
      </c>
      <c r="P797" s="21"/>
    </row>
    <row r="798" spans="10:16">
      <c r="J798" s="145">
        <f t="shared" si="494"/>
        <v>0</v>
      </c>
      <c r="K798" s="146">
        <f t="shared" si="495"/>
        <v>3.3306690738754696E-16</v>
      </c>
      <c r="L798" s="123"/>
      <c r="M798" s="142" t="str">
        <f t="shared" si="492"/>
        <v/>
      </c>
      <c r="O798" s="142" t="str">
        <f t="shared" si="493"/>
        <v/>
      </c>
      <c r="P798" s="21"/>
    </row>
    <row r="799" spans="10:16">
      <c r="J799" s="145">
        <f t="shared" si="494"/>
        <v>0</v>
      </c>
      <c r="K799" s="146">
        <f t="shared" si="495"/>
        <v>3.3306690738754696E-16</v>
      </c>
      <c r="L799" s="123"/>
      <c r="M799" s="142" t="str">
        <f t="shared" si="492"/>
        <v/>
      </c>
      <c r="O799" s="142" t="str">
        <f t="shared" si="493"/>
        <v/>
      </c>
      <c r="P799" s="21"/>
    </row>
    <row r="800" spans="10:16">
      <c r="J800" s="145">
        <f t="shared" si="494"/>
        <v>0</v>
      </c>
      <c r="K800" s="146">
        <f t="shared" si="495"/>
        <v>3.3306690738754696E-16</v>
      </c>
      <c r="L800" s="123"/>
      <c r="M800" s="142" t="str">
        <f t="shared" si="492"/>
        <v/>
      </c>
      <c r="O800" s="142" t="str">
        <f t="shared" si="493"/>
        <v/>
      </c>
      <c r="P800" s="21"/>
    </row>
    <row r="801" spans="10:16">
      <c r="J801" s="145">
        <f t="shared" si="494"/>
        <v>0</v>
      </c>
      <c r="K801" s="146">
        <f t="shared" si="495"/>
        <v>3.3306690738754696E-16</v>
      </c>
      <c r="L801" s="123"/>
      <c r="M801" s="142" t="str">
        <f t="shared" si="492"/>
        <v/>
      </c>
      <c r="O801" s="142" t="str">
        <f t="shared" si="493"/>
        <v/>
      </c>
      <c r="P801" s="21"/>
    </row>
    <row r="2000" spans="1:17">
      <c r="A2000" s="13" t="s">
        <v>22</v>
      </c>
      <c r="B2000" s="159"/>
      <c r="C2000" s="2"/>
      <c r="D2000" s="13" t="s">
        <v>18</v>
      </c>
      <c r="E2000" s="13" t="s">
        <v>11</v>
      </c>
      <c r="F2000" s="13" t="s">
        <v>12</v>
      </c>
      <c r="G2000" s="13" t="s">
        <v>13</v>
      </c>
      <c r="H2000" s="13" t="s">
        <v>14</v>
      </c>
      <c r="I2000" s="53" t="s">
        <v>15</v>
      </c>
      <c r="J2000" s="53" t="s">
        <v>16</v>
      </c>
      <c r="K2000" s="53" t="s">
        <v>85</v>
      </c>
      <c r="L2000" s="53" t="s">
        <v>84</v>
      </c>
      <c r="O2000" s="13" t="s">
        <v>18</v>
      </c>
      <c r="P2000" s="53" t="s">
        <v>15</v>
      </c>
      <c r="Q2000" s="53" t="s">
        <v>16</v>
      </c>
    </row>
    <row r="2001" spans="1:17">
      <c r="A2001" s="15">
        <f>A44</f>
        <v>1</v>
      </c>
      <c r="B2001" s="15"/>
      <c r="C2001" s="14" t="str">
        <f>Fixture!C5</f>
        <v>Seattle Sounders FC</v>
      </c>
      <c r="D2001" s="15">
        <f>IF(E2001=0,0,IF(Fixture!D5&lt;Fixture!F5,0,IF(Fixture!F5&lt;Fixture!D5,3,1)))</f>
        <v>3</v>
      </c>
      <c r="E2001" s="16">
        <f>IF(OR(ISBLANK(Fixture!D5),ISBLANK(Fixture!F5),ISTEXT(Fixture!D5),ISTEXT(Fixture!F5)),0,1)</f>
        <v>1</v>
      </c>
      <c r="F2001" s="16">
        <f t="shared" ref="F2001:F2064" si="496">IF(E2001=0,0,IF(D2001&lt;&gt;3,0,1))</f>
        <v>1</v>
      </c>
      <c r="G2001" s="16">
        <f t="shared" ref="G2001:G2064" si="497">IF(E2001=0,0,IF(D2001&lt;&gt;1,0,1))</f>
        <v>0</v>
      </c>
      <c r="H2001" s="16">
        <f t="shared" ref="H2001:H2064" si="498">IF(E2001=0,0,IF(D2001&lt;&gt;0,0,1))</f>
        <v>0</v>
      </c>
      <c r="I2001" s="63">
        <f>IF(E2001=0,0,Fixture!D5)</f>
        <v>2</v>
      </c>
      <c r="J2001" s="63">
        <f>IF(E2001=0,0,Fixture!F5)</f>
        <v>0</v>
      </c>
      <c r="K2001" s="63">
        <f t="shared" ref="K2001:K2064" si="499">IF(E2001=0,0,IF(I2001&gt;0,0,1))</f>
        <v>0</v>
      </c>
      <c r="L2001" s="63">
        <f t="shared" ref="L2001:L2064" si="500">IF(E2001=0,0,IF(J2001&gt;0,0,1))</f>
        <v>1</v>
      </c>
      <c r="N2001" s="10" t="str">
        <f>CONCATENATE(C2001,A2001)</f>
        <v>Seattle Sounders FC1</v>
      </c>
      <c r="O2001" s="10">
        <f>D2001</f>
        <v>3</v>
      </c>
      <c r="P2001" s="10">
        <f>I2001</f>
        <v>2</v>
      </c>
      <c r="Q2001" s="10">
        <f>J2001</f>
        <v>0</v>
      </c>
    </row>
    <row r="2002" spans="1:17">
      <c r="A2002" s="15">
        <f t="shared" ref="A2002:A2065" si="501">A45</f>
        <v>1</v>
      </c>
      <c r="B2002" s="15"/>
      <c r="C2002" s="14" t="str">
        <f>Fixture!C6</f>
        <v>Chivas USA</v>
      </c>
      <c r="D2002" s="15">
        <f>IF(E2002=0,0,IF(Fixture!D6&lt;Fixture!F6,0,IF(Fixture!F6&lt;Fixture!D6,3,1)))</f>
        <v>0</v>
      </c>
      <c r="E2002" s="16">
        <f>IF(OR(ISBLANK(Fixture!D6),ISBLANK(Fixture!F6),ISTEXT(Fixture!D6),ISTEXT(Fixture!F6)),0,1)</f>
        <v>1</v>
      </c>
      <c r="F2002" s="16">
        <f t="shared" si="496"/>
        <v>0</v>
      </c>
      <c r="G2002" s="16">
        <f t="shared" si="497"/>
        <v>0</v>
      </c>
      <c r="H2002" s="16">
        <f t="shared" si="498"/>
        <v>1</v>
      </c>
      <c r="I2002" s="63">
        <f>IF(E2002=0,0,Fixture!D6)</f>
        <v>0</v>
      </c>
      <c r="J2002" s="63">
        <f>IF(E2002=0,0,Fixture!F6)</f>
        <v>1</v>
      </c>
      <c r="K2002" s="63">
        <f t="shared" si="499"/>
        <v>1</v>
      </c>
      <c r="L2002" s="63">
        <f t="shared" si="500"/>
        <v>0</v>
      </c>
      <c r="N2002" s="10" t="str">
        <f t="shared" ref="N2002:N2065" si="502">CONCATENATE(C2002,A2002)</f>
        <v>Chivas USA1</v>
      </c>
      <c r="O2002" s="10">
        <f t="shared" ref="O2002:O2065" si="503">D2002</f>
        <v>0</v>
      </c>
      <c r="P2002" s="10">
        <f t="shared" ref="P2002:P2065" si="504">I2002</f>
        <v>0</v>
      </c>
      <c r="Q2002" s="10">
        <f t="shared" ref="Q2002:Q2065" si="505">J2002</f>
        <v>1</v>
      </c>
    </row>
    <row r="2003" spans="1:17">
      <c r="A2003" s="15">
        <f t="shared" si="501"/>
        <v>1</v>
      </c>
      <c r="B2003" s="15"/>
      <c r="C2003" s="14" t="str">
        <f>Fixture!C7</f>
        <v>Dallas</v>
      </c>
      <c r="D2003" s="15">
        <f>IF(E2003=0,0,IF(Fixture!D7&lt;Fixture!F7,0,IF(Fixture!F7&lt;Fixture!D7,3,1)))</f>
        <v>1</v>
      </c>
      <c r="E2003" s="16">
        <f>IF(OR(ISBLANK(Fixture!D7),ISBLANK(Fixture!F7),ISTEXT(Fixture!D7),ISTEXT(Fixture!F7)),0,1)</f>
        <v>1</v>
      </c>
      <c r="F2003" s="16">
        <f t="shared" si="496"/>
        <v>0</v>
      </c>
      <c r="G2003" s="16">
        <f t="shared" si="497"/>
        <v>1</v>
      </c>
      <c r="H2003" s="16">
        <f t="shared" si="498"/>
        <v>0</v>
      </c>
      <c r="I2003" s="63">
        <f>IF(E2003=0,0,Fixture!D7)</f>
        <v>1</v>
      </c>
      <c r="J2003" s="63">
        <f>IF(E2003=0,0,Fixture!F7)</f>
        <v>1</v>
      </c>
      <c r="K2003" s="63">
        <f t="shared" si="499"/>
        <v>0</v>
      </c>
      <c r="L2003" s="63">
        <f t="shared" si="500"/>
        <v>0</v>
      </c>
      <c r="N2003" s="10" t="str">
        <f t="shared" si="502"/>
        <v>Dallas1</v>
      </c>
      <c r="O2003" s="10">
        <f t="shared" si="503"/>
        <v>1</v>
      </c>
      <c r="P2003" s="10">
        <f t="shared" si="504"/>
        <v>1</v>
      </c>
      <c r="Q2003" s="10">
        <f t="shared" si="505"/>
        <v>1</v>
      </c>
    </row>
    <row r="2004" spans="1:17">
      <c r="A2004" s="15">
        <f t="shared" si="501"/>
        <v>1</v>
      </c>
      <c r="B2004" s="15"/>
      <c r="C2004" s="14" t="str">
        <f>Fixture!C8</f>
        <v>Columbus</v>
      </c>
      <c r="D2004" s="15">
        <f>IF(E2004=0,0,IF(Fixture!D8&lt;Fixture!F8,0,IF(Fixture!F8&lt;Fixture!D8,3,1)))</f>
        <v>3</v>
      </c>
      <c r="E2004" s="16">
        <f>IF(OR(ISBLANK(Fixture!D8),ISBLANK(Fixture!F8),ISTEXT(Fixture!D8),ISTEXT(Fixture!F8)),0,1)</f>
        <v>1</v>
      </c>
      <c r="F2004" s="16">
        <f t="shared" si="496"/>
        <v>1</v>
      </c>
      <c r="G2004" s="16">
        <f t="shared" si="497"/>
        <v>0</v>
      </c>
      <c r="H2004" s="16">
        <f t="shared" si="498"/>
        <v>0</v>
      </c>
      <c r="I2004" s="63">
        <f>IF(E2004=0,0,Fixture!D8)</f>
        <v>2</v>
      </c>
      <c r="J2004" s="63">
        <f>IF(E2004=0,0,Fixture!F8)</f>
        <v>0</v>
      </c>
      <c r="K2004" s="63">
        <f t="shared" si="499"/>
        <v>0</v>
      </c>
      <c r="L2004" s="63">
        <f t="shared" si="500"/>
        <v>1</v>
      </c>
      <c r="N2004" s="10" t="str">
        <f t="shared" si="502"/>
        <v>Columbus1</v>
      </c>
      <c r="O2004" s="10">
        <f t="shared" si="503"/>
        <v>3</v>
      </c>
      <c r="P2004" s="10">
        <f t="shared" si="504"/>
        <v>2</v>
      </c>
      <c r="Q2004" s="10">
        <f t="shared" si="505"/>
        <v>0</v>
      </c>
    </row>
    <row r="2005" spans="1:17">
      <c r="A2005" s="15">
        <f t="shared" si="501"/>
        <v>1</v>
      </c>
      <c r="B2005" s="15"/>
      <c r="C2005" s="14" t="str">
        <f>Fixture!C9</f>
        <v>New York Red Bulls</v>
      </c>
      <c r="D2005" s="15">
        <f>IF(E2005=0,0,IF(Fixture!D9&lt;Fixture!F9,0,IF(Fixture!F9&lt;Fixture!D9,3,1)))</f>
        <v>3</v>
      </c>
      <c r="E2005" s="16">
        <f>IF(OR(ISBLANK(Fixture!D9),ISBLANK(Fixture!F9),ISTEXT(Fixture!D9),ISTEXT(Fixture!F9)),0,1)</f>
        <v>1</v>
      </c>
      <c r="F2005" s="16">
        <f t="shared" si="496"/>
        <v>1</v>
      </c>
      <c r="G2005" s="16">
        <f t="shared" si="497"/>
        <v>0</v>
      </c>
      <c r="H2005" s="16">
        <f t="shared" si="498"/>
        <v>0</v>
      </c>
      <c r="I2005" s="63">
        <f>IF(E2005=0,0,Fixture!D9)</f>
        <v>1</v>
      </c>
      <c r="J2005" s="63">
        <f>IF(E2005=0,0,Fixture!F9)</f>
        <v>0</v>
      </c>
      <c r="K2005" s="63">
        <f t="shared" si="499"/>
        <v>0</v>
      </c>
      <c r="L2005" s="63">
        <f t="shared" si="500"/>
        <v>1</v>
      </c>
      <c r="N2005" s="10" t="str">
        <f t="shared" si="502"/>
        <v>New York Red Bulls1</v>
      </c>
      <c r="O2005" s="10">
        <f t="shared" si="503"/>
        <v>3</v>
      </c>
      <c r="P2005" s="10">
        <f t="shared" si="504"/>
        <v>1</v>
      </c>
      <c r="Q2005" s="10">
        <f t="shared" si="505"/>
        <v>0</v>
      </c>
    </row>
    <row r="2006" spans="1:17">
      <c r="A2006" s="15">
        <f t="shared" si="501"/>
        <v>1</v>
      </c>
      <c r="B2006" s="15"/>
      <c r="C2006" s="14" t="str">
        <f>Fixture!C10</f>
        <v>Kansas City</v>
      </c>
      <c r="D2006" s="15">
        <f>IF(E2006=0,0,IF(Fixture!D10&lt;Fixture!F10,0,IF(Fixture!F10&lt;Fixture!D10,3,1)))</f>
        <v>3</v>
      </c>
      <c r="E2006" s="16">
        <f>IF(OR(ISBLANK(Fixture!D10),ISBLANK(Fixture!F10),ISTEXT(Fixture!D10),ISTEXT(Fixture!F10)),0,1)</f>
        <v>1</v>
      </c>
      <c r="F2006" s="16">
        <f t="shared" si="496"/>
        <v>1</v>
      </c>
      <c r="G2006" s="16">
        <f t="shared" si="497"/>
        <v>0</v>
      </c>
      <c r="H2006" s="16">
        <f t="shared" si="498"/>
        <v>0</v>
      </c>
      <c r="I2006" s="63">
        <f>IF(E2006=0,0,Fixture!D10)</f>
        <v>4</v>
      </c>
      <c r="J2006" s="63">
        <f>IF(E2006=0,0,Fixture!F10)</f>
        <v>0</v>
      </c>
      <c r="K2006" s="63">
        <f t="shared" si="499"/>
        <v>0</v>
      </c>
      <c r="L2006" s="63">
        <f t="shared" si="500"/>
        <v>1</v>
      </c>
      <c r="N2006" s="10" t="str">
        <f t="shared" si="502"/>
        <v>Kansas City1</v>
      </c>
      <c r="O2006" s="10">
        <f t="shared" si="503"/>
        <v>3</v>
      </c>
      <c r="P2006" s="10">
        <f t="shared" si="504"/>
        <v>4</v>
      </c>
      <c r="Q2006" s="10">
        <f t="shared" si="505"/>
        <v>0</v>
      </c>
    </row>
    <row r="2007" spans="1:17">
      <c r="A2007" s="15">
        <f t="shared" si="501"/>
        <v>1</v>
      </c>
      <c r="B2007" s="15"/>
      <c r="C2007" s="14" t="str">
        <f>Fixture!C11</f>
        <v>San Jose</v>
      </c>
      <c r="D2007" s="15">
        <f>IF(E2007=0,0,IF(Fixture!D11&lt;Fixture!F11,0,IF(Fixture!F11&lt;Fixture!D11,3,1)))</f>
        <v>0</v>
      </c>
      <c r="E2007" s="16">
        <f>IF(OR(ISBLANK(Fixture!D11),ISBLANK(Fixture!F11),ISTEXT(Fixture!D11),ISTEXT(Fixture!F11)),0,1)</f>
        <v>1</v>
      </c>
      <c r="F2007" s="16">
        <f t="shared" si="496"/>
        <v>0</v>
      </c>
      <c r="G2007" s="16">
        <f t="shared" si="497"/>
        <v>0</v>
      </c>
      <c r="H2007" s="16">
        <f t="shared" si="498"/>
        <v>1</v>
      </c>
      <c r="I2007" s="63">
        <f>IF(E2007=0,0,Fixture!D11)</f>
        <v>0</v>
      </c>
      <c r="J2007" s="63">
        <f>IF(E2007=0,0,Fixture!F11)</f>
        <v>3</v>
      </c>
      <c r="K2007" s="63">
        <f t="shared" si="499"/>
        <v>1</v>
      </c>
      <c r="L2007" s="63">
        <f t="shared" si="500"/>
        <v>0</v>
      </c>
      <c r="N2007" s="10" t="str">
        <f t="shared" si="502"/>
        <v>San Jose1</v>
      </c>
      <c r="O2007" s="10">
        <f t="shared" si="503"/>
        <v>0</v>
      </c>
      <c r="P2007" s="10">
        <f t="shared" si="504"/>
        <v>0</v>
      </c>
      <c r="Q2007" s="10">
        <f t="shared" si="505"/>
        <v>3</v>
      </c>
    </row>
    <row r="2008" spans="1:17">
      <c r="A2008" s="15">
        <f t="shared" si="501"/>
        <v>1</v>
      </c>
      <c r="B2008" s="15"/>
      <c r="C2008" s="14" t="str">
        <f>Fixture!C12</f>
        <v>Los Angeles</v>
      </c>
      <c r="D2008" s="15">
        <f>IF(E2008=0,0,IF(Fixture!D12&lt;Fixture!F12,0,IF(Fixture!F12&lt;Fixture!D12,3,1)))</f>
        <v>3</v>
      </c>
      <c r="E2008" s="16">
        <f>IF(OR(ISBLANK(Fixture!D12),ISBLANK(Fixture!F12),ISTEXT(Fixture!D12),ISTEXT(Fixture!F12)),0,1)</f>
        <v>1</v>
      </c>
      <c r="F2008" s="16">
        <f t="shared" si="496"/>
        <v>1</v>
      </c>
      <c r="G2008" s="16">
        <f t="shared" si="497"/>
        <v>0</v>
      </c>
      <c r="H2008" s="16">
        <f t="shared" si="498"/>
        <v>0</v>
      </c>
      <c r="I2008" s="63">
        <f>IF(E2008=0,0,Fixture!D12)</f>
        <v>1</v>
      </c>
      <c r="J2008" s="63">
        <f>IF(E2008=0,0,Fixture!F12)</f>
        <v>0</v>
      </c>
      <c r="K2008" s="63">
        <f t="shared" si="499"/>
        <v>0</v>
      </c>
      <c r="L2008" s="63">
        <f t="shared" si="500"/>
        <v>1</v>
      </c>
      <c r="N2008" s="10" t="str">
        <f t="shared" si="502"/>
        <v>Los Angeles1</v>
      </c>
      <c r="O2008" s="10">
        <f t="shared" si="503"/>
        <v>3</v>
      </c>
      <c r="P2008" s="10">
        <f t="shared" si="504"/>
        <v>1</v>
      </c>
      <c r="Q2008" s="10">
        <f t="shared" si="505"/>
        <v>0</v>
      </c>
    </row>
    <row r="2009" spans="1:17">
      <c r="A2009" s="15">
        <f t="shared" si="501"/>
        <v>2</v>
      </c>
      <c r="B2009" s="15"/>
      <c r="C2009" s="14" t="str">
        <f>Fixture!C13</f>
        <v>Houston</v>
      </c>
      <c r="D2009" s="15">
        <f>IF(E2009=0,0,IF(Fixture!D13&lt;Fixture!F13,0,IF(Fixture!F13&lt;Fixture!D13,3,1)))</f>
        <v>3</v>
      </c>
      <c r="E2009" s="16">
        <f>IF(OR(ISBLANK(Fixture!D13),ISBLANK(Fixture!F13),ISTEXT(Fixture!D13),ISTEXT(Fixture!F13)),0,1)</f>
        <v>1</v>
      </c>
      <c r="F2009" s="16">
        <f t="shared" si="496"/>
        <v>1</v>
      </c>
      <c r="G2009" s="16">
        <f t="shared" si="497"/>
        <v>0</v>
      </c>
      <c r="H2009" s="16">
        <f t="shared" si="498"/>
        <v>0</v>
      </c>
      <c r="I2009" s="63">
        <f>IF(E2009=0,0,Fixture!D13)</f>
        <v>2</v>
      </c>
      <c r="J2009" s="63">
        <f>IF(E2009=0,0,Fixture!F13)</f>
        <v>1</v>
      </c>
      <c r="K2009" s="63">
        <f t="shared" si="499"/>
        <v>0</v>
      </c>
      <c r="L2009" s="63">
        <f t="shared" si="500"/>
        <v>0</v>
      </c>
      <c r="N2009" s="10" t="str">
        <f t="shared" si="502"/>
        <v>Houston2</v>
      </c>
      <c r="O2009" s="10">
        <f t="shared" si="503"/>
        <v>3</v>
      </c>
      <c r="P2009" s="10">
        <f t="shared" si="504"/>
        <v>2</v>
      </c>
      <c r="Q2009" s="10">
        <f t="shared" si="505"/>
        <v>1</v>
      </c>
    </row>
    <row r="2010" spans="1:17">
      <c r="A2010" s="15">
        <f t="shared" si="501"/>
        <v>2</v>
      </c>
      <c r="B2010" s="15"/>
      <c r="C2010" s="14" t="str">
        <f>Fixture!C14</f>
        <v>Los Angeles</v>
      </c>
      <c r="D2010" s="15">
        <f>IF(E2010=0,0,IF(Fixture!D14&lt;Fixture!F14,0,IF(Fixture!F14&lt;Fixture!D14,3,1)))</f>
        <v>3</v>
      </c>
      <c r="E2010" s="16">
        <f>IF(OR(ISBLANK(Fixture!D14),ISBLANK(Fixture!F14),ISTEXT(Fixture!D14),ISTEXT(Fixture!F14)),0,1)</f>
        <v>1</v>
      </c>
      <c r="F2010" s="16">
        <f t="shared" si="496"/>
        <v>1</v>
      </c>
      <c r="G2010" s="16">
        <f t="shared" si="497"/>
        <v>0</v>
      </c>
      <c r="H2010" s="16">
        <f t="shared" si="498"/>
        <v>0</v>
      </c>
      <c r="I2010" s="63">
        <f>IF(E2010=0,0,Fixture!D14)</f>
        <v>2</v>
      </c>
      <c r="J2010" s="63">
        <f>IF(E2010=0,0,Fixture!F14)</f>
        <v>0</v>
      </c>
      <c r="K2010" s="63">
        <f t="shared" si="499"/>
        <v>0</v>
      </c>
      <c r="L2010" s="63">
        <f t="shared" si="500"/>
        <v>1</v>
      </c>
      <c r="N2010" s="10" t="str">
        <f t="shared" si="502"/>
        <v>Los Angeles2</v>
      </c>
      <c r="O2010" s="10">
        <f t="shared" si="503"/>
        <v>3</v>
      </c>
      <c r="P2010" s="10">
        <f t="shared" si="504"/>
        <v>2</v>
      </c>
      <c r="Q2010" s="10">
        <f t="shared" si="505"/>
        <v>0</v>
      </c>
    </row>
    <row r="2011" spans="1:17">
      <c r="A2011" s="15">
        <f t="shared" si="501"/>
        <v>2</v>
      </c>
      <c r="B2011" s="15"/>
      <c r="C2011" s="14" t="str">
        <f>Fixture!C15</f>
        <v>Colorado</v>
      </c>
      <c r="D2011" s="15">
        <f>IF(E2011=0,0,IF(Fixture!D15&lt;Fixture!F15,0,IF(Fixture!F15&lt;Fixture!D15,3,1)))</f>
        <v>1</v>
      </c>
      <c r="E2011" s="16">
        <f>IF(OR(ISBLANK(Fixture!D15),ISBLANK(Fixture!F15),ISTEXT(Fixture!D15),ISTEXT(Fixture!F15)),0,1)</f>
        <v>1</v>
      </c>
      <c r="F2011" s="16">
        <f t="shared" si="496"/>
        <v>0</v>
      </c>
      <c r="G2011" s="16">
        <f t="shared" si="497"/>
        <v>1</v>
      </c>
      <c r="H2011" s="16">
        <f t="shared" si="498"/>
        <v>0</v>
      </c>
      <c r="I2011" s="63">
        <f>IF(E2011=0,0,Fixture!D15)</f>
        <v>2</v>
      </c>
      <c r="J2011" s="63">
        <f>IF(E2011=0,0,Fixture!F15)</f>
        <v>2</v>
      </c>
      <c r="K2011" s="63">
        <f t="shared" si="499"/>
        <v>0</v>
      </c>
      <c r="L2011" s="63">
        <f t="shared" si="500"/>
        <v>0</v>
      </c>
      <c r="N2011" s="10" t="str">
        <f t="shared" si="502"/>
        <v>Colorado2</v>
      </c>
      <c r="O2011" s="10">
        <f t="shared" si="503"/>
        <v>1</v>
      </c>
      <c r="P2011" s="10">
        <f t="shared" si="504"/>
        <v>2</v>
      </c>
      <c r="Q2011" s="10">
        <f t="shared" si="505"/>
        <v>2</v>
      </c>
    </row>
    <row r="2012" spans="1:17">
      <c r="A2012" s="15">
        <f t="shared" si="501"/>
        <v>2</v>
      </c>
      <c r="B2012" s="15"/>
      <c r="C2012" s="14" t="str">
        <f>Fixture!C16</f>
        <v>DC United</v>
      </c>
      <c r="D2012" s="15">
        <f>IF(E2012=0,0,IF(Fixture!D16&lt;Fixture!F16,0,IF(Fixture!F16&lt;Fixture!D16,3,1)))</f>
        <v>0</v>
      </c>
      <c r="E2012" s="16">
        <f>IF(OR(ISBLANK(Fixture!D16),ISBLANK(Fixture!F16),ISTEXT(Fixture!D16),ISTEXT(Fixture!F16)),0,1)</f>
        <v>1</v>
      </c>
      <c r="F2012" s="16">
        <f t="shared" si="496"/>
        <v>0</v>
      </c>
      <c r="G2012" s="16">
        <f t="shared" si="497"/>
        <v>0</v>
      </c>
      <c r="H2012" s="16">
        <f t="shared" si="498"/>
        <v>1</v>
      </c>
      <c r="I2012" s="63">
        <f>IF(E2012=0,0,Fixture!D16)</f>
        <v>0</v>
      </c>
      <c r="J2012" s="63">
        <f>IF(E2012=0,0,Fixture!F16)</f>
        <v>2</v>
      </c>
      <c r="K2012" s="63">
        <f t="shared" si="499"/>
        <v>1</v>
      </c>
      <c r="L2012" s="63">
        <f t="shared" si="500"/>
        <v>0</v>
      </c>
      <c r="N2012" s="10" t="str">
        <f t="shared" si="502"/>
        <v>DC United2</v>
      </c>
      <c r="O2012" s="10">
        <f t="shared" si="503"/>
        <v>0</v>
      </c>
      <c r="P2012" s="10">
        <f t="shared" si="504"/>
        <v>0</v>
      </c>
      <c r="Q2012" s="10">
        <f t="shared" si="505"/>
        <v>2</v>
      </c>
    </row>
    <row r="2013" spans="1:17">
      <c r="A2013" s="15">
        <f t="shared" si="501"/>
        <v>2</v>
      </c>
      <c r="B2013" s="15"/>
      <c r="C2013" s="14" t="str">
        <f>Fixture!C17</f>
        <v>Seattle Sounders FC</v>
      </c>
      <c r="D2013" s="15">
        <f>IF(E2013=0,0,IF(Fixture!D17&lt;Fixture!F17,0,IF(Fixture!F17&lt;Fixture!D17,3,1)))</f>
        <v>0</v>
      </c>
      <c r="E2013" s="16">
        <f>IF(OR(ISBLANK(Fixture!D17),ISBLANK(Fixture!F17),ISTEXT(Fixture!D17),ISTEXT(Fixture!F17)),0,1)</f>
        <v>1</v>
      </c>
      <c r="F2013" s="16">
        <f t="shared" si="496"/>
        <v>0</v>
      </c>
      <c r="G2013" s="16">
        <f t="shared" si="497"/>
        <v>0</v>
      </c>
      <c r="H2013" s="16">
        <f t="shared" si="498"/>
        <v>1</v>
      </c>
      <c r="I2013" s="63">
        <f>IF(E2013=0,0,Fixture!D17)</f>
        <v>0</v>
      </c>
      <c r="J2013" s="63">
        <f>IF(E2013=0,0,Fixture!F17)</f>
        <v>1</v>
      </c>
      <c r="K2013" s="63">
        <f t="shared" si="499"/>
        <v>1</v>
      </c>
      <c r="L2013" s="63">
        <f t="shared" si="500"/>
        <v>0</v>
      </c>
      <c r="N2013" s="10" t="str">
        <f t="shared" si="502"/>
        <v>Seattle Sounders FC2</v>
      </c>
      <c r="O2013" s="10">
        <f t="shared" si="503"/>
        <v>0</v>
      </c>
      <c r="P2013" s="10">
        <f t="shared" si="504"/>
        <v>0</v>
      </c>
      <c r="Q2013" s="10">
        <f t="shared" si="505"/>
        <v>1</v>
      </c>
    </row>
    <row r="2014" spans="1:17">
      <c r="A2014" s="15">
        <f t="shared" si="501"/>
        <v>3</v>
      </c>
      <c r="B2014" s="15"/>
      <c r="C2014" s="14" t="str">
        <f>Fixture!C18</f>
        <v>Chivas USA</v>
      </c>
      <c r="D2014" s="15">
        <f>IF(E2014=0,0,IF(Fixture!D18&lt;Fixture!F18,0,IF(Fixture!F18&lt;Fixture!D18,3,1)))</f>
        <v>3</v>
      </c>
      <c r="E2014" s="16">
        <f>IF(OR(ISBLANK(Fixture!D18),ISBLANK(Fixture!F18),ISTEXT(Fixture!D18),ISTEXT(Fixture!F18)),0,1)</f>
        <v>1</v>
      </c>
      <c r="F2014" s="16">
        <f t="shared" si="496"/>
        <v>1</v>
      </c>
      <c r="G2014" s="16">
        <f t="shared" si="497"/>
        <v>0</v>
      </c>
      <c r="H2014" s="16">
        <f t="shared" si="498"/>
        <v>0</v>
      </c>
      <c r="I2014" s="63">
        <f>IF(E2014=0,0,Fixture!D18)</f>
        <v>2</v>
      </c>
      <c r="J2014" s="63">
        <f>IF(E2014=0,0,Fixture!F18)</f>
        <v>0</v>
      </c>
      <c r="K2014" s="63">
        <f t="shared" si="499"/>
        <v>0</v>
      </c>
      <c r="L2014" s="63">
        <f t="shared" si="500"/>
        <v>1</v>
      </c>
      <c r="N2014" s="10" t="str">
        <f t="shared" si="502"/>
        <v>Chivas USA3</v>
      </c>
      <c r="O2014" s="10">
        <f t="shared" si="503"/>
        <v>3</v>
      </c>
      <c r="P2014" s="10">
        <f t="shared" si="504"/>
        <v>2</v>
      </c>
      <c r="Q2014" s="10">
        <f t="shared" si="505"/>
        <v>0</v>
      </c>
    </row>
    <row r="2015" spans="1:17">
      <c r="A2015" s="15">
        <f t="shared" si="501"/>
        <v>2</v>
      </c>
      <c r="B2015" s="15"/>
      <c r="C2015" s="14" t="str">
        <f>Fixture!C19</f>
        <v>Philadelphia Union</v>
      </c>
      <c r="D2015" s="15">
        <f>IF(E2015=0,0,IF(Fixture!D19&lt;Fixture!F19,0,IF(Fixture!F19&lt;Fixture!D19,3,1)))</f>
        <v>3</v>
      </c>
      <c r="E2015" s="16">
        <f>IF(OR(ISBLANK(Fixture!D19),ISBLANK(Fixture!F19),ISTEXT(Fixture!D19),ISTEXT(Fixture!F19)),0,1)</f>
        <v>1</v>
      </c>
      <c r="F2015" s="16">
        <f t="shared" si="496"/>
        <v>1</v>
      </c>
      <c r="G2015" s="16">
        <f t="shared" si="497"/>
        <v>0</v>
      </c>
      <c r="H2015" s="16">
        <f t="shared" si="498"/>
        <v>0</v>
      </c>
      <c r="I2015" s="63">
        <f>IF(E2015=0,0,Fixture!D19)</f>
        <v>3</v>
      </c>
      <c r="J2015" s="63">
        <f>IF(E2015=0,0,Fixture!F19)</f>
        <v>2</v>
      </c>
      <c r="K2015" s="63">
        <f t="shared" si="499"/>
        <v>0</v>
      </c>
      <c r="L2015" s="63">
        <f t="shared" si="500"/>
        <v>0</v>
      </c>
      <c r="N2015" s="10" t="str">
        <f t="shared" si="502"/>
        <v>Philadelphia Union2</v>
      </c>
      <c r="O2015" s="10">
        <f t="shared" si="503"/>
        <v>3</v>
      </c>
      <c r="P2015" s="10">
        <f t="shared" si="504"/>
        <v>3</v>
      </c>
      <c r="Q2015" s="10">
        <f t="shared" si="505"/>
        <v>2</v>
      </c>
    </row>
    <row r="2016" spans="1:17">
      <c r="A2016" s="15">
        <f t="shared" si="501"/>
        <v>3</v>
      </c>
      <c r="B2016" s="15"/>
      <c r="C2016" s="14" t="str">
        <f>Fixture!C20</f>
        <v>New England</v>
      </c>
      <c r="D2016" s="15">
        <f>IF(E2016=0,0,IF(Fixture!D20&lt;Fixture!F20,0,IF(Fixture!F20&lt;Fixture!D20,3,1)))</f>
        <v>3</v>
      </c>
      <c r="E2016" s="16">
        <f>IF(OR(ISBLANK(Fixture!D20),ISBLANK(Fixture!F20),ISTEXT(Fixture!D20),ISTEXT(Fixture!F20)),0,1)</f>
        <v>1</v>
      </c>
      <c r="F2016" s="16">
        <f t="shared" si="496"/>
        <v>1</v>
      </c>
      <c r="G2016" s="16">
        <f t="shared" si="497"/>
        <v>0</v>
      </c>
      <c r="H2016" s="16">
        <f t="shared" si="498"/>
        <v>0</v>
      </c>
      <c r="I2016" s="63">
        <f>IF(E2016=0,0,Fixture!D20)</f>
        <v>4</v>
      </c>
      <c r="J2016" s="63">
        <f>IF(E2016=0,0,Fixture!F20)</f>
        <v>1</v>
      </c>
      <c r="K2016" s="63">
        <f t="shared" si="499"/>
        <v>0</v>
      </c>
      <c r="L2016" s="63">
        <f t="shared" si="500"/>
        <v>0</v>
      </c>
      <c r="N2016" s="10" t="str">
        <f t="shared" si="502"/>
        <v>New England3</v>
      </c>
      <c r="O2016" s="10">
        <f t="shared" si="503"/>
        <v>3</v>
      </c>
      <c r="P2016" s="10">
        <f t="shared" si="504"/>
        <v>4</v>
      </c>
      <c r="Q2016" s="10">
        <f t="shared" si="505"/>
        <v>1</v>
      </c>
    </row>
    <row r="2017" spans="1:17">
      <c r="A2017" s="15">
        <f t="shared" si="501"/>
        <v>3</v>
      </c>
      <c r="B2017" s="15"/>
      <c r="C2017" s="14" t="str">
        <f>Fixture!C21</f>
        <v>Chicago</v>
      </c>
      <c r="D2017" s="15">
        <f>IF(E2017=0,0,IF(Fixture!D21&lt;Fixture!F21,0,IF(Fixture!F21&lt;Fixture!D21,3,1)))</f>
        <v>0</v>
      </c>
      <c r="E2017" s="16">
        <f>IF(OR(ISBLANK(Fixture!D21),ISBLANK(Fixture!F21),ISTEXT(Fixture!D21),ISTEXT(Fixture!F21)),0,1)</f>
        <v>1</v>
      </c>
      <c r="F2017" s="16">
        <f t="shared" si="496"/>
        <v>0</v>
      </c>
      <c r="G2017" s="16">
        <f t="shared" si="497"/>
        <v>0</v>
      </c>
      <c r="H2017" s="16">
        <f t="shared" si="498"/>
        <v>1</v>
      </c>
      <c r="I2017" s="63">
        <f>IF(E2017=0,0,Fixture!D21)</f>
        <v>1</v>
      </c>
      <c r="J2017" s="63">
        <f>IF(E2017=0,0,Fixture!F21)</f>
        <v>2</v>
      </c>
      <c r="K2017" s="63">
        <f t="shared" si="499"/>
        <v>0</v>
      </c>
      <c r="L2017" s="63">
        <f t="shared" si="500"/>
        <v>0</v>
      </c>
      <c r="N2017" s="10" t="str">
        <f t="shared" si="502"/>
        <v>Chicago3</v>
      </c>
      <c r="O2017" s="10">
        <f t="shared" si="503"/>
        <v>0</v>
      </c>
      <c r="P2017" s="10">
        <f t="shared" si="504"/>
        <v>1</v>
      </c>
      <c r="Q2017" s="10">
        <f t="shared" si="505"/>
        <v>2</v>
      </c>
    </row>
    <row r="2018" spans="1:17">
      <c r="A2018" s="15">
        <f t="shared" si="501"/>
        <v>2</v>
      </c>
      <c r="B2018" s="15"/>
      <c r="C2018" s="14" t="str">
        <f>Fixture!C22</f>
        <v>Dallas</v>
      </c>
      <c r="D2018" s="15">
        <f>IF(E2018=0,0,IF(Fixture!D22&lt;Fixture!F22,0,IF(Fixture!F22&lt;Fixture!D22,3,1)))</f>
        <v>1</v>
      </c>
      <c r="E2018" s="16">
        <f>IF(OR(ISBLANK(Fixture!D22),ISBLANK(Fixture!F22),ISTEXT(Fixture!D22),ISTEXT(Fixture!F22)),0,1)</f>
        <v>1</v>
      </c>
      <c r="F2018" s="16">
        <f t="shared" si="496"/>
        <v>0</v>
      </c>
      <c r="G2018" s="16">
        <f t="shared" si="497"/>
        <v>1</v>
      </c>
      <c r="H2018" s="16">
        <f t="shared" si="498"/>
        <v>0</v>
      </c>
      <c r="I2018" s="63">
        <f>IF(E2018=0,0,Fixture!D22)</f>
        <v>2</v>
      </c>
      <c r="J2018" s="63">
        <f>IF(E2018=0,0,Fixture!F22)</f>
        <v>2</v>
      </c>
      <c r="K2018" s="63">
        <f t="shared" si="499"/>
        <v>0</v>
      </c>
      <c r="L2018" s="63">
        <f t="shared" si="500"/>
        <v>0</v>
      </c>
      <c r="N2018" s="10" t="str">
        <f t="shared" si="502"/>
        <v>Dallas2</v>
      </c>
      <c r="O2018" s="10">
        <f t="shared" si="503"/>
        <v>1</v>
      </c>
      <c r="P2018" s="10">
        <f t="shared" si="504"/>
        <v>2</v>
      </c>
      <c r="Q2018" s="10">
        <f t="shared" si="505"/>
        <v>2</v>
      </c>
    </row>
    <row r="2019" spans="1:17">
      <c r="A2019" s="15">
        <f t="shared" si="501"/>
        <v>3</v>
      </c>
      <c r="B2019" s="15"/>
      <c r="C2019" s="14" t="str">
        <f>Fixture!C23</f>
        <v>Houston</v>
      </c>
      <c r="D2019" s="15">
        <f>IF(E2019=0,0,IF(Fixture!D23&lt;Fixture!F23,0,IF(Fixture!F23&lt;Fixture!D23,3,1)))</f>
        <v>0</v>
      </c>
      <c r="E2019" s="16">
        <f>IF(OR(ISBLANK(Fixture!D23),ISBLANK(Fixture!F23),ISTEXT(Fixture!D23),ISTEXT(Fixture!F23)),0,1)</f>
        <v>1</v>
      </c>
      <c r="F2019" s="16">
        <f t="shared" si="496"/>
        <v>0</v>
      </c>
      <c r="G2019" s="16">
        <f t="shared" si="497"/>
        <v>0</v>
      </c>
      <c r="H2019" s="16">
        <f t="shared" si="498"/>
        <v>1</v>
      </c>
      <c r="I2019" s="63">
        <f>IF(E2019=0,0,Fixture!D23)</f>
        <v>0</v>
      </c>
      <c r="J2019" s="63">
        <f>IF(E2019=0,0,Fixture!F23)</f>
        <v>2</v>
      </c>
      <c r="K2019" s="63">
        <f t="shared" si="499"/>
        <v>1</v>
      </c>
      <c r="L2019" s="63">
        <f t="shared" si="500"/>
        <v>0</v>
      </c>
      <c r="N2019" s="10" t="str">
        <f t="shared" si="502"/>
        <v>Houston3</v>
      </c>
      <c r="O2019" s="10">
        <f t="shared" si="503"/>
        <v>0</v>
      </c>
      <c r="P2019" s="10">
        <f t="shared" si="504"/>
        <v>0</v>
      </c>
      <c r="Q2019" s="10">
        <f t="shared" si="505"/>
        <v>2</v>
      </c>
    </row>
    <row r="2020" spans="1:17">
      <c r="A2020" s="15">
        <f t="shared" si="501"/>
        <v>2</v>
      </c>
      <c r="B2020" s="15"/>
      <c r="C2020" s="14" t="str">
        <f>Fixture!C24</f>
        <v>Kansas City</v>
      </c>
      <c r="D2020" s="15">
        <f>IF(E2020=0,0,IF(Fixture!D24&lt;Fixture!F24,0,IF(Fixture!F24&lt;Fixture!D24,3,1)))</f>
        <v>3</v>
      </c>
      <c r="E2020" s="16">
        <f>IF(OR(ISBLANK(Fixture!D24),ISBLANK(Fixture!F24),ISTEXT(Fixture!D24),ISTEXT(Fixture!F24)),0,1)</f>
        <v>1</v>
      </c>
      <c r="F2020" s="16">
        <f t="shared" si="496"/>
        <v>1</v>
      </c>
      <c r="G2020" s="16">
        <f t="shared" si="497"/>
        <v>0</v>
      </c>
      <c r="H2020" s="16">
        <f t="shared" si="498"/>
        <v>0</v>
      </c>
      <c r="I2020" s="63">
        <f>IF(E2020=0,0,Fixture!D24)</f>
        <v>1</v>
      </c>
      <c r="J2020" s="63">
        <f>IF(E2020=0,0,Fixture!F24)</f>
        <v>0</v>
      </c>
      <c r="K2020" s="63">
        <f t="shared" si="499"/>
        <v>0</v>
      </c>
      <c r="L2020" s="63">
        <f t="shared" si="500"/>
        <v>1</v>
      </c>
      <c r="N2020" s="10" t="str">
        <f t="shared" si="502"/>
        <v>Kansas City2</v>
      </c>
      <c r="O2020" s="10">
        <f t="shared" si="503"/>
        <v>3</v>
      </c>
      <c r="P2020" s="10">
        <f t="shared" si="504"/>
        <v>1</v>
      </c>
      <c r="Q2020" s="10">
        <f t="shared" si="505"/>
        <v>0</v>
      </c>
    </row>
    <row r="2021" spans="1:17">
      <c r="A2021" s="15">
        <f t="shared" si="501"/>
        <v>3</v>
      </c>
      <c r="B2021" s="15"/>
      <c r="C2021" s="14" t="str">
        <f>Fixture!C25</f>
        <v>Real Salt Lake</v>
      </c>
      <c r="D2021" s="15">
        <f>IF(E2021=0,0,IF(Fixture!D25&lt;Fixture!F25,0,IF(Fixture!F25&lt;Fixture!D25,3,1)))</f>
        <v>1</v>
      </c>
      <c r="E2021" s="16">
        <f>IF(OR(ISBLANK(Fixture!D25),ISBLANK(Fixture!F25),ISTEXT(Fixture!D25),ISTEXT(Fixture!F25)),0,1)</f>
        <v>1</v>
      </c>
      <c r="F2021" s="16">
        <f t="shared" si="496"/>
        <v>0</v>
      </c>
      <c r="G2021" s="16">
        <f t="shared" si="497"/>
        <v>1</v>
      </c>
      <c r="H2021" s="16">
        <f t="shared" si="498"/>
        <v>0</v>
      </c>
      <c r="I2021" s="63">
        <f>IF(E2021=0,0,Fixture!D25)</f>
        <v>2</v>
      </c>
      <c r="J2021" s="63">
        <f>IF(E2021=0,0,Fixture!F25)</f>
        <v>2</v>
      </c>
      <c r="K2021" s="63">
        <f t="shared" si="499"/>
        <v>0</v>
      </c>
      <c r="L2021" s="63">
        <f t="shared" si="500"/>
        <v>0</v>
      </c>
      <c r="N2021" s="10" t="str">
        <f t="shared" si="502"/>
        <v>Real Salt Lake3</v>
      </c>
      <c r="O2021" s="10">
        <f t="shared" si="503"/>
        <v>1</v>
      </c>
      <c r="P2021" s="10">
        <f t="shared" si="504"/>
        <v>2</v>
      </c>
      <c r="Q2021" s="10">
        <f t="shared" si="505"/>
        <v>2</v>
      </c>
    </row>
    <row r="2022" spans="1:17">
      <c r="A2022" s="15">
        <f t="shared" si="501"/>
        <v>3</v>
      </c>
      <c r="B2022" s="15"/>
      <c r="C2022" s="14" t="str">
        <f>Fixture!C26</f>
        <v>Toronto FC</v>
      </c>
      <c r="D2022" s="15">
        <f>IF(E2022=0,0,IF(Fixture!D26&lt;Fixture!F26,0,IF(Fixture!F26&lt;Fixture!D26,3,1)))</f>
        <v>3</v>
      </c>
      <c r="E2022" s="16">
        <f>IF(OR(ISBLANK(Fixture!D26),ISBLANK(Fixture!F26),ISTEXT(Fixture!D26),ISTEXT(Fixture!F26)),0,1)</f>
        <v>1</v>
      </c>
      <c r="F2022" s="16">
        <f t="shared" si="496"/>
        <v>1</v>
      </c>
      <c r="G2022" s="16">
        <f t="shared" si="497"/>
        <v>0</v>
      </c>
      <c r="H2022" s="16">
        <f t="shared" si="498"/>
        <v>0</v>
      </c>
      <c r="I2022" s="63">
        <f>IF(E2022=0,0,Fixture!D26)</f>
        <v>2</v>
      </c>
      <c r="J2022" s="63">
        <f>IF(E2022=0,0,Fixture!F26)</f>
        <v>1</v>
      </c>
      <c r="K2022" s="63">
        <f t="shared" si="499"/>
        <v>0</v>
      </c>
      <c r="L2022" s="63">
        <f t="shared" si="500"/>
        <v>0</v>
      </c>
      <c r="N2022" s="10" t="str">
        <f t="shared" si="502"/>
        <v>Toronto FC3</v>
      </c>
      <c r="O2022" s="10">
        <f t="shared" si="503"/>
        <v>3</v>
      </c>
      <c r="P2022" s="10">
        <f t="shared" si="504"/>
        <v>2</v>
      </c>
      <c r="Q2022" s="10">
        <f t="shared" si="505"/>
        <v>1</v>
      </c>
    </row>
    <row r="2023" spans="1:17">
      <c r="A2023" s="15">
        <f t="shared" si="501"/>
        <v>4</v>
      </c>
      <c r="B2023" s="15"/>
      <c r="C2023" s="14" t="str">
        <f>Fixture!C27</f>
        <v>Los Angeles</v>
      </c>
      <c r="D2023" s="15">
        <f>IF(E2023=0,0,IF(Fixture!D27&lt;Fixture!F27,0,IF(Fixture!F27&lt;Fixture!D27,3,1)))</f>
        <v>3</v>
      </c>
      <c r="E2023" s="16">
        <f>IF(OR(ISBLANK(Fixture!D27),ISBLANK(Fixture!F27),ISTEXT(Fixture!D27),ISTEXT(Fixture!F27)),0,1)</f>
        <v>1</v>
      </c>
      <c r="F2023" s="16">
        <f t="shared" si="496"/>
        <v>1</v>
      </c>
      <c r="G2023" s="16">
        <f t="shared" si="497"/>
        <v>0</v>
      </c>
      <c r="H2023" s="16">
        <f t="shared" si="498"/>
        <v>0</v>
      </c>
      <c r="I2023" s="63">
        <f>IF(E2023=0,0,Fixture!D27)</f>
        <v>2</v>
      </c>
      <c r="J2023" s="63">
        <f>IF(E2023=0,0,Fixture!F27)</f>
        <v>1</v>
      </c>
      <c r="K2023" s="63">
        <f t="shared" si="499"/>
        <v>0</v>
      </c>
      <c r="L2023" s="63">
        <f t="shared" si="500"/>
        <v>0</v>
      </c>
      <c r="N2023" s="10" t="str">
        <f t="shared" si="502"/>
        <v>Los Angeles4</v>
      </c>
      <c r="O2023" s="10">
        <f t="shared" si="503"/>
        <v>3</v>
      </c>
      <c r="P2023" s="10">
        <f t="shared" si="504"/>
        <v>2</v>
      </c>
      <c r="Q2023" s="10">
        <f t="shared" si="505"/>
        <v>1</v>
      </c>
    </row>
    <row r="2024" spans="1:17">
      <c r="A2024" s="15">
        <f t="shared" si="501"/>
        <v>4</v>
      </c>
      <c r="B2024" s="15"/>
      <c r="C2024" s="14" t="str">
        <f>Fixture!C28</f>
        <v>Seattle Sounders FC</v>
      </c>
      <c r="D2024" s="15">
        <f>IF(E2024=0,0,IF(Fixture!D28&lt;Fixture!F28,0,IF(Fixture!F28&lt;Fixture!D28,3,1)))</f>
        <v>3</v>
      </c>
      <c r="E2024" s="16">
        <f>IF(OR(ISBLANK(Fixture!D28),ISBLANK(Fixture!F28),ISTEXT(Fixture!D28),ISTEXT(Fixture!F28)),0,1)</f>
        <v>1</v>
      </c>
      <c r="F2024" s="16">
        <f t="shared" si="496"/>
        <v>1</v>
      </c>
      <c r="G2024" s="16">
        <f t="shared" si="497"/>
        <v>0</v>
      </c>
      <c r="H2024" s="16">
        <f t="shared" si="498"/>
        <v>0</v>
      </c>
      <c r="I2024" s="63">
        <f>IF(E2024=0,0,Fixture!D28)</f>
        <v>1</v>
      </c>
      <c r="J2024" s="63">
        <f>IF(E2024=0,0,Fixture!F28)</f>
        <v>0</v>
      </c>
      <c r="K2024" s="63">
        <f t="shared" si="499"/>
        <v>0</v>
      </c>
      <c r="L2024" s="63">
        <f t="shared" si="500"/>
        <v>1</v>
      </c>
      <c r="N2024" s="10" t="str">
        <f t="shared" si="502"/>
        <v>Seattle Sounders FC4</v>
      </c>
      <c r="O2024" s="10">
        <f t="shared" si="503"/>
        <v>3</v>
      </c>
      <c r="P2024" s="10">
        <f t="shared" si="504"/>
        <v>1</v>
      </c>
      <c r="Q2024" s="10">
        <f t="shared" si="505"/>
        <v>0</v>
      </c>
    </row>
    <row r="2025" spans="1:17">
      <c r="A2025" s="15">
        <f t="shared" si="501"/>
        <v>4</v>
      </c>
      <c r="B2025" s="15"/>
      <c r="C2025" s="14" t="str">
        <f>Fixture!C29</f>
        <v>Houston</v>
      </c>
      <c r="D2025" s="15">
        <f>IF(E2025=0,0,IF(Fixture!D29&lt;Fixture!F29,0,IF(Fixture!F29&lt;Fixture!D29,3,1)))</f>
        <v>3</v>
      </c>
      <c r="E2025" s="16">
        <f>IF(OR(ISBLANK(Fixture!D29),ISBLANK(Fixture!F29),ISTEXT(Fixture!D29),ISTEXT(Fixture!F29)),0,1)</f>
        <v>1</v>
      </c>
      <c r="F2025" s="16">
        <f t="shared" si="496"/>
        <v>1</v>
      </c>
      <c r="G2025" s="16">
        <f t="shared" si="497"/>
        <v>0</v>
      </c>
      <c r="H2025" s="16">
        <f t="shared" si="498"/>
        <v>0</v>
      </c>
      <c r="I2025" s="63">
        <f>IF(E2025=0,0,Fixture!D29)</f>
        <v>3</v>
      </c>
      <c r="J2025" s="63">
        <f>IF(E2025=0,0,Fixture!F29)</f>
        <v>0</v>
      </c>
      <c r="K2025" s="63">
        <f t="shared" si="499"/>
        <v>0</v>
      </c>
      <c r="L2025" s="63">
        <f t="shared" si="500"/>
        <v>1</v>
      </c>
      <c r="N2025" s="10" t="str">
        <f t="shared" si="502"/>
        <v>Houston4</v>
      </c>
      <c r="O2025" s="10">
        <f t="shared" si="503"/>
        <v>3</v>
      </c>
      <c r="P2025" s="10">
        <f t="shared" si="504"/>
        <v>3</v>
      </c>
      <c r="Q2025" s="10">
        <f t="shared" si="505"/>
        <v>0</v>
      </c>
    </row>
    <row r="2026" spans="1:17">
      <c r="A2026" s="15">
        <f t="shared" si="501"/>
        <v>4</v>
      </c>
      <c r="B2026" s="15"/>
      <c r="C2026" s="14" t="str">
        <f>Fixture!C30</f>
        <v>DC United</v>
      </c>
      <c r="D2026" s="15">
        <f>IF(E2026=0,0,IF(Fixture!D30&lt;Fixture!F30,0,IF(Fixture!F30&lt;Fixture!D30,3,1)))</f>
        <v>0</v>
      </c>
      <c r="E2026" s="16">
        <f>IF(OR(ISBLANK(Fixture!D30),ISBLANK(Fixture!F30),ISTEXT(Fixture!D30),ISTEXT(Fixture!F30)),0,1)</f>
        <v>1</v>
      </c>
      <c r="F2026" s="16">
        <f t="shared" si="496"/>
        <v>0</v>
      </c>
      <c r="G2026" s="16">
        <f t="shared" si="497"/>
        <v>0</v>
      </c>
      <c r="H2026" s="16">
        <f t="shared" si="498"/>
        <v>1</v>
      </c>
      <c r="I2026" s="63">
        <f>IF(E2026=0,0,Fixture!D30)</f>
        <v>0</v>
      </c>
      <c r="J2026" s="63">
        <f>IF(E2026=0,0,Fixture!F30)</f>
        <v>2</v>
      </c>
      <c r="K2026" s="63">
        <f t="shared" si="499"/>
        <v>1</v>
      </c>
      <c r="L2026" s="63">
        <f t="shared" si="500"/>
        <v>0</v>
      </c>
      <c r="N2026" s="10" t="str">
        <f t="shared" si="502"/>
        <v>DC United4</v>
      </c>
      <c r="O2026" s="10">
        <f t="shared" si="503"/>
        <v>0</v>
      </c>
      <c r="P2026" s="10">
        <f t="shared" si="504"/>
        <v>0</v>
      </c>
      <c r="Q2026" s="10">
        <f t="shared" si="505"/>
        <v>2</v>
      </c>
    </row>
    <row r="2027" spans="1:17">
      <c r="A2027" s="15">
        <f t="shared" si="501"/>
        <v>4</v>
      </c>
      <c r="B2027" s="15"/>
      <c r="C2027" s="14" t="str">
        <f>Fixture!C31</f>
        <v>New York Red Bulls</v>
      </c>
      <c r="D2027" s="15">
        <f>IF(E2027=0,0,IF(Fixture!D31&lt;Fixture!F31,0,IF(Fixture!F31&lt;Fixture!D31,3,1)))</f>
        <v>3</v>
      </c>
      <c r="E2027" s="16">
        <f>IF(OR(ISBLANK(Fixture!D31),ISBLANK(Fixture!F31),ISTEXT(Fixture!D31),ISTEXT(Fixture!F31)),0,1)</f>
        <v>1</v>
      </c>
      <c r="F2027" s="16">
        <f t="shared" si="496"/>
        <v>1</v>
      </c>
      <c r="G2027" s="16">
        <f t="shared" si="497"/>
        <v>0</v>
      </c>
      <c r="H2027" s="16">
        <f t="shared" si="498"/>
        <v>0</v>
      </c>
      <c r="I2027" s="63">
        <f>IF(E2027=0,0,Fixture!D31)</f>
        <v>2</v>
      </c>
      <c r="J2027" s="63">
        <f>IF(E2027=0,0,Fixture!F31)</f>
        <v>1</v>
      </c>
      <c r="K2027" s="63">
        <f t="shared" si="499"/>
        <v>0</v>
      </c>
      <c r="L2027" s="63">
        <f t="shared" si="500"/>
        <v>0</v>
      </c>
      <c r="N2027" s="10" t="str">
        <f t="shared" si="502"/>
        <v>New York Red Bulls4</v>
      </c>
      <c r="O2027" s="10">
        <f t="shared" si="503"/>
        <v>3</v>
      </c>
      <c r="P2027" s="10">
        <f t="shared" si="504"/>
        <v>2</v>
      </c>
      <c r="Q2027" s="10">
        <f t="shared" si="505"/>
        <v>1</v>
      </c>
    </row>
    <row r="2028" spans="1:17">
      <c r="A2028" s="15">
        <f t="shared" si="501"/>
        <v>3</v>
      </c>
      <c r="B2028" s="15"/>
      <c r="C2028" s="14" t="str">
        <f>Fixture!C32</f>
        <v>San Jose</v>
      </c>
      <c r="D2028" s="15">
        <f>IF(E2028=0,0,IF(Fixture!D32&lt;Fixture!F32,0,IF(Fixture!F32&lt;Fixture!D32,3,1)))</f>
        <v>3</v>
      </c>
      <c r="E2028" s="16">
        <f>IF(OR(ISBLANK(Fixture!D32),ISBLANK(Fixture!F32),ISTEXT(Fixture!D32),ISTEXT(Fixture!F32)),0,1)</f>
        <v>1</v>
      </c>
      <c r="F2028" s="16">
        <f t="shared" si="496"/>
        <v>1</v>
      </c>
      <c r="G2028" s="16">
        <f t="shared" si="497"/>
        <v>0</v>
      </c>
      <c r="H2028" s="16">
        <f t="shared" si="498"/>
        <v>0</v>
      </c>
      <c r="I2028" s="63">
        <f>IF(E2028=0,0,Fixture!D32)</f>
        <v>2</v>
      </c>
      <c r="J2028" s="63">
        <f>IF(E2028=0,0,Fixture!F32)</f>
        <v>0</v>
      </c>
      <c r="K2028" s="63">
        <f t="shared" si="499"/>
        <v>0</v>
      </c>
      <c r="L2028" s="63">
        <f t="shared" si="500"/>
        <v>1</v>
      </c>
      <c r="N2028" s="10" t="str">
        <f t="shared" si="502"/>
        <v>San Jose3</v>
      </c>
      <c r="O2028" s="10">
        <f t="shared" si="503"/>
        <v>3</v>
      </c>
      <c r="P2028" s="10">
        <f t="shared" si="504"/>
        <v>2</v>
      </c>
      <c r="Q2028" s="10">
        <f t="shared" si="505"/>
        <v>0</v>
      </c>
    </row>
    <row r="2029" spans="1:17">
      <c r="A2029" s="15">
        <f t="shared" si="501"/>
        <v>4</v>
      </c>
      <c r="B2029" s="15"/>
      <c r="C2029" s="14" t="str">
        <f>Fixture!C33</f>
        <v>Colorado</v>
      </c>
      <c r="D2029" s="15">
        <f>IF(E2029=0,0,IF(Fixture!D33&lt;Fixture!F33,0,IF(Fixture!F33&lt;Fixture!D33,3,1)))</f>
        <v>3</v>
      </c>
      <c r="E2029" s="16">
        <f>IF(OR(ISBLANK(Fixture!D33),ISBLANK(Fixture!F33),ISTEXT(Fixture!D33),ISTEXT(Fixture!F33)),0,1)</f>
        <v>1</v>
      </c>
      <c r="F2029" s="16">
        <f t="shared" si="496"/>
        <v>1</v>
      </c>
      <c r="G2029" s="16">
        <f t="shared" si="497"/>
        <v>0</v>
      </c>
      <c r="H2029" s="16">
        <f t="shared" si="498"/>
        <v>0</v>
      </c>
      <c r="I2029" s="63">
        <f>IF(E2029=0,0,Fixture!D33)</f>
        <v>3</v>
      </c>
      <c r="J2029" s="63">
        <f>IF(E2029=0,0,Fixture!F33)</f>
        <v>1</v>
      </c>
      <c r="K2029" s="63">
        <f t="shared" si="499"/>
        <v>0</v>
      </c>
      <c r="L2029" s="63">
        <f t="shared" si="500"/>
        <v>0</v>
      </c>
      <c r="N2029" s="10" t="str">
        <f t="shared" si="502"/>
        <v>Colorado4</v>
      </c>
      <c r="O2029" s="10">
        <f t="shared" si="503"/>
        <v>3</v>
      </c>
      <c r="P2029" s="10">
        <f t="shared" si="504"/>
        <v>3</v>
      </c>
      <c r="Q2029" s="10">
        <f t="shared" si="505"/>
        <v>1</v>
      </c>
    </row>
    <row r="2030" spans="1:17">
      <c r="A2030" s="15">
        <f t="shared" si="501"/>
        <v>4</v>
      </c>
      <c r="B2030" s="15"/>
      <c r="C2030" s="14" t="str">
        <f>Fixture!C34</f>
        <v>Dallas</v>
      </c>
      <c r="D2030" s="15">
        <f>IF(E2030=0,0,IF(Fixture!D34&lt;Fixture!F34,0,IF(Fixture!F34&lt;Fixture!D34,3,1)))</f>
        <v>1</v>
      </c>
      <c r="E2030" s="16">
        <f>IF(OR(ISBLANK(Fixture!D34),ISBLANK(Fixture!F34),ISTEXT(Fixture!D34),ISTEXT(Fixture!F34)),0,1)</f>
        <v>1</v>
      </c>
      <c r="F2030" s="16">
        <f t="shared" si="496"/>
        <v>0</v>
      </c>
      <c r="G2030" s="16">
        <f t="shared" si="497"/>
        <v>1</v>
      </c>
      <c r="H2030" s="16">
        <f t="shared" si="498"/>
        <v>0</v>
      </c>
      <c r="I2030" s="63">
        <f>IF(E2030=0,0,Fixture!D34)</f>
        <v>2</v>
      </c>
      <c r="J2030" s="63">
        <f>IF(E2030=0,0,Fixture!F34)</f>
        <v>2</v>
      </c>
      <c r="K2030" s="63">
        <f t="shared" si="499"/>
        <v>0</v>
      </c>
      <c r="L2030" s="63">
        <f t="shared" si="500"/>
        <v>0</v>
      </c>
      <c r="N2030" s="10" t="str">
        <f t="shared" si="502"/>
        <v>Dallas4</v>
      </c>
      <c r="O2030" s="10">
        <f t="shared" si="503"/>
        <v>1</v>
      </c>
      <c r="P2030" s="10">
        <f t="shared" si="504"/>
        <v>2</v>
      </c>
      <c r="Q2030" s="10">
        <f t="shared" si="505"/>
        <v>2</v>
      </c>
    </row>
    <row r="2031" spans="1:17">
      <c r="A2031" s="15">
        <f t="shared" si="501"/>
        <v>5</v>
      </c>
      <c r="B2031" s="15"/>
      <c r="C2031" s="14" t="str">
        <f>Fixture!C35</f>
        <v>New York Red Bulls</v>
      </c>
      <c r="D2031" s="15">
        <f>IF(E2031=0,0,IF(Fixture!D35&lt;Fixture!F35,0,IF(Fixture!F35&lt;Fixture!D35,3,1)))</f>
        <v>3</v>
      </c>
      <c r="E2031" s="16">
        <f>IF(OR(ISBLANK(Fixture!D35),ISBLANK(Fixture!F35),ISTEXT(Fixture!D35),ISTEXT(Fixture!F35)),0,1)</f>
        <v>1</v>
      </c>
      <c r="F2031" s="16">
        <f t="shared" si="496"/>
        <v>1</v>
      </c>
      <c r="G2031" s="16">
        <f t="shared" si="497"/>
        <v>0</v>
      </c>
      <c r="H2031" s="16">
        <f t="shared" si="498"/>
        <v>0</v>
      </c>
      <c r="I2031" s="63">
        <f>IF(E2031=0,0,Fixture!D35)</f>
        <v>2</v>
      </c>
      <c r="J2031" s="63">
        <f>IF(E2031=0,0,Fixture!F35)</f>
        <v>1</v>
      </c>
      <c r="K2031" s="63">
        <f t="shared" si="499"/>
        <v>0</v>
      </c>
      <c r="L2031" s="63">
        <f t="shared" si="500"/>
        <v>0</v>
      </c>
      <c r="N2031" s="10" t="str">
        <f t="shared" si="502"/>
        <v>New York Red Bulls5</v>
      </c>
      <c r="O2031" s="10">
        <f t="shared" si="503"/>
        <v>3</v>
      </c>
      <c r="P2031" s="10">
        <f t="shared" si="504"/>
        <v>2</v>
      </c>
      <c r="Q2031" s="10">
        <f t="shared" si="505"/>
        <v>1</v>
      </c>
    </row>
    <row r="2032" spans="1:17">
      <c r="A2032" s="15">
        <f t="shared" si="501"/>
        <v>3</v>
      </c>
      <c r="B2032" s="15"/>
      <c r="C2032" s="14" t="str">
        <f>Fixture!C36</f>
        <v>Columbus</v>
      </c>
      <c r="D2032" s="15">
        <f>IF(E2032=0,0,IF(Fixture!D36&lt;Fixture!F36,0,IF(Fixture!F36&lt;Fixture!D36,3,1)))</f>
        <v>3</v>
      </c>
      <c r="E2032" s="16">
        <f>IF(OR(ISBLANK(Fixture!D36),ISBLANK(Fixture!F36),ISTEXT(Fixture!D36),ISTEXT(Fixture!F36)),0,1)</f>
        <v>1</v>
      </c>
      <c r="F2032" s="16">
        <f t="shared" si="496"/>
        <v>1</v>
      </c>
      <c r="G2032" s="16">
        <f t="shared" si="497"/>
        <v>0</v>
      </c>
      <c r="H2032" s="16">
        <f t="shared" si="498"/>
        <v>0</v>
      </c>
      <c r="I2032" s="63">
        <f>IF(E2032=0,0,Fixture!D36)</f>
        <v>1</v>
      </c>
      <c r="J2032" s="63">
        <f>IF(E2032=0,0,Fixture!F36)</f>
        <v>0</v>
      </c>
      <c r="K2032" s="63">
        <f t="shared" si="499"/>
        <v>0</v>
      </c>
      <c r="L2032" s="63">
        <f t="shared" si="500"/>
        <v>1</v>
      </c>
      <c r="N2032" s="10" t="str">
        <f t="shared" si="502"/>
        <v>Columbus3</v>
      </c>
      <c r="O2032" s="10">
        <f t="shared" si="503"/>
        <v>3</v>
      </c>
      <c r="P2032" s="10">
        <f t="shared" si="504"/>
        <v>1</v>
      </c>
      <c r="Q2032" s="10">
        <f t="shared" si="505"/>
        <v>0</v>
      </c>
    </row>
    <row r="2033" spans="1:17">
      <c r="A2033" s="15">
        <f t="shared" si="501"/>
        <v>5</v>
      </c>
      <c r="B2033" s="15"/>
      <c r="C2033" s="14" t="str">
        <f>Fixture!C37</f>
        <v>New England</v>
      </c>
      <c r="D2033" s="15">
        <f>IF(E2033=0,0,IF(Fixture!D37&lt;Fixture!F37,0,IF(Fixture!F37&lt;Fixture!D37,3,1)))</f>
        <v>0</v>
      </c>
      <c r="E2033" s="16">
        <f>IF(OR(ISBLANK(Fixture!D37),ISBLANK(Fixture!F37),ISTEXT(Fixture!D37),ISTEXT(Fixture!F37)),0,1)</f>
        <v>1</v>
      </c>
      <c r="F2033" s="16">
        <f t="shared" si="496"/>
        <v>0</v>
      </c>
      <c r="G2033" s="16">
        <f t="shared" si="497"/>
        <v>0</v>
      </c>
      <c r="H2033" s="16">
        <f t="shared" si="498"/>
        <v>1</v>
      </c>
      <c r="I2033" s="63">
        <f>IF(E2033=0,0,Fixture!D37)</f>
        <v>1</v>
      </c>
      <c r="J2033" s="63">
        <f>IF(E2033=0,0,Fixture!F37)</f>
        <v>2</v>
      </c>
      <c r="K2033" s="63">
        <f t="shared" si="499"/>
        <v>0</v>
      </c>
      <c r="L2033" s="63">
        <f t="shared" si="500"/>
        <v>0</v>
      </c>
      <c r="N2033" s="10" t="str">
        <f t="shared" si="502"/>
        <v>New England5</v>
      </c>
      <c r="O2033" s="10">
        <f t="shared" si="503"/>
        <v>0</v>
      </c>
      <c r="P2033" s="10">
        <f t="shared" si="504"/>
        <v>1</v>
      </c>
      <c r="Q2033" s="10">
        <f t="shared" si="505"/>
        <v>2</v>
      </c>
    </row>
    <row r="2034" spans="1:17">
      <c r="A2034" s="15">
        <f t="shared" si="501"/>
        <v>5</v>
      </c>
      <c r="B2034" s="15"/>
      <c r="C2034" s="14" t="str">
        <f>Fixture!C38</f>
        <v>Chicago</v>
      </c>
      <c r="D2034" s="15">
        <f>IF(E2034=0,0,IF(Fixture!D38&lt;Fixture!F38,0,IF(Fixture!F38&lt;Fixture!D38,3,1)))</f>
        <v>3</v>
      </c>
      <c r="E2034" s="16">
        <f>IF(OR(ISBLANK(Fixture!D38),ISBLANK(Fixture!F38),ISTEXT(Fixture!D38),ISTEXT(Fixture!F38)),0,1)</f>
        <v>1</v>
      </c>
      <c r="F2034" s="16">
        <f t="shared" si="496"/>
        <v>1</v>
      </c>
      <c r="G2034" s="16">
        <f t="shared" si="497"/>
        <v>0</v>
      </c>
      <c r="H2034" s="16">
        <f t="shared" si="498"/>
        <v>0</v>
      </c>
      <c r="I2034" s="63">
        <f>IF(E2034=0,0,Fixture!D38)</f>
        <v>2</v>
      </c>
      <c r="J2034" s="63">
        <f>IF(E2034=0,0,Fixture!F38)</f>
        <v>0</v>
      </c>
      <c r="K2034" s="63">
        <f t="shared" si="499"/>
        <v>0</v>
      </c>
      <c r="L2034" s="63">
        <f t="shared" si="500"/>
        <v>1</v>
      </c>
      <c r="N2034" s="10" t="str">
        <f t="shared" si="502"/>
        <v>Chicago5</v>
      </c>
      <c r="O2034" s="10">
        <f t="shared" si="503"/>
        <v>3</v>
      </c>
      <c r="P2034" s="10">
        <f t="shared" si="504"/>
        <v>2</v>
      </c>
      <c r="Q2034" s="10">
        <f t="shared" si="505"/>
        <v>0</v>
      </c>
    </row>
    <row r="2035" spans="1:17">
      <c r="A2035" s="15">
        <f t="shared" si="501"/>
        <v>4</v>
      </c>
      <c r="B2035" s="15"/>
      <c r="C2035" s="14" t="str">
        <f>Fixture!C39</f>
        <v>Kansas City</v>
      </c>
      <c r="D2035" s="15">
        <f>IF(E2035=0,0,IF(Fixture!D39&lt;Fixture!F39,0,IF(Fixture!F39&lt;Fixture!D39,3,1)))</f>
        <v>1</v>
      </c>
      <c r="E2035" s="16">
        <f>IF(OR(ISBLANK(Fixture!D39),ISBLANK(Fixture!F39),ISTEXT(Fixture!D39),ISTEXT(Fixture!F39)),0,1)</f>
        <v>1</v>
      </c>
      <c r="F2035" s="16">
        <f t="shared" si="496"/>
        <v>0</v>
      </c>
      <c r="G2035" s="16">
        <f t="shared" si="497"/>
        <v>1</v>
      </c>
      <c r="H2035" s="16">
        <f t="shared" si="498"/>
        <v>0</v>
      </c>
      <c r="I2035" s="63">
        <f>IF(E2035=0,0,Fixture!D39)</f>
        <v>0</v>
      </c>
      <c r="J2035" s="63">
        <f>IF(E2035=0,0,Fixture!F39)</f>
        <v>0</v>
      </c>
      <c r="K2035" s="63">
        <f t="shared" si="499"/>
        <v>1</v>
      </c>
      <c r="L2035" s="63">
        <f t="shared" si="500"/>
        <v>1</v>
      </c>
      <c r="N2035" s="10" t="str">
        <f t="shared" si="502"/>
        <v>Kansas City4</v>
      </c>
      <c r="O2035" s="10">
        <f t="shared" si="503"/>
        <v>1</v>
      </c>
      <c r="P2035" s="10">
        <f t="shared" si="504"/>
        <v>0</v>
      </c>
      <c r="Q2035" s="10">
        <f t="shared" si="505"/>
        <v>0</v>
      </c>
    </row>
    <row r="2036" spans="1:17">
      <c r="A2036" s="15">
        <f t="shared" si="501"/>
        <v>5</v>
      </c>
      <c r="B2036" s="15"/>
      <c r="C2036" s="14" t="str">
        <f>Fixture!C40</f>
        <v>Chivas USA</v>
      </c>
      <c r="D2036" s="15">
        <f>IF(E2036=0,0,IF(Fixture!D40&lt;Fixture!F40,0,IF(Fixture!F40&lt;Fixture!D40,3,1)))</f>
        <v>3</v>
      </c>
      <c r="E2036" s="16">
        <f>IF(OR(ISBLANK(Fixture!D40),ISBLANK(Fixture!F40),ISTEXT(Fixture!D40),ISTEXT(Fixture!F40)),0,1)</f>
        <v>1</v>
      </c>
      <c r="F2036" s="16">
        <f t="shared" si="496"/>
        <v>1</v>
      </c>
      <c r="G2036" s="16">
        <f t="shared" si="497"/>
        <v>0</v>
      </c>
      <c r="H2036" s="16">
        <f t="shared" si="498"/>
        <v>0</v>
      </c>
      <c r="I2036" s="63">
        <f>IF(E2036=0,0,Fixture!D40)</f>
        <v>3</v>
      </c>
      <c r="J2036" s="63">
        <f>IF(E2036=0,0,Fixture!F40)</f>
        <v>2</v>
      </c>
      <c r="K2036" s="63">
        <f t="shared" si="499"/>
        <v>0</v>
      </c>
      <c r="L2036" s="63">
        <f t="shared" si="500"/>
        <v>0</v>
      </c>
      <c r="N2036" s="10" t="str">
        <f t="shared" si="502"/>
        <v>Chivas USA5</v>
      </c>
      <c r="O2036" s="10">
        <f t="shared" si="503"/>
        <v>3</v>
      </c>
      <c r="P2036" s="10">
        <f t="shared" si="504"/>
        <v>3</v>
      </c>
      <c r="Q2036" s="10">
        <f t="shared" si="505"/>
        <v>2</v>
      </c>
    </row>
    <row r="2037" spans="1:17">
      <c r="A2037" s="15">
        <f t="shared" si="501"/>
        <v>5</v>
      </c>
      <c r="B2037" s="15"/>
      <c r="C2037" s="14" t="str">
        <f>Fixture!C41</f>
        <v>Toronto FC</v>
      </c>
      <c r="D2037" s="15">
        <f>IF(E2037=0,0,IF(Fixture!D41&lt;Fixture!F41,0,IF(Fixture!F41&lt;Fixture!D41,3,1)))</f>
        <v>3</v>
      </c>
      <c r="E2037" s="16">
        <f>IF(OR(ISBLANK(Fixture!D41),ISBLANK(Fixture!F41),ISTEXT(Fixture!D41),ISTEXT(Fixture!F41)),0,1)</f>
        <v>1</v>
      </c>
      <c r="F2037" s="16">
        <f t="shared" si="496"/>
        <v>1</v>
      </c>
      <c r="G2037" s="16">
        <f t="shared" si="497"/>
        <v>0</v>
      </c>
      <c r="H2037" s="16">
        <f t="shared" si="498"/>
        <v>0</v>
      </c>
      <c r="I2037" s="63">
        <f>IF(E2037=0,0,Fixture!D41)</f>
        <v>2</v>
      </c>
      <c r="J2037" s="63">
        <f>IF(E2037=0,0,Fixture!F41)</f>
        <v>0</v>
      </c>
      <c r="K2037" s="63">
        <f t="shared" si="499"/>
        <v>0</v>
      </c>
      <c r="L2037" s="63">
        <f t="shared" si="500"/>
        <v>1</v>
      </c>
      <c r="N2037" s="10" t="str">
        <f t="shared" si="502"/>
        <v>Toronto FC5</v>
      </c>
      <c r="O2037" s="10">
        <f t="shared" si="503"/>
        <v>3</v>
      </c>
      <c r="P2037" s="10">
        <f t="shared" si="504"/>
        <v>2</v>
      </c>
      <c r="Q2037" s="10">
        <f t="shared" si="505"/>
        <v>0</v>
      </c>
    </row>
    <row r="2038" spans="1:17">
      <c r="A2038" s="15">
        <f t="shared" si="501"/>
        <v>5</v>
      </c>
      <c r="B2038" s="15"/>
      <c r="C2038" s="14" t="str">
        <f>Fixture!C42</f>
        <v>DC United</v>
      </c>
      <c r="D2038" s="15">
        <f>IF(E2038=0,0,IF(Fixture!D42&lt;Fixture!F42,0,IF(Fixture!F42&lt;Fixture!D42,3,1)))</f>
        <v>0</v>
      </c>
      <c r="E2038" s="16">
        <f>IF(OR(ISBLANK(Fixture!D42),ISBLANK(Fixture!F42),ISTEXT(Fixture!D42),ISTEXT(Fixture!F42)),0,1)</f>
        <v>1</v>
      </c>
      <c r="F2038" s="16">
        <f t="shared" si="496"/>
        <v>0</v>
      </c>
      <c r="G2038" s="16">
        <f t="shared" si="497"/>
        <v>0</v>
      </c>
      <c r="H2038" s="16">
        <f t="shared" si="498"/>
        <v>1</v>
      </c>
      <c r="I2038" s="63">
        <f>IF(E2038=0,0,Fixture!D42)</f>
        <v>0</v>
      </c>
      <c r="J2038" s="63">
        <f>IF(E2038=0,0,Fixture!F42)</f>
        <v>2</v>
      </c>
      <c r="K2038" s="63">
        <f t="shared" si="499"/>
        <v>1</v>
      </c>
      <c r="L2038" s="63">
        <f t="shared" si="500"/>
        <v>0</v>
      </c>
      <c r="N2038" s="10" t="str">
        <f t="shared" si="502"/>
        <v>DC United5</v>
      </c>
      <c r="O2038" s="10">
        <f t="shared" si="503"/>
        <v>0</v>
      </c>
      <c r="P2038" s="10">
        <f t="shared" si="504"/>
        <v>0</v>
      </c>
      <c r="Q2038" s="10">
        <f t="shared" si="505"/>
        <v>2</v>
      </c>
    </row>
    <row r="2039" spans="1:17">
      <c r="A2039" s="15">
        <f t="shared" si="501"/>
        <v>6</v>
      </c>
      <c r="B2039" s="15"/>
      <c r="C2039" s="14" t="str">
        <f>Fixture!C43</f>
        <v>New England</v>
      </c>
      <c r="D2039" s="15">
        <f>IF(E2039=0,0,IF(Fixture!D43&lt;Fixture!F43,0,IF(Fixture!F43&lt;Fixture!D43,3,1)))</f>
        <v>1</v>
      </c>
      <c r="E2039" s="16">
        <f>IF(OR(ISBLANK(Fixture!D43),ISBLANK(Fixture!F43),ISTEXT(Fixture!D43),ISTEXT(Fixture!F43)),0,1)</f>
        <v>1</v>
      </c>
      <c r="F2039" s="16">
        <f t="shared" si="496"/>
        <v>0</v>
      </c>
      <c r="G2039" s="16">
        <f t="shared" si="497"/>
        <v>1</v>
      </c>
      <c r="H2039" s="16">
        <f t="shared" si="498"/>
        <v>0</v>
      </c>
      <c r="I2039" s="63">
        <f>IF(E2039=0,0,Fixture!D43)</f>
        <v>1</v>
      </c>
      <c r="J2039" s="63">
        <f>IF(E2039=0,0,Fixture!F43)</f>
        <v>1</v>
      </c>
      <c r="K2039" s="63">
        <f t="shared" si="499"/>
        <v>0</v>
      </c>
      <c r="L2039" s="63">
        <f t="shared" si="500"/>
        <v>0</v>
      </c>
      <c r="N2039" s="10" t="str">
        <f t="shared" si="502"/>
        <v>New England6</v>
      </c>
      <c r="O2039" s="10">
        <f t="shared" si="503"/>
        <v>1</v>
      </c>
      <c r="P2039" s="10">
        <f t="shared" si="504"/>
        <v>1</v>
      </c>
      <c r="Q2039" s="10">
        <f t="shared" si="505"/>
        <v>1</v>
      </c>
    </row>
    <row r="2040" spans="1:17">
      <c r="A2040" s="15">
        <f t="shared" si="501"/>
        <v>6</v>
      </c>
      <c r="B2040" s="15"/>
      <c r="C2040" s="14" t="str">
        <f>Fixture!C44</f>
        <v>Chicago</v>
      </c>
      <c r="D2040" s="15">
        <f>IF(E2040=0,0,IF(Fixture!D44&lt;Fixture!F44,0,IF(Fixture!F44&lt;Fixture!D44,3,1)))</f>
        <v>1</v>
      </c>
      <c r="E2040" s="16">
        <f>IF(OR(ISBLANK(Fixture!D44),ISBLANK(Fixture!F44),ISTEXT(Fixture!D44),ISTEXT(Fixture!F44)),0,1)</f>
        <v>1</v>
      </c>
      <c r="F2040" s="16">
        <f t="shared" si="496"/>
        <v>0</v>
      </c>
      <c r="G2040" s="16">
        <f t="shared" si="497"/>
        <v>1</v>
      </c>
      <c r="H2040" s="16">
        <f t="shared" si="498"/>
        <v>0</v>
      </c>
      <c r="I2040" s="63">
        <f>IF(E2040=0,0,Fixture!D44)</f>
        <v>1</v>
      </c>
      <c r="J2040" s="63">
        <f>IF(E2040=0,0,Fixture!F44)</f>
        <v>1</v>
      </c>
      <c r="K2040" s="63">
        <f t="shared" si="499"/>
        <v>0</v>
      </c>
      <c r="L2040" s="63">
        <f t="shared" si="500"/>
        <v>0</v>
      </c>
      <c r="N2040" s="10" t="str">
        <f t="shared" si="502"/>
        <v>Chicago6</v>
      </c>
      <c r="O2040" s="10">
        <f t="shared" si="503"/>
        <v>1</v>
      </c>
      <c r="P2040" s="10">
        <f t="shared" si="504"/>
        <v>1</v>
      </c>
      <c r="Q2040" s="10">
        <f t="shared" si="505"/>
        <v>1</v>
      </c>
    </row>
    <row r="2041" spans="1:17">
      <c r="A2041" s="15">
        <f t="shared" si="501"/>
        <v>6</v>
      </c>
      <c r="B2041" s="15"/>
      <c r="C2041" s="14" t="str">
        <f>Fixture!C45</f>
        <v>Houston</v>
      </c>
      <c r="D2041" s="15">
        <f>IF(E2041=0,0,IF(Fixture!D45&lt;Fixture!F45,0,IF(Fixture!F45&lt;Fixture!D45,3,1)))</f>
        <v>3</v>
      </c>
      <c r="E2041" s="16">
        <f>IF(OR(ISBLANK(Fixture!D45),ISBLANK(Fixture!F45),ISTEXT(Fixture!D45),ISTEXT(Fixture!F45)),0,1)</f>
        <v>1</v>
      </c>
      <c r="F2041" s="16">
        <f t="shared" si="496"/>
        <v>1</v>
      </c>
      <c r="G2041" s="16">
        <f t="shared" si="497"/>
        <v>0</v>
      </c>
      <c r="H2041" s="16">
        <f t="shared" si="498"/>
        <v>0</v>
      </c>
      <c r="I2041" s="63">
        <f>IF(E2041=0,0,Fixture!D45)</f>
        <v>3</v>
      </c>
      <c r="J2041" s="63">
        <f>IF(E2041=0,0,Fixture!F45)</f>
        <v>0</v>
      </c>
      <c r="K2041" s="63">
        <f t="shared" si="499"/>
        <v>0</v>
      </c>
      <c r="L2041" s="63">
        <f t="shared" si="500"/>
        <v>1</v>
      </c>
      <c r="N2041" s="10" t="str">
        <f t="shared" si="502"/>
        <v>Houston6</v>
      </c>
      <c r="O2041" s="10">
        <f t="shared" si="503"/>
        <v>3</v>
      </c>
      <c r="P2041" s="10">
        <f t="shared" si="504"/>
        <v>3</v>
      </c>
      <c r="Q2041" s="10">
        <f t="shared" si="505"/>
        <v>0</v>
      </c>
    </row>
    <row r="2042" spans="1:17">
      <c r="A2042" s="15">
        <f t="shared" si="501"/>
        <v>6</v>
      </c>
      <c r="B2042" s="15"/>
      <c r="C2042" s="14" t="str">
        <f>Fixture!C46</f>
        <v>Real Salt Lake</v>
      </c>
      <c r="D2042" s="15">
        <f>IF(E2042=0,0,IF(Fixture!D46&lt;Fixture!F46,0,IF(Fixture!F46&lt;Fixture!D46,3,1)))</f>
        <v>3</v>
      </c>
      <c r="E2042" s="16">
        <f>IF(OR(ISBLANK(Fixture!D46),ISBLANK(Fixture!F46),ISTEXT(Fixture!D46),ISTEXT(Fixture!F46)),0,1)</f>
        <v>1</v>
      </c>
      <c r="F2042" s="16">
        <f t="shared" si="496"/>
        <v>1</v>
      </c>
      <c r="G2042" s="16">
        <f t="shared" si="497"/>
        <v>0</v>
      </c>
      <c r="H2042" s="16">
        <f t="shared" si="498"/>
        <v>0</v>
      </c>
      <c r="I2042" s="63">
        <f>IF(E2042=0,0,Fixture!D46)</f>
        <v>2</v>
      </c>
      <c r="J2042" s="63">
        <f>IF(E2042=0,0,Fixture!F46)</f>
        <v>1</v>
      </c>
      <c r="K2042" s="63">
        <f t="shared" si="499"/>
        <v>0</v>
      </c>
      <c r="L2042" s="63">
        <f t="shared" si="500"/>
        <v>0</v>
      </c>
      <c r="N2042" s="10" t="str">
        <f t="shared" si="502"/>
        <v>Real Salt Lake6</v>
      </c>
      <c r="O2042" s="10">
        <f t="shared" si="503"/>
        <v>3</v>
      </c>
      <c r="P2042" s="10">
        <f t="shared" si="504"/>
        <v>2</v>
      </c>
      <c r="Q2042" s="10">
        <f t="shared" si="505"/>
        <v>1</v>
      </c>
    </row>
    <row r="2043" spans="1:17">
      <c r="A2043" s="15">
        <f t="shared" si="501"/>
        <v>5</v>
      </c>
      <c r="B2043" s="15"/>
      <c r="C2043" s="14" t="str">
        <f>Fixture!C47</f>
        <v>San Jose</v>
      </c>
      <c r="D2043" s="15">
        <f>IF(E2043=0,0,IF(Fixture!D47&lt;Fixture!F47,0,IF(Fixture!F47&lt;Fixture!D47,3,1)))</f>
        <v>3</v>
      </c>
      <c r="E2043" s="16">
        <f>IF(OR(ISBLANK(Fixture!D47),ISBLANK(Fixture!F47),ISTEXT(Fixture!D47),ISTEXT(Fixture!F47)),0,1)</f>
        <v>1</v>
      </c>
      <c r="F2043" s="16">
        <f t="shared" si="496"/>
        <v>1</v>
      </c>
      <c r="G2043" s="16">
        <f t="shared" si="497"/>
        <v>0</v>
      </c>
      <c r="H2043" s="16">
        <f t="shared" si="498"/>
        <v>0</v>
      </c>
      <c r="I2043" s="63">
        <f>IF(E2043=0,0,Fixture!D47)</f>
        <v>1</v>
      </c>
      <c r="J2043" s="63">
        <f>IF(E2043=0,0,Fixture!F47)</f>
        <v>0</v>
      </c>
      <c r="K2043" s="63">
        <f t="shared" si="499"/>
        <v>0</v>
      </c>
      <c r="L2043" s="63">
        <f t="shared" si="500"/>
        <v>1</v>
      </c>
      <c r="N2043" s="10" t="str">
        <f t="shared" si="502"/>
        <v>San Jose5</v>
      </c>
      <c r="O2043" s="10">
        <f t="shared" si="503"/>
        <v>3</v>
      </c>
      <c r="P2043" s="10">
        <f t="shared" si="504"/>
        <v>1</v>
      </c>
      <c r="Q2043" s="10">
        <f t="shared" si="505"/>
        <v>0</v>
      </c>
    </row>
    <row r="2044" spans="1:17">
      <c r="A2044" s="15">
        <f t="shared" si="501"/>
        <v>6</v>
      </c>
      <c r="B2044" s="15"/>
      <c r="C2044" s="14" t="str">
        <f>Fixture!C48</f>
        <v>Los Angeles</v>
      </c>
      <c r="D2044" s="15">
        <f>IF(E2044=0,0,IF(Fixture!D48&lt;Fixture!F48,0,IF(Fixture!F48&lt;Fixture!D48,3,1)))</f>
        <v>3</v>
      </c>
      <c r="E2044" s="16">
        <f>IF(OR(ISBLANK(Fixture!D48),ISBLANK(Fixture!F48),ISTEXT(Fixture!D48),ISTEXT(Fixture!F48)),0,1)</f>
        <v>1</v>
      </c>
      <c r="F2044" s="16">
        <f t="shared" si="496"/>
        <v>1</v>
      </c>
      <c r="G2044" s="16">
        <f t="shared" si="497"/>
        <v>0</v>
      </c>
      <c r="H2044" s="16">
        <f t="shared" si="498"/>
        <v>0</v>
      </c>
      <c r="I2044" s="63">
        <f>IF(E2044=0,0,Fixture!D48)</f>
        <v>3</v>
      </c>
      <c r="J2044" s="63">
        <f>IF(E2044=0,0,Fixture!F48)</f>
        <v>1</v>
      </c>
      <c r="K2044" s="63">
        <f t="shared" si="499"/>
        <v>0</v>
      </c>
      <c r="L2044" s="63">
        <f t="shared" si="500"/>
        <v>0</v>
      </c>
      <c r="N2044" s="10" t="str">
        <f t="shared" si="502"/>
        <v>Los Angeles6</v>
      </c>
      <c r="O2044" s="10">
        <f t="shared" si="503"/>
        <v>3</v>
      </c>
      <c r="P2044" s="10">
        <f t="shared" si="504"/>
        <v>3</v>
      </c>
      <c r="Q2044" s="10">
        <f t="shared" si="505"/>
        <v>1</v>
      </c>
    </row>
    <row r="2045" spans="1:17">
      <c r="A2045" s="15">
        <f t="shared" si="501"/>
        <v>7</v>
      </c>
      <c r="B2045" s="15"/>
      <c r="C2045" s="14" t="str">
        <f>Fixture!C49</f>
        <v>Seattle Sounders FC</v>
      </c>
      <c r="D2045" s="15">
        <f>IF(E2045=0,0,IF(Fixture!D49&lt;Fixture!F49,0,IF(Fixture!F49&lt;Fixture!D49,3,1)))</f>
        <v>1</v>
      </c>
      <c r="E2045" s="16">
        <f>IF(OR(ISBLANK(Fixture!D49),ISBLANK(Fixture!F49),ISTEXT(Fixture!D49),ISTEXT(Fixture!F49)),0,1)</f>
        <v>1</v>
      </c>
      <c r="F2045" s="16">
        <f t="shared" si="496"/>
        <v>0</v>
      </c>
      <c r="G2045" s="16">
        <f t="shared" si="497"/>
        <v>1</v>
      </c>
      <c r="H2045" s="16">
        <f t="shared" si="498"/>
        <v>0</v>
      </c>
      <c r="I2045" s="63">
        <f>IF(E2045=0,0,Fixture!D49)</f>
        <v>1</v>
      </c>
      <c r="J2045" s="63">
        <f>IF(E2045=0,0,Fixture!F49)</f>
        <v>1</v>
      </c>
      <c r="K2045" s="63">
        <f t="shared" si="499"/>
        <v>0</v>
      </c>
      <c r="L2045" s="63">
        <f t="shared" si="500"/>
        <v>0</v>
      </c>
      <c r="N2045" s="10" t="str">
        <f t="shared" si="502"/>
        <v>Seattle Sounders FC7</v>
      </c>
      <c r="O2045" s="10">
        <f t="shared" si="503"/>
        <v>1</v>
      </c>
      <c r="P2045" s="10">
        <f t="shared" si="504"/>
        <v>1</v>
      </c>
      <c r="Q2045" s="10">
        <f t="shared" si="505"/>
        <v>1</v>
      </c>
    </row>
    <row r="2046" spans="1:17">
      <c r="A2046" s="15">
        <f t="shared" si="501"/>
        <v>6</v>
      </c>
      <c r="B2046" s="15"/>
      <c r="C2046" s="14" t="str">
        <f>Fixture!C50</f>
        <v>DC United</v>
      </c>
      <c r="D2046" s="15">
        <f>IF(E2046=0,0,IF(Fixture!D50&lt;Fixture!F50,0,IF(Fixture!F50&lt;Fixture!D50,3,1)))</f>
        <v>3</v>
      </c>
      <c r="E2046" s="16">
        <f>IF(OR(ISBLANK(Fixture!D50),ISBLANK(Fixture!F50),ISTEXT(Fixture!D50),ISTEXT(Fixture!F50)),0,1)</f>
        <v>1</v>
      </c>
      <c r="F2046" s="16">
        <f t="shared" si="496"/>
        <v>1</v>
      </c>
      <c r="G2046" s="16">
        <f t="shared" si="497"/>
        <v>0</v>
      </c>
      <c r="H2046" s="16">
        <f t="shared" si="498"/>
        <v>0</v>
      </c>
      <c r="I2046" s="63">
        <f>IF(E2046=0,0,Fixture!D50)</f>
        <v>2</v>
      </c>
      <c r="J2046" s="63">
        <f>IF(E2046=0,0,Fixture!F50)</f>
        <v>1</v>
      </c>
      <c r="K2046" s="63">
        <f t="shared" si="499"/>
        <v>0</v>
      </c>
      <c r="L2046" s="63">
        <f t="shared" si="500"/>
        <v>0</v>
      </c>
      <c r="N2046" s="10" t="str">
        <f t="shared" si="502"/>
        <v>DC United6</v>
      </c>
      <c r="O2046" s="10">
        <f t="shared" si="503"/>
        <v>3</v>
      </c>
      <c r="P2046" s="10">
        <f t="shared" si="504"/>
        <v>2</v>
      </c>
      <c r="Q2046" s="10">
        <f t="shared" si="505"/>
        <v>1</v>
      </c>
    </row>
    <row r="2047" spans="1:17">
      <c r="A2047" s="15">
        <f t="shared" si="501"/>
        <v>7</v>
      </c>
      <c r="B2047" s="15"/>
      <c r="C2047" s="14" t="str">
        <f>Fixture!C51</f>
        <v>New England</v>
      </c>
      <c r="D2047" s="15">
        <f>IF(E2047=0,0,IF(Fixture!D51&lt;Fixture!F51,0,IF(Fixture!F51&lt;Fixture!D51,3,1)))</f>
        <v>0</v>
      </c>
      <c r="E2047" s="16">
        <f>IF(OR(ISBLANK(Fixture!D51),ISBLANK(Fixture!F51),ISTEXT(Fixture!D51),ISTEXT(Fixture!F51)),0,1)</f>
        <v>1</v>
      </c>
      <c r="F2047" s="16">
        <f t="shared" si="496"/>
        <v>0</v>
      </c>
      <c r="G2047" s="16">
        <f t="shared" si="497"/>
        <v>0</v>
      </c>
      <c r="H2047" s="16">
        <f t="shared" si="498"/>
        <v>1</v>
      </c>
      <c r="I2047" s="63">
        <f>IF(E2047=0,0,Fixture!D51)</f>
        <v>0</v>
      </c>
      <c r="J2047" s="63">
        <f>IF(E2047=0,0,Fixture!F51)</f>
        <v>4</v>
      </c>
      <c r="K2047" s="63">
        <f t="shared" si="499"/>
        <v>1</v>
      </c>
      <c r="L2047" s="63">
        <f t="shared" si="500"/>
        <v>0</v>
      </c>
      <c r="N2047" s="10" t="str">
        <f t="shared" si="502"/>
        <v>New England7</v>
      </c>
      <c r="O2047" s="10">
        <f t="shared" si="503"/>
        <v>0</v>
      </c>
      <c r="P2047" s="10">
        <f t="shared" si="504"/>
        <v>0</v>
      </c>
      <c r="Q2047" s="10">
        <f t="shared" si="505"/>
        <v>4</v>
      </c>
    </row>
    <row r="2048" spans="1:17">
      <c r="A2048" s="15">
        <f t="shared" si="501"/>
        <v>7</v>
      </c>
      <c r="B2048" s="15"/>
      <c r="C2048" s="14" t="str">
        <f>Fixture!C52</f>
        <v>Houston</v>
      </c>
      <c r="D2048" s="15">
        <f>IF(E2048=0,0,IF(Fixture!D52&lt;Fixture!F52,0,IF(Fixture!F52&lt;Fixture!D52,3,1)))</f>
        <v>0</v>
      </c>
      <c r="E2048" s="16">
        <f>IF(OR(ISBLANK(Fixture!D52),ISBLANK(Fixture!F52),ISTEXT(Fixture!D52),ISTEXT(Fixture!F52)),0,1)</f>
        <v>1</v>
      </c>
      <c r="F2048" s="16">
        <f t="shared" si="496"/>
        <v>0</v>
      </c>
      <c r="G2048" s="16">
        <f t="shared" si="497"/>
        <v>0</v>
      </c>
      <c r="H2048" s="16">
        <f t="shared" si="498"/>
        <v>1</v>
      </c>
      <c r="I2048" s="63">
        <f>IF(E2048=0,0,Fixture!D52)</f>
        <v>0</v>
      </c>
      <c r="J2048" s="63">
        <f>IF(E2048=0,0,Fixture!F52)</f>
        <v>1</v>
      </c>
      <c r="K2048" s="63">
        <f t="shared" si="499"/>
        <v>1</v>
      </c>
      <c r="L2048" s="63">
        <f t="shared" si="500"/>
        <v>0</v>
      </c>
      <c r="N2048" s="10" t="str">
        <f t="shared" si="502"/>
        <v>Houston7</v>
      </c>
      <c r="O2048" s="10">
        <f t="shared" si="503"/>
        <v>0</v>
      </c>
      <c r="P2048" s="10">
        <f t="shared" si="504"/>
        <v>0</v>
      </c>
      <c r="Q2048" s="10">
        <f t="shared" si="505"/>
        <v>1</v>
      </c>
    </row>
    <row r="2049" spans="1:17">
      <c r="A2049" s="15">
        <f t="shared" si="501"/>
        <v>7</v>
      </c>
      <c r="B2049" s="15"/>
      <c r="C2049" s="14" t="str">
        <f>Fixture!C53</f>
        <v>Colorado</v>
      </c>
      <c r="D2049" s="15">
        <f>IF(E2049=0,0,IF(Fixture!D53&lt;Fixture!F53,0,IF(Fixture!F53&lt;Fixture!D53,3,1)))</f>
        <v>0</v>
      </c>
      <c r="E2049" s="16">
        <f>IF(OR(ISBLANK(Fixture!D53),ISBLANK(Fixture!F53),ISTEXT(Fixture!D53),ISTEXT(Fixture!F53)),0,1)</f>
        <v>1</v>
      </c>
      <c r="F2049" s="16">
        <f t="shared" si="496"/>
        <v>0</v>
      </c>
      <c r="G2049" s="16">
        <f t="shared" si="497"/>
        <v>0</v>
      </c>
      <c r="H2049" s="16">
        <f t="shared" si="498"/>
        <v>1</v>
      </c>
      <c r="I2049" s="63">
        <f>IF(E2049=0,0,Fixture!D53)</f>
        <v>0</v>
      </c>
      <c r="J2049" s="63">
        <f>IF(E2049=0,0,Fixture!F53)</f>
        <v>1</v>
      </c>
      <c r="K2049" s="63">
        <f t="shared" si="499"/>
        <v>1</v>
      </c>
      <c r="L2049" s="63">
        <f t="shared" si="500"/>
        <v>0</v>
      </c>
      <c r="N2049" s="10" t="str">
        <f t="shared" si="502"/>
        <v>Colorado7</v>
      </c>
      <c r="O2049" s="10">
        <f t="shared" si="503"/>
        <v>0</v>
      </c>
      <c r="P2049" s="10">
        <f t="shared" si="504"/>
        <v>0</v>
      </c>
      <c r="Q2049" s="10">
        <f t="shared" si="505"/>
        <v>1</v>
      </c>
    </row>
    <row r="2050" spans="1:17">
      <c r="A2050" s="15">
        <f t="shared" si="501"/>
        <v>7</v>
      </c>
      <c r="B2050" s="15"/>
      <c r="C2050" s="14" t="str">
        <f>Fixture!C54</f>
        <v>Real Salt Lake</v>
      </c>
      <c r="D2050" s="15">
        <f>IF(E2050=0,0,IF(Fixture!D54&lt;Fixture!F54,0,IF(Fixture!F54&lt;Fixture!D54,3,1)))</f>
        <v>3</v>
      </c>
      <c r="E2050" s="16">
        <f>IF(OR(ISBLANK(Fixture!D54),ISBLANK(Fixture!F54),ISTEXT(Fixture!D54),ISTEXT(Fixture!F54)),0,1)</f>
        <v>1</v>
      </c>
      <c r="F2050" s="16">
        <f t="shared" si="496"/>
        <v>1</v>
      </c>
      <c r="G2050" s="16">
        <f t="shared" si="497"/>
        <v>0</v>
      </c>
      <c r="H2050" s="16">
        <f t="shared" si="498"/>
        <v>0</v>
      </c>
      <c r="I2050" s="63">
        <f>IF(E2050=0,0,Fixture!D54)</f>
        <v>3</v>
      </c>
      <c r="J2050" s="63">
        <f>IF(E2050=0,0,Fixture!F54)</f>
        <v>0</v>
      </c>
      <c r="K2050" s="63">
        <f t="shared" si="499"/>
        <v>0</v>
      </c>
      <c r="L2050" s="63">
        <f t="shared" si="500"/>
        <v>1</v>
      </c>
      <c r="N2050" s="10" t="str">
        <f t="shared" si="502"/>
        <v>Real Salt Lake7</v>
      </c>
      <c r="O2050" s="10">
        <f t="shared" si="503"/>
        <v>3</v>
      </c>
      <c r="P2050" s="10">
        <f t="shared" si="504"/>
        <v>3</v>
      </c>
      <c r="Q2050" s="10">
        <f t="shared" si="505"/>
        <v>0</v>
      </c>
    </row>
    <row r="2051" spans="1:17">
      <c r="A2051" s="15">
        <f t="shared" si="501"/>
        <v>8</v>
      </c>
      <c r="B2051" s="15"/>
      <c r="C2051" s="14" t="str">
        <f>Fixture!C55</f>
        <v>Seattle Sounders FC</v>
      </c>
      <c r="D2051" s="15">
        <f>IF(E2051=0,0,IF(Fixture!D55&lt;Fixture!F55,0,IF(Fixture!F55&lt;Fixture!D55,3,1)))</f>
        <v>0</v>
      </c>
      <c r="E2051" s="16">
        <f>IF(OR(ISBLANK(Fixture!D55),ISBLANK(Fixture!F55),ISTEXT(Fixture!D55),ISTEXT(Fixture!F55)),0,1)</f>
        <v>1</v>
      </c>
      <c r="F2051" s="16">
        <f t="shared" si="496"/>
        <v>0</v>
      </c>
      <c r="G2051" s="16">
        <f t="shared" si="497"/>
        <v>0</v>
      </c>
      <c r="H2051" s="16">
        <f t="shared" si="498"/>
        <v>1</v>
      </c>
      <c r="I2051" s="63">
        <f>IF(E2051=0,0,Fixture!D55)</f>
        <v>0</v>
      </c>
      <c r="J2051" s="63">
        <f>IF(E2051=0,0,Fixture!F55)</f>
        <v>4</v>
      </c>
      <c r="K2051" s="63">
        <f t="shared" si="499"/>
        <v>1</v>
      </c>
      <c r="L2051" s="63">
        <f t="shared" si="500"/>
        <v>0</v>
      </c>
      <c r="N2051" s="10" t="str">
        <f t="shared" si="502"/>
        <v>Seattle Sounders FC8</v>
      </c>
      <c r="O2051" s="10">
        <f t="shared" si="503"/>
        <v>0</v>
      </c>
      <c r="P2051" s="10">
        <f t="shared" si="504"/>
        <v>0</v>
      </c>
      <c r="Q2051" s="10">
        <f t="shared" si="505"/>
        <v>4</v>
      </c>
    </row>
    <row r="2052" spans="1:17">
      <c r="A2052" s="15">
        <f t="shared" si="501"/>
        <v>7</v>
      </c>
      <c r="B2052" s="15"/>
      <c r="C2052" s="14" t="str">
        <f>Fixture!C56</f>
        <v>Toronto FC</v>
      </c>
      <c r="D2052" s="15">
        <f>IF(E2052=0,0,IF(Fixture!D56&lt;Fixture!F56,0,IF(Fixture!F56&lt;Fixture!D56,3,1)))</f>
        <v>3</v>
      </c>
      <c r="E2052" s="16">
        <f>IF(OR(ISBLANK(Fixture!D56),ISBLANK(Fixture!F56),ISTEXT(Fixture!D56),ISTEXT(Fixture!F56)),0,1)</f>
        <v>1</v>
      </c>
      <c r="F2052" s="16">
        <f t="shared" si="496"/>
        <v>1</v>
      </c>
      <c r="G2052" s="16">
        <f t="shared" si="497"/>
        <v>0</v>
      </c>
      <c r="H2052" s="16">
        <f t="shared" si="498"/>
        <v>0</v>
      </c>
      <c r="I2052" s="63">
        <f>IF(E2052=0,0,Fixture!D56)</f>
        <v>4</v>
      </c>
      <c r="J2052" s="63">
        <f>IF(E2052=0,0,Fixture!F56)</f>
        <v>1</v>
      </c>
      <c r="K2052" s="63">
        <f t="shared" si="499"/>
        <v>0</v>
      </c>
      <c r="L2052" s="63">
        <f t="shared" si="500"/>
        <v>0</v>
      </c>
      <c r="N2052" s="10" t="str">
        <f t="shared" si="502"/>
        <v>Toronto FC7</v>
      </c>
      <c r="O2052" s="10">
        <f t="shared" si="503"/>
        <v>3</v>
      </c>
      <c r="P2052" s="10">
        <f t="shared" si="504"/>
        <v>4</v>
      </c>
      <c r="Q2052" s="10">
        <f t="shared" si="505"/>
        <v>1</v>
      </c>
    </row>
    <row r="2053" spans="1:17">
      <c r="A2053" s="15">
        <f t="shared" si="501"/>
        <v>5</v>
      </c>
      <c r="B2053" s="15"/>
      <c r="C2053" s="14" t="str">
        <f>Fixture!C57</f>
        <v>Columbus</v>
      </c>
      <c r="D2053" s="15">
        <f>IF(E2053=0,0,IF(Fixture!D57&lt;Fixture!F57,0,IF(Fixture!F57&lt;Fixture!D57,3,1)))</f>
        <v>3</v>
      </c>
      <c r="E2053" s="16">
        <f>IF(OR(ISBLANK(Fixture!D57),ISBLANK(Fixture!F57),ISTEXT(Fixture!D57),ISTEXT(Fixture!F57)),0,1)</f>
        <v>1</v>
      </c>
      <c r="F2053" s="16">
        <f t="shared" si="496"/>
        <v>1</v>
      </c>
      <c r="G2053" s="16">
        <f t="shared" si="497"/>
        <v>0</v>
      </c>
      <c r="H2053" s="16">
        <f t="shared" si="498"/>
        <v>0</v>
      </c>
      <c r="I2053" s="63">
        <f>IF(E2053=0,0,Fixture!D57)</f>
        <v>3</v>
      </c>
      <c r="J2053" s="63">
        <f>IF(E2053=0,0,Fixture!F57)</f>
        <v>2</v>
      </c>
      <c r="K2053" s="63">
        <f t="shared" si="499"/>
        <v>0</v>
      </c>
      <c r="L2053" s="63">
        <f t="shared" si="500"/>
        <v>0</v>
      </c>
      <c r="N2053" s="10" t="str">
        <f t="shared" si="502"/>
        <v>Columbus5</v>
      </c>
      <c r="O2053" s="10">
        <f t="shared" si="503"/>
        <v>3</v>
      </c>
      <c r="P2053" s="10">
        <f t="shared" si="504"/>
        <v>3</v>
      </c>
      <c r="Q2053" s="10">
        <f t="shared" si="505"/>
        <v>2</v>
      </c>
    </row>
    <row r="2054" spans="1:17">
      <c r="A2054" s="15">
        <f t="shared" si="501"/>
        <v>7</v>
      </c>
      <c r="B2054" s="15"/>
      <c r="C2054" s="14" t="str">
        <f>Fixture!C58</f>
        <v>Dallas</v>
      </c>
      <c r="D2054" s="15">
        <f>IF(E2054=0,0,IF(Fixture!D58&lt;Fixture!F58,0,IF(Fixture!F58&lt;Fixture!D58,3,1)))</f>
        <v>3</v>
      </c>
      <c r="E2054" s="16">
        <f>IF(OR(ISBLANK(Fixture!D58),ISBLANK(Fixture!F58),ISTEXT(Fixture!D58),ISTEXT(Fixture!F58)),0,1)</f>
        <v>1</v>
      </c>
      <c r="F2054" s="16">
        <f t="shared" si="496"/>
        <v>1</v>
      </c>
      <c r="G2054" s="16">
        <f t="shared" si="497"/>
        <v>0</v>
      </c>
      <c r="H2054" s="16">
        <f t="shared" si="498"/>
        <v>0</v>
      </c>
      <c r="I2054" s="63">
        <f>IF(E2054=0,0,Fixture!D58)</f>
        <v>1</v>
      </c>
      <c r="J2054" s="63">
        <f>IF(E2054=0,0,Fixture!F58)</f>
        <v>0</v>
      </c>
      <c r="K2054" s="63">
        <f t="shared" si="499"/>
        <v>0</v>
      </c>
      <c r="L2054" s="63">
        <f t="shared" si="500"/>
        <v>1</v>
      </c>
      <c r="N2054" s="10" t="str">
        <f t="shared" si="502"/>
        <v>Dallas7</v>
      </c>
      <c r="O2054" s="10">
        <f t="shared" si="503"/>
        <v>3</v>
      </c>
      <c r="P2054" s="10">
        <f t="shared" si="504"/>
        <v>1</v>
      </c>
      <c r="Q2054" s="10">
        <f t="shared" si="505"/>
        <v>0</v>
      </c>
    </row>
    <row r="2055" spans="1:17">
      <c r="A2055" s="15">
        <f t="shared" si="501"/>
        <v>6</v>
      </c>
      <c r="B2055" s="15"/>
      <c r="C2055" s="14" t="str">
        <f>Fixture!C59</f>
        <v>San Jose</v>
      </c>
      <c r="D2055" s="15">
        <f>IF(E2055=0,0,IF(Fixture!D59&lt;Fixture!F59,0,IF(Fixture!F59&lt;Fixture!D59,3,1)))</f>
        <v>3</v>
      </c>
      <c r="E2055" s="16">
        <f>IF(OR(ISBLANK(Fixture!D59),ISBLANK(Fixture!F59),ISTEXT(Fixture!D59),ISTEXT(Fixture!F59)),0,1)</f>
        <v>1</v>
      </c>
      <c r="F2055" s="16">
        <f t="shared" si="496"/>
        <v>1</v>
      </c>
      <c r="G2055" s="16">
        <f t="shared" si="497"/>
        <v>0</v>
      </c>
      <c r="H2055" s="16">
        <f t="shared" si="498"/>
        <v>0</v>
      </c>
      <c r="I2055" s="63">
        <f>IF(E2055=0,0,Fixture!D59)</f>
        <v>4</v>
      </c>
      <c r="J2055" s="63">
        <f>IF(E2055=0,0,Fixture!F59)</f>
        <v>0</v>
      </c>
      <c r="K2055" s="63">
        <f t="shared" si="499"/>
        <v>0</v>
      </c>
      <c r="L2055" s="63">
        <f t="shared" si="500"/>
        <v>1</v>
      </c>
      <c r="N2055" s="10" t="str">
        <f t="shared" si="502"/>
        <v>San Jose6</v>
      </c>
      <c r="O2055" s="10">
        <f t="shared" si="503"/>
        <v>3</v>
      </c>
      <c r="P2055" s="10">
        <f t="shared" si="504"/>
        <v>4</v>
      </c>
      <c r="Q2055" s="10">
        <f t="shared" si="505"/>
        <v>0</v>
      </c>
    </row>
    <row r="2056" spans="1:17">
      <c r="A2056" s="15">
        <f t="shared" si="501"/>
        <v>8</v>
      </c>
      <c r="B2056" s="15"/>
      <c r="C2056" s="14" t="str">
        <f>Fixture!C60</f>
        <v>Chivas USA</v>
      </c>
      <c r="D2056" s="15">
        <f>IF(E2056=0,0,IF(Fixture!D60&lt;Fixture!F60,0,IF(Fixture!F60&lt;Fixture!D60,3,1)))</f>
        <v>0</v>
      </c>
      <c r="E2056" s="16">
        <f>IF(OR(ISBLANK(Fixture!D60),ISBLANK(Fixture!F60),ISTEXT(Fixture!D60),ISTEXT(Fixture!F60)),0,1)</f>
        <v>1</v>
      </c>
      <c r="F2056" s="16">
        <f t="shared" si="496"/>
        <v>0</v>
      </c>
      <c r="G2056" s="16">
        <f t="shared" si="497"/>
        <v>0</v>
      </c>
      <c r="H2056" s="16">
        <f t="shared" si="498"/>
        <v>1</v>
      </c>
      <c r="I2056" s="63">
        <f>IF(E2056=0,0,Fixture!D60)</f>
        <v>0</v>
      </c>
      <c r="J2056" s="63">
        <f>IF(E2056=0,0,Fixture!F60)</f>
        <v>2</v>
      </c>
      <c r="K2056" s="63">
        <f t="shared" si="499"/>
        <v>1</v>
      </c>
      <c r="L2056" s="63">
        <f t="shared" si="500"/>
        <v>0</v>
      </c>
      <c r="N2056" s="10" t="str">
        <f t="shared" si="502"/>
        <v>Chivas USA8</v>
      </c>
      <c r="O2056" s="10">
        <f t="shared" si="503"/>
        <v>0</v>
      </c>
      <c r="P2056" s="10">
        <f t="shared" si="504"/>
        <v>0</v>
      </c>
      <c r="Q2056" s="10">
        <f t="shared" si="505"/>
        <v>2</v>
      </c>
    </row>
    <row r="2057" spans="1:17">
      <c r="A2057" s="15">
        <f t="shared" si="501"/>
        <v>8</v>
      </c>
      <c r="B2057" s="15"/>
      <c r="C2057" s="14" t="str">
        <f>Fixture!C61</f>
        <v>Real Salt Lake</v>
      </c>
      <c r="D2057" s="15">
        <f>IF(E2057=0,0,IF(Fixture!D61&lt;Fixture!F61,0,IF(Fixture!F61&lt;Fixture!D61,3,1)))</f>
        <v>3</v>
      </c>
      <c r="E2057" s="16">
        <f>IF(OR(ISBLANK(Fixture!D61),ISBLANK(Fixture!F61),ISTEXT(Fixture!D61),ISTEXT(Fixture!F61)),0,1)</f>
        <v>1</v>
      </c>
      <c r="F2057" s="16">
        <f t="shared" si="496"/>
        <v>1</v>
      </c>
      <c r="G2057" s="16">
        <f t="shared" si="497"/>
        <v>0</v>
      </c>
      <c r="H2057" s="16">
        <f t="shared" si="498"/>
        <v>0</v>
      </c>
      <c r="I2057" s="63">
        <f>IF(E2057=0,0,Fixture!D61)</f>
        <v>3</v>
      </c>
      <c r="J2057" s="63">
        <f>IF(E2057=0,0,Fixture!F61)</f>
        <v>1</v>
      </c>
      <c r="K2057" s="63">
        <f t="shared" si="499"/>
        <v>0</v>
      </c>
      <c r="L2057" s="63">
        <f t="shared" si="500"/>
        <v>0</v>
      </c>
      <c r="N2057" s="10" t="str">
        <f t="shared" si="502"/>
        <v>Real Salt Lake8</v>
      </c>
      <c r="O2057" s="10">
        <f t="shared" si="503"/>
        <v>3</v>
      </c>
      <c r="P2057" s="10">
        <f t="shared" si="504"/>
        <v>3</v>
      </c>
      <c r="Q2057" s="10">
        <f t="shared" si="505"/>
        <v>1</v>
      </c>
    </row>
    <row r="2058" spans="1:17">
      <c r="A2058" s="15">
        <f t="shared" si="501"/>
        <v>7</v>
      </c>
      <c r="B2058" s="15"/>
      <c r="C2058" s="14" t="str">
        <f>Fixture!C62</f>
        <v>Philadelphia Union</v>
      </c>
      <c r="D2058" s="15">
        <f>IF(E2058=0,0,IF(Fixture!D62&lt;Fixture!F62,0,IF(Fixture!F62&lt;Fixture!D62,3,1)))</f>
        <v>1</v>
      </c>
      <c r="E2058" s="16">
        <f>IF(OR(ISBLANK(Fixture!D62),ISBLANK(Fixture!F62),ISTEXT(Fixture!D62),ISTEXT(Fixture!F62)),0,1)</f>
        <v>1</v>
      </c>
      <c r="F2058" s="16">
        <f t="shared" si="496"/>
        <v>0</v>
      </c>
      <c r="G2058" s="16">
        <f t="shared" si="497"/>
        <v>1</v>
      </c>
      <c r="H2058" s="16">
        <f t="shared" si="498"/>
        <v>0</v>
      </c>
      <c r="I2058" s="63">
        <f>IF(E2058=0,0,Fixture!D62)</f>
        <v>1</v>
      </c>
      <c r="J2058" s="63">
        <f>IF(E2058=0,0,Fixture!F62)</f>
        <v>1</v>
      </c>
      <c r="K2058" s="63">
        <f t="shared" si="499"/>
        <v>0</v>
      </c>
      <c r="L2058" s="63">
        <f t="shared" si="500"/>
        <v>0</v>
      </c>
      <c r="N2058" s="10" t="str">
        <f t="shared" si="502"/>
        <v>Philadelphia Union7</v>
      </c>
      <c r="O2058" s="10">
        <f t="shared" si="503"/>
        <v>1</v>
      </c>
      <c r="P2058" s="10">
        <f t="shared" si="504"/>
        <v>1</v>
      </c>
      <c r="Q2058" s="10">
        <f t="shared" si="505"/>
        <v>1</v>
      </c>
    </row>
    <row r="2059" spans="1:17">
      <c r="A2059" s="15">
        <f t="shared" si="501"/>
        <v>9</v>
      </c>
      <c r="B2059" s="15"/>
      <c r="C2059" s="14" t="str">
        <f>Fixture!C63</f>
        <v>New England</v>
      </c>
      <c r="D2059" s="15">
        <f>IF(E2059=0,0,IF(Fixture!D63&lt;Fixture!F63,0,IF(Fixture!F63&lt;Fixture!D63,3,1)))</f>
        <v>1</v>
      </c>
      <c r="E2059" s="16">
        <f>IF(OR(ISBLANK(Fixture!D63),ISBLANK(Fixture!F63),ISTEXT(Fixture!D63),ISTEXT(Fixture!F63)),0,1)</f>
        <v>1</v>
      </c>
      <c r="F2059" s="16">
        <f t="shared" si="496"/>
        <v>0</v>
      </c>
      <c r="G2059" s="16">
        <f t="shared" si="497"/>
        <v>1</v>
      </c>
      <c r="H2059" s="16">
        <f t="shared" si="498"/>
        <v>0</v>
      </c>
      <c r="I2059" s="63">
        <f>IF(E2059=0,0,Fixture!D63)</f>
        <v>0</v>
      </c>
      <c r="J2059" s="63">
        <f>IF(E2059=0,0,Fixture!F63)</f>
        <v>0</v>
      </c>
      <c r="K2059" s="63">
        <f t="shared" si="499"/>
        <v>1</v>
      </c>
      <c r="L2059" s="63">
        <f t="shared" si="500"/>
        <v>1</v>
      </c>
      <c r="N2059" s="10" t="str">
        <f t="shared" si="502"/>
        <v>New England9</v>
      </c>
      <c r="O2059" s="10">
        <f t="shared" si="503"/>
        <v>1</v>
      </c>
      <c r="P2059" s="10">
        <f t="shared" si="504"/>
        <v>0</v>
      </c>
      <c r="Q2059" s="10">
        <f t="shared" si="505"/>
        <v>0</v>
      </c>
    </row>
    <row r="2060" spans="1:17">
      <c r="A2060" s="15">
        <f t="shared" si="501"/>
        <v>6</v>
      </c>
      <c r="B2060" s="15"/>
      <c r="C2060" s="14" t="str">
        <f>Fixture!C64</f>
        <v>Columbus</v>
      </c>
      <c r="D2060" s="15">
        <f>IF(E2060=0,0,IF(Fixture!D64&lt;Fixture!F64,0,IF(Fixture!F64&lt;Fixture!D64,3,1)))</f>
        <v>3</v>
      </c>
      <c r="E2060" s="16">
        <f>IF(OR(ISBLANK(Fixture!D64),ISBLANK(Fixture!F64),ISTEXT(Fixture!D64),ISTEXT(Fixture!F64)),0,1)</f>
        <v>1</v>
      </c>
      <c r="F2060" s="16">
        <f t="shared" si="496"/>
        <v>1</v>
      </c>
      <c r="G2060" s="16">
        <f t="shared" si="497"/>
        <v>0</v>
      </c>
      <c r="H2060" s="16">
        <f t="shared" si="498"/>
        <v>0</v>
      </c>
      <c r="I2060" s="63">
        <f>IF(E2060=0,0,Fixture!D64)</f>
        <v>1</v>
      </c>
      <c r="J2060" s="63">
        <f>IF(E2060=0,0,Fixture!F64)</f>
        <v>0</v>
      </c>
      <c r="K2060" s="63">
        <f t="shared" si="499"/>
        <v>0</v>
      </c>
      <c r="L2060" s="63">
        <f t="shared" si="500"/>
        <v>1</v>
      </c>
      <c r="N2060" s="10" t="str">
        <f t="shared" si="502"/>
        <v>Columbus6</v>
      </c>
      <c r="O2060" s="10">
        <f t="shared" si="503"/>
        <v>3</v>
      </c>
      <c r="P2060" s="10">
        <f t="shared" si="504"/>
        <v>1</v>
      </c>
      <c r="Q2060" s="10">
        <f t="shared" si="505"/>
        <v>0</v>
      </c>
    </row>
    <row r="2061" spans="1:17">
      <c r="A2061" s="15">
        <f t="shared" si="501"/>
        <v>8</v>
      </c>
      <c r="B2061" s="15"/>
      <c r="C2061" s="14" t="str">
        <f>Fixture!C65</f>
        <v>DC United</v>
      </c>
      <c r="D2061" s="15">
        <f>IF(E2061=0,0,IF(Fixture!D65&lt;Fixture!F65,0,IF(Fixture!F65&lt;Fixture!D65,3,1)))</f>
        <v>0</v>
      </c>
      <c r="E2061" s="16">
        <f>IF(OR(ISBLANK(Fixture!D65),ISBLANK(Fixture!F65),ISTEXT(Fixture!D65),ISTEXT(Fixture!F65)),0,1)</f>
        <v>1</v>
      </c>
      <c r="F2061" s="16">
        <f t="shared" si="496"/>
        <v>0</v>
      </c>
      <c r="G2061" s="16">
        <f t="shared" si="497"/>
        <v>0</v>
      </c>
      <c r="H2061" s="16">
        <f t="shared" si="498"/>
        <v>1</v>
      </c>
      <c r="I2061" s="63">
        <f>IF(E2061=0,0,Fixture!D65)</f>
        <v>0</v>
      </c>
      <c r="J2061" s="63">
        <f>IF(E2061=0,0,Fixture!F65)</f>
        <v>1</v>
      </c>
      <c r="K2061" s="63">
        <f t="shared" si="499"/>
        <v>1</v>
      </c>
      <c r="L2061" s="63">
        <f t="shared" si="500"/>
        <v>0</v>
      </c>
      <c r="N2061" s="10" t="str">
        <f t="shared" si="502"/>
        <v>DC United8</v>
      </c>
      <c r="O2061" s="10">
        <f t="shared" si="503"/>
        <v>0</v>
      </c>
      <c r="P2061" s="10">
        <f t="shared" si="504"/>
        <v>0</v>
      </c>
      <c r="Q2061" s="10">
        <f t="shared" si="505"/>
        <v>1</v>
      </c>
    </row>
    <row r="2062" spans="1:17">
      <c r="A2062" s="15">
        <f t="shared" si="501"/>
        <v>8</v>
      </c>
      <c r="B2062" s="15"/>
      <c r="C2062" s="14" t="str">
        <f>Fixture!C66</f>
        <v>New York Red Bulls</v>
      </c>
      <c r="D2062" s="15">
        <f>IF(E2062=0,0,IF(Fixture!D66&lt;Fixture!F66,0,IF(Fixture!F66&lt;Fixture!D66,3,1)))</f>
        <v>0</v>
      </c>
      <c r="E2062" s="16">
        <f>IF(OR(ISBLANK(Fixture!D66),ISBLANK(Fixture!F66),ISTEXT(Fixture!D66),ISTEXT(Fixture!F66)),0,1)</f>
        <v>1</v>
      </c>
      <c r="F2062" s="16">
        <f t="shared" si="496"/>
        <v>0</v>
      </c>
      <c r="G2062" s="16">
        <f t="shared" si="497"/>
        <v>0</v>
      </c>
      <c r="H2062" s="16">
        <f t="shared" si="498"/>
        <v>1</v>
      </c>
      <c r="I2062" s="63">
        <f>IF(E2062=0,0,Fixture!D66)</f>
        <v>0</v>
      </c>
      <c r="J2062" s="63">
        <f>IF(E2062=0,0,Fixture!F66)</f>
        <v>1</v>
      </c>
      <c r="K2062" s="63">
        <f t="shared" si="499"/>
        <v>1</v>
      </c>
      <c r="L2062" s="63">
        <f t="shared" si="500"/>
        <v>0</v>
      </c>
      <c r="N2062" s="10" t="str">
        <f t="shared" si="502"/>
        <v>New York Red Bulls8</v>
      </c>
      <c r="O2062" s="10">
        <f t="shared" si="503"/>
        <v>0</v>
      </c>
      <c r="P2062" s="10">
        <f t="shared" si="504"/>
        <v>0</v>
      </c>
      <c r="Q2062" s="10">
        <f t="shared" si="505"/>
        <v>1</v>
      </c>
    </row>
    <row r="2063" spans="1:17">
      <c r="A2063" s="15">
        <f t="shared" si="501"/>
        <v>7</v>
      </c>
      <c r="B2063" s="15"/>
      <c r="C2063" s="14" t="str">
        <f>Fixture!C67</f>
        <v>Kansas City</v>
      </c>
      <c r="D2063" s="15">
        <f>IF(E2063=0,0,IF(Fixture!D67&lt;Fixture!F67,0,IF(Fixture!F67&lt;Fixture!D67,3,1)))</f>
        <v>1</v>
      </c>
      <c r="E2063" s="16">
        <f>IF(OR(ISBLANK(Fixture!D67),ISBLANK(Fixture!F67),ISTEXT(Fixture!D67),ISTEXT(Fixture!F67)),0,1)</f>
        <v>1</v>
      </c>
      <c r="F2063" s="16">
        <f t="shared" si="496"/>
        <v>0</v>
      </c>
      <c r="G2063" s="16">
        <f t="shared" si="497"/>
        <v>1</v>
      </c>
      <c r="H2063" s="16">
        <f t="shared" si="498"/>
        <v>0</v>
      </c>
      <c r="I2063" s="63">
        <f>IF(E2063=0,0,Fixture!D67)</f>
        <v>2</v>
      </c>
      <c r="J2063" s="63">
        <f>IF(E2063=0,0,Fixture!F67)</f>
        <v>2</v>
      </c>
      <c r="K2063" s="63">
        <f t="shared" si="499"/>
        <v>0</v>
      </c>
      <c r="L2063" s="63">
        <f t="shared" si="500"/>
        <v>0</v>
      </c>
      <c r="N2063" s="10" t="str">
        <f t="shared" si="502"/>
        <v>Kansas City7</v>
      </c>
      <c r="O2063" s="10">
        <f t="shared" si="503"/>
        <v>1</v>
      </c>
      <c r="P2063" s="10">
        <f t="shared" si="504"/>
        <v>2</v>
      </c>
      <c r="Q2063" s="10">
        <f t="shared" si="505"/>
        <v>2</v>
      </c>
    </row>
    <row r="2064" spans="1:17">
      <c r="A2064" s="15">
        <f t="shared" si="501"/>
        <v>9</v>
      </c>
      <c r="B2064" s="15"/>
      <c r="C2064" s="14" t="str">
        <f>Fixture!C68</f>
        <v>Los Angeles</v>
      </c>
      <c r="D2064" s="15">
        <f>IF(E2064=0,0,IF(Fixture!D68&lt;Fixture!F68,0,IF(Fixture!F68&lt;Fixture!D68,3,1)))</f>
        <v>1</v>
      </c>
      <c r="E2064" s="16">
        <f>IF(OR(ISBLANK(Fixture!D68),ISBLANK(Fixture!F68),ISTEXT(Fixture!D68),ISTEXT(Fixture!F68)),0,1)</f>
        <v>1</v>
      </c>
      <c r="F2064" s="16">
        <f t="shared" si="496"/>
        <v>0</v>
      </c>
      <c r="G2064" s="16">
        <f t="shared" si="497"/>
        <v>1</v>
      </c>
      <c r="H2064" s="16">
        <f t="shared" si="498"/>
        <v>0</v>
      </c>
      <c r="I2064" s="63">
        <f>IF(E2064=0,0,Fixture!D68)</f>
        <v>0</v>
      </c>
      <c r="J2064" s="63">
        <f>IF(E2064=0,0,Fixture!F68)</f>
        <v>0</v>
      </c>
      <c r="K2064" s="63">
        <f t="shared" si="499"/>
        <v>1</v>
      </c>
      <c r="L2064" s="63">
        <f t="shared" si="500"/>
        <v>1</v>
      </c>
      <c r="N2064" s="10" t="str">
        <f t="shared" si="502"/>
        <v>Los Angeles9</v>
      </c>
      <c r="O2064" s="10">
        <f t="shared" si="503"/>
        <v>1</v>
      </c>
      <c r="P2064" s="10">
        <f t="shared" si="504"/>
        <v>0</v>
      </c>
      <c r="Q2064" s="10">
        <f t="shared" si="505"/>
        <v>0</v>
      </c>
    </row>
    <row r="2065" spans="1:17">
      <c r="A2065" s="15">
        <f t="shared" si="501"/>
        <v>9</v>
      </c>
      <c r="B2065" s="15"/>
      <c r="C2065" s="14" t="str">
        <f>Fixture!C69</f>
        <v>New York Red Bulls</v>
      </c>
      <c r="D2065" s="15">
        <f>IF(E2065=0,0,IF(Fixture!D69&lt;Fixture!F69,0,IF(Fixture!F69&lt;Fixture!D69,3,1)))</f>
        <v>0</v>
      </c>
      <c r="E2065" s="16">
        <f>IF(OR(ISBLANK(Fixture!D69),ISBLANK(Fixture!F69),ISTEXT(Fixture!D69),ISTEXT(Fixture!F69)),0,1)</f>
        <v>1</v>
      </c>
      <c r="F2065" s="16">
        <f t="shared" ref="F2065:F2128" si="506">IF(E2065=0,0,IF(D2065&lt;&gt;3,0,1))</f>
        <v>0</v>
      </c>
      <c r="G2065" s="16">
        <f t="shared" ref="G2065:G2128" si="507">IF(E2065=0,0,IF(D2065&lt;&gt;1,0,1))</f>
        <v>0</v>
      </c>
      <c r="H2065" s="16">
        <f t="shared" ref="H2065:H2128" si="508">IF(E2065=0,0,IF(D2065&lt;&gt;0,0,1))</f>
        <v>1</v>
      </c>
      <c r="I2065" s="63">
        <f>IF(E2065=0,0,Fixture!D69)</f>
        <v>1</v>
      </c>
      <c r="J2065" s="63">
        <f>IF(E2065=0,0,Fixture!F69)</f>
        <v>3</v>
      </c>
      <c r="K2065" s="63">
        <f t="shared" ref="K2065:K2128" si="509">IF(E2065=0,0,IF(I2065&gt;0,0,1))</f>
        <v>0</v>
      </c>
      <c r="L2065" s="63">
        <f t="shared" ref="L2065:L2128" si="510">IF(E2065=0,0,IF(J2065&gt;0,0,1))</f>
        <v>0</v>
      </c>
      <c r="N2065" s="10" t="str">
        <f t="shared" si="502"/>
        <v>New York Red Bulls9</v>
      </c>
      <c r="O2065" s="10">
        <f t="shared" si="503"/>
        <v>0</v>
      </c>
      <c r="P2065" s="10">
        <f t="shared" si="504"/>
        <v>1</v>
      </c>
      <c r="Q2065" s="10">
        <f t="shared" si="505"/>
        <v>3</v>
      </c>
    </row>
    <row r="2066" spans="1:17">
      <c r="A2066" s="15">
        <f t="shared" ref="A2066:A2129" si="511">A109</f>
        <v>9</v>
      </c>
      <c r="B2066" s="15"/>
      <c r="C2066" s="14" t="str">
        <f>Fixture!C70</f>
        <v>Dallas</v>
      </c>
      <c r="D2066" s="15">
        <f>IF(E2066=0,0,IF(Fixture!D70&lt;Fixture!F70,0,IF(Fixture!F70&lt;Fixture!D70,3,1)))</f>
        <v>0</v>
      </c>
      <c r="E2066" s="16">
        <f>IF(OR(ISBLANK(Fixture!D70),ISBLANK(Fixture!F70),ISTEXT(Fixture!D70),ISTEXT(Fixture!F70)),0,1)</f>
        <v>1</v>
      </c>
      <c r="F2066" s="16">
        <f t="shared" si="506"/>
        <v>0</v>
      </c>
      <c r="G2066" s="16">
        <f t="shared" si="507"/>
        <v>0</v>
      </c>
      <c r="H2066" s="16">
        <f t="shared" si="508"/>
        <v>1</v>
      </c>
      <c r="I2066" s="63">
        <f>IF(E2066=0,0,Fixture!D70)</f>
        <v>0</v>
      </c>
      <c r="J2066" s="63">
        <f>IF(E2066=0,0,Fixture!F70)</f>
        <v>1</v>
      </c>
      <c r="K2066" s="63">
        <f t="shared" si="509"/>
        <v>1</v>
      </c>
      <c r="L2066" s="63">
        <f t="shared" si="510"/>
        <v>0</v>
      </c>
      <c r="N2066" s="10" t="str">
        <f t="shared" ref="N2066:N2129" si="512">CONCATENATE(C2066,A2066)</f>
        <v>Dallas9</v>
      </c>
      <c r="O2066" s="10">
        <f t="shared" ref="O2066:O2129" si="513">D2066</f>
        <v>0</v>
      </c>
      <c r="P2066" s="10">
        <f t="shared" ref="P2066:P2129" si="514">I2066</f>
        <v>0</v>
      </c>
      <c r="Q2066" s="10">
        <f t="shared" ref="Q2066:Q2129" si="515">J2066</f>
        <v>1</v>
      </c>
    </row>
    <row r="2067" spans="1:17">
      <c r="A2067" s="15">
        <f t="shared" si="511"/>
        <v>9</v>
      </c>
      <c r="B2067" s="15"/>
      <c r="C2067" s="14" t="str">
        <f>Fixture!C71</f>
        <v>Toronto FC</v>
      </c>
      <c r="D2067" s="15">
        <f>IF(E2067=0,0,IF(Fixture!D71&lt;Fixture!F71,0,IF(Fixture!F71&lt;Fixture!D71,3,1)))</f>
        <v>3</v>
      </c>
      <c r="E2067" s="16">
        <f>IF(OR(ISBLANK(Fixture!D71),ISBLANK(Fixture!F71),ISTEXT(Fixture!D71),ISTEXT(Fixture!F71)),0,1)</f>
        <v>1</v>
      </c>
      <c r="F2067" s="16">
        <f t="shared" si="506"/>
        <v>1</v>
      </c>
      <c r="G2067" s="16">
        <f t="shared" si="507"/>
        <v>0</v>
      </c>
      <c r="H2067" s="16">
        <f t="shared" si="508"/>
        <v>0</v>
      </c>
      <c r="I2067" s="63">
        <f>IF(E2067=0,0,Fixture!D71)</f>
        <v>1</v>
      </c>
      <c r="J2067" s="63">
        <f>IF(E2067=0,0,Fixture!F71)</f>
        <v>0</v>
      </c>
      <c r="K2067" s="63">
        <f t="shared" si="509"/>
        <v>0</v>
      </c>
      <c r="L2067" s="63">
        <f t="shared" si="510"/>
        <v>1</v>
      </c>
      <c r="N2067" s="10" t="str">
        <f t="shared" si="512"/>
        <v>Toronto FC9</v>
      </c>
      <c r="O2067" s="10">
        <f t="shared" si="513"/>
        <v>3</v>
      </c>
      <c r="P2067" s="10">
        <f t="shared" si="514"/>
        <v>1</v>
      </c>
      <c r="Q2067" s="10">
        <f t="shared" si="515"/>
        <v>0</v>
      </c>
    </row>
    <row r="2068" spans="1:17">
      <c r="A2068" s="15">
        <f t="shared" si="511"/>
        <v>10</v>
      </c>
      <c r="B2068" s="15"/>
      <c r="C2068" s="14" t="str">
        <f>Fixture!C72</f>
        <v>Seattle Sounders FC</v>
      </c>
      <c r="D2068" s="15">
        <f>IF(E2068=0,0,IF(Fixture!D72&lt;Fixture!F72,0,IF(Fixture!F72&lt;Fixture!D72,3,1)))</f>
        <v>0</v>
      </c>
      <c r="E2068" s="16">
        <f>IF(OR(ISBLANK(Fixture!D72),ISBLANK(Fixture!F72),ISTEXT(Fixture!D72),ISTEXT(Fixture!F72)),0,1)</f>
        <v>1</v>
      </c>
      <c r="F2068" s="16">
        <f t="shared" si="506"/>
        <v>0</v>
      </c>
      <c r="G2068" s="16">
        <f t="shared" si="507"/>
        <v>0</v>
      </c>
      <c r="H2068" s="16">
        <f t="shared" si="508"/>
        <v>1</v>
      </c>
      <c r="I2068" s="63">
        <f>IF(E2068=0,0,Fixture!D72)</f>
        <v>0</v>
      </c>
      <c r="J2068" s="63">
        <f>IF(E2068=0,0,Fixture!F72)</f>
        <v>1</v>
      </c>
      <c r="K2068" s="63">
        <f t="shared" si="509"/>
        <v>1</v>
      </c>
      <c r="L2068" s="63">
        <f t="shared" si="510"/>
        <v>0</v>
      </c>
      <c r="N2068" s="10" t="str">
        <f t="shared" si="512"/>
        <v>Seattle Sounders FC10</v>
      </c>
      <c r="O2068" s="10">
        <f t="shared" si="513"/>
        <v>0</v>
      </c>
      <c r="P2068" s="10">
        <f t="shared" si="514"/>
        <v>0</v>
      </c>
      <c r="Q2068" s="10">
        <f t="shared" si="515"/>
        <v>1</v>
      </c>
    </row>
    <row r="2069" spans="1:17">
      <c r="A2069" s="15">
        <f t="shared" si="511"/>
        <v>10</v>
      </c>
      <c r="B2069" s="15"/>
      <c r="C2069" s="14" t="str">
        <f>Fixture!C73</f>
        <v>Houston</v>
      </c>
      <c r="D2069" s="15">
        <f>IF(E2069=0,0,IF(Fixture!D73&lt;Fixture!F73,0,IF(Fixture!F73&lt;Fixture!D73,3,1)))</f>
        <v>3</v>
      </c>
      <c r="E2069" s="16">
        <f>IF(OR(ISBLANK(Fixture!D73),ISBLANK(Fixture!F73),ISTEXT(Fixture!D73),ISTEXT(Fixture!F73)),0,1)</f>
        <v>1</v>
      </c>
      <c r="F2069" s="16">
        <f t="shared" si="506"/>
        <v>1</v>
      </c>
      <c r="G2069" s="16">
        <f t="shared" si="507"/>
        <v>0</v>
      </c>
      <c r="H2069" s="16">
        <f t="shared" si="508"/>
        <v>0</v>
      </c>
      <c r="I2069" s="63">
        <f>IF(E2069=0,0,Fixture!D73)</f>
        <v>2</v>
      </c>
      <c r="J2069" s="63">
        <f>IF(E2069=0,0,Fixture!F73)</f>
        <v>0</v>
      </c>
      <c r="K2069" s="63">
        <f t="shared" si="509"/>
        <v>0</v>
      </c>
      <c r="L2069" s="63">
        <f t="shared" si="510"/>
        <v>1</v>
      </c>
      <c r="N2069" s="10" t="str">
        <f t="shared" si="512"/>
        <v>Houston10</v>
      </c>
      <c r="O2069" s="10">
        <f t="shared" si="513"/>
        <v>3</v>
      </c>
      <c r="P2069" s="10">
        <f t="shared" si="514"/>
        <v>2</v>
      </c>
      <c r="Q2069" s="10">
        <f t="shared" si="515"/>
        <v>0</v>
      </c>
    </row>
    <row r="2070" spans="1:17">
      <c r="A2070" s="15">
        <f t="shared" si="511"/>
        <v>10</v>
      </c>
      <c r="B2070" s="15"/>
      <c r="C2070" s="14" t="str">
        <f>Fixture!C74</f>
        <v>Chivas USA</v>
      </c>
      <c r="D2070" s="15">
        <f>IF(E2070=0,0,IF(Fixture!D74&lt;Fixture!F74,0,IF(Fixture!F74&lt;Fixture!D74,3,1)))</f>
        <v>0</v>
      </c>
      <c r="E2070" s="16">
        <f>IF(OR(ISBLANK(Fixture!D74),ISBLANK(Fixture!F74),ISTEXT(Fixture!D74),ISTEXT(Fixture!F74)),0,1)</f>
        <v>1</v>
      </c>
      <c r="F2070" s="16">
        <f t="shared" si="506"/>
        <v>0</v>
      </c>
      <c r="G2070" s="16">
        <f t="shared" si="507"/>
        <v>0</v>
      </c>
      <c r="H2070" s="16">
        <f t="shared" si="508"/>
        <v>1</v>
      </c>
      <c r="I2070" s="63">
        <f>IF(E2070=0,0,Fixture!D74)</f>
        <v>1</v>
      </c>
      <c r="J2070" s="63">
        <f>IF(E2070=0,0,Fixture!F74)</f>
        <v>2</v>
      </c>
      <c r="K2070" s="63">
        <f t="shared" si="509"/>
        <v>0</v>
      </c>
      <c r="L2070" s="63">
        <f t="shared" si="510"/>
        <v>0</v>
      </c>
      <c r="N2070" s="10" t="str">
        <f t="shared" si="512"/>
        <v>Chivas USA10</v>
      </c>
      <c r="O2070" s="10">
        <f t="shared" si="513"/>
        <v>0</v>
      </c>
      <c r="P2070" s="10">
        <f t="shared" si="514"/>
        <v>1</v>
      </c>
      <c r="Q2070" s="10">
        <f t="shared" si="515"/>
        <v>2</v>
      </c>
    </row>
    <row r="2071" spans="1:17">
      <c r="A2071" s="15">
        <f t="shared" si="511"/>
        <v>8</v>
      </c>
      <c r="B2071" s="15"/>
      <c r="C2071" s="14" t="str">
        <f>Fixture!C75</f>
        <v>Kansas City</v>
      </c>
      <c r="D2071" s="15">
        <f>IF(E2071=0,0,IF(Fixture!D75&lt;Fixture!F75,0,IF(Fixture!F75&lt;Fixture!D75,3,1)))</f>
        <v>0</v>
      </c>
      <c r="E2071" s="16">
        <f>IF(OR(ISBLANK(Fixture!D75),ISBLANK(Fixture!F75),ISTEXT(Fixture!D75),ISTEXT(Fixture!F75)),0,1)</f>
        <v>1</v>
      </c>
      <c r="F2071" s="16">
        <f t="shared" si="506"/>
        <v>0</v>
      </c>
      <c r="G2071" s="16">
        <f t="shared" si="507"/>
        <v>0</v>
      </c>
      <c r="H2071" s="16">
        <f t="shared" si="508"/>
        <v>1</v>
      </c>
      <c r="I2071" s="63">
        <f>IF(E2071=0,0,Fixture!D75)</f>
        <v>0</v>
      </c>
      <c r="J2071" s="63">
        <f>IF(E2071=0,0,Fixture!F75)</f>
        <v>1</v>
      </c>
      <c r="K2071" s="63">
        <f t="shared" si="509"/>
        <v>1</v>
      </c>
      <c r="L2071" s="63">
        <f t="shared" si="510"/>
        <v>0</v>
      </c>
      <c r="N2071" s="10" t="str">
        <f t="shared" si="512"/>
        <v>Kansas City8</v>
      </c>
      <c r="O2071" s="10">
        <f t="shared" si="513"/>
        <v>0</v>
      </c>
      <c r="P2071" s="10">
        <f t="shared" si="514"/>
        <v>0</v>
      </c>
      <c r="Q2071" s="10">
        <f t="shared" si="515"/>
        <v>1</v>
      </c>
    </row>
    <row r="2072" spans="1:17">
      <c r="A2072" s="15">
        <f t="shared" si="511"/>
        <v>9</v>
      </c>
      <c r="B2072" s="15"/>
      <c r="C2072" s="14" t="str">
        <f>Fixture!C76</f>
        <v>Chicago</v>
      </c>
      <c r="D2072" s="15">
        <f>IF(E2072=0,0,IF(Fixture!D76&lt;Fixture!F76,0,IF(Fixture!F76&lt;Fixture!D76,3,1)))</f>
        <v>1</v>
      </c>
      <c r="E2072" s="16">
        <f>IF(OR(ISBLANK(Fixture!D76),ISBLANK(Fixture!F76),ISTEXT(Fixture!D76),ISTEXT(Fixture!F76)),0,1)</f>
        <v>1</v>
      </c>
      <c r="F2072" s="16">
        <f t="shared" si="506"/>
        <v>0</v>
      </c>
      <c r="G2072" s="16">
        <f t="shared" si="507"/>
        <v>1</v>
      </c>
      <c r="H2072" s="16">
        <f t="shared" si="508"/>
        <v>0</v>
      </c>
      <c r="I2072" s="63">
        <f>IF(E2072=0,0,Fixture!D76)</f>
        <v>1</v>
      </c>
      <c r="J2072" s="63">
        <f>IF(E2072=0,0,Fixture!F76)</f>
        <v>1</v>
      </c>
      <c r="K2072" s="63">
        <f t="shared" si="509"/>
        <v>0</v>
      </c>
      <c r="L2072" s="63">
        <f t="shared" si="510"/>
        <v>0</v>
      </c>
      <c r="N2072" s="10" t="str">
        <f t="shared" si="512"/>
        <v>Chicago9</v>
      </c>
      <c r="O2072" s="10">
        <f t="shared" si="513"/>
        <v>1</v>
      </c>
      <c r="P2072" s="10">
        <f t="shared" si="514"/>
        <v>1</v>
      </c>
      <c r="Q2072" s="10">
        <f t="shared" si="515"/>
        <v>1</v>
      </c>
    </row>
    <row r="2073" spans="1:17">
      <c r="A2073" s="15">
        <f t="shared" si="511"/>
        <v>9</v>
      </c>
      <c r="B2073" s="15"/>
      <c r="C2073" s="14" t="str">
        <f>Fixture!C77</f>
        <v>Columbus</v>
      </c>
      <c r="D2073" s="15">
        <f>IF(E2073=0,0,IF(Fixture!D77&lt;Fixture!F77,0,IF(Fixture!F77&lt;Fixture!D77,3,1)))</f>
        <v>0</v>
      </c>
      <c r="E2073" s="16">
        <f>IF(OR(ISBLANK(Fixture!D77),ISBLANK(Fixture!F77),ISTEXT(Fixture!D77),ISTEXT(Fixture!F77)),0,1)</f>
        <v>1</v>
      </c>
      <c r="F2073" s="16">
        <f t="shared" si="506"/>
        <v>0</v>
      </c>
      <c r="G2073" s="16">
        <f t="shared" si="507"/>
        <v>0</v>
      </c>
      <c r="H2073" s="16">
        <f t="shared" si="508"/>
        <v>1</v>
      </c>
      <c r="I2073" s="63">
        <f>IF(E2073=0,0,Fixture!D77)</f>
        <v>0</v>
      </c>
      <c r="J2073" s="63">
        <f>IF(E2073=0,0,Fixture!F77)</f>
        <v>2</v>
      </c>
      <c r="K2073" s="63">
        <f t="shared" si="509"/>
        <v>1</v>
      </c>
      <c r="L2073" s="63">
        <f t="shared" si="510"/>
        <v>0</v>
      </c>
      <c r="N2073" s="10" t="str">
        <f t="shared" si="512"/>
        <v>Columbus9</v>
      </c>
      <c r="O2073" s="10">
        <f t="shared" si="513"/>
        <v>0</v>
      </c>
      <c r="P2073" s="10">
        <f t="shared" si="514"/>
        <v>0</v>
      </c>
      <c r="Q2073" s="10">
        <f t="shared" si="515"/>
        <v>2</v>
      </c>
    </row>
    <row r="2074" spans="1:17">
      <c r="A2074" s="15">
        <f t="shared" si="511"/>
        <v>10</v>
      </c>
      <c r="B2074" s="15"/>
      <c r="C2074" s="14" t="str">
        <f>Fixture!C78</f>
        <v>DC United</v>
      </c>
      <c r="D2074" s="15">
        <f>IF(E2074=0,0,IF(Fixture!D78&lt;Fixture!F78,0,IF(Fixture!F78&lt;Fixture!D78,3,1)))</f>
        <v>3</v>
      </c>
      <c r="E2074" s="16">
        <f>IF(OR(ISBLANK(Fixture!D78),ISBLANK(Fixture!F78),ISTEXT(Fixture!D78),ISTEXT(Fixture!F78)),0,1)</f>
        <v>1</v>
      </c>
      <c r="F2074" s="16">
        <f t="shared" si="506"/>
        <v>1</v>
      </c>
      <c r="G2074" s="16">
        <f t="shared" si="507"/>
        <v>0</v>
      </c>
      <c r="H2074" s="16">
        <f t="shared" si="508"/>
        <v>0</v>
      </c>
      <c r="I2074" s="63">
        <f>IF(E2074=0,0,Fixture!D78)</f>
        <v>3</v>
      </c>
      <c r="J2074" s="63">
        <f>IF(E2074=0,0,Fixture!F78)</f>
        <v>2</v>
      </c>
      <c r="K2074" s="63">
        <f t="shared" si="509"/>
        <v>0</v>
      </c>
      <c r="L2074" s="63">
        <f t="shared" si="510"/>
        <v>0</v>
      </c>
      <c r="N2074" s="10" t="str">
        <f t="shared" si="512"/>
        <v>DC United10</v>
      </c>
      <c r="O2074" s="10">
        <f t="shared" si="513"/>
        <v>3</v>
      </c>
      <c r="P2074" s="10">
        <f t="shared" si="514"/>
        <v>3</v>
      </c>
      <c r="Q2074" s="10">
        <f t="shared" si="515"/>
        <v>2</v>
      </c>
    </row>
    <row r="2075" spans="1:17">
      <c r="A2075" s="15">
        <f t="shared" si="511"/>
        <v>11</v>
      </c>
      <c r="B2075" s="15"/>
      <c r="C2075" s="14" t="str">
        <f>Fixture!C79</f>
        <v>New England</v>
      </c>
      <c r="D2075" s="15">
        <f>IF(E2075=0,0,IF(Fixture!D79&lt;Fixture!F79,0,IF(Fixture!F79&lt;Fixture!D79,3,1)))</f>
        <v>3</v>
      </c>
      <c r="E2075" s="16">
        <f>IF(OR(ISBLANK(Fixture!D79),ISBLANK(Fixture!F79),ISTEXT(Fixture!D79),ISTEXT(Fixture!F79)),0,1)</f>
        <v>1</v>
      </c>
      <c r="F2075" s="16">
        <f t="shared" si="506"/>
        <v>1</v>
      </c>
      <c r="G2075" s="16">
        <f t="shared" si="507"/>
        <v>0</v>
      </c>
      <c r="H2075" s="16">
        <f t="shared" si="508"/>
        <v>0</v>
      </c>
      <c r="I2075" s="63">
        <f>IF(E2075=0,0,Fixture!D79)</f>
        <v>3</v>
      </c>
      <c r="J2075" s="63">
        <f>IF(E2075=0,0,Fixture!F79)</f>
        <v>2</v>
      </c>
      <c r="K2075" s="63">
        <f t="shared" si="509"/>
        <v>0</v>
      </c>
      <c r="L2075" s="63">
        <f t="shared" si="510"/>
        <v>0</v>
      </c>
      <c r="N2075" s="10" t="str">
        <f t="shared" si="512"/>
        <v>New England11</v>
      </c>
      <c r="O2075" s="10">
        <f t="shared" si="513"/>
        <v>3</v>
      </c>
      <c r="P2075" s="10">
        <f t="shared" si="514"/>
        <v>3</v>
      </c>
      <c r="Q2075" s="10">
        <f t="shared" si="515"/>
        <v>2</v>
      </c>
    </row>
    <row r="2076" spans="1:17">
      <c r="A2076" s="15">
        <f t="shared" si="511"/>
        <v>11</v>
      </c>
      <c r="B2076" s="15"/>
      <c r="C2076" s="14" t="str">
        <f>Fixture!C80</f>
        <v>Houston</v>
      </c>
      <c r="D2076" s="15">
        <f>IF(E2076=0,0,IF(Fixture!D80&lt;Fixture!F80,0,IF(Fixture!F80&lt;Fixture!D80,3,1)))</f>
        <v>0</v>
      </c>
      <c r="E2076" s="16">
        <f>IF(OR(ISBLANK(Fixture!D80),ISBLANK(Fixture!F80),ISTEXT(Fixture!D80),ISTEXT(Fixture!F80)),0,1)</f>
        <v>1</v>
      </c>
      <c r="F2076" s="16">
        <f t="shared" si="506"/>
        <v>0</v>
      </c>
      <c r="G2076" s="16">
        <f t="shared" si="507"/>
        <v>0</v>
      </c>
      <c r="H2076" s="16">
        <f t="shared" si="508"/>
        <v>1</v>
      </c>
      <c r="I2076" s="63">
        <f>IF(E2076=0,0,Fixture!D80)</f>
        <v>1</v>
      </c>
      <c r="J2076" s="63">
        <f>IF(E2076=0,0,Fixture!F80)</f>
        <v>3</v>
      </c>
      <c r="K2076" s="63">
        <f t="shared" si="509"/>
        <v>0</v>
      </c>
      <c r="L2076" s="63">
        <f t="shared" si="510"/>
        <v>0</v>
      </c>
      <c r="N2076" s="10" t="str">
        <f t="shared" si="512"/>
        <v>Houston11</v>
      </c>
      <c r="O2076" s="10">
        <f t="shared" si="513"/>
        <v>0</v>
      </c>
      <c r="P2076" s="10">
        <f t="shared" si="514"/>
        <v>1</v>
      </c>
      <c r="Q2076" s="10">
        <f t="shared" si="515"/>
        <v>3</v>
      </c>
    </row>
    <row r="2077" spans="1:17">
      <c r="A2077" s="15">
        <f t="shared" si="511"/>
        <v>9</v>
      </c>
      <c r="B2077" s="15"/>
      <c r="C2077" s="14" t="str">
        <f>Fixture!C81</f>
        <v>Colorado</v>
      </c>
      <c r="D2077" s="15">
        <f>IF(E2077=0,0,IF(Fixture!D81&lt;Fixture!F81,0,IF(Fixture!F81&lt;Fixture!D81,3,1)))</f>
        <v>3</v>
      </c>
      <c r="E2077" s="16">
        <f>IF(OR(ISBLANK(Fixture!D81),ISBLANK(Fixture!F81),ISTEXT(Fixture!D81),ISTEXT(Fixture!F81)),0,1)</f>
        <v>1</v>
      </c>
      <c r="F2077" s="16">
        <f t="shared" si="506"/>
        <v>1</v>
      </c>
      <c r="G2077" s="16">
        <f t="shared" si="507"/>
        <v>0</v>
      </c>
      <c r="H2077" s="16">
        <f t="shared" si="508"/>
        <v>0</v>
      </c>
      <c r="I2077" s="63">
        <f>IF(E2077=0,0,Fixture!D81)</f>
        <v>1</v>
      </c>
      <c r="J2077" s="63">
        <f>IF(E2077=0,0,Fixture!F81)</f>
        <v>0</v>
      </c>
      <c r="K2077" s="63">
        <f t="shared" si="509"/>
        <v>0</v>
      </c>
      <c r="L2077" s="63">
        <f t="shared" si="510"/>
        <v>1</v>
      </c>
      <c r="N2077" s="10" t="str">
        <f t="shared" si="512"/>
        <v>Colorado9</v>
      </c>
      <c r="O2077" s="10">
        <f t="shared" si="513"/>
        <v>3</v>
      </c>
      <c r="P2077" s="10">
        <f t="shared" si="514"/>
        <v>1</v>
      </c>
      <c r="Q2077" s="10">
        <f t="shared" si="515"/>
        <v>0</v>
      </c>
    </row>
    <row r="2078" spans="1:17">
      <c r="A2078" s="15">
        <f t="shared" si="511"/>
        <v>10</v>
      </c>
      <c r="B2078" s="15"/>
      <c r="C2078" s="14" t="str">
        <f>Fixture!C82</f>
        <v>Real Salt Lake</v>
      </c>
      <c r="D2078" s="15">
        <f>IF(E2078=0,0,IF(Fixture!D82&lt;Fixture!F82,0,IF(Fixture!F82&lt;Fixture!D82,3,1)))</f>
        <v>3</v>
      </c>
      <c r="E2078" s="16">
        <f>IF(OR(ISBLANK(Fixture!D82),ISBLANK(Fixture!F82),ISTEXT(Fixture!D82),ISTEXT(Fixture!F82)),0,1)</f>
        <v>1</v>
      </c>
      <c r="F2078" s="16">
        <f t="shared" si="506"/>
        <v>1</v>
      </c>
      <c r="G2078" s="16">
        <f t="shared" si="507"/>
        <v>0</v>
      </c>
      <c r="H2078" s="16">
        <f t="shared" si="508"/>
        <v>0</v>
      </c>
      <c r="I2078" s="63">
        <f>IF(E2078=0,0,Fixture!D82)</f>
        <v>4</v>
      </c>
      <c r="J2078" s="63">
        <f>IF(E2078=0,0,Fixture!F82)</f>
        <v>1</v>
      </c>
      <c r="K2078" s="63">
        <f t="shared" si="509"/>
        <v>0</v>
      </c>
      <c r="L2078" s="63">
        <f t="shared" si="510"/>
        <v>0</v>
      </c>
      <c r="N2078" s="10" t="str">
        <f t="shared" si="512"/>
        <v>Real Salt Lake10</v>
      </c>
      <c r="O2078" s="10">
        <f t="shared" si="513"/>
        <v>3</v>
      </c>
      <c r="P2078" s="10">
        <f t="shared" si="514"/>
        <v>4</v>
      </c>
      <c r="Q2078" s="10">
        <f t="shared" si="515"/>
        <v>1</v>
      </c>
    </row>
    <row r="2079" spans="1:17">
      <c r="A2079" s="15">
        <f t="shared" si="511"/>
        <v>9</v>
      </c>
      <c r="B2079" s="15"/>
      <c r="C2079" s="14" t="str">
        <f>Fixture!C83</f>
        <v>San Jose</v>
      </c>
      <c r="D2079" s="15">
        <f>IF(E2079=0,0,IF(Fixture!D83&lt;Fixture!F83,0,IF(Fixture!F83&lt;Fixture!D83,3,1)))</f>
        <v>0</v>
      </c>
      <c r="E2079" s="16">
        <f>IF(OR(ISBLANK(Fixture!D83),ISBLANK(Fixture!F83),ISTEXT(Fixture!D83),ISTEXT(Fixture!F83)),0,1)</f>
        <v>1</v>
      </c>
      <c r="F2079" s="16">
        <f t="shared" si="506"/>
        <v>0</v>
      </c>
      <c r="G2079" s="16">
        <f t="shared" si="507"/>
        <v>0</v>
      </c>
      <c r="H2079" s="16">
        <f t="shared" si="508"/>
        <v>1</v>
      </c>
      <c r="I2079" s="63">
        <f>IF(E2079=0,0,Fixture!D83)</f>
        <v>1</v>
      </c>
      <c r="J2079" s="63">
        <f>IF(E2079=0,0,Fixture!F83)</f>
        <v>3</v>
      </c>
      <c r="K2079" s="63">
        <f t="shared" si="509"/>
        <v>0</v>
      </c>
      <c r="L2079" s="63">
        <f t="shared" si="510"/>
        <v>0</v>
      </c>
      <c r="N2079" s="10" t="str">
        <f t="shared" si="512"/>
        <v>San Jose9</v>
      </c>
      <c r="O2079" s="10">
        <f t="shared" si="513"/>
        <v>0</v>
      </c>
      <c r="P2079" s="10">
        <f t="shared" si="514"/>
        <v>1</v>
      </c>
      <c r="Q2079" s="10">
        <f t="shared" si="515"/>
        <v>3</v>
      </c>
    </row>
    <row r="2080" spans="1:17">
      <c r="A2080" s="15">
        <f t="shared" si="511"/>
        <v>11</v>
      </c>
      <c r="B2080" s="15"/>
      <c r="C2080" s="14" t="str">
        <f>Fixture!C84</f>
        <v>New York Red Bulls</v>
      </c>
      <c r="D2080" s="15">
        <f>IF(E2080=0,0,IF(Fixture!D84&lt;Fixture!F84,0,IF(Fixture!F84&lt;Fixture!D84,3,1)))</f>
        <v>3</v>
      </c>
      <c r="E2080" s="16">
        <f>IF(OR(ISBLANK(Fixture!D84),ISBLANK(Fixture!F84),ISTEXT(Fixture!D84),ISTEXT(Fixture!F84)),0,1)</f>
        <v>1</v>
      </c>
      <c r="F2080" s="16">
        <f t="shared" si="506"/>
        <v>1</v>
      </c>
      <c r="G2080" s="16">
        <f t="shared" si="507"/>
        <v>0</v>
      </c>
      <c r="H2080" s="16">
        <f t="shared" si="508"/>
        <v>0</v>
      </c>
      <c r="I2080" s="63">
        <f>IF(E2080=0,0,Fixture!D84)</f>
        <v>2</v>
      </c>
      <c r="J2080" s="63">
        <f>IF(E2080=0,0,Fixture!F84)</f>
        <v>1</v>
      </c>
      <c r="K2080" s="63">
        <f t="shared" si="509"/>
        <v>0</v>
      </c>
      <c r="L2080" s="63">
        <f t="shared" si="510"/>
        <v>0</v>
      </c>
      <c r="N2080" s="10" t="str">
        <f t="shared" si="512"/>
        <v>New York Red Bulls11</v>
      </c>
      <c r="O2080" s="10">
        <f t="shared" si="513"/>
        <v>3</v>
      </c>
      <c r="P2080" s="10">
        <f t="shared" si="514"/>
        <v>2</v>
      </c>
      <c r="Q2080" s="10">
        <f t="shared" si="515"/>
        <v>1</v>
      </c>
    </row>
    <row r="2081" spans="1:17">
      <c r="A2081" s="15">
        <f t="shared" si="511"/>
        <v>10</v>
      </c>
      <c r="B2081" s="15"/>
      <c r="C2081" s="14" t="str">
        <f>Fixture!C85</f>
        <v>San Jose</v>
      </c>
      <c r="D2081" s="15">
        <f>IF(E2081=0,0,IF(Fixture!D85&lt;Fixture!F85,0,IF(Fixture!F85&lt;Fixture!D85,3,1)))</f>
        <v>1</v>
      </c>
      <c r="E2081" s="16">
        <f>IF(OR(ISBLANK(Fixture!D85),ISBLANK(Fixture!F85),ISTEXT(Fixture!D85),ISTEXT(Fixture!F85)),0,1)</f>
        <v>1</v>
      </c>
      <c r="F2081" s="16">
        <f t="shared" si="506"/>
        <v>0</v>
      </c>
      <c r="G2081" s="16">
        <f t="shared" si="507"/>
        <v>1</v>
      </c>
      <c r="H2081" s="16">
        <f t="shared" si="508"/>
        <v>0</v>
      </c>
      <c r="I2081" s="63">
        <f>IF(E2081=0,0,Fixture!D85)</f>
        <v>2</v>
      </c>
      <c r="J2081" s="63">
        <f>IF(E2081=0,0,Fixture!F85)</f>
        <v>2</v>
      </c>
      <c r="K2081" s="63">
        <f t="shared" si="509"/>
        <v>0</v>
      </c>
      <c r="L2081" s="63">
        <f t="shared" si="510"/>
        <v>0</v>
      </c>
      <c r="N2081" s="10" t="str">
        <f t="shared" si="512"/>
        <v>San Jose10</v>
      </c>
      <c r="O2081" s="10">
        <f t="shared" si="513"/>
        <v>1</v>
      </c>
      <c r="P2081" s="10">
        <f t="shared" si="514"/>
        <v>2</v>
      </c>
      <c r="Q2081" s="10">
        <f t="shared" si="515"/>
        <v>2</v>
      </c>
    </row>
    <row r="2082" spans="1:17">
      <c r="A2082" s="15">
        <f t="shared" si="511"/>
        <v>11</v>
      </c>
      <c r="B2082" s="15"/>
      <c r="C2082" s="14" t="str">
        <f>Fixture!C86</f>
        <v>Toronto FC</v>
      </c>
      <c r="D2082" s="15">
        <f>IF(E2082=0,0,IF(Fixture!D86&lt;Fixture!F86,0,IF(Fixture!F86&lt;Fixture!D86,3,1)))</f>
        <v>1</v>
      </c>
      <c r="E2082" s="16">
        <f>IF(OR(ISBLANK(Fixture!D86),ISBLANK(Fixture!F86),ISTEXT(Fixture!D86),ISTEXT(Fixture!F86)),0,1)</f>
        <v>1</v>
      </c>
      <c r="F2082" s="16">
        <f t="shared" si="506"/>
        <v>0</v>
      </c>
      <c r="G2082" s="16">
        <f t="shared" si="507"/>
        <v>1</v>
      </c>
      <c r="H2082" s="16">
        <f t="shared" si="508"/>
        <v>0</v>
      </c>
      <c r="I2082" s="63">
        <f>IF(E2082=0,0,Fixture!D86)</f>
        <v>0</v>
      </c>
      <c r="J2082" s="63">
        <f>IF(E2082=0,0,Fixture!F86)</f>
        <v>0</v>
      </c>
      <c r="K2082" s="63">
        <f t="shared" si="509"/>
        <v>1</v>
      </c>
      <c r="L2082" s="63">
        <f t="shared" si="510"/>
        <v>1</v>
      </c>
      <c r="N2082" s="10" t="str">
        <f t="shared" si="512"/>
        <v>Toronto FC11</v>
      </c>
      <c r="O2082" s="10">
        <f t="shared" si="513"/>
        <v>1</v>
      </c>
      <c r="P2082" s="10">
        <f t="shared" si="514"/>
        <v>0</v>
      </c>
      <c r="Q2082" s="10">
        <f t="shared" si="515"/>
        <v>0</v>
      </c>
    </row>
    <row r="2083" spans="1:17">
      <c r="A2083" s="15">
        <f t="shared" si="511"/>
        <v>11</v>
      </c>
      <c r="B2083" s="15"/>
      <c r="C2083" s="14" t="str">
        <f>Fixture!C87</f>
        <v>DC United</v>
      </c>
      <c r="D2083" s="15">
        <f>IF(E2083=0,0,IF(Fixture!D87&lt;Fixture!F87,0,IF(Fixture!F87&lt;Fixture!D87,3,1)))</f>
        <v>1</v>
      </c>
      <c r="E2083" s="16">
        <f>IF(OR(ISBLANK(Fixture!D87),ISBLANK(Fixture!F87),ISTEXT(Fixture!D87),ISTEXT(Fixture!F87)),0,1)</f>
        <v>1</v>
      </c>
      <c r="F2083" s="16">
        <f t="shared" si="506"/>
        <v>0</v>
      </c>
      <c r="G2083" s="16">
        <f t="shared" si="507"/>
        <v>1</v>
      </c>
      <c r="H2083" s="16">
        <f t="shared" si="508"/>
        <v>0</v>
      </c>
      <c r="I2083" s="63">
        <f>IF(E2083=0,0,Fixture!D87)</f>
        <v>0</v>
      </c>
      <c r="J2083" s="63">
        <f>IF(E2083=0,0,Fixture!F87)</f>
        <v>0</v>
      </c>
      <c r="K2083" s="63">
        <f t="shared" si="509"/>
        <v>1</v>
      </c>
      <c r="L2083" s="63">
        <f t="shared" si="510"/>
        <v>1</v>
      </c>
      <c r="N2083" s="10" t="str">
        <f t="shared" si="512"/>
        <v>DC United11</v>
      </c>
      <c r="O2083" s="10">
        <f t="shared" si="513"/>
        <v>1</v>
      </c>
      <c r="P2083" s="10">
        <f t="shared" si="514"/>
        <v>0</v>
      </c>
      <c r="Q2083" s="10">
        <f t="shared" si="515"/>
        <v>0</v>
      </c>
    </row>
    <row r="2084" spans="1:17">
      <c r="A2084" s="15">
        <f t="shared" si="511"/>
        <v>12</v>
      </c>
      <c r="B2084" s="15"/>
      <c r="C2084" s="14" t="str">
        <f>Fixture!C88</f>
        <v>New York Red Bulls</v>
      </c>
      <c r="D2084" s="15">
        <f>IF(E2084=0,0,IF(Fixture!D88&lt;Fixture!F88,0,IF(Fixture!F88&lt;Fixture!D88,3,1)))</f>
        <v>3</v>
      </c>
      <c r="E2084" s="16">
        <f>IF(OR(ISBLANK(Fixture!D88),ISBLANK(Fixture!F88),ISTEXT(Fixture!D88),ISTEXT(Fixture!F88)),0,1)</f>
        <v>1</v>
      </c>
      <c r="F2084" s="16">
        <f t="shared" si="506"/>
        <v>1</v>
      </c>
      <c r="G2084" s="16">
        <f t="shared" si="507"/>
        <v>0</v>
      </c>
      <c r="H2084" s="16">
        <f t="shared" si="508"/>
        <v>0</v>
      </c>
      <c r="I2084" s="63">
        <f>IF(E2084=0,0,Fixture!D88)</f>
        <v>1</v>
      </c>
      <c r="J2084" s="63">
        <f>IF(E2084=0,0,Fixture!F88)</f>
        <v>0</v>
      </c>
      <c r="K2084" s="63">
        <f t="shared" si="509"/>
        <v>0</v>
      </c>
      <c r="L2084" s="63">
        <f t="shared" si="510"/>
        <v>1</v>
      </c>
      <c r="N2084" s="10" t="str">
        <f t="shared" si="512"/>
        <v>New York Red Bulls12</v>
      </c>
      <c r="O2084" s="10">
        <f t="shared" si="513"/>
        <v>3</v>
      </c>
      <c r="P2084" s="10">
        <f t="shared" si="514"/>
        <v>1</v>
      </c>
      <c r="Q2084" s="10">
        <f t="shared" si="515"/>
        <v>0</v>
      </c>
    </row>
    <row r="2085" spans="1:17">
      <c r="A2085" s="15">
        <f t="shared" si="511"/>
        <v>12</v>
      </c>
      <c r="B2085" s="15"/>
      <c r="C2085" s="14" t="str">
        <f>Fixture!C89</f>
        <v>Los Angeles</v>
      </c>
      <c r="D2085" s="15">
        <f>IF(E2085=0,0,IF(Fixture!D89&lt;Fixture!F89,0,IF(Fixture!F89&lt;Fixture!D89,3,1)))</f>
        <v>3</v>
      </c>
      <c r="E2085" s="16">
        <f>IF(OR(ISBLANK(Fixture!D89),ISBLANK(Fixture!F89),ISTEXT(Fixture!D89),ISTEXT(Fixture!F89)),0,1)</f>
        <v>1</v>
      </c>
      <c r="F2085" s="16">
        <f t="shared" si="506"/>
        <v>1</v>
      </c>
      <c r="G2085" s="16">
        <f t="shared" si="507"/>
        <v>0</v>
      </c>
      <c r="H2085" s="16">
        <f t="shared" si="508"/>
        <v>0</v>
      </c>
      <c r="I2085" s="63">
        <f>IF(E2085=0,0,Fixture!D89)</f>
        <v>4</v>
      </c>
      <c r="J2085" s="63">
        <f>IF(E2085=0,0,Fixture!F89)</f>
        <v>1</v>
      </c>
      <c r="K2085" s="63">
        <f t="shared" si="509"/>
        <v>0</v>
      </c>
      <c r="L2085" s="63">
        <f t="shared" si="510"/>
        <v>0</v>
      </c>
      <c r="N2085" s="10" t="str">
        <f t="shared" si="512"/>
        <v>Los Angeles12</v>
      </c>
      <c r="O2085" s="10">
        <f t="shared" si="513"/>
        <v>3</v>
      </c>
      <c r="P2085" s="10">
        <f t="shared" si="514"/>
        <v>4</v>
      </c>
      <c r="Q2085" s="10">
        <f t="shared" si="515"/>
        <v>1</v>
      </c>
    </row>
    <row r="2086" spans="1:17">
      <c r="A2086" s="15">
        <f t="shared" si="511"/>
        <v>10</v>
      </c>
      <c r="B2086" s="15"/>
      <c r="C2086" s="14" t="str">
        <f>Fixture!C90</f>
        <v>Chicago</v>
      </c>
      <c r="D2086" s="15">
        <f>IF(E2086=0,0,IF(Fixture!D90&lt;Fixture!F90,0,IF(Fixture!F90&lt;Fixture!D90,3,1)))</f>
        <v>3</v>
      </c>
      <c r="E2086" s="16">
        <f>IF(OR(ISBLANK(Fixture!D90),ISBLANK(Fixture!F90),ISTEXT(Fixture!D90),ISTEXT(Fixture!F90)),0,1)</f>
        <v>1</v>
      </c>
      <c r="F2086" s="16">
        <f t="shared" si="506"/>
        <v>1</v>
      </c>
      <c r="G2086" s="16">
        <f t="shared" si="507"/>
        <v>0</v>
      </c>
      <c r="H2086" s="16">
        <f t="shared" si="508"/>
        <v>0</v>
      </c>
      <c r="I2086" s="63">
        <f>IF(E2086=0,0,Fixture!D90)</f>
        <v>2</v>
      </c>
      <c r="J2086" s="63">
        <f>IF(E2086=0,0,Fixture!F90)</f>
        <v>1</v>
      </c>
      <c r="K2086" s="63">
        <f t="shared" si="509"/>
        <v>0</v>
      </c>
      <c r="L2086" s="63">
        <f t="shared" si="510"/>
        <v>0</v>
      </c>
      <c r="N2086" s="10" t="str">
        <f t="shared" si="512"/>
        <v>Chicago10</v>
      </c>
      <c r="O2086" s="10">
        <f t="shared" si="513"/>
        <v>3</v>
      </c>
      <c r="P2086" s="10">
        <f t="shared" si="514"/>
        <v>2</v>
      </c>
      <c r="Q2086" s="10">
        <f t="shared" si="515"/>
        <v>1</v>
      </c>
    </row>
    <row r="2087" spans="1:17">
      <c r="A2087" s="15">
        <f t="shared" si="511"/>
        <v>11</v>
      </c>
      <c r="B2087" s="15"/>
      <c r="C2087" s="14" t="str">
        <f>Fixture!C91</f>
        <v>Dallas</v>
      </c>
      <c r="D2087" s="15">
        <f>IF(E2087=0,0,IF(Fixture!D91&lt;Fixture!F91,0,IF(Fixture!F91&lt;Fixture!D91,3,1)))</f>
        <v>3</v>
      </c>
      <c r="E2087" s="16">
        <f>IF(OR(ISBLANK(Fixture!D91),ISBLANK(Fixture!F91),ISTEXT(Fixture!D91),ISTEXT(Fixture!F91)),0,1)</f>
        <v>1</v>
      </c>
      <c r="F2087" s="16">
        <f t="shared" si="506"/>
        <v>1</v>
      </c>
      <c r="G2087" s="16">
        <f t="shared" si="507"/>
        <v>0</v>
      </c>
      <c r="H2087" s="16">
        <f t="shared" si="508"/>
        <v>0</v>
      </c>
      <c r="I2087" s="63">
        <f>IF(E2087=0,0,Fixture!D91)</f>
        <v>2</v>
      </c>
      <c r="J2087" s="63">
        <f>IF(E2087=0,0,Fixture!F91)</f>
        <v>0</v>
      </c>
      <c r="K2087" s="63">
        <f t="shared" si="509"/>
        <v>0</v>
      </c>
      <c r="L2087" s="63">
        <f t="shared" si="510"/>
        <v>1</v>
      </c>
      <c r="N2087" s="10" t="str">
        <f t="shared" si="512"/>
        <v>Dallas11</v>
      </c>
      <c r="O2087" s="10">
        <f t="shared" si="513"/>
        <v>3</v>
      </c>
      <c r="P2087" s="10">
        <f t="shared" si="514"/>
        <v>2</v>
      </c>
      <c r="Q2087" s="10">
        <f t="shared" si="515"/>
        <v>0</v>
      </c>
    </row>
    <row r="2088" spans="1:17">
      <c r="A2088" s="15">
        <f t="shared" si="511"/>
        <v>10</v>
      </c>
      <c r="B2088" s="15"/>
      <c r="C2088" s="14" t="str">
        <f>Fixture!C92</f>
        <v>Colorado</v>
      </c>
      <c r="D2088" s="15">
        <f>IF(E2088=0,0,IF(Fixture!D92&lt;Fixture!F92,0,IF(Fixture!F92&lt;Fixture!D92,3,1)))</f>
        <v>3</v>
      </c>
      <c r="E2088" s="16">
        <f>IF(OR(ISBLANK(Fixture!D92),ISBLANK(Fixture!F92),ISTEXT(Fixture!D92),ISTEXT(Fixture!F92)),0,1)</f>
        <v>1</v>
      </c>
      <c r="F2088" s="16">
        <f t="shared" si="506"/>
        <v>1</v>
      </c>
      <c r="G2088" s="16">
        <f t="shared" si="507"/>
        <v>0</v>
      </c>
      <c r="H2088" s="16">
        <f t="shared" si="508"/>
        <v>0</v>
      </c>
      <c r="I2088" s="63">
        <f>IF(E2088=0,0,Fixture!D92)</f>
        <v>1</v>
      </c>
      <c r="J2088" s="63">
        <f>IF(E2088=0,0,Fixture!F92)</f>
        <v>0</v>
      </c>
      <c r="K2088" s="63">
        <f t="shared" si="509"/>
        <v>0</v>
      </c>
      <c r="L2088" s="63">
        <f t="shared" si="510"/>
        <v>1</v>
      </c>
      <c r="N2088" s="10" t="str">
        <f t="shared" si="512"/>
        <v>Colorado10</v>
      </c>
      <c r="O2088" s="10">
        <f t="shared" si="513"/>
        <v>3</v>
      </c>
      <c r="P2088" s="10">
        <f t="shared" si="514"/>
        <v>1</v>
      </c>
      <c r="Q2088" s="10">
        <f t="shared" si="515"/>
        <v>0</v>
      </c>
    </row>
    <row r="2089" spans="1:17">
      <c r="A2089" s="15">
        <f t="shared" si="511"/>
        <v>12</v>
      </c>
      <c r="B2089" s="15"/>
      <c r="C2089" s="14" t="str">
        <f>Fixture!C93</f>
        <v>Seattle Sounders FC</v>
      </c>
      <c r="D2089" s="15">
        <f>IF(E2089=0,0,IF(Fixture!D93&lt;Fixture!F93,0,IF(Fixture!F93&lt;Fixture!D93,3,1)))</f>
        <v>3</v>
      </c>
      <c r="E2089" s="16">
        <f>IF(OR(ISBLANK(Fixture!D93),ISBLANK(Fixture!F93),ISTEXT(Fixture!D93),ISTEXT(Fixture!F93)),0,1)</f>
        <v>1</v>
      </c>
      <c r="F2089" s="16">
        <f t="shared" si="506"/>
        <v>1</v>
      </c>
      <c r="G2089" s="16">
        <f t="shared" si="507"/>
        <v>0</v>
      </c>
      <c r="H2089" s="16">
        <f t="shared" si="508"/>
        <v>0</v>
      </c>
      <c r="I2089" s="63">
        <f>IF(E2089=0,0,Fixture!D93)</f>
        <v>3</v>
      </c>
      <c r="J2089" s="63">
        <f>IF(E2089=0,0,Fixture!F93)</f>
        <v>0</v>
      </c>
      <c r="K2089" s="63">
        <f t="shared" si="509"/>
        <v>0</v>
      </c>
      <c r="L2089" s="63">
        <f t="shared" si="510"/>
        <v>1</v>
      </c>
      <c r="N2089" s="10" t="str">
        <f t="shared" si="512"/>
        <v>Seattle Sounders FC12</v>
      </c>
      <c r="O2089" s="10">
        <f t="shared" si="513"/>
        <v>3</v>
      </c>
      <c r="P2089" s="10">
        <f t="shared" si="514"/>
        <v>3</v>
      </c>
      <c r="Q2089" s="10">
        <f t="shared" si="515"/>
        <v>0</v>
      </c>
    </row>
    <row r="2090" spans="1:17">
      <c r="A2090" s="15">
        <f t="shared" si="511"/>
        <v>11</v>
      </c>
      <c r="B2090" s="15"/>
      <c r="C2090" s="14" t="str">
        <f>Fixture!C94</f>
        <v>Chicago</v>
      </c>
      <c r="D2090" s="15">
        <f>IF(E2090=0,0,IF(Fixture!D94&lt;Fixture!F94,0,IF(Fixture!F94&lt;Fixture!D94,3,1)))</f>
        <v>1</v>
      </c>
      <c r="E2090" s="16">
        <f>IF(OR(ISBLANK(Fixture!D94),ISBLANK(Fixture!F94),ISTEXT(Fixture!D94),ISTEXT(Fixture!F94)),0,1)</f>
        <v>1</v>
      </c>
      <c r="F2090" s="16">
        <f t="shared" si="506"/>
        <v>0</v>
      </c>
      <c r="G2090" s="16">
        <f t="shared" si="507"/>
        <v>1</v>
      </c>
      <c r="H2090" s="16">
        <f t="shared" si="508"/>
        <v>0</v>
      </c>
      <c r="I2090" s="63">
        <f>IF(E2090=0,0,Fixture!D94)</f>
        <v>2</v>
      </c>
      <c r="J2090" s="63">
        <f>IF(E2090=0,0,Fixture!F94)</f>
        <v>2</v>
      </c>
      <c r="K2090" s="63">
        <f t="shared" si="509"/>
        <v>0</v>
      </c>
      <c r="L2090" s="63">
        <f t="shared" si="510"/>
        <v>0</v>
      </c>
      <c r="N2090" s="10" t="str">
        <f t="shared" si="512"/>
        <v>Chicago11</v>
      </c>
      <c r="O2090" s="10">
        <f t="shared" si="513"/>
        <v>1</v>
      </c>
      <c r="P2090" s="10">
        <f t="shared" si="514"/>
        <v>2</v>
      </c>
      <c r="Q2090" s="10">
        <f t="shared" si="515"/>
        <v>2</v>
      </c>
    </row>
    <row r="2091" spans="1:17">
      <c r="A2091" s="15">
        <f t="shared" si="511"/>
        <v>12</v>
      </c>
      <c r="B2091" s="15"/>
      <c r="C2091" s="14" t="str">
        <f>Fixture!C95</f>
        <v>Real Salt Lake</v>
      </c>
      <c r="D2091" s="15">
        <f>IF(E2091=0,0,IF(Fixture!D95&lt;Fixture!F95,0,IF(Fixture!F95&lt;Fixture!D95,3,1)))</f>
        <v>3</v>
      </c>
      <c r="E2091" s="16">
        <f>IF(OR(ISBLANK(Fixture!D95),ISBLANK(Fixture!F95),ISTEXT(Fixture!D95),ISTEXT(Fixture!F95)),0,1)</f>
        <v>1</v>
      </c>
      <c r="F2091" s="16">
        <f t="shared" si="506"/>
        <v>1</v>
      </c>
      <c r="G2091" s="16">
        <f t="shared" si="507"/>
        <v>0</v>
      </c>
      <c r="H2091" s="16">
        <f t="shared" si="508"/>
        <v>0</v>
      </c>
      <c r="I2091" s="63">
        <f>IF(E2091=0,0,Fixture!D95)</f>
        <v>1</v>
      </c>
      <c r="J2091" s="63">
        <f>IF(E2091=0,0,Fixture!F95)</f>
        <v>0</v>
      </c>
      <c r="K2091" s="63">
        <f t="shared" si="509"/>
        <v>0</v>
      </c>
      <c r="L2091" s="63">
        <f t="shared" si="510"/>
        <v>1</v>
      </c>
      <c r="N2091" s="10" t="str">
        <f t="shared" si="512"/>
        <v>Real Salt Lake12</v>
      </c>
      <c r="O2091" s="10">
        <f t="shared" si="513"/>
        <v>3</v>
      </c>
      <c r="P2091" s="10">
        <f t="shared" si="514"/>
        <v>1</v>
      </c>
      <c r="Q2091" s="10">
        <f t="shared" si="515"/>
        <v>0</v>
      </c>
    </row>
    <row r="2092" spans="1:17">
      <c r="A2092" s="15">
        <f t="shared" si="511"/>
        <v>11</v>
      </c>
      <c r="B2092" s="15"/>
      <c r="C2092" s="14" t="str">
        <f>Fixture!C96</f>
        <v>Kansas City</v>
      </c>
      <c r="D2092" s="15">
        <f>IF(E2092=0,0,IF(Fixture!D96&lt;Fixture!F96,0,IF(Fixture!F96&lt;Fixture!D96,3,1)))</f>
        <v>3</v>
      </c>
      <c r="E2092" s="16">
        <f>IF(OR(ISBLANK(Fixture!D96),ISBLANK(Fixture!F96),ISTEXT(Fixture!D96),ISTEXT(Fixture!F96)),0,1)</f>
        <v>1</v>
      </c>
      <c r="F2092" s="16">
        <f t="shared" si="506"/>
        <v>1</v>
      </c>
      <c r="G2092" s="16">
        <f t="shared" si="507"/>
        <v>0</v>
      </c>
      <c r="H2092" s="16">
        <f t="shared" si="508"/>
        <v>0</v>
      </c>
      <c r="I2092" s="63">
        <f>IF(E2092=0,0,Fixture!D96)</f>
        <v>2</v>
      </c>
      <c r="J2092" s="63">
        <f>IF(E2092=0,0,Fixture!F96)</f>
        <v>0</v>
      </c>
      <c r="K2092" s="63">
        <f t="shared" si="509"/>
        <v>0</v>
      </c>
      <c r="L2092" s="63">
        <f t="shared" si="510"/>
        <v>1</v>
      </c>
      <c r="N2092" s="10" t="str">
        <f t="shared" si="512"/>
        <v>Kansas City11</v>
      </c>
      <c r="O2092" s="10">
        <f t="shared" si="513"/>
        <v>3</v>
      </c>
      <c r="P2092" s="10">
        <f t="shared" si="514"/>
        <v>2</v>
      </c>
      <c r="Q2092" s="10">
        <f t="shared" si="515"/>
        <v>0</v>
      </c>
    </row>
    <row r="2093" spans="1:17">
      <c r="A2093" s="15">
        <f t="shared" si="511"/>
        <v>13</v>
      </c>
      <c r="B2093" s="15"/>
      <c r="C2093" s="14" t="str">
        <f>Fixture!C97</f>
        <v>Seattle Sounders FC</v>
      </c>
      <c r="D2093" s="15">
        <f>IF(E2093=0,0,IF(Fixture!D97&lt;Fixture!F97,0,IF(Fixture!F97&lt;Fixture!D97,3,1)))</f>
        <v>0</v>
      </c>
      <c r="E2093" s="16">
        <f>IF(OR(ISBLANK(Fixture!D97),ISBLANK(Fixture!F97),ISTEXT(Fixture!D97),ISTEXT(Fixture!F97)),0,1)</f>
        <v>1</v>
      </c>
      <c r="F2093" s="16">
        <f t="shared" si="506"/>
        <v>0</v>
      </c>
      <c r="G2093" s="16">
        <f t="shared" si="507"/>
        <v>0</v>
      </c>
      <c r="H2093" s="16">
        <f t="shared" si="508"/>
        <v>1</v>
      </c>
      <c r="I2093" s="63">
        <f>IF(E2093=0,0,Fixture!D97)</f>
        <v>2</v>
      </c>
      <c r="J2093" s="63">
        <f>IF(E2093=0,0,Fixture!F97)</f>
        <v>3</v>
      </c>
      <c r="K2093" s="63">
        <f t="shared" si="509"/>
        <v>0</v>
      </c>
      <c r="L2093" s="63">
        <f t="shared" si="510"/>
        <v>0</v>
      </c>
      <c r="N2093" s="10" t="str">
        <f t="shared" si="512"/>
        <v>Seattle Sounders FC13</v>
      </c>
      <c r="O2093" s="10">
        <f t="shared" si="513"/>
        <v>0</v>
      </c>
      <c r="P2093" s="10">
        <f t="shared" si="514"/>
        <v>2</v>
      </c>
      <c r="Q2093" s="10">
        <f t="shared" si="515"/>
        <v>3</v>
      </c>
    </row>
    <row r="2094" spans="1:17">
      <c r="A2094" s="15">
        <f t="shared" si="511"/>
        <v>13</v>
      </c>
      <c r="B2094" s="15"/>
      <c r="C2094" s="14" t="str">
        <f>Fixture!C98</f>
        <v>Real Salt Lake</v>
      </c>
      <c r="D2094" s="15">
        <f>IF(E2094=0,0,IF(Fixture!D98&lt;Fixture!F98,0,IF(Fixture!F98&lt;Fixture!D98,3,1)))</f>
        <v>1</v>
      </c>
      <c r="E2094" s="16">
        <f>IF(OR(ISBLANK(Fixture!D98),ISBLANK(Fixture!F98),ISTEXT(Fixture!D98),ISTEXT(Fixture!F98)),0,1)</f>
        <v>1</v>
      </c>
      <c r="F2094" s="16">
        <f t="shared" si="506"/>
        <v>0</v>
      </c>
      <c r="G2094" s="16">
        <f t="shared" si="507"/>
        <v>1</v>
      </c>
      <c r="H2094" s="16">
        <f t="shared" si="508"/>
        <v>0</v>
      </c>
      <c r="I2094" s="63">
        <f>IF(E2094=0,0,Fixture!D98)</f>
        <v>0</v>
      </c>
      <c r="J2094" s="63">
        <f>IF(E2094=0,0,Fixture!F98)</f>
        <v>0</v>
      </c>
      <c r="K2094" s="63">
        <f t="shared" si="509"/>
        <v>1</v>
      </c>
      <c r="L2094" s="63">
        <f t="shared" si="510"/>
        <v>1</v>
      </c>
      <c r="N2094" s="10" t="str">
        <f t="shared" si="512"/>
        <v>Real Salt Lake13</v>
      </c>
      <c r="O2094" s="10">
        <f t="shared" si="513"/>
        <v>1</v>
      </c>
      <c r="P2094" s="10">
        <f t="shared" si="514"/>
        <v>0</v>
      </c>
      <c r="Q2094" s="10">
        <f t="shared" si="515"/>
        <v>0</v>
      </c>
    </row>
    <row r="2095" spans="1:17">
      <c r="A2095" s="15">
        <f t="shared" si="511"/>
        <v>12</v>
      </c>
      <c r="B2095" s="15"/>
      <c r="C2095" s="14" t="str">
        <f>Fixture!C99</f>
        <v>Columbus</v>
      </c>
      <c r="D2095" s="15">
        <f>IF(E2095=0,0,IF(Fixture!D99&lt;Fixture!F99,0,IF(Fixture!F99&lt;Fixture!D99,3,1)))</f>
        <v>3</v>
      </c>
      <c r="E2095" s="16">
        <f>IF(OR(ISBLANK(Fixture!D99),ISBLANK(Fixture!F99),ISTEXT(Fixture!D99),ISTEXT(Fixture!F99)),0,1)</f>
        <v>1</v>
      </c>
      <c r="F2095" s="16">
        <f t="shared" si="506"/>
        <v>1</v>
      </c>
      <c r="G2095" s="16">
        <f t="shared" si="507"/>
        <v>0</v>
      </c>
      <c r="H2095" s="16">
        <f t="shared" si="508"/>
        <v>0</v>
      </c>
      <c r="I2095" s="63">
        <f>IF(E2095=0,0,Fixture!D99)</f>
        <v>2</v>
      </c>
      <c r="J2095" s="63">
        <f>IF(E2095=0,0,Fixture!F99)</f>
        <v>0</v>
      </c>
      <c r="K2095" s="63">
        <f t="shared" si="509"/>
        <v>0</v>
      </c>
      <c r="L2095" s="63">
        <f t="shared" si="510"/>
        <v>1</v>
      </c>
      <c r="N2095" s="10" t="str">
        <f t="shared" si="512"/>
        <v>Columbus12</v>
      </c>
      <c r="O2095" s="10">
        <f t="shared" si="513"/>
        <v>3</v>
      </c>
      <c r="P2095" s="10">
        <f t="shared" si="514"/>
        <v>2</v>
      </c>
      <c r="Q2095" s="10">
        <f t="shared" si="515"/>
        <v>0</v>
      </c>
    </row>
    <row r="2096" spans="1:17">
      <c r="A2096" s="15">
        <f t="shared" si="511"/>
        <v>12</v>
      </c>
      <c r="B2096" s="15"/>
      <c r="C2096" s="14" t="str">
        <f>Fixture!C100</f>
        <v>Toronto FC</v>
      </c>
      <c r="D2096" s="15">
        <f>IF(E2096=0,0,IF(Fixture!D100&lt;Fixture!F100,0,IF(Fixture!F100&lt;Fixture!D100,3,1)))</f>
        <v>1</v>
      </c>
      <c r="E2096" s="16">
        <f>IF(OR(ISBLANK(Fixture!D100),ISBLANK(Fixture!F100),ISTEXT(Fixture!D100),ISTEXT(Fixture!F100)),0,1)</f>
        <v>1</v>
      </c>
      <c r="F2096" s="16">
        <f t="shared" si="506"/>
        <v>0</v>
      </c>
      <c r="G2096" s="16">
        <f t="shared" si="507"/>
        <v>1</v>
      </c>
      <c r="H2096" s="16">
        <f t="shared" si="508"/>
        <v>0</v>
      </c>
      <c r="I2096" s="63">
        <f>IF(E2096=0,0,Fixture!D100)</f>
        <v>0</v>
      </c>
      <c r="J2096" s="63">
        <f>IF(E2096=0,0,Fixture!F100)</f>
        <v>0</v>
      </c>
      <c r="K2096" s="63">
        <f t="shared" si="509"/>
        <v>1</v>
      </c>
      <c r="L2096" s="63">
        <f t="shared" si="510"/>
        <v>1</v>
      </c>
      <c r="N2096" s="10" t="str">
        <f t="shared" si="512"/>
        <v>Toronto FC12</v>
      </c>
      <c r="O2096" s="10">
        <f t="shared" si="513"/>
        <v>1</v>
      </c>
      <c r="P2096" s="10">
        <f t="shared" si="514"/>
        <v>0</v>
      </c>
      <c r="Q2096" s="10">
        <f t="shared" si="515"/>
        <v>0</v>
      </c>
    </row>
    <row r="2097" spans="1:17">
      <c r="A2097" s="15">
        <f t="shared" si="511"/>
        <v>14</v>
      </c>
      <c r="B2097" s="15"/>
      <c r="C2097" s="14" t="str">
        <f>Fixture!C101</f>
        <v>Houston</v>
      </c>
      <c r="D2097" s="15">
        <f>IF(E2097=0,0,IF(Fixture!D101&lt;Fixture!F101,0,IF(Fixture!F101&lt;Fixture!D101,3,1)))</f>
        <v>1</v>
      </c>
      <c r="E2097" s="16">
        <f>IF(OR(ISBLANK(Fixture!D101),ISBLANK(Fixture!F101),ISTEXT(Fixture!D101),ISTEXT(Fixture!F101)),0,1)</f>
        <v>1</v>
      </c>
      <c r="F2097" s="16">
        <f t="shared" si="506"/>
        <v>0</v>
      </c>
      <c r="G2097" s="16">
        <f t="shared" si="507"/>
        <v>1</v>
      </c>
      <c r="H2097" s="16">
        <f t="shared" si="508"/>
        <v>0</v>
      </c>
      <c r="I2097" s="63">
        <f>IF(E2097=0,0,Fixture!D101)</f>
        <v>2</v>
      </c>
      <c r="J2097" s="63">
        <f>IF(E2097=0,0,Fixture!F101)</f>
        <v>2</v>
      </c>
      <c r="K2097" s="63">
        <f t="shared" si="509"/>
        <v>0</v>
      </c>
      <c r="L2097" s="63">
        <f t="shared" si="510"/>
        <v>0</v>
      </c>
      <c r="N2097" s="10" t="str">
        <f t="shared" si="512"/>
        <v>Houston14</v>
      </c>
      <c r="O2097" s="10">
        <f t="shared" si="513"/>
        <v>1</v>
      </c>
      <c r="P2097" s="10">
        <f t="shared" si="514"/>
        <v>2</v>
      </c>
      <c r="Q2097" s="10">
        <f t="shared" si="515"/>
        <v>2</v>
      </c>
    </row>
    <row r="2098" spans="1:17">
      <c r="A2098" s="15">
        <f t="shared" si="511"/>
        <v>12</v>
      </c>
      <c r="B2098" s="15"/>
      <c r="C2098" s="14" t="str">
        <f>Fixture!C102</f>
        <v>Kansas City</v>
      </c>
      <c r="D2098" s="15">
        <f>IF(E2098=0,0,IF(Fixture!D102&lt;Fixture!F102,0,IF(Fixture!F102&lt;Fixture!D102,3,1)))</f>
        <v>0</v>
      </c>
      <c r="E2098" s="16">
        <f>IF(OR(ISBLANK(Fixture!D102),ISBLANK(Fixture!F102),ISTEXT(Fixture!D102),ISTEXT(Fixture!F102)),0,1)</f>
        <v>1</v>
      </c>
      <c r="F2098" s="16">
        <f t="shared" si="506"/>
        <v>0</v>
      </c>
      <c r="G2098" s="16">
        <f t="shared" si="507"/>
        <v>0</v>
      </c>
      <c r="H2098" s="16">
        <f t="shared" si="508"/>
        <v>1</v>
      </c>
      <c r="I2098" s="63">
        <f>IF(E2098=0,0,Fixture!D102)</f>
        <v>0</v>
      </c>
      <c r="J2098" s="63">
        <f>IF(E2098=0,0,Fixture!F102)</f>
        <v>3</v>
      </c>
      <c r="K2098" s="63">
        <f t="shared" si="509"/>
        <v>1</v>
      </c>
      <c r="L2098" s="63">
        <f t="shared" si="510"/>
        <v>0</v>
      </c>
      <c r="N2098" s="10" t="str">
        <f t="shared" si="512"/>
        <v>Kansas City12</v>
      </c>
      <c r="O2098" s="10">
        <f t="shared" si="513"/>
        <v>0</v>
      </c>
      <c r="P2098" s="10">
        <f t="shared" si="514"/>
        <v>0</v>
      </c>
      <c r="Q2098" s="10">
        <f t="shared" si="515"/>
        <v>3</v>
      </c>
    </row>
    <row r="2099" spans="1:17">
      <c r="A2099" s="15">
        <f t="shared" si="511"/>
        <v>13</v>
      </c>
      <c r="B2099" s="15"/>
      <c r="C2099" s="14" t="str">
        <f>Fixture!C103</f>
        <v>Chivas USA</v>
      </c>
      <c r="D2099" s="15">
        <f>IF(E2099=0,0,IF(Fixture!D103&lt;Fixture!F103,0,IF(Fixture!F103&lt;Fixture!D103,3,1)))</f>
        <v>0</v>
      </c>
      <c r="E2099" s="16">
        <f>IF(OR(ISBLANK(Fixture!D103),ISBLANK(Fixture!F103),ISTEXT(Fixture!D103),ISTEXT(Fixture!F103)),0,1)</f>
        <v>1</v>
      </c>
      <c r="F2099" s="16">
        <f t="shared" si="506"/>
        <v>0</v>
      </c>
      <c r="G2099" s="16">
        <f t="shared" si="507"/>
        <v>0</v>
      </c>
      <c r="H2099" s="16">
        <f t="shared" si="508"/>
        <v>1</v>
      </c>
      <c r="I2099" s="63">
        <f>IF(E2099=0,0,Fixture!D103)</f>
        <v>1</v>
      </c>
      <c r="J2099" s="63">
        <f>IF(E2099=0,0,Fixture!F103)</f>
        <v>2</v>
      </c>
      <c r="K2099" s="63">
        <f t="shared" si="509"/>
        <v>0</v>
      </c>
      <c r="L2099" s="63">
        <f t="shared" si="510"/>
        <v>0</v>
      </c>
      <c r="N2099" s="10" t="str">
        <f t="shared" si="512"/>
        <v>Chivas USA13</v>
      </c>
      <c r="O2099" s="10">
        <f t="shared" si="513"/>
        <v>0</v>
      </c>
      <c r="P2099" s="10">
        <f t="shared" si="514"/>
        <v>1</v>
      </c>
      <c r="Q2099" s="10">
        <f t="shared" si="515"/>
        <v>2</v>
      </c>
    </row>
    <row r="2100" spans="1:17">
      <c r="A2100" s="15">
        <f t="shared" si="511"/>
        <v>11</v>
      </c>
      <c r="B2100" s="15"/>
      <c r="C2100" s="14" t="str">
        <f>Fixture!C104</f>
        <v>Philadelphia Union</v>
      </c>
      <c r="D2100" s="15">
        <f>IF(E2100=0,0,IF(Fixture!D104&lt;Fixture!F104,0,IF(Fixture!F104&lt;Fixture!D104,3,1)))</f>
        <v>3</v>
      </c>
      <c r="E2100" s="16">
        <f>IF(OR(ISBLANK(Fixture!D104),ISBLANK(Fixture!F104),ISTEXT(Fixture!D104),ISTEXT(Fixture!F104)),0,1)</f>
        <v>1</v>
      </c>
      <c r="F2100" s="16">
        <f t="shared" si="506"/>
        <v>1</v>
      </c>
      <c r="G2100" s="16">
        <f t="shared" si="507"/>
        <v>0</v>
      </c>
      <c r="H2100" s="16">
        <f t="shared" si="508"/>
        <v>0</v>
      </c>
      <c r="I2100" s="63">
        <f>IF(E2100=0,0,Fixture!D104)</f>
        <v>3</v>
      </c>
      <c r="J2100" s="63">
        <f>IF(E2100=0,0,Fixture!F104)</f>
        <v>1</v>
      </c>
      <c r="K2100" s="63">
        <f t="shared" si="509"/>
        <v>0</v>
      </c>
      <c r="L2100" s="63">
        <f t="shared" si="510"/>
        <v>0</v>
      </c>
      <c r="N2100" s="10" t="str">
        <f t="shared" si="512"/>
        <v>Philadelphia Union11</v>
      </c>
      <c r="O2100" s="10">
        <f t="shared" si="513"/>
        <v>3</v>
      </c>
      <c r="P2100" s="10">
        <f t="shared" si="514"/>
        <v>3</v>
      </c>
      <c r="Q2100" s="10">
        <f t="shared" si="515"/>
        <v>1</v>
      </c>
    </row>
    <row r="2101" spans="1:17">
      <c r="A2101" s="15">
        <f t="shared" si="511"/>
        <v>13</v>
      </c>
      <c r="B2101" s="15"/>
      <c r="C2101" s="14" t="str">
        <f>Fixture!C105</f>
        <v>New England</v>
      </c>
      <c r="D2101" s="15">
        <f>IF(E2101=0,0,IF(Fixture!D105&lt;Fixture!F105,0,IF(Fixture!F105&lt;Fixture!D105,3,1)))</f>
        <v>0</v>
      </c>
      <c r="E2101" s="16">
        <f>IF(OR(ISBLANK(Fixture!D105),ISBLANK(Fixture!F105),ISTEXT(Fixture!D105),ISTEXT(Fixture!F105)),0,1)</f>
        <v>1</v>
      </c>
      <c r="F2101" s="16">
        <f t="shared" si="506"/>
        <v>0</v>
      </c>
      <c r="G2101" s="16">
        <f t="shared" si="507"/>
        <v>0</v>
      </c>
      <c r="H2101" s="16">
        <f t="shared" si="508"/>
        <v>1</v>
      </c>
      <c r="I2101" s="63">
        <f>IF(E2101=0,0,Fixture!D105)</f>
        <v>0</v>
      </c>
      <c r="J2101" s="63">
        <f>IF(E2101=0,0,Fixture!F105)</f>
        <v>1</v>
      </c>
      <c r="K2101" s="63">
        <f t="shared" si="509"/>
        <v>1</v>
      </c>
      <c r="L2101" s="63">
        <f t="shared" si="510"/>
        <v>0</v>
      </c>
      <c r="N2101" s="10" t="str">
        <f t="shared" si="512"/>
        <v>New England13</v>
      </c>
      <c r="O2101" s="10">
        <f t="shared" si="513"/>
        <v>0</v>
      </c>
      <c r="P2101" s="10">
        <f t="shared" si="514"/>
        <v>0</v>
      </c>
      <c r="Q2101" s="10">
        <f t="shared" si="515"/>
        <v>1</v>
      </c>
    </row>
    <row r="2102" spans="1:17">
      <c r="A2102" s="15">
        <f t="shared" si="511"/>
        <v>13</v>
      </c>
      <c r="B2102" s="15"/>
      <c r="C2102" s="14" t="str">
        <f>Fixture!C106</f>
        <v>Toronto FC</v>
      </c>
      <c r="D2102" s="15">
        <f>IF(E2102=0,0,IF(Fixture!D106&lt;Fixture!F106,0,IF(Fixture!F106&lt;Fixture!D106,3,1)))</f>
        <v>1</v>
      </c>
      <c r="E2102" s="16">
        <f>IF(OR(ISBLANK(Fixture!D106),ISBLANK(Fixture!F106),ISTEXT(Fixture!D106),ISTEXT(Fixture!F106)),0,1)</f>
        <v>1</v>
      </c>
      <c r="F2102" s="16">
        <f t="shared" si="506"/>
        <v>0</v>
      </c>
      <c r="G2102" s="16">
        <f t="shared" si="507"/>
        <v>1</v>
      </c>
      <c r="H2102" s="16">
        <f t="shared" si="508"/>
        <v>0</v>
      </c>
      <c r="I2102" s="63">
        <f>IF(E2102=0,0,Fixture!D106)</f>
        <v>1</v>
      </c>
      <c r="J2102" s="63">
        <f>IF(E2102=0,0,Fixture!F106)</f>
        <v>1</v>
      </c>
      <c r="K2102" s="63">
        <f t="shared" si="509"/>
        <v>0</v>
      </c>
      <c r="L2102" s="63">
        <f t="shared" si="510"/>
        <v>0</v>
      </c>
      <c r="N2102" s="10" t="str">
        <f t="shared" si="512"/>
        <v>Toronto FC13</v>
      </c>
      <c r="O2102" s="10">
        <f t="shared" si="513"/>
        <v>1</v>
      </c>
      <c r="P2102" s="10">
        <f t="shared" si="514"/>
        <v>1</v>
      </c>
      <c r="Q2102" s="10">
        <f t="shared" si="515"/>
        <v>1</v>
      </c>
    </row>
    <row r="2103" spans="1:17">
      <c r="A2103" s="15">
        <f t="shared" si="511"/>
        <v>14</v>
      </c>
      <c r="B2103" s="15"/>
      <c r="C2103" s="14" t="str">
        <f>Fixture!C107</f>
        <v>Real Salt Lake</v>
      </c>
      <c r="D2103" s="15">
        <f>IF(E2103=0,0,IF(Fixture!D107&lt;Fixture!F107,0,IF(Fixture!F107&lt;Fixture!D107,3,1)))</f>
        <v>3</v>
      </c>
      <c r="E2103" s="16">
        <f>IF(OR(ISBLANK(Fixture!D107),ISBLANK(Fixture!F107),ISTEXT(Fixture!D107),ISTEXT(Fixture!F107)),0,1)</f>
        <v>1</v>
      </c>
      <c r="F2103" s="16">
        <f t="shared" si="506"/>
        <v>1</v>
      </c>
      <c r="G2103" s="16">
        <f t="shared" si="507"/>
        <v>0</v>
      </c>
      <c r="H2103" s="16">
        <f t="shared" si="508"/>
        <v>0</v>
      </c>
      <c r="I2103" s="63">
        <f>IF(E2103=0,0,Fixture!D107)</f>
        <v>5</v>
      </c>
      <c r="J2103" s="63">
        <f>IF(E2103=0,0,Fixture!F107)</f>
        <v>0</v>
      </c>
      <c r="K2103" s="63">
        <f t="shared" si="509"/>
        <v>0</v>
      </c>
      <c r="L2103" s="63">
        <f t="shared" si="510"/>
        <v>1</v>
      </c>
      <c r="N2103" s="10" t="str">
        <f t="shared" si="512"/>
        <v>Real Salt Lake14</v>
      </c>
      <c r="O2103" s="10">
        <f t="shared" si="513"/>
        <v>3</v>
      </c>
      <c r="P2103" s="10">
        <f t="shared" si="514"/>
        <v>5</v>
      </c>
      <c r="Q2103" s="10">
        <f t="shared" si="515"/>
        <v>0</v>
      </c>
    </row>
    <row r="2104" spans="1:17">
      <c r="A2104" s="15">
        <f t="shared" si="511"/>
        <v>13</v>
      </c>
      <c r="B2104" s="15"/>
      <c r="C2104" s="14" t="str">
        <f>Fixture!C108</f>
        <v>Columbus</v>
      </c>
      <c r="D2104" s="15">
        <f>IF(E2104=0,0,IF(Fixture!D108&lt;Fixture!F108,0,IF(Fixture!F108&lt;Fixture!D108,3,1)))</f>
        <v>3</v>
      </c>
      <c r="E2104" s="16">
        <f>IF(OR(ISBLANK(Fixture!D108),ISBLANK(Fixture!F108),ISTEXT(Fixture!D108),ISTEXT(Fixture!F108)),0,1)</f>
        <v>1</v>
      </c>
      <c r="F2104" s="16">
        <f t="shared" si="506"/>
        <v>1</v>
      </c>
      <c r="G2104" s="16">
        <f t="shared" si="507"/>
        <v>0</v>
      </c>
      <c r="H2104" s="16">
        <f t="shared" si="508"/>
        <v>0</v>
      </c>
      <c r="I2104" s="63">
        <f>IF(E2104=0,0,Fixture!D108)</f>
        <v>2</v>
      </c>
      <c r="J2104" s="63">
        <f>IF(E2104=0,0,Fixture!F108)</f>
        <v>1</v>
      </c>
      <c r="K2104" s="63">
        <f t="shared" si="509"/>
        <v>0</v>
      </c>
      <c r="L2104" s="63">
        <f t="shared" si="510"/>
        <v>0</v>
      </c>
      <c r="N2104" s="10" t="str">
        <f t="shared" si="512"/>
        <v>Columbus13</v>
      </c>
      <c r="O2104" s="10">
        <f t="shared" si="513"/>
        <v>3</v>
      </c>
      <c r="P2104" s="10">
        <f t="shared" si="514"/>
        <v>2</v>
      </c>
      <c r="Q2104" s="10">
        <f t="shared" si="515"/>
        <v>1</v>
      </c>
    </row>
    <row r="2105" spans="1:17">
      <c r="A2105" s="15">
        <f t="shared" si="511"/>
        <v>13</v>
      </c>
      <c r="B2105" s="15"/>
      <c r="C2105" s="14" t="str">
        <f>Fixture!C109</f>
        <v>Dallas</v>
      </c>
      <c r="D2105" s="15">
        <f>IF(E2105=0,0,IF(Fixture!D109&lt;Fixture!F109,0,IF(Fixture!F109&lt;Fixture!D109,3,1)))</f>
        <v>3</v>
      </c>
      <c r="E2105" s="16">
        <f>IF(OR(ISBLANK(Fixture!D109),ISBLANK(Fixture!F109),ISTEXT(Fixture!D109),ISTEXT(Fixture!F109)),0,1)</f>
        <v>1</v>
      </c>
      <c r="F2105" s="16">
        <f t="shared" si="506"/>
        <v>1</v>
      </c>
      <c r="G2105" s="16">
        <f t="shared" si="507"/>
        <v>0</v>
      </c>
      <c r="H2105" s="16">
        <f t="shared" si="508"/>
        <v>0</v>
      </c>
      <c r="I2105" s="63">
        <f>IF(E2105=0,0,Fixture!D109)</f>
        <v>1</v>
      </c>
      <c r="J2105" s="63">
        <f>IF(E2105=0,0,Fixture!F109)</f>
        <v>0</v>
      </c>
      <c r="K2105" s="63">
        <f t="shared" si="509"/>
        <v>0</v>
      </c>
      <c r="L2105" s="63">
        <f t="shared" si="510"/>
        <v>1</v>
      </c>
      <c r="N2105" s="10" t="str">
        <f t="shared" si="512"/>
        <v>Dallas13</v>
      </c>
      <c r="O2105" s="10">
        <f t="shared" si="513"/>
        <v>3</v>
      </c>
      <c r="P2105" s="10">
        <f t="shared" si="514"/>
        <v>1</v>
      </c>
      <c r="Q2105" s="10">
        <f t="shared" si="515"/>
        <v>0</v>
      </c>
    </row>
    <row r="2106" spans="1:17">
      <c r="A2106" s="15">
        <f t="shared" si="511"/>
        <v>13</v>
      </c>
      <c r="B2106" s="15"/>
      <c r="C2106" s="14" t="str">
        <f>Fixture!C110</f>
        <v>San Jose</v>
      </c>
      <c r="D2106" s="15">
        <f>IF(E2106=0,0,IF(Fixture!D110&lt;Fixture!F110,0,IF(Fixture!F110&lt;Fixture!D110,3,1)))</f>
        <v>1</v>
      </c>
      <c r="E2106" s="16">
        <f>IF(OR(ISBLANK(Fixture!D110),ISBLANK(Fixture!F110),ISTEXT(Fixture!D110),ISTEXT(Fixture!F110)),0,1)</f>
        <v>1</v>
      </c>
      <c r="F2106" s="16">
        <f t="shared" si="506"/>
        <v>0</v>
      </c>
      <c r="G2106" s="16">
        <f t="shared" si="507"/>
        <v>1</v>
      </c>
      <c r="H2106" s="16">
        <f t="shared" si="508"/>
        <v>0</v>
      </c>
      <c r="I2106" s="63">
        <f>IF(E2106=0,0,Fixture!D110)</f>
        <v>1</v>
      </c>
      <c r="J2106" s="63">
        <f>IF(E2106=0,0,Fixture!F110)</f>
        <v>1</v>
      </c>
      <c r="K2106" s="63">
        <f t="shared" si="509"/>
        <v>0</v>
      </c>
      <c r="L2106" s="63">
        <f t="shared" si="510"/>
        <v>0</v>
      </c>
      <c r="N2106" s="10" t="str">
        <f t="shared" si="512"/>
        <v>San Jose13</v>
      </c>
      <c r="O2106" s="10">
        <f t="shared" si="513"/>
        <v>1</v>
      </c>
      <c r="P2106" s="10">
        <f t="shared" si="514"/>
        <v>1</v>
      </c>
      <c r="Q2106" s="10">
        <f t="shared" si="515"/>
        <v>1</v>
      </c>
    </row>
    <row r="2107" spans="1:17">
      <c r="A2107" s="15">
        <f t="shared" si="511"/>
        <v>14</v>
      </c>
      <c r="B2107" s="15"/>
      <c r="C2107" s="14" t="str">
        <f>Fixture!C111</f>
        <v>Chivas USA</v>
      </c>
      <c r="D2107" s="15">
        <f>IF(E2107=0,0,IF(Fixture!D111&lt;Fixture!F111,0,IF(Fixture!F111&lt;Fixture!D111,3,1)))</f>
        <v>1</v>
      </c>
      <c r="E2107" s="16">
        <f>IF(OR(ISBLANK(Fixture!D111),ISBLANK(Fixture!F111),ISTEXT(Fixture!D111),ISTEXT(Fixture!F111)),0,1)</f>
        <v>1</v>
      </c>
      <c r="F2107" s="16">
        <f t="shared" si="506"/>
        <v>0</v>
      </c>
      <c r="G2107" s="16">
        <f t="shared" si="507"/>
        <v>1</v>
      </c>
      <c r="H2107" s="16">
        <f t="shared" si="508"/>
        <v>0</v>
      </c>
      <c r="I2107" s="63">
        <f>IF(E2107=0,0,Fixture!D111)</f>
        <v>1</v>
      </c>
      <c r="J2107" s="63">
        <f>IF(E2107=0,0,Fixture!F111)</f>
        <v>1</v>
      </c>
      <c r="K2107" s="63">
        <f t="shared" si="509"/>
        <v>0</v>
      </c>
      <c r="L2107" s="63">
        <f t="shared" si="510"/>
        <v>0</v>
      </c>
      <c r="N2107" s="10" t="str">
        <f t="shared" si="512"/>
        <v>Chivas USA14</v>
      </c>
      <c r="O2107" s="10">
        <f t="shared" si="513"/>
        <v>1</v>
      </c>
      <c r="P2107" s="10">
        <f t="shared" si="514"/>
        <v>1</v>
      </c>
      <c r="Q2107" s="10">
        <f t="shared" si="515"/>
        <v>1</v>
      </c>
    </row>
    <row r="2108" spans="1:17">
      <c r="A2108" s="15">
        <f t="shared" si="511"/>
        <v>13</v>
      </c>
      <c r="B2108" s="15"/>
      <c r="C2108" s="14" t="str">
        <f>Fixture!C112</f>
        <v>Colorado</v>
      </c>
      <c r="D2108" s="15">
        <f>IF(E2108=0,0,IF(Fixture!D112&lt;Fixture!F112,0,IF(Fixture!F112&lt;Fixture!D112,3,1)))</f>
        <v>1</v>
      </c>
      <c r="E2108" s="16">
        <f>IF(OR(ISBLANK(Fixture!D112),ISBLANK(Fixture!F112),ISTEXT(Fixture!D112),ISTEXT(Fixture!F112)),0,1)</f>
        <v>1</v>
      </c>
      <c r="F2108" s="16">
        <f t="shared" si="506"/>
        <v>0</v>
      </c>
      <c r="G2108" s="16">
        <f t="shared" si="507"/>
        <v>1</v>
      </c>
      <c r="H2108" s="16">
        <f t="shared" si="508"/>
        <v>0</v>
      </c>
      <c r="I2108" s="63">
        <f>IF(E2108=0,0,Fixture!D112)</f>
        <v>1</v>
      </c>
      <c r="J2108" s="63">
        <f>IF(E2108=0,0,Fixture!F112)</f>
        <v>1</v>
      </c>
      <c r="K2108" s="63">
        <f t="shared" si="509"/>
        <v>0</v>
      </c>
      <c r="L2108" s="63">
        <f t="shared" si="510"/>
        <v>0</v>
      </c>
      <c r="N2108" s="10" t="str">
        <f t="shared" si="512"/>
        <v>Colorado13</v>
      </c>
      <c r="O2108" s="10">
        <f t="shared" si="513"/>
        <v>1</v>
      </c>
      <c r="P2108" s="10">
        <f t="shared" si="514"/>
        <v>1</v>
      </c>
      <c r="Q2108" s="10">
        <f t="shared" si="515"/>
        <v>1</v>
      </c>
    </row>
    <row r="2109" spans="1:17">
      <c r="A2109" s="15">
        <f t="shared" si="511"/>
        <v>15</v>
      </c>
      <c r="B2109" s="15"/>
      <c r="C2109" s="14" t="str">
        <f>Fixture!C113</f>
        <v>Los Angeles</v>
      </c>
      <c r="D2109" s="15">
        <f>IF(E2109=0,0,IF(Fixture!D113&lt;Fixture!F113,0,IF(Fixture!F113&lt;Fixture!D113,3,1)))</f>
        <v>3</v>
      </c>
      <c r="E2109" s="16">
        <f>IF(OR(ISBLANK(Fixture!D113),ISBLANK(Fixture!F113),ISTEXT(Fixture!D113),ISTEXT(Fixture!F113)),0,1)</f>
        <v>1</v>
      </c>
      <c r="F2109" s="16">
        <f t="shared" si="506"/>
        <v>1</v>
      </c>
      <c r="G2109" s="16">
        <f t="shared" si="507"/>
        <v>0</v>
      </c>
      <c r="H2109" s="16">
        <f t="shared" si="508"/>
        <v>0</v>
      </c>
      <c r="I2109" s="63">
        <f>IF(E2109=0,0,Fixture!D113)</f>
        <v>3</v>
      </c>
      <c r="J2109" s="63">
        <f>IF(E2109=0,0,Fixture!F113)</f>
        <v>1</v>
      </c>
      <c r="K2109" s="63">
        <f t="shared" si="509"/>
        <v>0</v>
      </c>
      <c r="L2109" s="63">
        <f t="shared" si="510"/>
        <v>0</v>
      </c>
      <c r="N2109" s="10" t="str">
        <f t="shared" si="512"/>
        <v>Los Angeles15</v>
      </c>
      <c r="O2109" s="10">
        <f t="shared" si="513"/>
        <v>3</v>
      </c>
      <c r="P2109" s="10">
        <f t="shared" si="514"/>
        <v>3</v>
      </c>
      <c r="Q2109" s="10">
        <f t="shared" si="515"/>
        <v>1</v>
      </c>
    </row>
    <row r="2110" spans="1:17">
      <c r="A2110" s="15">
        <f t="shared" si="511"/>
        <v>14</v>
      </c>
      <c r="B2110" s="15"/>
      <c r="C2110" s="14" t="str">
        <f>Fixture!C114</f>
        <v>Chicago</v>
      </c>
      <c r="D2110" s="15">
        <f>IF(E2110=0,0,IF(Fixture!D114&lt;Fixture!F114,0,IF(Fixture!F114&lt;Fixture!D114,3,1)))</f>
        <v>0</v>
      </c>
      <c r="E2110" s="16">
        <f>IF(OR(ISBLANK(Fixture!D114),ISBLANK(Fixture!F114),ISTEXT(Fixture!D114),ISTEXT(Fixture!F114)),0,1)</f>
        <v>1</v>
      </c>
      <c r="F2110" s="16">
        <f t="shared" si="506"/>
        <v>0</v>
      </c>
      <c r="G2110" s="16">
        <f t="shared" si="507"/>
        <v>0</v>
      </c>
      <c r="H2110" s="16">
        <f t="shared" si="508"/>
        <v>1</v>
      </c>
      <c r="I2110" s="63">
        <f>IF(E2110=0,0,Fixture!D114)</f>
        <v>0</v>
      </c>
      <c r="J2110" s="63">
        <f>IF(E2110=0,0,Fixture!F114)</f>
        <v>1</v>
      </c>
      <c r="K2110" s="63">
        <f t="shared" si="509"/>
        <v>1</v>
      </c>
      <c r="L2110" s="63">
        <f t="shared" si="510"/>
        <v>0</v>
      </c>
      <c r="N2110" s="10" t="str">
        <f t="shared" si="512"/>
        <v>Chicago14</v>
      </c>
      <c r="O2110" s="10">
        <f t="shared" si="513"/>
        <v>0</v>
      </c>
      <c r="P2110" s="10">
        <f t="shared" si="514"/>
        <v>0</v>
      </c>
      <c r="Q2110" s="10">
        <f t="shared" si="515"/>
        <v>1</v>
      </c>
    </row>
    <row r="2111" spans="1:17">
      <c r="A2111" s="15">
        <f t="shared" si="511"/>
        <v>14</v>
      </c>
      <c r="B2111" s="15"/>
      <c r="C2111" s="14" t="str">
        <f>Fixture!C115</f>
        <v>Toronto FC</v>
      </c>
      <c r="D2111" s="15">
        <f>IF(E2111=0,0,IF(Fixture!D115&lt;Fixture!F115,0,IF(Fixture!F115&lt;Fixture!D115,3,1)))</f>
        <v>3</v>
      </c>
      <c r="E2111" s="16">
        <f>IF(OR(ISBLANK(Fixture!D115),ISBLANK(Fixture!F115),ISTEXT(Fixture!D115),ISTEXT(Fixture!F115)),0,1)</f>
        <v>1</v>
      </c>
      <c r="F2111" s="16">
        <f t="shared" si="506"/>
        <v>1</v>
      </c>
      <c r="G2111" s="16">
        <f t="shared" si="507"/>
        <v>0</v>
      </c>
      <c r="H2111" s="16">
        <f t="shared" si="508"/>
        <v>0</v>
      </c>
      <c r="I2111" s="63">
        <f>IF(E2111=0,0,Fixture!D115)</f>
        <v>1</v>
      </c>
      <c r="J2111" s="63">
        <f>IF(E2111=0,0,Fixture!F115)</f>
        <v>0</v>
      </c>
      <c r="K2111" s="63">
        <f t="shared" si="509"/>
        <v>0</v>
      </c>
      <c r="L2111" s="63">
        <f t="shared" si="510"/>
        <v>1</v>
      </c>
      <c r="N2111" s="10" t="str">
        <f t="shared" si="512"/>
        <v>Toronto FC14</v>
      </c>
      <c r="O2111" s="10">
        <f t="shared" si="513"/>
        <v>3</v>
      </c>
      <c r="P2111" s="10">
        <f t="shared" si="514"/>
        <v>1</v>
      </c>
      <c r="Q2111" s="10">
        <f t="shared" si="515"/>
        <v>0</v>
      </c>
    </row>
    <row r="2112" spans="1:17">
      <c r="A2112" s="15">
        <f t="shared" si="511"/>
        <v>13</v>
      </c>
      <c r="B2112" s="15"/>
      <c r="C2112" s="14" t="str">
        <f>Fixture!C116</f>
        <v>Philadelphia Union</v>
      </c>
      <c r="D2112" s="15">
        <f>IF(E2112=0,0,IF(Fixture!D116&lt;Fixture!F116,0,IF(Fixture!F116&lt;Fixture!D116,3,1)))</f>
        <v>0</v>
      </c>
      <c r="E2112" s="16">
        <f>IF(OR(ISBLANK(Fixture!D116),ISBLANK(Fixture!F116),ISTEXT(Fixture!D116),ISTEXT(Fixture!F116)),0,1)</f>
        <v>1</v>
      </c>
      <c r="F2112" s="16">
        <f t="shared" si="506"/>
        <v>0</v>
      </c>
      <c r="G2112" s="16">
        <f t="shared" si="507"/>
        <v>0</v>
      </c>
      <c r="H2112" s="16">
        <f t="shared" si="508"/>
        <v>1</v>
      </c>
      <c r="I2112" s="63">
        <f>IF(E2112=0,0,Fixture!D116)</f>
        <v>1</v>
      </c>
      <c r="J2112" s="63">
        <f>IF(E2112=0,0,Fixture!F116)</f>
        <v>2</v>
      </c>
      <c r="K2112" s="63">
        <f t="shared" si="509"/>
        <v>0</v>
      </c>
      <c r="L2112" s="63">
        <f t="shared" si="510"/>
        <v>0</v>
      </c>
      <c r="N2112" s="10" t="str">
        <f t="shared" si="512"/>
        <v>Philadelphia Union13</v>
      </c>
      <c r="O2112" s="10">
        <f t="shared" si="513"/>
        <v>0</v>
      </c>
      <c r="P2112" s="10">
        <f t="shared" si="514"/>
        <v>1</v>
      </c>
      <c r="Q2112" s="10">
        <f t="shared" si="515"/>
        <v>2</v>
      </c>
    </row>
    <row r="2113" spans="1:17">
      <c r="A2113" s="15">
        <f t="shared" si="511"/>
        <v>15</v>
      </c>
      <c r="B2113" s="15"/>
      <c r="C2113" s="14" t="str">
        <f>Fixture!C117</f>
        <v>New England</v>
      </c>
      <c r="D2113" s="15">
        <f>IF(E2113=0,0,IF(Fixture!D117&lt;Fixture!F117,0,IF(Fixture!F117&lt;Fixture!D117,3,1)))</f>
        <v>3</v>
      </c>
      <c r="E2113" s="16">
        <f>IF(OR(ISBLANK(Fixture!D117),ISBLANK(Fixture!F117),ISTEXT(Fixture!D117),ISTEXT(Fixture!F117)),0,1)</f>
        <v>1</v>
      </c>
      <c r="F2113" s="16">
        <f t="shared" si="506"/>
        <v>1</v>
      </c>
      <c r="G2113" s="16">
        <f t="shared" si="507"/>
        <v>0</v>
      </c>
      <c r="H2113" s="16">
        <f t="shared" si="508"/>
        <v>0</v>
      </c>
      <c r="I2113" s="63">
        <f>IF(E2113=0,0,Fixture!D117)</f>
        <v>2</v>
      </c>
      <c r="J2113" s="63">
        <f>IF(E2113=0,0,Fixture!F117)</f>
        <v>0</v>
      </c>
      <c r="K2113" s="63">
        <f t="shared" si="509"/>
        <v>0</v>
      </c>
      <c r="L2113" s="63">
        <f t="shared" si="510"/>
        <v>1</v>
      </c>
      <c r="N2113" s="10" t="str">
        <f t="shared" si="512"/>
        <v>New England15</v>
      </c>
      <c r="O2113" s="10">
        <f t="shared" si="513"/>
        <v>3</v>
      </c>
      <c r="P2113" s="10">
        <f t="shared" si="514"/>
        <v>2</v>
      </c>
      <c r="Q2113" s="10">
        <f t="shared" si="515"/>
        <v>0</v>
      </c>
    </row>
    <row r="2114" spans="1:17">
      <c r="A2114" s="15">
        <f t="shared" si="511"/>
        <v>15</v>
      </c>
      <c r="B2114" s="15"/>
      <c r="C2114" s="14" t="str">
        <f>Fixture!C118</f>
        <v>New York Red Bulls</v>
      </c>
      <c r="D2114" s="15">
        <f>IF(E2114=0,0,IF(Fixture!D118&lt;Fixture!F118,0,IF(Fixture!F118&lt;Fixture!D118,3,1)))</f>
        <v>1</v>
      </c>
      <c r="E2114" s="16">
        <f>IF(OR(ISBLANK(Fixture!D118),ISBLANK(Fixture!F118),ISTEXT(Fixture!D118),ISTEXT(Fixture!F118)),0,1)</f>
        <v>1</v>
      </c>
      <c r="F2114" s="16">
        <f t="shared" si="506"/>
        <v>0</v>
      </c>
      <c r="G2114" s="16">
        <f t="shared" si="507"/>
        <v>1</v>
      </c>
      <c r="H2114" s="16">
        <f t="shared" si="508"/>
        <v>0</v>
      </c>
      <c r="I2114" s="63">
        <f>IF(E2114=0,0,Fixture!D118)</f>
        <v>0</v>
      </c>
      <c r="J2114" s="63">
        <f>IF(E2114=0,0,Fixture!F118)</f>
        <v>0</v>
      </c>
      <c r="K2114" s="63">
        <f t="shared" si="509"/>
        <v>1</v>
      </c>
      <c r="L2114" s="63">
        <f t="shared" si="510"/>
        <v>1</v>
      </c>
      <c r="N2114" s="10" t="str">
        <f t="shared" si="512"/>
        <v>New York Red Bulls15</v>
      </c>
      <c r="O2114" s="10">
        <f t="shared" si="513"/>
        <v>1</v>
      </c>
      <c r="P2114" s="10">
        <f t="shared" si="514"/>
        <v>0</v>
      </c>
      <c r="Q2114" s="10">
        <f t="shared" si="515"/>
        <v>0</v>
      </c>
    </row>
    <row r="2115" spans="1:17">
      <c r="A2115" s="15">
        <f t="shared" si="511"/>
        <v>16</v>
      </c>
      <c r="B2115" s="15"/>
      <c r="C2115" s="14" t="str">
        <f>Fixture!C119</f>
        <v>Houston</v>
      </c>
      <c r="D2115" s="15">
        <f>IF(E2115=0,0,IF(Fixture!D119&lt;Fixture!F119,0,IF(Fixture!F119&lt;Fixture!D119,3,1)))</f>
        <v>1</v>
      </c>
      <c r="E2115" s="16">
        <f>IF(OR(ISBLANK(Fixture!D119),ISBLANK(Fixture!F119),ISTEXT(Fixture!D119),ISTEXT(Fixture!F119)),0,1)</f>
        <v>1</v>
      </c>
      <c r="F2115" s="16">
        <f t="shared" si="506"/>
        <v>0</v>
      </c>
      <c r="G2115" s="16">
        <f t="shared" si="507"/>
        <v>1</v>
      </c>
      <c r="H2115" s="16">
        <f t="shared" si="508"/>
        <v>0</v>
      </c>
      <c r="I2115" s="63">
        <f>IF(E2115=0,0,Fixture!D119)</f>
        <v>0</v>
      </c>
      <c r="J2115" s="63">
        <f>IF(E2115=0,0,Fixture!F119)</f>
        <v>0</v>
      </c>
      <c r="K2115" s="63">
        <f t="shared" si="509"/>
        <v>1</v>
      </c>
      <c r="L2115" s="63">
        <f t="shared" si="510"/>
        <v>1</v>
      </c>
      <c r="N2115" s="10" t="str">
        <f t="shared" si="512"/>
        <v>Houston16</v>
      </c>
      <c r="O2115" s="10">
        <f t="shared" si="513"/>
        <v>1</v>
      </c>
      <c r="P2115" s="10">
        <f t="shared" si="514"/>
        <v>0</v>
      </c>
      <c r="Q2115" s="10">
        <f t="shared" si="515"/>
        <v>0</v>
      </c>
    </row>
    <row r="2116" spans="1:17">
      <c r="A2116" s="15">
        <f t="shared" si="511"/>
        <v>14</v>
      </c>
      <c r="B2116" s="15"/>
      <c r="C2116" s="14" t="str">
        <f>Fixture!C120</f>
        <v>Kansas City</v>
      </c>
      <c r="D2116" s="15">
        <f>IF(E2116=0,0,IF(Fixture!D120&lt;Fixture!F120,0,IF(Fixture!F120&lt;Fixture!D120,3,1)))</f>
        <v>0</v>
      </c>
      <c r="E2116" s="16">
        <f>IF(OR(ISBLANK(Fixture!D120),ISBLANK(Fixture!F120),ISTEXT(Fixture!D120),ISTEXT(Fixture!F120)),0,1)</f>
        <v>1</v>
      </c>
      <c r="F2116" s="16">
        <f t="shared" si="506"/>
        <v>0</v>
      </c>
      <c r="G2116" s="16">
        <f t="shared" si="507"/>
        <v>0</v>
      </c>
      <c r="H2116" s="16">
        <f t="shared" si="508"/>
        <v>1</v>
      </c>
      <c r="I2116" s="63">
        <f>IF(E2116=0,0,Fixture!D120)</f>
        <v>0</v>
      </c>
      <c r="J2116" s="63">
        <f>IF(E2116=0,0,Fixture!F120)</f>
        <v>2</v>
      </c>
      <c r="K2116" s="63">
        <f t="shared" si="509"/>
        <v>1</v>
      </c>
      <c r="L2116" s="63">
        <f t="shared" si="510"/>
        <v>0</v>
      </c>
      <c r="N2116" s="10" t="str">
        <f t="shared" si="512"/>
        <v>Kansas City14</v>
      </c>
      <c r="O2116" s="10">
        <f t="shared" si="513"/>
        <v>0</v>
      </c>
      <c r="P2116" s="10">
        <f t="shared" si="514"/>
        <v>0</v>
      </c>
      <c r="Q2116" s="10">
        <f t="shared" si="515"/>
        <v>2</v>
      </c>
    </row>
    <row r="2117" spans="1:17">
      <c r="A2117" s="15">
        <f t="shared" si="511"/>
        <v>16</v>
      </c>
      <c r="B2117" s="15"/>
      <c r="C2117" s="14" t="str">
        <f>Fixture!C121</f>
        <v>Seattle Sounders FC</v>
      </c>
      <c r="D2117" s="15">
        <f>IF(E2117=0,0,IF(Fixture!D121&lt;Fixture!F121,0,IF(Fixture!F121&lt;Fixture!D121,3,1)))</f>
        <v>1</v>
      </c>
      <c r="E2117" s="16">
        <f>IF(OR(ISBLANK(Fixture!D121),ISBLANK(Fixture!F121),ISTEXT(Fixture!D121),ISTEXT(Fixture!F121)),0,1)</f>
        <v>1</v>
      </c>
      <c r="F2117" s="16">
        <f t="shared" si="506"/>
        <v>0</v>
      </c>
      <c r="G2117" s="16">
        <f t="shared" si="507"/>
        <v>1</v>
      </c>
      <c r="H2117" s="16">
        <f t="shared" si="508"/>
        <v>0</v>
      </c>
      <c r="I2117" s="63">
        <f>IF(E2117=0,0,Fixture!D121)</f>
        <v>1</v>
      </c>
      <c r="J2117" s="63">
        <f>IF(E2117=0,0,Fixture!F121)</f>
        <v>1</v>
      </c>
      <c r="K2117" s="63">
        <f t="shared" si="509"/>
        <v>0</v>
      </c>
      <c r="L2117" s="63">
        <f t="shared" si="510"/>
        <v>0</v>
      </c>
      <c r="N2117" s="10" t="str">
        <f t="shared" si="512"/>
        <v>Seattle Sounders FC16</v>
      </c>
      <c r="O2117" s="10">
        <f t="shared" si="513"/>
        <v>1</v>
      </c>
      <c r="P2117" s="10">
        <f t="shared" si="514"/>
        <v>1</v>
      </c>
      <c r="Q2117" s="10">
        <f t="shared" si="515"/>
        <v>1</v>
      </c>
    </row>
    <row r="2118" spans="1:17">
      <c r="A2118" s="15">
        <f t="shared" si="511"/>
        <v>15</v>
      </c>
      <c r="B2118" s="15"/>
      <c r="C2118" s="14" t="str">
        <f>Fixture!C122</f>
        <v>Columbus</v>
      </c>
      <c r="D2118" s="15">
        <f>IF(E2118=0,0,IF(Fixture!D122&lt;Fixture!F122,0,IF(Fixture!F122&lt;Fixture!D122,3,1)))</f>
        <v>0</v>
      </c>
      <c r="E2118" s="16">
        <f>IF(OR(ISBLANK(Fixture!D122),ISBLANK(Fixture!F122),ISTEXT(Fixture!D122),ISTEXT(Fixture!F122)),0,1)</f>
        <v>1</v>
      </c>
      <c r="F2118" s="16">
        <f t="shared" si="506"/>
        <v>0</v>
      </c>
      <c r="G2118" s="16">
        <f t="shared" si="507"/>
        <v>0</v>
      </c>
      <c r="H2118" s="16">
        <f t="shared" si="508"/>
        <v>1</v>
      </c>
      <c r="I2118" s="63">
        <f>IF(E2118=0,0,Fixture!D122)</f>
        <v>0</v>
      </c>
      <c r="J2118" s="63">
        <f>IF(E2118=0,0,Fixture!F122)</f>
        <v>1</v>
      </c>
      <c r="K2118" s="63">
        <f t="shared" si="509"/>
        <v>1</v>
      </c>
      <c r="L2118" s="63">
        <f t="shared" si="510"/>
        <v>0</v>
      </c>
      <c r="N2118" s="10" t="str">
        <f t="shared" si="512"/>
        <v>Columbus15</v>
      </c>
      <c r="O2118" s="10">
        <f t="shared" si="513"/>
        <v>0</v>
      </c>
      <c r="P2118" s="10">
        <f t="shared" si="514"/>
        <v>0</v>
      </c>
      <c r="Q2118" s="10">
        <f t="shared" si="515"/>
        <v>1</v>
      </c>
    </row>
    <row r="2119" spans="1:17">
      <c r="A2119" s="15">
        <f t="shared" si="511"/>
        <v>16</v>
      </c>
      <c r="B2119" s="15"/>
      <c r="C2119" s="14" t="str">
        <f>Fixture!C123</f>
        <v>DC United</v>
      </c>
      <c r="D2119" s="15">
        <f>IF(E2119=0,0,IF(Fixture!D123&lt;Fixture!F123,0,IF(Fixture!F123&lt;Fixture!D123,3,1)))</f>
        <v>0</v>
      </c>
      <c r="E2119" s="16">
        <f>IF(OR(ISBLANK(Fixture!D123),ISBLANK(Fixture!F123),ISTEXT(Fixture!D123),ISTEXT(Fixture!F123)),0,1)</f>
        <v>1</v>
      </c>
      <c r="F2119" s="16">
        <f t="shared" si="506"/>
        <v>0</v>
      </c>
      <c r="G2119" s="16">
        <f t="shared" si="507"/>
        <v>0</v>
      </c>
      <c r="H2119" s="16">
        <f t="shared" si="508"/>
        <v>1</v>
      </c>
      <c r="I2119" s="63">
        <f>IF(E2119=0,0,Fixture!D123)</f>
        <v>0</v>
      </c>
      <c r="J2119" s="63">
        <f>IF(E2119=0,0,Fixture!F123)</f>
        <v>1</v>
      </c>
      <c r="K2119" s="63">
        <f t="shared" si="509"/>
        <v>1</v>
      </c>
      <c r="L2119" s="63">
        <f t="shared" si="510"/>
        <v>0</v>
      </c>
      <c r="N2119" s="10" t="str">
        <f t="shared" si="512"/>
        <v>DC United16</v>
      </c>
      <c r="O2119" s="10">
        <f t="shared" si="513"/>
        <v>0</v>
      </c>
      <c r="P2119" s="10">
        <f t="shared" si="514"/>
        <v>0</v>
      </c>
      <c r="Q2119" s="10">
        <f t="shared" si="515"/>
        <v>1</v>
      </c>
    </row>
    <row r="2120" spans="1:17">
      <c r="A2120" s="15">
        <f t="shared" si="511"/>
        <v>14</v>
      </c>
      <c r="B2120" s="15"/>
      <c r="C2120" s="14" t="str">
        <f>Fixture!C124</f>
        <v>Philadelphia Union</v>
      </c>
      <c r="D2120" s="15">
        <f>IF(E2120=0,0,IF(Fixture!D124&lt;Fixture!F124,0,IF(Fixture!F124&lt;Fixture!D124,3,1)))</f>
        <v>3</v>
      </c>
      <c r="E2120" s="16">
        <f>IF(OR(ISBLANK(Fixture!D124),ISBLANK(Fixture!F124),ISTEXT(Fixture!D124),ISTEXT(Fixture!F124)),0,1)</f>
        <v>1</v>
      </c>
      <c r="F2120" s="16">
        <f t="shared" si="506"/>
        <v>1</v>
      </c>
      <c r="G2120" s="16">
        <f t="shared" si="507"/>
        <v>0</v>
      </c>
      <c r="H2120" s="16">
        <f t="shared" si="508"/>
        <v>0</v>
      </c>
      <c r="I2120" s="63">
        <f>IF(E2120=0,0,Fixture!D124)</f>
        <v>2</v>
      </c>
      <c r="J2120" s="63">
        <f>IF(E2120=0,0,Fixture!F124)</f>
        <v>1</v>
      </c>
      <c r="K2120" s="63">
        <f t="shared" si="509"/>
        <v>0</v>
      </c>
      <c r="L2120" s="63">
        <f t="shared" si="510"/>
        <v>0</v>
      </c>
      <c r="N2120" s="10" t="str">
        <f t="shared" si="512"/>
        <v>Philadelphia Union14</v>
      </c>
      <c r="O2120" s="10">
        <f t="shared" si="513"/>
        <v>3</v>
      </c>
      <c r="P2120" s="10">
        <f t="shared" si="514"/>
        <v>2</v>
      </c>
      <c r="Q2120" s="10">
        <f t="shared" si="515"/>
        <v>1</v>
      </c>
    </row>
    <row r="2121" spans="1:17">
      <c r="A2121" s="15">
        <f t="shared" si="511"/>
        <v>16</v>
      </c>
      <c r="B2121" s="15"/>
      <c r="C2121" s="14" t="str">
        <f>Fixture!C125</f>
        <v>Columbus</v>
      </c>
      <c r="D2121" s="15">
        <f>IF(E2121=0,0,IF(Fixture!D125&lt;Fixture!F125,0,IF(Fixture!F125&lt;Fixture!D125,3,1)))</f>
        <v>3</v>
      </c>
      <c r="E2121" s="16">
        <f>IF(OR(ISBLANK(Fixture!D125),ISBLANK(Fixture!F125),ISTEXT(Fixture!D125),ISTEXT(Fixture!F125)),0,1)</f>
        <v>1</v>
      </c>
      <c r="F2121" s="16">
        <f t="shared" si="506"/>
        <v>1</v>
      </c>
      <c r="G2121" s="16">
        <f t="shared" si="507"/>
        <v>0</v>
      </c>
      <c r="H2121" s="16">
        <f t="shared" si="508"/>
        <v>0</v>
      </c>
      <c r="I2121" s="63">
        <f>IF(E2121=0,0,Fixture!D125)</f>
        <v>2</v>
      </c>
      <c r="J2121" s="63">
        <f>IF(E2121=0,0,Fixture!F125)</f>
        <v>0</v>
      </c>
      <c r="K2121" s="63">
        <f t="shared" si="509"/>
        <v>0</v>
      </c>
      <c r="L2121" s="63">
        <f t="shared" si="510"/>
        <v>1</v>
      </c>
      <c r="N2121" s="10" t="str">
        <f t="shared" si="512"/>
        <v>Columbus16</v>
      </c>
      <c r="O2121" s="10">
        <f t="shared" si="513"/>
        <v>3</v>
      </c>
      <c r="P2121" s="10">
        <f t="shared" si="514"/>
        <v>2</v>
      </c>
      <c r="Q2121" s="10">
        <f t="shared" si="515"/>
        <v>0</v>
      </c>
    </row>
    <row r="2122" spans="1:17">
      <c r="A2122" s="15">
        <f t="shared" si="511"/>
        <v>15</v>
      </c>
      <c r="B2122" s="15"/>
      <c r="C2122" s="14" t="str">
        <f>Fixture!C126</f>
        <v>Dallas</v>
      </c>
      <c r="D2122" s="15">
        <f>IF(E2122=0,0,IF(Fixture!D126&lt;Fixture!F126,0,IF(Fixture!F126&lt;Fixture!D126,3,1)))</f>
        <v>3</v>
      </c>
      <c r="E2122" s="16">
        <f>IF(OR(ISBLANK(Fixture!D126),ISBLANK(Fixture!F126),ISTEXT(Fixture!D126),ISTEXT(Fixture!F126)),0,1)</f>
        <v>1</v>
      </c>
      <c r="F2122" s="16">
        <f t="shared" si="506"/>
        <v>1</v>
      </c>
      <c r="G2122" s="16">
        <f t="shared" si="507"/>
        <v>0</v>
      </c>
      <c r="H2122" s="16">
        <f t="shared" si="508"/>
        <v>0</v>
      </c>
      <c r="I2122" s="63">
        <f>IF(E2122=0,0,Fixture!D126)</f>
        <v>2</v>
      </c>
      <c r="J2122" s="63">
        <f>IF(E2122=0,0,Fixture!F126)</f>
        <v>0</v>
      </c>
      <c r="K2122" s="63">
        <f t="shared" si="509"/>
        <v>0</v>
      </c>
      <c r="L2122" s="63">
        <f t="shared" si="510"/>
        <v>1</v>
      </c>
      <c r="N2122" s="10" t="str">
        <f t="shared" si="512"/>
        <v>Dallas15</v>
      </c>
      <c r="O2122" s="10">
        <f t="shared" si="513"/>
        <v>3</v>
      </c>
      <c r="P2122" s="10">
        <f t="shared" si="514"/>
        <v>2</v>
      </c>
      <c r="Q2122" s="10">
        <f t="shared" si="515"/>
        <v>0</v>
      </c>
    </row>
    <row r="2123" spans="1:17">
      <c r="A2123" s="15">
        <f t="shared" si="511"/>
        <v>15</v>
      </c>
      <c r="B2123" s="15"/>
      <c r="C2123" s="14" t="str">
        <f>Fixture!C127</f>
        <v>Colorado</v>
      </c>
      <c r="D2123" s="15">
        <f>IF(E2123=0,0,IF(Fixture!D127&lt;Fixture!F127,0,IF(Fixture!F127&lt;Fixture!D127,3,1)))</f>
        <v>1</v>
      </c>
      <c r="E2123" s="16">
        <f>IF(OR(ISBLANK(Fixture!D127),ISBLANK(Fixture!F127),ISTEXT(Fixture!D127),ISTEXT(Fixture!F127)),0,1)</f>
        <v>1</v>
      </c>
      <c r="F2123" s="16">
        <f t="shared" si="506"/>
        <v>0</v>
      </c>
      <c r="G2123" s="16">
        <f t="shared" si="507"/>
        <v>1</v>
      </c>
      <c r="H2123" s="16">
        <f t="shared" si="508"/>
        <v>0</v>
      </c>
      <c r="I2123" s="63">
        <f>IF(E2123=0,0,Fixture!D127)</f>
        <v>1</v>
      </c>
      <c r="J2123" s="63">
        <f>IF(E2123=0,0,Fixture!F127)</f>
        <v>1</v>
      </c>
      <c r="K2123" s="63">
        <f t="shared" si="509"/>
        <v>0</v>
      </c>
      <c r="L2123" s="63">
        <f t="shared" si="510"/>
        <v>0</v>
      </c>
      <c r="N2123" s="10" t="str">
        <f t="shared" si="512"/>
        <v>Colorado15</v>
      </c>
      <c r="O2123" s="10">
        <f t="shared" si="513"/>
        <v>1</v>
      </c>
      <c r="P2123" s="10">
        <f t="shared" si="514"/>
        <v>1</v>
      </c>
      <c r="Q2123" s="10">
        <f t="shared" si="515"/>
        <v>1</v>
      </c>
    </row>
    <row r="2124" spans="1:17">
      <c r="A2124" s="15">
        <f t="shared" si="511"/>
        <v>17</v>
      </c>
      <c r="B2124" s="15"/>
      <c r="C2124" s="14" t="str">
        <f>Fixture!C128</f>
        <v>DC United</v>
      </c>
      <c r="D2124" s="15">
        <f>IF(E2124=0,0,IF(Fixture!D128&lt;Fixture!F128,0,IF(Fixture!F128&lt;Fixture!D128,3,1)))</f>
        <v>0</v>
      </c>
      <c r="E2124" s="16">
        <f>IF(OR(ISBLANK(Fixture!D128),ISBLANK(Fixture!F128),ISTEXT(Fixture!D128),ISTEXT(Fixture!F128)),0,1)</f>
        <v>1</v>
      </c>
      <c r="F2124" s="16">
        <f t="shared" si="506"/>
        <v>0</v>
      </c>
      <c r="G2124" s="16">
        <f t="shared" si="507"/>
        <v>0</v>
      </c>
      <c r="H2124" s="16">
        <f t="shared" si="508"/>
        <v>1</v>
      </c>
      <c r="I2124" s="63">
        <f>IF(E2124=0,0,Fixture!D128)</f>
        <v>1</v>
      </c>
      <c r="J2124" s="63">
        <f>IF(E2124=0,0,Fixture!F128)</f>
        <v>2</v>
      </c>
      <c r="K2124" s="63">
        <f t="shared" si="509"/>
        <v>0</v>
      </c>
      <c r="L2124" s="63">
        <f t="shared" si="510"/>
        <v>0</v>
      </c>
      <c r="N2124" s="10" t="str">
        <f t="shared" si="512"/>
        <v>DC United17</v>
      </c>
      <c r="O2124" s="10">
        <f t="shared" si="513"/>
        <v>0</v>
      </c>
      <c r="P2124" s="10">
        <f t="shared" si="514"/>
        <v>1</v>
      </c>
      <c r="Q2124" s="10">
        <f t="shared" si="515"/>
        <v>2</v>
      </c>
    </row>
    <row r="2125" spans="1:17">
      <c r="A2125" s="15">
        <f t="shared" si="511"/>
        <v>18</v>
      </c>
      <c r="B2125" s="15"/>
      <c r="C2125" s="14" t="str">
        <f>Fixture!C129</f>
        <v>Los Angeles</v>
      </c>
      <c r="D2125" s="15">
        <f>IF(E2125=0,0,IF(Fixture!D129&lt;Fixture!F129,0,IF(Fixture!F129&lt;Fixture!D129,3,1)))</f>
        <v>1</v>
      </c>
      <c r="E2125" s="16">
        <f>IF(OR(ISBLANK(Fixture!D129),ISBLANK(Fixture!F129),ISTEXT(Fixture!D129),ISTEXT(Fixture!F129)),0,1)</f>
        <v>1</v>
      </c>
      <c r="F2125" s="16">
        <f t="shared" si="506"/>
        <v>0</v>
      </c>
      <c r="G2125" s="16">
        <f t="shared" si="507"/>
        <v>1</v>
      </c>
      <c r="H2125" s="16">
        <f t="shared" si="508"/>
        <v>0</v>
      </c>
      <c r="I2125" s="63">
        <f>IF(E2125=0,0,Fixture!D129)</f>
        <v>2</v>
      </c>
      <c r="J2125" s="63">
        <f>IF(E2125=0,0,Fixture!F129)</f>
        <v>2</v>
      </c>
      <c r="K2125" s="63">
        <f t="shared" si="509"/>
        <v>0</v>
      </c>
      <c r="L2125" s="63">
        <f t="shared" si="510"/>
        <v>0</v>
      </c>
      <c r="N2125" s="10" t="str">
        <f t="shared" si="512"/>
        <v>Los Angeles18</v>
      </c>
      <c r="O2125" s="10">
        <f t="shared" si="513"/>
        <v>1</v>
      </c>
      <c r="P2125" s="10">
        <f t="shared" si="514"/>
        <v>2</v>
      </c>
      <c r="Q2125" s="10">
        <f t="shared" si="515"/>
        <v>2</v>
      </c>
    </row>
    <row r="2126" spans="1:17">
      <c r="A2126" s="15">
        <f t="shared" si="511"/>
        <v>16</v>
      </c>
      <c r="B2126" s="15"/>
      <c r="C2126" s="14" t="str">
        <f>Fixture!C130</f>
        <v>Toronto FC</v>
      </c>
      <c r="D2126" s="15">
        <f>IF(E2126=0,0,IF(Fixture!D130&lt;Fixture!F130,0,IF(Fixture!F130&lt;Fixture!D130,3,1)))</f>
        <v>1</v>
      </c>
      <c r="E2126" s="16">
        <f>IF(OR(ISBLANK(Fixture!D130),ISBLANK(Fixture!F130),ISTEXT(Fixture!D130),ISTEXT(Fixture!F130)),0,1)</f>
        <v>1</v>
      </c>
      <c r="F2126" s="16">
        <f t="shared" si="506"/>
        <v>0</v>
      </c>
      <c r="G2126" s="16">
        <f t="shared" si="507"/>
        <v>1</v>
      </c>
      <c r="H2126" s="16">
        <f t="shared" si="508"/>
        <v>0</v>
      </c>
      <c r="I2126" s="63">
        <f>IF(E2126=0,0,Fixture!D130)</f>
        <v>1</v>
      </c>
      <c r="J2126" s="63">
        <f>IF(E2126=0,0,Fixture!F130)</f>
        <v>1</v>
      </c>
      <c r="K2126" s="63">
        <f t="shared" si="509"/>
        <v>0</v>
      </c>
      <c r="L2126" s="63">
        <f t="shared" si="510"/>
        <v>0</v>
      </c>
      <c r="N2126" s="10" t="str">
        <f t="shared" si="512"/>
        <v>Toronto FC16</v>
      </c>
      <c r="O2126" s="10">
        <f t="shared" si="513"/>
        <v>1</v>
      </c>
      <c r="P2126" s="10">
        <f t="shared" si="514"/>
        <v>1</v>
      </c>
      <c r="Q2126" s="10">
        <f t="shared" si="515"/>
        <v>1</v>
      </c>
    </row>
    <row r="2127" spans="1:17">
      <c r="A2127" s="15">
        <f t="shared" si="511"/>
        <v>17</v>
      </c>
      <c r="B2127" s="15"/>
      <c r="C2127" s="14" t="str">
        <f>Fixture!C131</f>
        <v>Columbus</v>
      </c>
      <c r="D2127" s="15">
        <f>IF(E2127=0,0,IF(Fixture!D131&lt;Fixture!F131,0,IF(Fixture!F131&lt;Fixture!D131,3,1)))</f>
        <v>3</v>
      </c>
      <c r="E2127" s="16">
        <f>IF(OR(ISBLANK(Fixture!D131),ISBLANK(Fixture!F131),ISTEXT(Fixture!D131),ISTEXT(Fixture!F131)),0,1)</f>
        <v>1</v>
      </c>
      <c r="F2127" s="16">
        <f t="shared" si="506"/>
        <v>1</v>
      </c>
      <c r="G2127" s="16">
        <f t="shared" si="507"/>
        <v>0</v>
      </c>
      <c r="H2127" s="16">
        <f t="shared" si="508"/>
        <v>0</v>
      </c>
      <c r="I2127" s="63">
        <f>IF(E2127=0,0,Fixture!D131)</f>
        <v>3</v>
      </c>
      <c r="J2127" s="63">
        <f>IF(E2127=0,0,Fixture!F131)</f>
        <v>0</v>
      </c>
      <c r="K2127" s="63">
        <f t="shared" si="509"/>
        <v>0</v>
      </c>
      <c r="L2127" s="63">
        <f t="shared" si="510"/>
        <v>1</v>
      </c>
      <c r="N2127" s="10" t="str">
        <f t="shared" si="512"/>
        <v>Columbus17</v>
      </c>
      <c r="O2127" s="10">
        <f t="shared" si="513"/>
        <v>3</v>
      </c>
      <c r="P2127" s="10">
        <f t="shared" si="514"/>
        <v>3</v>
      </c>
      <c r="Q2127" s="10">
        <f t="shared" si="515"/>
        <v>0</v>
      </c>
    </row>
    <row r="2128" spans="1:17">
      <c r="A2128" s="15">
        <f t="shared" si="511"/>
        <v>17</v>
      </c>
      <c r="B2128" s="15"/>
      <c r="C2128" s="14" t="str">
        <f>Fixture!C132</f>
        <v>Real Salt Lake</v>
      </c>
      <c r="D2128" s="15">
        <f>IF(E2128=0,0,IF(Fixture!D132&lt;Fixture!F132,0,IF(Fixture!F132&lt;Fixture!D132,3,1)))</f>
        <v>1</v>
      </c>
      <c r="E2128" s="16">
        <f>IF(OR(ISBLANK(Fixture!D132),ISBLANK(Fixture!F132),ISTEXT(Fixture!D132),ISTEXT(Fixture!F132)),0,1)</f>
        <v>1</v>
      </c>
      <c r="F2128" s="16">
        <f t="shared" si="506"/>
        <v>0</v>
      </c>
      <c r="G2128" s="16">
        <f t="shared" si="507"/>
        <v>1</v>
      </c>
      <c r="H2128" s="16">
        <f t="shared" si="508"/>
        <v>0</v>
      </c>
      <c r="I2128" s="63">
        <f>IF(E2128=0,0,Fixture!D132)</f>
        <v>1</v>
      </c>
      <c r="J2128" s="63">
        <f>IF(E2128=0,0,Fixture!F132)</f>
        <v>1</v>
      </c>
      <c r="K2128" s="63">
        <f t="shared" si="509"/>
        <v>0</v>
      </c>
      <c r="L2128" s="63">
        <f t="shared" si="510"/>
        <v>0</v>
      </c>
      <c r="N2128" s="10" t="str">
        <f t="shared" si="512"/>
        <v>Real Salt Lake17</v>
      </c>
      <c r="O2128" s="10">
        <f t="shared" si="513"/>
        <v>1</v>
      </c>
      <c r="P2128" s="10">
        <f t="shared" si="514"/>
        <v>1</v>
      </c>
      <c r="Q2128" s="10">
        <f t="shared" si="515"/>
        <v>1</v>
      </c>
    </row>
    <row r="2129" spans="1:17">
      <c r="A2129" s="15">
        <f t="shared" si="511"/>
        <v>18</v>
      </c>
      <c r="B2129" s="15"/>
      <c r="C2129" s="14" t="str">
        <f>Fixture!C133</f>
        <v>Seattle Sounders FC</v>
      </c>
      <c r="D2129" s="15">
        <f>IF(E2129=0,0,IF(Fixture!D133&lt;Fixture!F133,0,IF(Fixture!F133&lt;Fixture!D133,3,1)))</f>
        <v>3</v>
      </c>
      <c r="E2129" s="16">
        <f>IF(OR(ISBLANK(Fixture!D133),ISBLANK(Fixture!F133),ISTEXT(Fixture!D133),ISTEXT(Fixture!F133)),0,1)</f>
        <v>1</v>
      </c>
      <c r="F2129" s="16">
        <f t="shared" ref="F2129:F2192" si="516">IF(E2129=0,0,IF(D2129&lt;&gt;3,0,1))</f>
        <v>1</v>
      </c>
      <c r="G2129" s="16">
        <f t="shared" ref="G2129:G2192" si="517">IF(E2129=0,0,IF(D2129&lt;&gt;1,0,1))</f>
        <v>0</v>
      </c>
      <c r="H2129" s="16">
        <f t="shared" ref="H2129:H2192" si="518">IF(E2129=0,0,IF(D2129&lt;&gt;0,0,1))</f>
        <v>0</v>
      </c>
      <c r="I2129" s="63">
        <f>IF(E2129=0,0,Fixture!D133)</f>
        <v>2</v>
      </c>
      <c r="J2129" s="63">
        <f>IF(E2129=0,0,Fixture!F133)</f>
        <v>1</v>
      </c>
      <c r="K2129" s="63">
        <f t="shared" ref="K2129:K2192" si="519">IF(E2129=0,0,IF(I2129&gt;0,0,1))</f>
        <v>0</v>
      </c>
      <c r="L2129" s="63">
        <f t="shared" ref="L2129:L2192" si="520">IF(E2129=0,0,IF(J2129&gt;0,0,1))</f>
        <v>0</v>
      </c>
      <c r="N2129" s="10" t="str">
        <f t="shared" si="512"/>
        <v>Seattle Sounders FC18</v>
      </c>
      <c r="O2129" s="10">
        <f t="shared" si="513"/>
        <v>3</v>
      </c>
      <c r="P2129" s="10">
        <f t="shared" si="514"/>
        <v>2</v>
      </c>
      <c r="Q2129" s="10">
        <f t="shared" si="515"/>
        <v>1</v>
      </c>
    </row>
    <row r="2130" spans="1:17">
      <c r="A2130" s="15">
        <f t="shared" ref="A2130:A2193" si="521">A173</f>
        <v>15</v>
      </c>
      <c r="B2130" s="15"/>
      <c r="C2130" s="14" t="str">
        <f>Fixture!C134</f>
        <v>Philadelphia Union</v>
      </c>
      <c r="D2130" s="15">
        <f>IF(E2130=0,0,IF(Fixture!D134&lt;Fixture!F134,0,IF(Fixture!F134&lt;Fixture!D134,3,1)))</f>
        <v>1</v>
      </c>
      <c r="E2130" s="16">
        <f>IF(OR(ISBLANK(Fixture!D134),ISBLANK(Fixture!F134),ISTEXT(Fixture!D134),ISTEXT(Fixture!F134)),0,1)</f>
        <v>1</v>
      </c>
      <c r="F2130" s="16">
        <f t="shared" si="516"/>
        <v>0</v>
      </c>
      <c r="G2130" s="16">
        <f t="shared" si="517"/>
        <v>1</v>
      </c>
      <c r="H2130" s="16">
        <f t="shared" si="518"/>
        <v>0</v>
      </c>
      <c r="I2130" s="63">
        <f>IF(E2130=0,0,Fixture!D134)</f>
        <v>1</v>
      </c>
      <c r="J2130" s="63">
        <f>IF(E2130=0,0,Fixture!F134)</f>
        <v>1</v>
      </c>
      <c r="K2130" s="63">
        <f t="shared" si="519"/>
        <v>0</v>
      </c>
      <c r="L2130" s="63">
        <f t="shared" si="520"/>
        <v>0</v>
      </c>
      <c r="N2130" s="10" t="str">
        <f t="shared" ref="N2130:N2193" si="522">CONCATENATE(C2130,A2130)</f>
        <v>Philadelphia Union15</v>
      </c>
      <c r="O2130" s="10">
        <f t="shared" ref="O2130:O2193" si="523">D2130</f>
        <v>1</v>
      </c>
      <c r="P2130" s="10">
        <f t="shared" ref="P2130:P2193" si="524">I2130</f>
        <v>1</v>
      </c>
      <c r="Q2130" s="10">
        <f t="shared" ref="Q2130:Q2193" si="525">J2130</f>
        <v>1</v>
      </c>
    </row>
    <row r="2131" spans="1:17">
      <c r="A2131" s="15">
        <f t="shared" si="521"/>
        <v>17</v>
      </c>
      <c r="B2131" s="15"/>
      <c r="C2131" s="14" t="str">
        <f>Fixture!C135</f>
        <v>Colorado</v>
      </c>
      <c r="D2131" s="15">
        <f>IF(E2131=0,0,IF(Fixture!D135&lt;Fixture!F135,0,IF(Fixture!F135&lt;Fixture!D135,3,1)))</f>
        <v>1</v>
      </c>
      <c r="E2131" s="16">
        <f>IF(OR(ISBLANK(Fixture!D135),ISBLANK(Fixture!F135),ISTEXT(Fixture!D135),ISTEXT(Fixture!F135)),0,1)</f>
        <v>1</v>
      </c>
      <c r="F2131" s="16">
        <f t="shared" si="516"/>
        <v>0</v>
      </c>
      <c r="G2131" s="16">
        <f t="shared" si="517"/>
        <v>1</v>
      </c>
      <c r="H2131" s="16">
        <f t="shared" si="518"/>
        <v>0</v>
      </c>
      <c r="I2131" s="63">
        <f>IF(E2131=0,0,Fixture!D135)</f>
        <v>1</v>
      </c>
      <c r="J2131" s="63">
        <f>IF(E2131=0,0,Fixture!F135)</f>
        <v>1</v>
      </c>
      <c r="K2131" s="63">
        <f t="shared" si="519"/>
        <v>0</v>
      </c>
      <c r="L2131" s="63">
        <f t="shared" si="520"/>
        <v>0</v>
      </c>
      <c r="N2131" s="10" t="str">
        <f t="shared" si="522"/>
        <v>Colorado17</v>
      </c>
      <c r="O2131" s="10">
        <f t="shared" si="523"/>
        <v>1</v>
      </c>
      <c r="P2131" s="10">
        <f t="shared" si="524"/>
        <v>1</v>
      </c>
      <c r="Q2131" s="10">
        <f t="shared" si="525"/>
        <v>1</v>
      </c>
    </row>
    <row r="2132" spans="1:17">
      <c r="A2132" s="15">
        <f t="shared" si="521"/>
        <v>18</v>
      </c>
      <c r="B2132" s="15"/>
      <c r="C2132" s="14" t="str">
        <f>Fixture!C136</f>
        <v>Houston</v>
      </c>
      <c r="D2132" s="15">
        <f>IF(E2132=0,0,IF(Fixture!D136&lt;Fixture!F136,0,IF(Fixture!F136&lt;Fixture!D136,3,1)))</f>
        <v>1</v>
      </c>
      <c r="E2132" s="16">
        <f>IF(OR(ISBLANK(Fixture!D136),ISBLANK(Fixture!F136),ISTEXT(Fixture!D136),ISTEXT(Fixture!F136)),0,1)</f>
        <v>1</v>
      </c>
      <c r="F2132" s="16">
        <f t="shared" si="516"/>
        <v>0</v>
      </c>
      <c r="G2132" s="16">
        <f t="shared" si="517"/>
        <v>1</v>
      </c>
      <c r="H2132" s="16">
        <f t="shared" si="518"/>
        <v>0</v>
      </c>
      <c r="I2132" s="63">
        <f>IF(E2132=0,0,Fixture!D136)</f>
        <v>2</v>
      </c>
      <c r="J2132" s="63">
        <f>IF(E2132=0,0,Fixture!F136)</f>
        <v>2</v>
      </c>
      <c r="K2132" s="63">
        <f t="shared" si="519"/>
        <v>0</v>
      </c>
      <c r="L2132" s="63">
        <f t="shared" si="520"/>
        <v>0</v>
      </c>
      <c r="N2132" s="10" t="str">
        <f t="shared" si="522"/>
        <v>Houston18</v>
      </c>
      <c r="O2132" s="10">
        <f t="shared" si="523"/>
        <v>1</v>
      </c>
      <c r="P2132" s="10">
        <f t="shared" si="524"/>
        <v>2</v>
      </c>
      <c r="Q2132" s="10">
        <f t="shared" si="525"/>
        <v>2</v>
      </c>
    </row>
    <row r="2133" spans="1:17">
      <c r="A2133" s="15">
        <f t="shared" si="521"/>
        <v>17</v>
      </c>
      <c r="B2133" s="15"/>
      <c r="C2133" s="14" t="str">
        <f>Fixture!C137</f>
        <v>Kansas City</v>
      </c>
      <c r="D2133" s="15">
        <f>IF(E2133=0,0,IF(Fixture!D137&lt;Fixture!F137,0,IF(Fixture!F137&lt;Fixture!D137,3,1)))</f>
        <v>3</v>
      </c>
      <c r="E2133" s="16">
        <f>IF(OR(ISBLANK(Fixture!D137),ISBLANK(Fixture!F137),ISTEXT(Fixture!D137),ISTEXT(Fixture!F137)),0,1)</f>
        <v>1</v>
      </c>
      <c r="F2133" s="16">
        <f t="shared" si="516"/>
        <v>1</v>
      </c>
      <c r="G2133" s="16">
        <f t="shared" si="517"/>
        <v>0</v>
      </c>
      <c r="H2133" s="16">
        <f t="shared" si="518"/>
        <v>0</v>
      </c>
      <c r="I2133" s="63">
        <f>IF(E2133=0,0,Fixture!D137)</f>
        <v>1</v>
      </c>
      <c r="J2133" s="63">
        <f>IF(E2133=0,0,Fixture!F137)</f>
        <v>0</v>
      </c>
      <c r="K2133" s="63">
        <f t="shared" si="519"/>
        <v>0</v>
      </c>
      <c r="L2133" s="63">
        <f t="shared" si="520"/>
        <v>1</v>
      </c>
      <c r="N2133" s="10" t="str">
        <f t="shared" si="522"/>
        <v>Kansas City17</v>
      </c>
      <c r="O2133" s="10">
        <f t="shared" si="523"/>
        <v>3</v>
      </c>
      <c r="P2133" s="10">
        <f t="shared" si="524"/>
        <v>1</v>
      </c>
      <c r="Q2133" s="10">
        <f t="shared" si="525"/>
        <v>0</v>
      </c>
    </row>
    <row r="2134" spans="1:17">
      <c r="A2134" s="15">
        <f t="shared" si="521"/>
        <v>18</v>
      </c>
      <c r="B2134" s="15"/>
      <c r="C2134" s="14" t="str">
        <f>Fixture!C138</f>
        <v>Real Salt Lake</v>
      </c>
      <c r="D2134" s="15">
        <f>IF(E2134=0,0,IF(Fixture!D138&lt;Fixture!F138,0,IF(Fixture!F138&lt;Fixture!D138,3,1)))</f>
        <v>3</v>
      </c>
      <c r="E2134" s="16">
        <f>IF(OR(ISBLANK(Fixture!D138),ISBLANK(Fixture!F138),ISTEXT(Fixture!D138),ISTEXT(Fixture!F138)),0,1)</f>
        <v>1</v>
      </c>
      <c r="F2134" s="16">
        <f t="shared" si="516"/>
        <v>1</v>
      </c>
      <c r="G2134" s="16">
        <f t="shared" si="517"/>
        <v>0</v>
      </c>
      <c r="H2134" s="16">
        <f t="shared" si="518"/>
        <v>0</v>
      </c>
      <c r="I2134" s="63">
        <f>IF(E2134=0,0,Fixture!D138)</f>
        <v>3</v>
      </c>
      <c r="J2134" s="63">
        <f>IF(E2134=0,0,Fixture!F138)</f>
        <v>0</v>
      </c>
      <c r="K2134" s="63">
        <f t="shared" si="519"/>
        <v>0</v>
      </c>
      <c r="L2134" s="63">
        <f t="shared" si="520"/>
        <v>1</v>
      </c>
      <c r="N2134" s="10" t="str">
        <f t="shared" si="522"/>
        <v>Real Salt Lake18</v>
      </c>
      <c r="O2134" s="10">
        <f t="shared" si="523"/>
        <v>3</v>
      </c>
      <c r="P2134" s="10">
        <f t="shared" si="524"/>
        <v>3</v>
      </c>
      <c r="Q2134" s="10">
        <f t="shared" si="525"/>
        <v>0</v>
      </c>
    </row>
    <row r="2135" spans="1:17">
      <c r="A2135" s="15">
        <f t="shared" si="521"/>
        <v>16</v>
      </c>
      <c r="B2135" s="15"/>
      <c r="C2135" s="14" t="str">
        <f>Fixture!C139</f>
        <v>San Jose</v>
      </c>
      <c r="D2135" s="15">
        <f>IF(E2135=0,0,IF(Fixture!D139&lt;Fixture!F139,0,IF(Fixture!F139&lt;Fixture!D139,3,1)))</f>
        <v>0</v>
      </c>
      <c r="E2135" s="16">
        <f>IF(OR(ISBLANK(Fixture!D139),ISBLANK(Fixture!F139),ISTEXT(Fixture!D139),ISTEXT(Fixture!F139)),0,1)</f>
        <v>1</v>
      </c>
      <c r="F2135" s="16">
        <f t="shared" si="516"/>
        <v>0</v>
      </c>
      <c r="G2135" s="16">
        <f t="shared" si="517"/>
        <v>0</v>
      </c>
      <c r="H2135" s="16">
        <f t="shared" si="518"/>
        <v>1</v>
      </c>
      <c r="I2135" s="63">
        <f>IF(E2135=0,0,Fixture!D139)</f>
        <v>0</v>
      </c>
      <c r="J2135" s="63">
        <f>IF(E2135=0,0,Fixture!F139)</f>
        <v>1</v>
      </c>
      <c r="K2135" s="63">
        <f t="shared" si="519"/>
        <v>1</v>
      </c>
      <c r="L2135" s="63">
        <f t="shared" si="520"/>
        <v>0</v>
      </c>
      <c r="N2135" s="10" t="str">
        <f t="shared" si="522"/>
        <v>San Jose16</v>
      </c>
      <c r="O2135" s="10">
        <f t="shared" si="523"/>
        <v>0</v>
      </c>
      <c r="P2135" s="10">
        <f t="shared" si="524"/>
        <v>0</v>
      </c>
      <c r="Q2135" s="10">
        <f t="shared" si="525"/>
        <v>1</v>
      </c>
    </row>
    <row r="2136" spans="1:17">
      <c r="A2136" s="15">
        <f t="shared" si="521"/>
        <v>17</v>
      </c>
      <c r="B2136" s="15"/>
      <c r="C2136" s="14" t="str">
        <f>Fixture!C140</f>
        <v>Chivas USA</v>
      </c>
      <c r="D2136" s="15">
        <f>IF(E2136=0,0,IF(Fixture!D140&lt;Fixture!F140,0,IF(Fixture!F140&lt;Fixture!D140,3,1)))</f>
        <v>3</v>
      </c>
      <c r="E2136" s="16">
        <f>IF(OR(ISBLANK(Fixture!D140),ISBLANK(Fixture!F140),ISTEXT(Fixture!D140),ISTEXT(Fixture!F140)),0,1)</f>
        <v>1</v>
      </c>
      <c r="F2136" s="16">
        <f t="shared" si="516"/>
        <v>1</v>
      </c>
      <c r="G2136" s="16">
        <f t="shared" si="517"/>
        <v>0</v>
      </c>
      <c r="H2136" s="16">
        <f t="shared" si="518"/>
        <v>0</v>
      </c>
      <c r="I2136" s="63">
        <f>IF(E2136=0,0,Fixture!D140)</f>
        <v>3</v>
      </c>
      <c r="J2136" s="63">
        <f>IF(E2136=0,0,Fixture!F140)</f>
        <v>1</v>
      </c>
      <c r="K2136" s="63">
        <f t="shared" si="519"/>
        <v>0</v>
      </c>
      <c r="L2136" s="63">
        <f t="shared" si="520"/>
        <v>0</v>
      </c>
      <c r="N2136" s="10" t="str">
        <f t="shared" si="522"/>
        <v>Chivas USA17</v>
      </c>
      <c r="O2136" s="10">
        <f t="shared" si="523"/>
        <v>3</v>
      </c>
      <c r="P2136" s="10">
        <f t="shared" si="524"/>
        <v>3</v>
      </c>
      <c r="Q2136" s="10">
        <f t="shared" si="525"/>
        <v>1</v>
      </c>
    </row>
    <row r="2137" spans="1:17">
      <c r="A2137" s="15">
        <f t="shared" si="521"/>
        <v>19</v>
      </c>
      <c r="B2137" s="15"/>
      <c r="C2137" s="14" t="str">
        <f>Fixture!C141</f>
        <v>Los Angeles</v>
      </c>
      <c r="D2137" s="15">
        <f>IF(E2137=0,0,IF(Fixture!D141&lt;Fixture!F141,0,IF(Fixture!F141&lt;Fixture!D141,3,1)))</f>
        <v>0</v>
      </c>
      <c r="E2137" s="16">
        <f>IF(OR(ISBLANK(Fixture!D141),ISBLANK(Fixture!F141),ISTEXT(Fixture!D141),ISTEXT(Fixture!F141)),0,1)</f>
        <v>1</v>
      </c>
      <c r="F2137" s="16">
        <f t="shared" si="516"/>
        <v>0</v>
      </c>
      <c r="G2137" s="16">
        <f t="shared" si="517"/>
        <v>0</v>
      </c>
      <c r="H2137" s="16">
        <f t="shared" si="518"/>
        <v>1</v>
      </c>
      <c r="I2137" s="63">
        <f>IF(E2137=0,0,Fixture!D141)</f>
        <v>2</v>
      </c>
      <c r="J2137" s="63">
        <f>IF(E2137=0,0,Fixture!F141)</f>
        <v>3</v>
      </c>
      <c r="K2137" s="63">
        <f t="shared" si="519"/>
        <v>0</v>
      </c>
      <c r="L2137" s="63">
        <f t="shared" si="520"/>
        <v>0</v>
      </c>
      <c r="N2137" s="10" t="str">
        <f t="shared" si="522"/>
        <v>Los Angeles19</v>
      </c>
      <c r="O2137" s="10">
        <f t="shared" si="523"/>
        <v>0</v>
      </c>
      <c r="P2137" s="10">
        <f t="shared" si="524"/>
        <v>2</v>
      </c>
      <c r="Q2137" s="10">
        <f t="shared" si="525"/>
        <v>3</v>
      </c>
    </row>
    <row r="2138" spans="1:17">
      <c r="A2138" s="15">
        <f t="shared" si="521"/>
        <v>16</v>
      </c>
      <c r="B2138" s="15"/>
      <c r="C2138" s="14" t="str">
        <f>Fixture!C142</f>
        <v>Philadelphia Union</v>
      </c>
      <c r="D2138" s="15">
        <f>IF(E2138=0,0,IF(Fixture!D142&lt;Fixture!F142,0,IF(Fixture!F142&lt;Fixture!D142,3,1)))</f>
        <v>0</v>
      </c>
      <c r="E2138" s="16">
        <f>IF(OR(ISBLANK(Fixture!D142),ISBLANK(Fixture!F142),ISTEXT(Fixture!D142),ISTEXT(Fixture!F142)),0,1)</f>
        <v>1</v>
      </c>
      <c r="F2138" s="16">
        <f t="shared" si="516"/>
        <v>0</v>
      </c>
      <c r="G2138" s="16">
        <f t="shared" si="517"/>
        <v>0</v>
      </c>
      <c r="H2138" s="16">
        <f t="shared" si="518"/>
        <v>1</v>
      </c>
      <c r="I2138" s="63">
        <f>IF(E2138=0,0,Fixture!D142)</f>
        <v>1</v>
      </c>
      <c r="J2138" s="63">
        <f>IF(E2138=0,0,Fixture!F142)</f>
        <v>2</v>
      </c>
      <c r="K2138" s="63">
        <f t="shared" si="519"/>
        <v>0</v>
      </c>
      <c r="L2138" s="63">
        <f t="shared" si="520"/>
        <v>0</v>
      </c>
      <c r="N2138" s="10" t="str">
        <f t="shared" si="522"/>
        <v>Philadelphia Union16</v>
      </c>
      <c r="O2138" s="10">
        <f t="shared" si="523"/>
        <v>0</v>
      </c>
      <c r="P2138" s="10">
        <f t="shared" si="524"/>
        <v>1</v>
      </c>
      <c r="Q2138" s="10">
        <f t="shared" si="525"/>
        <v>2</v>
      </c>
    </row>
    <row r="2139" spans="1:17">
      <c r="A2139" s="15">
        <f t="shared" si="521"/>
        <v>18</v>
      </c>
      <c r="B2139" s="15"/>
      <c r="C2139" s="14" t="str">
        <f>Fixture!C143</f>
        <v>Toronto FC</v>
      </c>
      <c r="D2139" s="15">
        <f>IF(E2139=0,0,IF(Fixture!D143&lt;Fixture!F143,0,IF(Fixture!F143&lt;Fixture!D143,3,1)))</f>
        <v>3</v>
      </c>
      <c r="E2139" s="16">
        <f>IF(OR(ISBLANK(Fixture!D143),ISBLANK(Fixture!F143),ISTEXT(Fixture!D143),ISTEXT(Fixture!F143)),0,1)</f>
        <v>1</v>
      </c>
      <c r="F2139" s="16">
        <f t="shared" si="516"/>
        <v>1</v>
      </c>
      <c r="G2139" s="16">
        <f t="shared" si="517"/>
        <v>0</v>
      </c>
      <c r="H2139" s="16">
        <f t="shared" si="518"/>
        <v>0</v>
      </c>
      <c r="I2139" s="63">
        <f>IF(E2139=0,0,Fixture!D143)</f>
        <v>2</v>
      </c>
      <c r="J2139" s="63">
        <f>IF(E2139=0,0,Fixture!F143)</f>
        <v>1</v>
      </c>
      <c r="K2139" s="63">
        <f t="shared" si="519"/>
        <v>0</v>
      </c>
      <c r="L2139" s="63">
        <f t="shared" si="520"/>
        <v>0</v>
      </c>
      <c r="N2139" s="10" t="str">
        <f t="shared" si="522"/>
        <v>Toronto FC18</v>
      </c>
      <c r="O2139" s="10">
        <f t="shared" si="523"/>
        <v>3</v>
      </c>
      <c r="P2139" s="10">
        <f t="shared" si="524"/>
        <v>2</v>
      </c>
      <c r="Q2139" s="10">
        <f t="shared" si="525"/>
        <v>1</v>
      </c>
    </row>
    <row r="2140" spans="1:17">
      <c r="A2140" s="15">
        <f t="shared" si="521"/>
        <v>17</v>
      </c>
      <c r="B2140" s="15"/>
      <c r="C2140" s="14" t="str">
        <f>Fixture!C144</f>
        <v>New England</v>
      </c>
      <c r="D2140" s="15">
        <f>IF(E2140=0,0,IF(Fixture!D144&lt;Fixture!F144,0,IF(Fixture!F144&lt;Fixture!D144,3,1)))</f>
        <v>3</v>
      </c>
      <c r="E2140" s="16">
        <f>IF(OR(ISBLANK(Fixture!D144),ISBLANK(Fixture!F144),ISTEXT(Fixture!D144),ISTEXT(Fixture!F144)),0,1)</f>
        <v>1</v>
      </c>
      <c r="F2140" s="16">
        <f t="shared" si="516"/>
        <v>1</v>
      </c>
      <c r="G2140" s="16">
        <f t="shared" si="517"/>
        <v>0</v>
      </c>
      <c r="H2140" s="16">
        <f t="shared" si="518"/>
        <v>0</v>
      </c>
      <c r="I2140" s="63">
        <f>IF(E2140=0,0,Fixture!D144)</f>
        <v>1</v>
      </c>
      <c r="J2140" s="63">
        <f>IF(E2140=0,0,Fixture!F144)</f>
        <v>0</v>
      </c>
      <c r="K2140" s="63">
        <f t="shared" si="519"/>
        <v>0</v>
      </c>
      <c r="L2140" s="63">
        <f t="shared" si="520"/>
        <v>1</v>
      </c>
      <c r="N2140" s="10" t="str">
        <f t="shared" si="522"/>
        <v>New England17</v>
      </c>
      <c r="O2140" s="10">
        <f t="shared" si="523"/>
        <v>3</v>
      </c>
      <c r="P2140" s="10">
        <f t="shared" si="524"/>
        <v>1</v>
      </c>
      <c r="Q2140" s="10">
        <f t="shared" si="525"/>
        <v>0</v>
      </c>
    </row>
    <row r="2141" spans="1:17">
      <c r="A2141" s="15">
        <f t="shared" si="521"/>
        <v>18</v>
      </c>
      <c r="B2141" s="15"/>
      <c r="C2141" s="14" t="str">
        <f>Fixture!C145</f>
        <v>Kansas City</v>
      </c>
      <c r="D2141" s="15">
        <f>IF(E2141=0,0,IF(Fixture!D145&lt;Fixture!F145,0,IF(Fixture!F145&lt;Fixture!D145,3,1)))</f>
        <v>1</v>
      </c>
      <c r="E2141" s="16">
        <f>IF(OR(ISBLANK(Fixture!D145),ISBLANK(Fixture!F145),ISTEXT(Fixture!D145),ISTEXT(Fixture!F145)),0,1)</f>
        <v>1</v>
      </c>
      <c r="F2141" s="16">
        <f t="shared" si="516"/>
        <v>0</v>
      </c>
      <c r="G2141" s="16">
        <f t="shared" si="517"/>
        <v>1</v>
      </c>
      <c r="H2141" s="16">
        <f t="shared" si="518"/>
        <v>0</v>
      </c>
      <c r="I2141" s="63">
        <f>IF(E2141=0,0,Fixture!D145)</f>
        <v>1</v>
      </c>
      <c r="J2141" s="63">
        <f>IF(E2141=0,0,Fixture!F145)</f>
        <v>1</v>
      </c>
      <c r="K2141" s="63">
        <f t="shared" si="519"/>
        <v>0</v>
      </c>
      <c r="L2141" s="63">
        <f t="shared" si="520"/>
        <v>0</v>
      </c>
      <c r="N2141" s="10" t="str">
        <f t="shared" si="522"/>
        <v>Kansas City18</v>
      </c>
      <c r="O2141" s="10">
        <f t="shared" si="523"/>
        <v>1</v>
      </c>
      <c r="P2141" s="10">
        <f t="shared" si="524"/>
        <v>1</v>
      </c>
      <c r="Q2141" s="10">
        <f t="shared" si="525"/>
        <v>1</v>
      </c>
    </row>
    <row r="2142" spans="1:17">
      <c r="A2142" s="15">
        <f t="shared" si="521"/>
        <v>18</v>
      </c>
      <c r="B2142" s="15"/>
      <c r="C2142" s="14" t="str">
        <f>Fixture!C146</f>
        <v>Colorado</v>
      </c>
      <c r="D2142" s="15">
        <f>IF(E2142=0,0,IF(Fixture!D146&lt;Fixture!F146,0,IF(Fixture!F146&lt;Fixture!D146,3,1)))</f>
        <v>3</v>
      </c>
      <c r="E2142" s="16">
        <f>IF(OR(ISBLANK(Fixture!D146),ISBLANK(Fixture!F146),ISTEXT(Fixture!D146),ISTEXT(Fixture!F146)),0,1)</f>
        <v>1</v>
      </c>
      <c r="F2142" s="16">
        <f t="shared" si="516"/>
        <v>1</v>
      </c>
      <c r="G2142" s="16">
        <f t="shared" si="517"/>
        <v>0</v>
      </c>
      <c r="H2142" s="16">
        <f t="shared" si="518"/>
        <v>0</v>
      </c>
      <c r="I2142" s="63">
        <f>IF(E2142=0,0,Fixture!D146)</f>
        <v>1</v>
      </c>
      <c r="J2142" s="63">
        <f>IF(E2142=0,0,Fixture!F146)</f>
        <v>0</v>
      </c>
      <c r="K2142" s="63">
        <f t="shared" si="519"/>
        <v>0</v>
      </c>
      <c r="L2142" s="63">
        <f t="shared" si="520"/>
        <v>1</v>
      </c>
      <c r="N2142" s="10" t="str">
        <f t="shared" si="522"/>
        <v>Colorado18</v>
      </c>
      <c r="O2142" s="10">
        <f t="shared" si="523"/>
        <v>3</v>
      </c>
      <c r="P2142" s="10">
        <f t="shared" si="524"/>
        <v>1</v>
      </c>
      <c r="Q2142" s="10">
        <f t="shared" si="525"/>
        <v>0</v>
      </c>
    </row>
    <row r="2143" spans="1:17">
      <c r="A2143" s="15">
        <f t="shared" si="521"/>
        <v>18</v>
      </c>
      <c r="B2143" s="15"/>
      <c r="C2143" s="14" t="str">
        <f>Fixture!C147</f>
        <v>Dallas</v>
      </c>
      <c r="D2143" s="15">
        <f>IF(E2143=0,0,IF(Fixture!D147&lt;Fixture!F147,0,IF(Fixture!F147&lt;Fixture!D147,3,1)))</f>
        <v>3</v>
      </c>
      <c r="E2143" s="16">
        <f>IF(OR(ISBLANK(Fixture!D147),ISBLANK(Fixture!F147),ISTEXT(Fixture!D147),ISTEXT(Fixture!F147)),0,1)</f>
        <v>1</v>
      </c>
      <c r="F2143" s="16">
        <f t="shared" si="516"/>
        <v>1</v>
      </c>
      <c r="G2143" s="16">
        <f t="shared" si="517"/>
        <v>0</v>
      </c>
      <c r="H2143" s="16">
        <f t="shared" si="518"/>
        <v>0</v>
      </c>
      <c r="I2143" s="63">
        <f>IF(E2143=0,0,Fixture!D147)</f>
        <v>3</v>
      </c>
      <c r="J2143" s="63">
        <f>IF(E2143=0,0,Fixture!F147)</f>
        <v>1</v>
      </c>
      <c r="K2143" s="63">
        <f t="shared" si="519"/>
        <v>0</v>
      </c>
      <c r="L2143" s="63">
        <f t="shared" si="520"/>
        <v>0</v>
      </c>
      <c r="N2143" s="10" t="str">
        <f t="shared" si="522"/>
        <v>Dallas18</v>
      </c>
      <c r="O2143" s="10">
        <f t="shared" si="523"/>
        <v>3</v>
      </c>
      <c r="P2143" s="10">
        <f t="shared" si="524"/>
        <v>3</v>
      </c>
      <c r="Q2143" s="10">
        <f t="shared" si="525"/>
        <v>1</v>
      </c>
    </row>
    <row r="2144" spans="1:17">
      <c r="A2144" s="15">
        <f t="shared" si="521"/>
        <v>16</v>
      </c>
      <c r="B2144" s="15"/>
      <c r="C2144" s="14" t="str">
        <f>Fixture!C148</f>
        <v>Chicago</v>
      </c>
      <c r="D2144" s="15">
        <f>IF(E2144=0,0,IF(Fixture!D148&lt;Fixture!F148,0,IF(Fixture!F148&lt;Fixture!D148,3,1)))</f>
        <v>1</v>
      </c>
      <c r="E2144" s="16">
        <f>IF(OR(ISBLANK(Fixture!D148),ISBLANK(Fixture!F148),ISTEXT(Fixture!D148),ISTEXT(Fixture!F148)),0,1)</f>
        <v>1</v>
      </c>
      <c r="F2144" s="16">
        <f t="shared" si="516"/>
        <v>0</v>
      </c>
      <c r="G2144" s="16">
        <f t="shared" si="517"/>
        <v>1</v>
      </c>
      <c r="H2144" s="16">
        <f t="shared" si="518"/>
        <v>0</v>
      </c>
      <c r="I2144" s="63">
        <f>IF(E2144=0,0,Fixture!D148)</f>
        <v>0</v>
      </c>
      <c r="J2144" s="63">
        <f>IF(E2144=0,0,Fixture!F148)</f>
        <v>0</v>
      </c>
      <c r="K2144" s="63">
        <f t="shared" si="519"/>
        <v>1</v>
      </c>
      <c r="L2144" s="63">
        <f t="shared" si="520"/>
        <v>1</v>
      </c>
      <c r="N2144" s="10" t="str">
        <f t="shared" si="522"/>
        <v>Chicago16</v>
      </c>
      <c r="O2144" s="10">
        <f t="shared" si="523"/>
        <v>1</v>
      </c>
      <c r="P2144" s="10">
        <f t="shared" si="524"/>
        <v>0</v>
      </c>
      <c r="Q2144" s="10">
        <f t="shared" si="525"/>
        <v>0</v>
      </c>
    </row>
    <row r="2145" spans="1:17">
      <c r="A2145" s="15">
        <f t="shared" si="521"/>
        <v>20</v>
      </c>
      <c r="B2145" s="15"/>
      <c r="C2145" s="14" t="str">
        <f>Fixture!C149</f>
        <v>Seattle Sounders FC</v>
      </c>
      <c r="D2145" s="15">
        <f>IF(E2145=0,0,IF(Fixture!D149&lt;Fixture!F149,0,IF(Fixture!F149&lt;Fixture!D149,3,1)))</f>
        <v>3</v>
      </c>
      <c r="E2145" s="16">
        <f>IF(OR(ISBLANK(Fixture!D149),ISBLANK(Fixture!F149),ISTEXT(Fixture!D149),ISTEXT(Fixture!F149)),0,1)</f>
        <v>1</v>
      </c>
      <c r="F2145" s="16">
        <f t="shared" si="516"/>
        <v>1</v>
      </c>
      <c r="G2145" s="16">
        <f t="shared" si="517"/>
        <v>0</v>
      </c>
      <c r="H2145" s="16">
        <f t="shared" si="518"/>
        <v>0</v>
      </c>
      <c r="I2145" s="63">
        <f>IF(E2145=0,0,Fixture!D149)</f>
        <v>2</v>
      </c>
      <c r="J2145" s="63">
        <f>IF(E2145=0,0,Fixture!F149)</f>
        <v>0</v>
      </c>
      <c r="K2145" s="63">
        <f t="shared" si="519"/>
        <v>0</v>
      </c>
      <c r="L2145" s="63">
        <f t="shared" si="520"/>
        <v>1</v>
      </c>
      <c r="N2145" s="10" t="str">
        <f t="shared" si="522"/>
        <v>Seattle Sounders FC20</v>
      </c>
      <c r="O2145" s="10">
        <f t="shared" si="523"/>
        <v>3</v>
      </c>
      <c r="P2145" s="10">
        <f t="shared" si="524"/>
        <v>2</v>
      </c>
      <c r="Q2145" s="10">
        <f t="shared" si="525"/>
        <v>0</v>
      </c>
    </row>
    <row r="2146" spans="1:17">
      <c r="A2146" s="15">
        <f t="shared" si="521"/>
        <v>19</v>
      </c>
      <c r="B2146" s="15"/>
      <c r="C2146" s="14" t="str">
        <f>Fixture!C150</f>
        <v>New York Red Bulls</v>
      </c>
      <c r="D2146" s="15">
        <f>IF(E2146=0,0,IF(Fixture!D150&lt;Fixture!F150,0,IF(Fixture!F150&lt;Fixture!D150,3,1)))</f>
        <v>3</v>
      </c>
      <c r="E2146" s="16">
        <f>IF(OR(ISBLANK(Fixture!D150),ISBLANK(Fixture!F150),ISTEXT(Fixture!D150),ISTEXT(Fixture!F150)),0,1)</f>
        <v>1</v>
      </c>
      <c r="F2146" s="16">
        <f t="shared" si="516"/>
        <v>1</v>
      </c>
      <c r="G2146" s="16">
        <f t="shared" si="517"/>
        <v>0</v>
      </c>
      <c r="H2146" s="16">
        <f t="shared" si="518"/>
        <v>0</v>
      </c>
      <c r="I2146" s="63">
        <f>IF(E2146=0,0,Fixture!D150)</f>
        <v>1</v>
      </c>
      <c r="J2146" s="63">
        <f>IF(E2146=0,0,Fixture!F150)</f>
        <v>0</v>
      </c>
      <c r="K2146" s="63">
        <f t="shared" si="519"/>
        <v>0</v>
      </c>
      <c r="L2146" s="63">
        <f t="shared" si="520"/>
        <v>1</v>
      </c>
      <c r="N2146" s="10" t="str">
        <f t="shared" si="522"/>
        <v>New York Red Bulls19</v>
      </c>
      <c r="O2146" s="10">
        <f t="shared" si="523"/>
        <v>3</v>
      </c>
      <c r="P2146" s="10">
        <f t="shared" si="524"/>
        <v>1</v>
      </c>
      <c r="Q2146" s="10">
        <f t="shared" si="525"/>
        <v>0</v>
      </c>
    </row>
    <row r="2147" spans="1:17">
      <c r="A2147" s="15">
        <f t="shared" si="521"/>
        <v>18</v>
      </c>
      <c r="B2147" s="15"/>
      <c r="C2147" s="14" t="str">
        <f>Fixture!C151</f>
        <v>Philadelphia Union</v>
      </c>
      <c r="D2147" s="15">
        <f>IF(E2147=0,0,IF(Fixture!D151&lt;Fixture!F151,0,IF(Fixture!F151&lt;Fixture!D151,3,1)))</f>
        <v>1</v>
      </c>
      <c r="E2147" s="16">
        <f>IF(OR(ISBLANK(Fixture!D151),ISBLANK(Fixture!F151),ISTEXT(Fixture!D151),ISTEXT(Fixture!F151)),0,1)</f>
        <v>1</v>
      </c>
      <c r="F2147" s="16">
        <f t="shared" si="516"/>
        <v>0</v>
      </c>
      <c r="G2147" s="16">
        <f t="shared" si="517"/>
        <v>1</v>
      </c>
      <c r="H2147" s="16">
        <f t="shared" si="518"/>
        <v>0</v>
      </c>
      <c r="I2147" s="63">
        <f>IF(E2147=0,0,Fixture!D151)</f>
        <v>1</v>
      </c>
      <c r="J2147" s="63">
        <f>IF(E2147=0,0,Fixture!F151)</f>
        <v>1</v>
      </c>
      <c r="K2147" s="63">
        <f t="shared" si="519"/>
        <v>0</v>
      </c>
      <c r="L2147" s="63">
        <f t="shared" si="520"/>
        <v>0</v>
      </c>
      <c r="N2147" s="10" t="str">
        <f t="shared" si="522"/>
        <v>Philadelphia Union18</v>
      </c>
      <c r="O2147" s="10">
        <f t="shared" si="523"/>
        <v>1</v>
      </c>
      <c r="P2147" s="10">
        <f t="shared" si="524"/>
        <v>1</v>
      </c>
      <c r="Q2147" s="10">
        <f t="shared" si="525"/>
        <v>1</v>
      </c>
    </row>
    <row r="2148" spans="1:17">
      <c r="A2148" s="15">
        <f t="shared" si="521"/>
        <v>19</v>
      </c>
      <c r="B2148" s="15"/>
      <c r="C2148" s="14" t="str">
        <f>Fixture!C152</f>
        <v>Philadelphia Union</v>
      </c>
      <c r="D2148" s="15">
        <f>IF(E2148=0,0,IF(Fixture!D152&lt;Fixture!F152,0,IF(Fixture!F152&lt;Fixture!D152,3,1)))</f>
        <v>1</v>
      </c>
      <c r="E2148" s="16">
        <f>IF(OR(ISBLANK(Fixture!D152),ISBLANK(Fixture!F152),ISTEXT(Fixture!D152),ISTEXT(Fixture!F152)),0,1)</f>
        <v>1</v>
      </c>
      <c r="F2148" s="16">
        <f t="shared" si="516"/>
        <v>0</v>
      </c>
      <c r="G2148" s="16">
        <f t="shared" si="517"/>
        <v>1</v>
      </c>
      <c r="H2148" s="16">
        <f t="shared" si="518"/>
        <v>0</v>
      </c>
      <c r="I2148" s="63">
        <f>IF(E2148=0,0,Fixture!D152)</f>
        <v>1</v>
      </c>
      <c r="J2148" s="63">
        <f>IF(E2148=0,0,Fixture!F152)</f>
        <v>1</v>
      </c>
      <c r="K2148" s="63">
        <f t="shared" si="519"/>
        <v>0</v>
      </c>
      <c r="L2148" s="63">
        <f t="shared" si="520"/>
        <v>0</v>
      </c>
      <c r="N2148" s="10" t="str">
        <f t="shared" si="522"/>
        <v>Philadelphia Union19</v>
      </c>
      <c r="O2148" s="10">
        <f t="shared" si="523"/>
        <v>1</v>
      </c>
      <c r="P2148" s="10">
        <f t="shared" si="524"/>
        <v>1</v>
      </c>
      <c r="Q2148" s="10">
        <f t="shared" si="525"/>
        <v>1</v>
      </c>
    </row>
    <row r="2149" spans="1:17">
      <c r="A2149" s="15">
        <f t="shared" si="521"/>
        <v>20</v>
      </c>
      <c r="B2149" s="15"/>
      <c r="C2149" s="14" t="str">
        <f>Fixture!C153</f>
        <v>New York Red Bulls</v>
      </c>
      <c r="D2149" s="15">
        <f>IF(E2149=0,0,IF(Fixture!D153&lt;Fixture!F153,0,IF(Fixture!F153&lt;Fixture!D153,3,1)))</f>
        <v>0</v>
      </c>
      <c r="E2149" s="16">
        <f>IF(OR(ISBLANK(Fixture!D153),ISBLANK(Fixture!F153),ISTEXT(Fixture!D153),ISTEXT(Fixture!F153)),0,1)</f>
        <v>1</v>
      </c>
      <c r="F2149" s="16">
        <f t="shared" si="516"/>
        <v>0</v>
      </c>
      <c r="G2149" s="16">
        <f t="shared" si="517"/>
        <v>0</v>
      </c>
      <c r="H2149" s="16">
        <f t="shared" si="518"/>
        <v>1</v>
      </c>
      <c r="I2149" s="63">
        <f>IF(E2149=0,0,Fixture!D153)</f>
        <v>0</v>
      </c>
      <c r="J2149" s="63">
        <f>IF(E2149=0,0,Fixture!F153)</f>
        <v>1</v>
      </c>
      <c r="K2149" s="63">
        <f t="shared" si="519"/>
        <v>1</v>
      </c>
      <c r="L2149" s="63">
        <f t="shared" si="520"/>
        <v>0</v>
      </c>
      <c r="N2149" s="10" t="str">
        <f t="shared" si="522"/>
        <v>New York Red Bulls20</v>
      </c>
      <c r="O2149" s="10">
        <f t="shared" si="523"/>
        <v>0</v>
      </c>
      <c r="P2149" s="10">
        <f t="shared" si="524"/>
        <v>0</v>
      </c>
      <c r="Q2149" s="10">
        <f t="shared" si="525"/>
        <v>1</v>
      </c>
    </row>
    <row r="2150" spans="1:17">
      <c r="A2150" s="15">
        <f t="shared" si="521"/>
        <v>20</v>
      </c>
      <c r="B2150" s="15"/>
      <c r="C2150" s="14" t="str">
        <f>Fixture!C154</f>
        <v>DC United</v>
      </c>
      <c r="D2150" s="15">
        <f>IF(E2150=0,0,IF(Fixture!D154&lt;Fixture!F154,0,IF(Fixture!F154&lt;Fixture!D154,3,1)))</f>
        <v>0</v>
      </c>
      <c r="E2150" s="16">
        <f>IF(OR(ISBLANK(Fixture!D154),ISBLANK(Fixture!F154),ISTEXT(Fixture!D154),ISTEXT(Fixture!F154)),0,1)</f>
        <v>1</v>
      </c>
      <c r="F2150" s="16">
        <f t="shared" si="516"/>
        <v>0</v>
      </c>
      <c r="G2150" s="16">
        <f t="shared" si="517"/>
        <v>0</v>
      </c>
      <c r="H2150" s="16">
        <f t="shared" si="518"/>
        <v>1</v>
      </c>
      <c r="I2150" s="63">
        <f>IF(E2150=0,0,Fixture!D154)</f>
        <v>1</v>
      </c>
      <c r="J2150" s="63">
        <f>IF(E2150=0,0,Fixture!F154)</f>
        <v>3</v>
      </c>
      <c r="K2150" s="63">
        <f t="shared" si="519"/>
        <v>0</v>
      </c>
      <c r="L2150" s="63">
        <f t="shared" si="520"/>
        <v>0</v>
      </c>
      <c r="N2150" s="10" t="str">
        <f t="shared" si="522"/>
        <v>DC United20</v>
      </c>
      <c r="O2150" s="10">
        <f t="shared" si="523"/>
        <v>0</v>
      </c>
      <c r="P2150" s="10">
        <f t="shared" si="524"/>
        <v>1</v>
      </c>
      <c r="Q2150" s="10">
        <f t="shared" si="525"/>
        <v>3</v>
      </c>
    </row>
    <row r="2151" spans="1:17">
      <c r="A2151" s="15">
        <f t="shared" si="521"/>
        <v>18</v>
      </c>
      <c r="B2151" s="15"/>
      <c r="C2151" s="14" t="str">
        <f>Fixture!C155</f>
        <v>New England</v>
      </c>
      <c r="D2151" s="15">
        <f>IF(E2151=0,0,IF(Fixture!D155&lt;Fixture!F155,0,IF(Fixture!F155&lt;Fixture!D155,3,1)))</f>
        <v>3</v>
      </c>
      <c r="E2151" s="16">
        <f>IF(OR(ISBLANK(Fixture!D155),ISBLANK(Fixture!F155),ISTEXT(Fixture!D155),ISTEXT(Fixture!F155)),0,1)</f>
        <v>1</v>
      </c>
      <c r="F2151" s="16">
        <f t="shared" si="516"/>
        <v>1</v>
      </c>
      <c r="G2151" s="16">
        <f t="shared" si="517"/>
        <v>0</v>
      </c>
      <c r="H2151" s="16">
        <f t="shared" si="518"/>
        <v>0</v>
      </c>
      <c r="I2151" s="63">
        <f>IF(E2151=0,0,Fixture!D155)</f>
        <v>1</v>
      </c>
      <c r="J2151" s="63">
        <f>IF(E2151=0,0,Fixture!F155)</f>
        <v>0</v>
      </c>
      <c r="K2151" s="63">
        <f t="shared" si="519"/>
        <v>0</v>
      </c>
      <c r="L2151" s="63">
        <f t="shared" si="520"/>
        <v>1</v>
      </c>
      <c r="N2151" s="10" t="str">
        <f t="shared" si="522"/>
        <v>New England18</v>
      </c>
      <c r="O2151" s="10">
        <f t="shared" si="523"/>
        <v>3</v>
      </c>
      <c r="P2151" s="10">
        <f t="shared" si="524"/>
        <v>1</v>
      </c>
      <c r="Q2151" s="10">
        <f t="shared" si="525"/>
        <v>0</v>
      </c>
    </row>
    <row r="2152" spans="1:17">
      <c r="A2152" s="15">
        <f t="shared" si="521"/>
        <v>21</v>
      </c>
      <c r="B2152" s="15"/>
      <c r="C2152" s="14" t="str">
        <f>Fixture!C156</f>
        <v>Real Salt Lake</v>
      </c>
      <c r="D2152" s="15">
        <f>IF(E2152=0,0,IF(Fixture!D156&lt;Fixture!F156,0,IF(Fixture!F156&lt;Fixture!D156,3,1)))</f>
        <v>3</v>
      </c>
      <c r="E2152" s="16">
        <f>IF(OR(ISBLANK(Fixture!D156),ISBLANK(Fixture!F156),ISTEXT(Fixture!D156),ISTEXT(Fixture!F156)),0,1)</f>
        <v>1</v>
      </c>
      <c r="F2152" s="16">
        <f t="shared" si="516"/>
        <v>1</v>
      </c>
      <c r="G2152" s="16">
        <f t="shared" si="517"/>
        <v>0</v>
      </c>
      <c r="H2152" s="16">
        <f t="shared" si="518"/>
        <v>0</v>
      </c>
      <c r="I2152" s="63">
        <f>IF(E2152=0,0,Fixture!D156)</f>
        <v>2</v>
      </c>
      <c r="J2152" s="63">
        <f>IF(E2152=0,0,Fixture!F156)</f>
        <v>0</v>
      </c>
      <c r="K2152" s="63">
        <f t="shared" si="519"/>
        <v>0</v>
      </c>
      <c r="L2152" s="63">
        <f t="shared" si="520"/>
        <v>1</v>
      </c>
      <c r="N2152" s="10" t="str">
        <f t="shared" si="522"/>
        <v>Real Salt Lake21</v>
      </c>
      <c r="O2152" s="10">
        <f t="shared" si="523"/>
        <v>3</v>
      </c>
      <c r="P2152" s="10">
        <f t="shared" si="524"/>
        <v>2</v>
      </c>
      <c r="Q2152" s="10">
        <f t="shared" si="525"/>
        <v>0</v>
      </c>
    </row>
    <row r="2153" spans="1:17">
      <c r="A2153" s="15">
        <f t="shared" si="521"/>
        <v>18</v>
      </c>
      <c r="B2153" s="15"/>
      <c r="C2153" s="14" t="str">
        <f>Fixture!C157</f>
        <v>San Jose</v>
      </c>
      <c r="D2153" s="15">
        <f>IF(E2153=0,0,IF(Fixture!D157&lt;Fixture!F157,0,IF(Fixture!F157&lt;Fixture!D157,3,1)))</f>
        <v>3</v>
      </c>
      <c r="E2153" s="16">
        <f>IF(OR(ISBLANK(Fixture!D157),ISBLANK(Fixture!F157),ISTEXT(Fixture!D157),ISTEXT(Fixture!F157)),0,1)</f>
        <v>1</v>
      </c>
      <c r="F2153" s="16">
        <f t="shared" si="516"/>
        <v>1</v>
      </c>
      <c r="G2153" s="16">
        <f t="shared" si="517"/>
        <v>0</v>
      </c>
      <c r="H2153" s="16">
        <f t="shared" si="518"/>
        <v>0</v>
      </c>
      <c r="I2153" s="63">
        <f>IF(E2153=0,0,Fixture!D157)</f>
        <v>1</v>
      </c>
      <c r="J2153" s="63">
        <f>IF(E2153=0,0,Fixture!F157)</f>
        <v>0</v>
      </c>
      <c r="K2153" s="63">
        <f t="shared" si="519"/>
        <v>0</v>
      </c>
      <c r="L2153" s="63">
        <f t="shared" si="520"/>
        <v>1</v>
      </c>
      <c r="N2153" s="10" t="str">
        <f t="shared" si="522"/>
        <v>San Jose18</v>
      </c>
      <c r="O2153" s="10">
        <f t="shared" si="523"/>
        <v>3</v>
      </c>
      <c r="P2153" s="10">
        <f t="shared" si="524"/>
        <v>1</v>
      </c>
      <c r="Q2153" s="10">
        <f t="shared" si="525"/>
        <v>0</v>
      </c>
    </row>
    <row r="2154" spans="1:17">
      <c r="A2154" s="15">
        <f t="shared" si="521"/>
        <v>19</v>
      </c>
      <c r="B2154" s="15"/>
      <c r="C2154" s="14" t="str">
        <f>Fixture!C158</f>
        <v>Chivas USA</v>
      </c>
      <c r="D2154" s="15">
        <f>IF(E2154=0,0,IF(Fixture!D158&lt;Fixture!F158,0,IF(Fixture!F158&lt;Fixture!D158,3,1)))</f>
        <v>1</v>
      </c>
      <c r="E2154" s="16">
        <f>IF(OR(ISBLANK(Fixture!D158),ISBLANK(Fixture!F158),ISTEXT(Fixture!D158),ISTEXT(Fixture!F158)),0,1)</f>
        <v>1</v>
      </c>
      <c r="F2154" s="16">
        <f t="shared" si="516"/>
        <v>0</v>
      </c>
      <c r="G2154" s="16">
        <f t="shared" si="517"/>
        <v>1</v>
      </c>
      <c r="H2154" s="16">
        <f t="shared" si="518"/>
        <v>0</v>
      </c>
      <c r="I2154" s="63">
        <f>IF(E2154=0,0,Fixture!D158)</f>
        <v>0</v>
      </c>
      <c r="J2154" s="63">
        <f>IF(E2154=0,0,Fixture!F158)</f>
        <v>0</v>
      </c>
      <c r="K2154" s="63">
        <f t="shared" si="519"/>
        <v>1</v>
      </c>
      <c r="L2154" s="63">
        <f t="shared" si="520"/>
        <v>1</v>
      </c>
      <c r="N2154" s="10" t="str">
        <f t="shared" si="522"/>
        <v>Chivas USA19</v>
      </c>
      <c r="O2154" s="10">
        <f t="shared" si="523"/>
        <v>1</v>
      </c>
      <c r="P2154" s="10">
        <f t="shared" si="524"/>
        <v>0</v>
      </c>
      <c r="Q2154" s="10">
        <f t="shared" si="525"/>
        <v>0</v>
      </c>
    </row>
    <row r="2155" spans="1:17">
      <c r="A2155" s="15">
        <f t="shared" si="521"/>
        <v>17</v>
      </c>
      <c r="B2155" s="15"/>
      <c r="C2155" s="14" t="str">
        <f>Fixture!C159</f>
        <v>Chicago</v>
      </c>
      <c r="D2155" s="15">
        <f>IF(E2155=0,0,IF(Fixture!D159&lt;Fixture!F159,0,IF(Fixture!F159&lt;Fixture!D159,3,1)))</f>
        <v>0</v>
      </c>
      <c r="E2155" s="16">
        <f>IF(OR(ISBLANK(Fixture!D159),ISBLANK(Fixture!F159),ISTEXT(Fixture!D159),ISTEXT(Fixture!F159)),0,1)</f>
        <v>0</v>
      </c>
      <c r="F2155" s="16">
        <f t="shared" si="516"/>
        <v>0</v>
      </c>
      <c r="G2155" s="16">
        <f t="shared" si="517"/>
        <v>0</v>
      </c>
      <c r="H2155" s="16">
        <f t="shared" si="518"/>
        <v>0</v>
      </c>
      <c r="I2155" s="63">
        <f>IF(E2155=0,0,Fixture!D159)</f>
        <v>0</v>
      </c>
      <c r="J2155" s="63">
        <f>IF(E2155=0,0,Fixture!F159)</f>
        <v>0</v>
      </c>
      <c r="K2155" s="63">
        <f t="shared" si="519"/>
        <v>0</v>
      </c>
      <c r="L2155" s="63">
        <f t="shared" si="520"/>
        <v>0</v>
      </c>
      <c r="N2155" s="10" t="str">
        <f t="shared" si="522"/>
        <v>Chicago17</v>
      </c>
      <c r="O2155" s="10">
        <f t="shared" si="523"/>
        <v>0</v>
      </c>
      <c r="P2155" s="10">
        <f t="shared" si="524"/>
        <v>0</v>
      </c>
      <c r="Q2155" s="10">
        <f t="shared" si="525"/>
        <v>0</v>
      </c>
    </row>
    <row r="2156" spans="1:17">
      <c r="A2156" s="15">
        <f t="shared" si="521"/>
        <v>20</v>
      </c>
      <c r="B2156" s="15"/>
      <c r="C2156" s="14" t="str">
        <f>Fixture!C160</f>
        <v>Toronto FC</v>
      </c>
      <c r="D2156" s="15">
        <f>IF(E2156=0,0,IF(Fixture!D160&lt;Fixture!F160,0,IF(Fixture!F160&lt;Fixture!D160,3,1)))</f>
        <v>0</v>
      </c>
      <c r="E2156" s="16">
        <f>IF(OR(ISBLANK(Fixture!D160),ISBLANK(Fixture!F160),ISTEXT(Fixture!D160),ISTEXT(Fixture!F160)),0,1)</f>
        <v>0</v>
      </c>
      <c r="F2156" s="16">
        <f t="shared" si="516"/>
        <v>0</v>
      </c>
      <c r="G2156" s="16">
        <f t="shared" si="517"/>
        <v>0</v>
      </c>
      <c r="H2156" s="16">
        <f t="shared" si="518"/>
        <v>0</v>
      </c>
      <c r="I2156" s="63">
        <f>IF(E2156=0,0,Fixture!D160)</f>
        <v>0</v>
      </c>
      <c r="J2156" s="63">
        <f>IF(E2156=0,0,Fixture!F160)</f>
        <v>0</v>
      </c>
      <c r="K2156" s="63">
        <f t="shared" si="519"/>
        <v>0</v>
      </c>
      <c r="L2156" s="63">
        <f t="shared" si="520"/>
        <v>0</v>
      </c>
      <c r="N2156" s="10" t="str">
        <f t="shared" si="522"/>
        <v>Toronto FC20</v>
      </c>
      <c r="O2156" s="10">
        <f t="shared" si="523"/>
        <v>0</v>
      </c>
      <c r="P2156" s="10">
        <f t="shared" si="524"/>
        <v>0</v>
      </c>
      <c r="Q2156" s="10">
        <f t="shared" si="525"/>
        <v>0</v>
      </c>
    </row>
    <row r="2157" spans="1:17">
      <c r="A2157" s="15">
        <f t="shared" si="521"/>
        <v>19</v>
      </c>
      <c r="B2157" s="15"/>
      <c r="C2157" s="14" t="str">
        <f>Fixture!C161</f>
        <v>San Jose</v>
      </c>
      <c r="D2157" s="15">
        <f>IF(E2157=0,0,IF(Fixture!D161&lt;Fixture!F161,0,IF(Fixture!F161&lt;Fixture!D161,3,1)))</f>
        <v>0</v>
      </c>
      <c r="E2157" s="16">
        <f>IF(OR(ISBLANK(Fixture!D161),ISBLANK(Fixture!F161),ISTEXT(Fixture!D161),ISTEXT(Fixture!F161)),0,1)</f>
        <v>0</v>
      </c>
      <c r="F2157" s="16">
        <f t="shared" si="516"/>
        <v>0</v>
      </c>
      <c r="G2157" s="16">
        <f t="shared" si="517"/>
        <v>0</v>
      </c>
      <c r="H2157" s="16">
        <f t="shared" si="518"/>
        <v>0</v>
      </c>
      <c r="I2157" s="63">
        <f>IF(E2157=0,0,Fixture!D161)</f>
        <v>0</v>
      </c>
      <c r="J2157" s="63">
        <f>IF(E2157=0,0,Fixture!F161)</f>
        <v>0</v>
      </c>
      <c r="K2157" s="63">
        <f t="shared" si="519"/>
        <v>0</v>
      </c>
      <c r="L2157" s="63">
        <f t="shared" si="520"/>
        <v>0</v>
      </c>
      <c r="N2157" s="10" t="str">
        <f t="shared" si="522"/>
        <v>San Jose19</v>
      </c>
      <c r="O2157" s="10">
        <f t="shared" si="523"/>
        <v>0</v>
      </c>
      <c r="P2157" s="10">
        <f t="shared" si="524"/>
        <v>0</v>
      </c>
      <c r="Q2157" s="10">
        <f t="shared" si="525"/>
        <v>0</v>
      </c>
    </row>
    <row r="2158" spans="1:17">
      <c r="A2158" s="15">
        <f t="shared" si="521"/>
        <v>21</v>
      </c>
      <c r="B2158" s="15"/>
      <c r="C2158" s="14" t="str">
        <f>Fixture!C162</f>
        <v>Columbus</v>
      </c>
      <c r="D2158" s="15">
        <f>IF(E2158=0,0,IF(Fixture!D162&lt;Fixture!F162,0,IF(Fixture!F162&lt;Fixture!D162,3,1)))</f>
        <v>0</v>
      </c>
      <c r="E2158" s="16">
        <f>IF(OR(ISBLANK(Fixture!D162),ISBLANK(Fixture!F162),ISTEXT(Fixture!D162),ISTEXT(Fixture!F162)),0,1)</f>
        <v>0</v>
      </c>
      <c r="F2158" s="16">
        <f t="shared" si="516"/>
        <v>0</v>
      </c>
      <c r="G2158" s="16">
        <f t="shared" si="517"/>
        <v>0</v>
      </c>
      <c r="H2158" s="16">
        <f t="shared" si="518"/>
        <v>0</v>
      </c>
      <c r="I2158" s="63">
        <f>IF(E2158=0,0,Fixture!D162)</f>
        <v>0</v>
      </c>
      <c r="J2158" s="63">
        <f>IF(E2158=0,0,Fixture!F162)</f>
        <v>0</v>
      </c>
      <c r="K2158" s="63">
        <f t="shared" si="519"/>
        <v>0</v>
      </c>
      <c r="L2158" s="63">
        <f t="shared" si="520"/>
        <v>0</v>
      </c>
      <c r="N2158" s="10" t="str">
        <f t="shared" si="522"/>
        <v>Columbus21</v>
      </c>
      <c r="O2158" s="10">
        <f t="shared" si="523"/>
        <v>0</v>
      </c>
      <c r="P2158" s="10">
        <f t="shared" si="524"/>
        <v>0</v>
      </c>
      <c r="Q2158" s="10">
        <f t="shared" si="525"/>
        <v>0</v>
      </c>
    </row>
    <row r="2159" spans="1:17">
      <c r="A2159" s="15">
        <f t="shared" si="521"/>
        <v>20</v>
      </c>
      <c r="B2159" s="15"/>
      <c r="C2159" s="14" t="str">
        <f>Fixture!C163</f>
        <v>Dallas</v>
      </c>
      <c r="D2159" s="15">
        <f>IF(E2159=0,0,IF(Fixture!D163&lt;Fixture!F163,0,IF(Fixture!F163&lt;Fixture!D163,3,1)))</f>
        <v>0</v>
      </c>
      <c r="E2159" s="16">
        <f>IF(OR(ISBLANK(Fixture!D163),ISBLANK(Fixture!F163),ISTEXT(Fixture!D163),ISTEXT(Fixture!F163)),0,1)</f>
        <v>0</v>
      </c>
      <c r="F2159" s="16">
        <f t="shared" si="516"/>
        <v>0</v>
      </c>
      <c r="G2159" s="16">
        <f t="shared" si="517"/>
        <v>0</v>
      </c>
      <c r="H2159" s="16">
        <f t="shared" si="518"/>
        <v>0</v>
      </c>
      <c r="I2159" s="63">
        <f>IF(E2159=0,0,Fixture!D163)</f>
        <v>0</v>
      </c>
      <c r="J2159" s="63">
        <f>IF(E2159=0,0,Fixture!F163)</f>
        <v>0</v>
      </c>
      <c r="K2159" s="63">
        <f t="shared" si="519"/>
        <v>0</v>
      </c>
      <c r="L2159" s="63">
        <f t="shared" si="520"/>
        <v>0</v>
      </c>
      <c r="N2159" s="10" t="str">
        <f t="shared" si="522"/>
        <v>Dallas20</v>
      </c>
      <c r="O2159" s="10">
        <f t="shared" si="523"/>
        <v>0</v>
      </c>
      <c r="P2159" s="10">
        <f t="shared" si="524"/>
        <v>0</v>
      </c>
      <c r="Q2159" s="10">
        <f t="shared" si="525"/>
        <v>0</v>
      </c>
    </row>
    <row r="2160" spans="1:17">
      <c r="A2160" s="15">
        <f t="shared" si="521"/>
        <v>21</v>
      </c>
      <c r="B2160" s="15"/>
      <c r="C2160" s="14" t="str">
        <f>Fixture!C164</f>
        <v>Houston</v>
      </c>
      <c r="D2160" s="15">
        <f>IF(E2160=0,0,IF(Fixture!D164&lt;Fixture!F164,0,IF(Fixture!F164&lt;Fixture!D164,3,1)))</f>
        <v>0</v>
      </c>
      <c r="E2160" s="16">
        <f>IF(OR(ISBLANK(Fixture!D164),ISBLANK(Fixture!F164),ISTEXT(Fixture!D164),ISTEXT(Fixture!F164)),0,1)</f>
        <v>0</v>
      </c>
      <c r="F2160" s="16">
        <f t="shared" si="516"/>
        <v>0</v>
      </c>
      <c r="G2160" s="16">
        <f t="shared" si="517"/>
        <v>0</v>
      </c>
      <c r="H2160" s="16">
        <f t="shared" si="518"/>
        <v>0</v>
      </c>
      <c r="I2160" s="63">
        <f>IF(E2160=0,0,Fixture!D164)</f>
        <v>0</v>
      </c>
      <c r="J2160" s="63">
        <f>IF(E2160=0,0,Fixture!F164)</f>
        <v>0</v>
      </c>
      <c r="K2160" s="63">
        <f t="shared" si="519"/>
        <v>0</v>
      </c>
      <c r="L2160" s="63">
        <f t="shared" si="520"/>
        <v>0</v>
      </c>
      <c r="N2160" s="10" t="str">
        <f t="shared" si="522"/>
        <v>Houston21</v>
      </c>
      <c r="O2160" s="10">
        <f t="shared" si="523"/>
        <v>0</v>
      </c>
      <c r="P2160" s="10">
        <f t="shared" si="524"/>
        <v>0</v>
      </c>
      <c r="Q2160" s="10">
        <f t="shared" si="525"/>
        <v>0</v>
      </c>
    </row>
    <row r="2161" spans="1:17">
      <c r="A2161" s="15">
        <f t="shared" si="521"/>
        <v>20</v>
      </c>
      <c r="B2161" s="15"/>
      <c r="C2161" s="14" t="str">
        <f>Fixture!C165</f>
        <v>Kansas City</v>
      </c>
      <c r="D2161" s="15">
        <f>IF(E2161=0,0,IF(Fixture!D165&lt;Fixture!F165,0,IF(Fixture!F165&lt;Fixture!D165,3,1)))</f>
        <v>0</v>
      </c>
      <c r="E2161" s="16">
        <f>IF(OR(ISBLANK(Fixture!D165),ISBLANK(Fixture!F165),ISTEXT(Fixture!D165),ISTEXT(Fixture!F165)),0,1)</f>
        <v>0</v>
      </c>
      <c r="F2161" s="16">
        <f t="shared" si="516"/>
        <v>0</v>
      </c>
      <c r="G2161" s="16">
        <f t="shared" si="517"/>
        <v>0</v>
      </c>
      <c r="H2161" s="16">
        <f t="shared" si="518"/>
        <v>0</v>
      </c>
      <c r="I2161" s="63">
        <f>IF(E2161=0,0,Fixture!D165)</f>
        <v>0</v>
      </c>
      <c r="J2161" s="63">
        <f>IF(E2161=0,0,Fixture!F165)</f>
        <v>0</v>
      </c>
      <c r="K2161" s="63">
        <f t="shared" si="519"/>
        <v>0</v>
      </c>
      <c r="L2161" s="63">
        <f t="shared" si="520"/>
        <v>0</v>
      </c>
      <c r="N2161" s="10" t="str">
        <f t="shared" si="522"/>
        <v>Kansas City20</v>
      </c>
      <c r="O2161" s="10">
        <f t="shared" si="523"/>
        <v>0</v>
      </c>
      <c r="P2161" s="10">
        <f t="shared" si="524"/>
        <v>0</v>
      </c>
      <c r="Q2161" s="10">
        <f t="shared" si="525"/>
        <v>0</v>
      </c>
    </row>
    <row r="2162" spans="1:17">
      <c r="A2162" s="15">
        <f t="shared" si="521"/>
        <v>21</v>
      </c>
      <c r="B2162" s="15"/>
      <c r="C2162" s="14" t="str">
        <f>Fixture!C166</f>
        <v>DC United</v>
      </c>
      <c r="D2162" s="15">
        <f>IF(E2162=0,0,IF(Fixture!D166&lt;Fixture!F166,0,IF(Fixture!F166&lt;Fixture!D166,3,1)))</f>
        <v>0</v>
      </c>
      <c r="E2162" s="16">
        <f>IF(OR(ISBLANK(Fixture!D166),ISBLANK(Fixture!F166),ISTEXT(Fixture!D166),ISTEXT(Fixture!F166)),0,1)</f>
        <v>0</v>
      </c>
      <c r="F2162" s="16">
        <f t="shared" si="516"/>
        <v>0</v>
      </c>
      <c r="G2162" s="16">
        <f t="shared" si="517"/>
        <v>0</v>
      </c>
      <c r="H2162" s="16">
        <f t="shared" si="518"/>
        <v>0</v>
      </c>
      <c r="I2162" s="63">
        <f>IF(E2162=0,0,Fixture!D166)</f>
        <v>0</v>
      </c>
      <c r="J2162" s="63">
        <f>IF(E2162=0,0,Fixture!F166)</f>
        <v>0</v>
      </c>
      <c r="K2162" s="63">
        <f t="shared" si="519"/>
        <v>0</v>
      </c>
      <c r="L2162" s="63">
        <f t="shared" si="520"/>
        <v>0</v>
      </c>
      <c r="N2162" s="10" t="str">
        <f t="shared" si="522"/>
        <v>DC United21</v>
      </c>
      <c r="O2162" s="10">
        <f t="shared" si="523"/>
        <v>0</v>
      </c>
      <c r="P2162" s="10">
        <f t="shared" si="524"/>
        <v>0</v>
      </c>
      <c r="Q2162" s="10">
        <f t="shared" si="525"/>
        <v>0</v>
      </c>
    </row>
    <row r="2163" spans="1:17">
      <c r="A2163" s="15">
        <f t="shared" si="521"/>
        <v>22</v>
      </c>
      <c r="B2163" s="15"/>
      <c r="C2163" s="14" t="str">
        <f>Fixture!C167</f>
        <v>Columbus</v>
      </c>
      <c r="D2163" s="15">
        <f>IF(E2163=0,0,IF(Fixture!D167&lt;Fixture!F167,0,IF(Fixture!F167&lt;Fixture!D167,3,1)))</f>
        <v>0</v>
      </c>
      <c r="E2163" s="16">
        <f>IF(OR(ISBLANK(Fixture!D167),ISBLANK(Fixture!F167),ISTEXT(Fixture!D167),ISTEXT(Fixture!F167)),0,1)</f>
        <v>0</v>
      </c>
      <c r="F2163" s="16">
        <f t="shared" si="516"/>
        <v>0</v>
      </c>
      <c r="G2163" s="16">
        <f t="shared" si="517"/>
        <v>0</v>
      </c>
      <c r="H2163" s="16">
        <f t="shared" si="518"/>
        <v>0</v>
      </c>
      <c r="I2163" s="63">
        <f>IF(E2163=0,0,Fixture!D167)</f>
        <v>0</v>
      </c>
      <c r="J2163" s="63">
        <f>IF(E2163=0,0,Fixture!F167)</f>
        <v>0</v>
      </c>
      <c r="K2163" s="63">
        <f t="shared" si="519"/>
        <v>0</v>
      </c>
      <c r="L2163" s="63">
        <f t="shared" si="520"/>
        <v>0</v>
      </c>
      <c r="N2163" s="10" t="str">
        <f t="shared" si="522"/>
        <v>Columbus22</v>
      </c>
      <c r="O2163" s="10">
        <f t="shared" si="523"/>
        <v>0</v>
      </c>
      <c r="P2163" s="10">
        <f t="shared" si="524"/>
        <v>0</v>
      </c>
      <c r="Q2163" s="10">
        <f t="shared" si="525"/>
        <v>0</v>
      </c>
    </row>
    <row r="2164" spans="1:17">
      <c r="A2164" s="15">
        <f t="shared" si="521"/>
        <v>21</v>
      </c>
      <c r="B2164" s="15"/>
      <c r="C2164" s="14" t="str">
        <f>Fixture!C168</f>
        <v>Toronto FC</v>
      </c>
      <c r="D2164" s="15">
        <f>IF(E2164=0,0,IF(Fixture!D168&lt;Fixture!F168,0,IF(Fixture!F168&lt;Fixture!D168,3,1)))</f>
        <v>0</v>
      </c>
      <c r="E2164" s="16">
        <f>IF(OR(ISBLANK(Fixture!D168),ISBLANK(Fixture!F168),ISTEXT(Fixture!D168),ISTEXT(Fixture!F168)),0,1)</f>
        <v>0</v>
      </c>
      <c r="F2164" s="16">
        <f t="shared" si="516"/>
        <v>0</v>
      </c>
      <c r="G2164" s="16">
        <f t="shared" si="517"/>
        <v>0</v>
      </c>
      <c r="H2164" s="16">
        <f t="shared" si="518"/>
        <v>0</v>
      </c>
      <c r="I2164" s="63">
        <f>IF(E2164=0,0,Fixture!D168)</f>
        <v>0</v>
      </c>
      <c r="J2164" s="63">
        <f>IF(E2164=0,0,Fixture!F168)</f>
        <v>0</v>
      </c>
      <c r="K2164" s="63">
        <f t="shared" si="519"/>
        <v>0</v>
      </c>
      <c r="L2164" s="63">
        <f t="shared" si="520"/>
        <v>0</v>
      </c>
      <c r="N2164" s="10" t="str">
        <f t="shared" si="522"/>
        <v>Toronto FC21</v>
      </c>
      <c r="O2164" s="10">
        <f t="shared" si="523"/>
        <v>0</v>
      </c>
      <c r="P2164" s="10">
        <f t="shared" si="524"/>
        <v>0</v>
      </c>
      <c r="Q2164" s="10">
        <f t="shared" si="525"/>
        <v>0</v>
      </c>
    </row>
    <row r="2165" spans="1:17">
      <c r="A2165" s="15">
        <f t="shared" si="521"/>
        <v>21</v>
      </c>
      <c r="B2165" s="15"/>
      <c r="C2165" s="14" t="str">
        <f>Fixture!C169</f>
        <v>New England</v>
      </c>
      <c r="D2165" s="15">
        <f>IF(E2165=0,0,IF(Fixture!D169&lt;Fixture!F169,0,IF(Fixture!F169&lt;Fixture!D169,3,1)))</f>
        <v>0</v>
      </c>
      <c r="E2165" s="16">
        <f>IF(OR(ISBLANK(Fixture!D169),ISBLANK(Fixture!F169),ISTEXT(Fixture!D169),ISTEXT(Fixture!F169)),0,1)</f>
        <v>0</v>
      </c>
      <c r="F2165" s="16">
        <f t="shared" si="516"/>
        <v>0</v>
      </c>
      <c r="G2165" s="16">
        <f t="shared" si="517"/>
        <v>0</v>
      </c>
      <c r="H2165" s="16">
        <f t="shared" si="518"/>
        <v>0</v>
      </c>
      <c r="I2165" s="63">
        <f>IF(E2165=0,0,Fixture!D169)</f>
        <v>0</v>
      </c>
      <c r="J2165" s="63">
        <f>IF(E2165=0,0,Fixture!F169)</f>
        <v>0</v>
      </c>
      <c r="K2165" s="63">
        <f t="shared" si="519"/>
        <v>0</v>
      </c>
      <c r="L2165" s="63">
        <f t="shared" si="520"/>
        <v>0</v>
      </c>
      <c r="N2165" s="10" t="str">
        <f t="shared" si="522"/>
        <v>New England21</v>
      </c>
      <c r="O2165" s="10">
        <f t="shared" si="523"/>
        <v>0</v>
      </c>
      <c r="P2165" s="10">
        <f t="shared" si="524"/>
        <v>0</v>
      </c>
      <c r="Q2165" s="10">
        <f t="shared" si="525"/>
        <v>0</v>
      </c>
    </row>
    <row r="2166" spans="1:17">
      <c r="A2166" s="15">
        <f t="shared" si="521"/>
        <v>22</v>
      </c>
      <c r="B2166" s="15"/>
      <c r="C2166" s="14" t="str">
        <f>Fixture!C170</f>
        <v>New York Red Bulls</v>
      </c>
      <c r="D2166" s="15">
        <f>IF(E2166=0,0,IF(Fixture!D170&lt;Fixture!F170,0,IF(Fixture!F170&lt;Fixture!D170,3,1)))</f>
        <v>0</v>
      </c>
      <c r="E2166" s="16">
        <f>IF(OR(ISBLANK(Fixture!D170),ISBLANK(Fixture!F170),ISTEXT(Fixture!D170),ISTEXT(Fixture!F170)),0,1)</f>
        <v>0</v>
      </c>
      <c r="F2166" s="16">
        <f t="shared" si="516"/>
        <v>0</v>
      </c>
      <c r="G2166" s="16">
        <f t="shared" si="517"/>
        <v>0</v>
      </c>
      <c r="H2166" s="16">
        <f t="shared" si="518"/>
        <v>0</v>
      </c>
      <c r="I2166" s="63">
        <f>IF(E2166=0,0,Fixture!D170)</f>
        <v>0</v>
      </c>
      <c r="J2166" s="63">
        <f>IF(E2166=0,0,Fixture!F170)</f>
        <v>0</v>
      </c>
      <c r="K2166" s="63">
        <f t="shared" si="519"/>
        <v>0</v>
      </c>
      <c r="L2166" s="63">
        <f t="shared" si="520"/>
        <v>0</v>
      </c>
      <c r="N2166" s="10" t="str">
        <f t="shared" si="522"/>
        <v>New York Red Bulls22</v>
      </c>
      <c r="O2166" s="10">
        <f t="shared" si="523"/>
        <v>0</v>
      </c>
      <c r="P2166" s="10">
        <f t="shared" si="524"/>
        <v>0</v>
      </c>
      <c r="Q2166" s="10">
        <f t="shared" si="525"/>
        <v>0</v>
      </c>
    </row>
    <row r="2167" spans="1:17">
      <c r="A2167" s="15">
        <f t="shared" si="521"/>
        <v>21</v>
      </c>
      <c r="B2167" s="15"/>
      <c r="C2167" s="14" t="str">
        <f>Fixture!C171</f>
        <v>Colorado</v>
      </c>
      <c r="D2167" s="15">
        <f>IF(E2167=0,0,IF(Fixture!D171&lt;Fixture!F171,0,IF(Fixture!F171&lt;Fixture!D171,3,1)))</f>
        <v>0</v>
      </c>
      <c r="E2167" s="16">
        <f>IF(OR(ISBLANK(Fixture!D171),ISBLANK(Fixture!F171),ISTEXT(Fixture!D171),ISTEXT(Fixture!F171)),0,1)</f>
        <v>0</v>
      </c>
      <c r="F2167" s="16">
        <f t="shared" si="516"/>
        <v>0</v>
      </c>
      <c r="G2167" s="16">
        <f t="shared" si="517"/>
        <v>0</v>
      </c>
      <c r="H2167" s="16">
        <f t="shared" si="518"/>
        <v>0</v>
      </c>
      <c r="I2167" s="63">
        <f>IF(E2167=0,0,Fixture!D171)</f>
        <v>0</v>
      </c>
      <c r="J2167" s="63">
        <f>IF(E2167=0,0,Fixture!F171)</f>
        <v>0</v>
      </c>
      <c r="K2167" s="63">
        <f t="shared" si="519"/>
        <v>0</v>
      </c>
      <c r="L2167" s="63">
        <f t="shared" si="520"/>
        <v>0</v>
      </c>
      <c r="N2167" s="10" t="str">
        <f t="shared" si="522"/>
        <v>Colorado21</v>
      </c>
      <c r="O2167" s="10">
        <f t="shared" si="523"/>
        <v>0</v>
      </c>
      <c r="P2167" s="10">
        <f t="shared" si="524"/>
        <v>0</v>
      </c>
      <c r="Q2167" s="10">
        <f t="shared" si="525"/>
        <v>0</v>
      </c>
    </row>
    <row r="2168" spans="1:17">
      <c r="A2168" s="15">
        <f t="shared" si="521"/>
        <v>22</v>
      </c>
      <c r="B2168" s="15"/>
      <c r="C2168" s="14" t="str">
        <f>Fixture!C172</f>
        <v>Los Angeles</v>
      </c>
      <c r="D2168" s="15">
        <f>IF(E2168=0,0,IF(Fixture!D172&lt;Fixture!F172,0,IF(Fixture!F172&lt;Fixture!D172,3,1)))</f>
        <v>0</v>
      </c>
      <c r="E2168" s="16">
        <f>IF(OR(ISBLANK(Fixture!D172),ISBLANK(Fixture!F172),ISTEXT(Fixture!D172),ISTEXT(Fixture!F172)),0,1)</f>
        <v>0</v>
      </c>
      <c r="F2168" s="16">
        <f t="shared" si="516"/>
        <v>0</v>
      </c>
      <c r="G2168" s="16">
        <f t="shared" si="517"/>
        <v>0</v>
      </c>
      <c r="H2168" s="16">
        <f t="shared" si="518"/>
        <v>0</v>
      </c>
      <c r="I2168" s="63">
        <f>IF(E2168=0,0,Fixture!D172)</f>
        <v>0</v>
      </c>
      <c r="J2168" s="63">
        <f>IF(E2168=0,0,Fixture!F172)</f>
        <v>0</v>
      </c>
      <c r="K2168" s="63">
        <f t="shared" si="519"/>
        <v>0</v>
      </c>
      <c r="L2168" s="63">
        <f t="shared" si="520"/>
        <v>0</v>
      </c>
      <c r="N2168" s="10" t="str">
        <f t="shared" si="522"/>
        <v>Los Angeles22</v>
      </c>
      <c r="O2168" s="10">
        <f t="shared" si="523"/>
        <v>0</v>
      </c>
      <c r="P2168" s="10">
        <f t="shared" si="524"/>
        <v>0</v>
      </c>
      <c r="Q2168" s="10">
        <f t="shared" si="525"/>
        <v>0</v>
      </c>
    </row>
    <row r="2169" spans="1:17">
      <c r="A2169" s="15">
        <f t="shared" si="521"/>
        <v>22</v>
      </c>
      <c r="B2169" s="15"/>
      <c r="C2169" s="14" t="str">
        <f>Fixture!C173</f>
        <v>Seattle Sounders FC</v>
      </c>
      <c r="D2169" s="15">
        <f>IF(E2169=0,0,IF(Fixture!D173&lt;Fixture!F173,0,IF(Fixture!F173&lt;Fixture!D173,3,1)))</f>
        <v>0</v>
      </c>
      <c r="E2169" s="16">
        <f>IF(OR(ISBLANK(Fixture!D173),ISBLANK(Fixture!F173),ISTEXT(Fixture!D173),ISTEXT(Fixture!F173)),0,1)</f>
        <v>0</v>
      </c>
      <c r="F2169" s="16">
        <f t="shared" si="516"/>
        <v>0</v>
      </c>
      <c r="G2169" s="16">
        <f t="shared" si="517"/>
        <v>0</v>
      </c>
      <c r="H2169" s="16">
        <f t="shared" si="518"/>
        <v>0</v>
      </c>
      <c r="I2169" s="63">
        <f>IF(E2169=0,0,Fixture!D173)</f>
        <v>0</v>
      </c>
      <c r="J2169" s="63">
        <f>IF(E2169=0,0,Fixture!F173)</f>
        <v>0</v>
      </c>
      <c r="K2169" s="63">
        <f t="shared" si="519"/>
        <v>0</v>
      </c>
      <c r="L2169" s="63">
        <f t="shared" si="520"/>
        <v>0</v>
      </c>
      <c r="N2169" s="10" t="str">
        <f t="shared" si="522"/>
        <v>Seattle Sounders FC22</v>
      </c>
      <c r="O2169" s="10">
        <f t="shared" si="523"/>
        <v>0</v>
      </c>
      <c r="P2169" s="10">
        <f t="shared" si="524"/>
        <v>0</v>
      </c>
      <c r="Q2169" s="10">
        <f t="shared" si="525"/>
        <v>0</v>
      </c>
    </row>
    <row r="2170" spans="1:17">
      <c r="A2170" s="15">
        <f t="shared" si="521"/>
        <v>21</v>
      </c>
      <c r="B2170" s="15"/>
      <c r="C2170" s="14" t="str">
        <f>Fixture!C174</f>
        <v>Chivas USA</v>
      </c>
      <c r="D2170" s="15">
        <f>IF(E2170=0,0,IF(Fixture!D174&lt;Fixture!F174,0,IF(Fixture!F174&lt;Fixture!D174,3,1)))</f>
        <v>0</v>
      </c>
      <c r="E2170" s="16">
        <f>IF(OR(ISBLANK(Fixture!D174),ISBLANK(Fixture!F174),ISTEXT(Fixture!D174),ISTEXT(Fixture!F174)),0,1)</f>
        <v>0</v>
      </c>
      <c r="F2170" s="16">
        <f t="shared" si="516"/>
        <v>0</v>
      </c>
      <c r="G2170" s="16">
        <f t="shared" si="517"/>
        <v>0</v>
      </c>
      <c r="H2170" s="16">
        <f t="shared" si="518"/>
        <v>0</v>
      </c>
      <c r="I2170" s="63">
        <f>IF(E2170=0,0,Fixture!D174)</f>
        <v>0</v>
      </c>
      <c r="J2170" s="63">
        <f>IF(E2170=0,0,Fixture!F174)</f>
        <v>0</v>
      </c>
      <c r="K2170" s="63">
        <f t="shared" si="519"/>
        <v>0</v>
      </c>
      <c r="L2170" s="63">
        <f t="shared" si="520"/>
        <v>0</v>
      </c>
      <c r="N2170" s="10" t="str">
        <f t="shared" si="522"/>
        <v>Chivas USA21</v>
      </c>
      <c r="O2170" s="10">
        <f t="shared" si="523"/>
        <v>0</v>
      </c>
      <c r="P2170" s="10">
        <f t="shared" si="524"/>
        <v>0</v>
      </c>
      <c r="Q2170" s="10">
        <f t="shared" si="525"/>
        <v>0</v>
      </c>
    </row>
    <row r="2171" spans="1:17">
      <c r="A2171" s="15">
        <f t="shared" si="521"/>
        <v>22</v>
      </c>
      <c r="B2171" s="15"/>
      <c r="C2171" s="14" t="str">
        <f>Fixture!C175</f>
        <v>Philadelphia Union</v>
      </c>
      <c r="D2171" s="15">
        <f>IF(E2171=0,0,IF(Fixture!D175&lt;Fixture!F175,0,IF(Fixture!F175&lt;Fixture!D175,3,1)))</f>
        <v>0</v>
      </c>
      <c r="E2171" s="16">
        <f>IF(OR(ISBLANK(Fixture!D175),ISBLANK(Fixture!F175),ISTEXT(Fixture!D175),ISTEXT(Fixture!F175)),0,1)</f>
        <v>0</v>
      </c>
      <c r="F2171" s="16">
        <f t="shared" si="516"/>
        <v>0</v>
      </c>
      <c r="G2171" s="16">
        <f t="shared" si="517"/>
        <v>0</v>
      </c>
      <c r="H2171" s="16">
        <f t="shared" si="518"/>
        <v>0</v>
      </c>
      <c r="I2171" s="63">
        <f>IF(E2171=0,0,Fixture!D175)</f>
        <v>0</v>
      </c>
      <c r="J2171" s="63">
        <f>IF(E2171=0,0,Fixture!F175)</f>
        <v>0</v>
      </c>
      <c r="K2171" s="63">
        <f t="shared" si="519"/>
        <v>0</v>
      </c>
      <c r="L2171" s="63">
        <f t="shared" si="520"/>
        <v>0</v>
      </c>
      <c r="N2171" s="10" t="str">
        <f t="shared" si="522"/>
        <v>Philadelphia Union22</v>
      </c>
      <c r="O2171" s="10">
        <f t="shared" si="523"/>
        <v>0</v>
      </c>
      <c r="P2171" s="10">
        <f t="shared" si="524"/>
        <v>0</v>
      </c>
      <c r="Q2171" s="10">
        <f t="shared" si="525"/>
        <v>0</v>
      </c>
    </row>
    <row r="2172" spans="1:17">
      <c r="A2172" s="15">
        <f t="shared" si="521"/>
        <v>20</v>
      </c>
      <c r="B2172" s="15"/>
      <c r="C2172" s="14" t="str">
        <f>Fixture!C176</f>
        <v>Chicago</v>
      </c>
      <c r="D2172" s="15">
        <f>IF(E2172=0,0,IF(Fixture!D176&lt;Fixture!F176,0,IF(Fixture!F176&lt;Fixture!D176,3,1)))</f>
        <v>0</v>
      </c>
      <c r="E2172" s="16">
        <f>IF(OR(ISBLANK(Fixture!D176),ISBLANK(Fixture!F176),ISTEXT(Fixture!D176),ISTEXT(Fixture!F176)),0,1)</f>
        <v>0</v>
      </c>
      <c r="F2172" s="16">
        <f t="shared" si="516"/>
        <v>0</v>
      </c>
      <c r="G2172" s="16">
        <f t="shared" si="517"/>
        <v>0</v>
      </c>
      <c r="H2172" s="16">
        <f t="shared" si="518"/>
        <v>0</v>
      </c>
      <c r="I2172" s="63">
        <f>IF(E2172=0,0,Fixture!D176)</f>
        <v>0</v>
      </c>
      <c r="J2172" s="63">
        <f>IF(E2172=0,0,Fixture!F176)</f>
        <v>0</v>
      </c>
      <c r="K2172" s="63">
        <f t="shared" si="519"/>
        <v>0</v>
      </c>
      <c r="L2172" s="63">
        <f t="shared" si="520"/>
        <v>0</v>
      </c>
      <c r="N2172" s="10" t="str">
        <f t="shared" si="522"/>
        <v>Chicago20</v>
      </c>
      <c r="O2172" s="10">
        <f t="shared" si="523"/>
        <v>0</v>
      </c>
      <c r="P2172" s="10">
        <f t="shared" si="524"/>
        <v>0</v>
      </c>
      <c r="Q2172" s="10">
        <f t="shared" si="525"/>
        <v>0</v>
      </c>
    </row>
    <row r="2173" spans="1:17">
      <c r="A2173" s="15">
        <f t="shared" si="521"/>
        <v>23</v>
      </c>
      <c r="B2173" s="15"/>
      <c r="C2173" s="14" t="str">
        <f>Fixture!C177</f>
        <v>DC United</v>
      </c>
      <c r="D2173" s="15">
        <f>IF(E2173=0,0,IF(Fixture!D177&lt;Fixture!F177,0,IF(Fixture!F177&lt;Fixture!D177,3,1)))</f>
        <v>0</v>
      </c>
      <c r="E2173" s="16">
        <f>IF(OR(ISBLANK(Fixture!D177),ISBLANK(Fixture!F177),ISTEXT(Fixture!D177),ISTEXT(Fixture!F177)),0,1)</f>
        <v>0</v>
      </c>
      <c r="F2173" s="16">
        <f t="shared" si="516"/>
        <v>0</v>
      </c>
      <c r="G2173" s="16">
        <f t="shared" si="517"/>
        <v>0</v>
      </c>
      <c r="H2173" s="16">
        <f t="shared" si="518"/>
        <v>0</v>
      </c>
      <c r="I2173" s="63">
        <f>IF(E2173=0,0,Fixture!D177)</f>
        <v>0</v>
      </c>
      <c r="J2173" s="63">
        <f>IF(E2173=0,0,Fixture!F177)</f>
        <v>0</v>
      </c>
      <c r="K2173" s="63">
        <f t="shared" si="519"/>
        <v>0</v>
      </c>
      <c r="L2173" s="63">
        <f t="shared" si="520"/>
        <v>0</v>
      </c>
      <c r="N2173" s="10" t="str">
        <f t="shared" si="522"/>
        <v>DC United23</v>
      </c>
      <c r="O2173" s="10">
        <f t="shared" si="523"/>
        <v>0</v>
      </c>
      <c r="P2173" s="10">
        <f t="shared" si="524"/>
        <v>0</v>
      </c>
      <c r="Q2173" s="10">
        <f t="shared" si="525"/>
        <v>0</v>
      </c>
    </row>
    <row r="2174" spans="1:17">
      <c r="A2174" s="15">
        <f t="shared" si="521"/>
        <v>22</v>
      </c>
      <c r="B2174" s="15"/>
      <c r="C2174" s="14" t="str">
        <f>Fixture!C178</f>
        <v>New England</v>
      </c>
      <c r="D2174" s="15">
        <f>IF(E2174=0,0,IF(Fixture!D178&lt;Fixture!F178,0,IF(Fixture!F178&lt;Fixture!D178,3,1)))</f>
        <v>0</v>
      </c>
      <c r="E2174" s="16">
        <f>IF(OR(ISBLANK(Fixture!D178),ISBLANK(Fixture!F178),ISTEXT(Fixture!D178),ISTEXT(Fixture!F178)),0,1)</f>
        <v>0</v>
      </c>
      <c r="F2174" s="16">
        <f t="shared" si="516"/>
        <v>0</v>
      </c>
      <c r="G2174" s="16">
        <f t="shared" si="517"/>
        <v>0</v>
      </c>
      <c r="H2174" s="16">
        <f t="shared" si="518"/>
        <v>0</v>
      </c>
      <c r="I2174" s="63">
        <f>IF(E2174=0,0,Fixture!D178)</f>
        <v>0</v>
      </c>
      <c r="J2174" s="63">
        <f>IF(E2174=0,0,Fixture!F178)</f>
        <v>0</v>
      </c>
      <c r="K2174" s="63">
        <f t="shared" si="519"/>
        <v>0</v>
      </c>
      <c r="L2174" s="63">
        <f t="shared" si="520"/>
        <v>0</v>
      </c>
      <c r="N2174" s="10" t="str">
        <f t="shared" si="522"/>
        <v>New England22</v>
      </c>
      <c r="O2174" s="10">
        <f t="shared" si="523"/>
        <v>0</v>
      </c>
      <c r="P2174" s="10">
        <f t="shared" si="524"/>
        <v>0</v>
      </c>
      <c r="Q2174" s="10">
        <f t="shared" si="525"/>
        <v>0</v>
      </c>
    </row>
    <row r="2175" spans="1:17">
      <c r="A2175" s="15">
        <f t="shared" si="521"/>
        <v>22</v>
      </c>
      <c r="B2175" s="15"/>
      <c r="C2175" s="14" t="str">
        <f>Fixture!C179</f>
        <v>Dallas</v>
      </c>
      <c r="D2175" s="15">
        <f>IF(E2175=0,0,IF(Fixture!D179&lt;Fixture!F179,0,IF(Fixture!F179&lt;Fixture!D179,3,1)))</f>
        <v>0</v>
      </c>
      <c r="E2175" s="16">
        <f>IF(OR(ISBLANK(Fixture!D179),ISBLANK(Fixture!F179),ISTEXT(Fixture!D179),ISTEXT(Fixture!F179)),0,1)</f>
        <v>0</v>
      </c>
      <c r="F2175" s="16">
        <f t="shared" si="516"/>
        <v>0</v>
      </c>
      <c r="G2175" s="16">
        <f t="shared" si="517"/>
        <v>0</v>
      </c>
      <c r="H2175" s="16">
        <f t="shared" si="518"/>
        <v>0</v>
      </c>
      <c r="I2175" s="63">
        <f>IF(E2175=0,0,Fixture!D179)</f>
        <v>0</v>
      </c>
      <c r="J2175" s="63">
        <f>IF(E2175=0,0,Fixture!F179)</f>
        <v>0</v>
      </c>
      <c r="K2175" s="63">
        <f t="shared" si="519"/>
        <v>0</v>
      </c>
      <c r="L2175" s="63">
        <f t="shared" si="520"/>
        <v>0</v>
      </c>
      <c r="N2175" s="10" t="str">
        <f t="shared" si="522"/>
        <v>Dallas22</v>
      </c>
      <c r="O2175" s="10">
        <f t="shared" si="523"/>
        <v>0</v>
      </c>
      <c r="P2175" s="10">
        <f t="shared" si="524"/>
        <v>0</v>
      </c>
      <c r="Q2175" s="10">
        <f t="shared" si="525"/>
        <v>0</v>
      </c>
    </row>
    <row r="2176" spans="1:17">
      <c r="A2176" s="15">
        <f t="shared" si="521"/>
        <v>22</v>
      </c>
      <c r="B2176" s="15"/>
      <c r="C2176" s="14" t="str">
        <f>Fixture!C180</f>
        <v>Colorado</v>
      </c>
      <c r="D2176" s="15">
        <f>IF(E2176=0,0,IF(Fixture!D180&lt;Fixture!F180,0,IF(Fixture!F180&lt;Fixture!D180,3,1)))</f>
        <v>0</v>
      </c>
      <c r="E2176" s="16">
        <f>IF(OR(ISBLANK(Fixture!D180),ISBLANK(Fixture!F180),ISTEXT(Fixture!D180),ISTEXT(Fixture!F180)),0,1)</f>
        <v>0</v>
      </c>
      <c r="F2176" s="16">
        <f t="shared" si="516"/>
        <v>0</v>
      </c>
      <c r="G2176" s="16">
        <f t="shared" si="517"/>
        <v>0</v>
      </c>
      <c r="H2176" s="16">
        <f t="shared" si="518"/>
        <v>0</v>
      </c>
      <c r="I2176" s="63">
        <f>IF(E2176=0,0,Fixture!D180)</f>
        <v>0</v>
      </c>
      <c r="J2176" s="63">
        <f>IF(E2176=0,0,Fixture!F180)</f>
        <v>0</v>
      </c>
      <c r="K2176" s="63">
        <f t="shared" si="519"/>
        <v>0</v>
      </c>
      <c r="L2176" s="63">
        <f t="shared" si="520"/>
        <v>0</v>
      </c>
      <c r="N2176" s="10" t="str">
        <f t="shared" si="522"/>
        <v>Colorado22</v>
      </c>
      <c r="O2176" s="10">
        <f t="shared" si="523"/>
        <v>0</v>
      </c>
      <c r="P2176" s="10">
        <f t="shared" si="524"/>
        <v>0</v>
      </c>
      <c r="Q2176" s="10">
        <f t="shared" si="525"/>
        <v>0</v>
      </c>
    </row>
    <row r="2177" spans="1:17">
      <c r="A2177" s="15">
        <f t="shared" si="521"/>
        <v>23</v>
      </c>
      <c r="B2177" s="15"/>
      <c r="C2177" s="14" t="str">
        <f>Fixture!C181</f>
        <v>Real Salt Lake</v>
      </c>
      <c r="D2177" s="15">
        <f>IF(E2177=0,0,IF(Fixture!D181&lt;Fixture!F181,0,IF(Fixture!F181&lt;Fixture!D181,3,1)))</f>
        <v>0</v>
      </c>
      <c r="E2177" s="16">
        <f>IF(OR(ISBLANK(Fixture!D181),ISBLANK(Fixture!F181),ISTEXT(Fixture!D181),ISTEXT(Fixture!F181)),0,1)</f>
        <v>0</v>
      </c>
      <c r="F2177" s="16">
        <f t="shared" si="516"/>
        <v>0</v>
      </c>
      <c r="G2177" s="16">
        <f t="shared" si="517"/>
        <v>0</v>
      </c>
      <c r="H2177" s="16">
        <f t="shared" si="518"/>
        <v>0</v>
      </c>
      <c r="I2177" s="63">
        <f>IF(E2177=0,0,Fixture!D181)</f>
        <v>0</v>
      </c>
      <c r="J2177" s="63">
        <f>IF(E2177=0,0,Fixture!F181)</f>
        <v>0</v>
      </c>
      <c r="K2177" s="63">
        <f t="shared" si="519"/>
        <v>0</v>
      </c>
      <c r="L2177" s="63">
        <f t="shared" si="520"/>
        <v>0</v>
      </c>
      <c r="N2177" s="10" t="str">
        <f t="shared" si="522"/>
        <v>Real Salt Lake23</v>
      </c>
      <c r="O2177" s="10">
        <f t="shared" si="523"/>
        <v>0</v>
      </c>
      <c r="P2177" s="10">
        <f t="shared" si="524"/>
        <v>0</v>
      </c>
      <c r="Q2177" s="10">
        <f t="shared" si="525"/>
        <v>0</v>
      </c>
    </row>
    <row r="2178" spans="1:17">
      <c r="A2178" s="15">
        <f t="shared" si="521"/>
        <v>23</v>
      </c>
      <c r="B2178" s="15"/>
      <c r="C2178" s="14" t="str">
        <f>Fixture!C182</f>
        <v>Houston</v>
      </c>
      <c r="D2178" s="15">
        <f>IF(E2178=0,0,IF(Fixture!D182&lt;Fixture!F182,0,IF(Fixture!F182&lt;Fixture!D182,3,1)))</f>
        <v>0</v>
      </c>
      <c r="E2178" s="16">
        <f>IF(OR(ISBLANK(Fixture!D182),ISBLANK(Fixture!F182),ISTEXT(Fixture!D182),ISTEXT(Fixture!F182)),0,1)</f>
        <v>0</v>
      </c>
      <c r="F2178" s="16">
        <f t="shared" si="516"/>
        <v>0</v>
      </c>
      <c r="G2178" s="16">
        <f t="shared" si="517"/>
        <v>0</v>
      </c>
      <c r="H2178" s="16">
        <f t="shared" si="518"/>
        <v>0</v>
      </c>
      <c r="I2178" s="63">
        <f>IF(E2178=0,0,Fixture!D182)</f>
        <v>0</v>
      </c>
      <c r="J2178" s="63">
        <f>IF(E2178=0,0,Fixture!F182)</f>
        <v>0</v>
      </c>
      <c r="K2178" s="63">
        <f t="shared" si="519"/>
        <v>0</v>
      </c>
      <c r="L2178" s="63">
        <f t="shared" si="520"/>
        <v>0</v>
      </c>
      <c r="N2178" s="10" t="str">
        <f t="shared" si="522"/>
        <v>Houston23</v>
      </c>
      <c r="O2178" s="10">
        <f t="shared" si="523"/>
        <v>0</v>
      </c>
      <c r="P2178" s="10">
        <f t="shared" si="524"/>
        <v>0</v>
      </c>
      <c r="Q2178" s="10">
        <f t="shared" si="525"/>
        <v>0</v>
      </c>
    </row>
    <row r="2179" spans="1:17">
      <c r="A2179" s="15">
        <f t="shared" si="521"/>
        <v>21</v>
      </c>
      <c r="B2179" s="15"/>
      <c r="C2179" s="14" t="str">
        <f>Fixture!C183</f>
        <v>Chicago</v>
      </c>
      <c r="D2179" s="15">
        <f>IF(E2179=0,0,IF(Fixture!D183&lt;Fixture!F183,0,IF(Fixture!F183&lt;Fixture!D183,3,1)))</f>
        <v>0</v>
      </c>
      <c r="E2179" s="16">
        <f>IF(OR(ISBLANK(Fixture!D183),ISBLANK(Fixture!F183),ISTEXT(Fixture!D183),ISTEXT(Fixture!F183)),0,1)</f>
        <v>0</v>
      </c>
      <c r="F2179" s="16">
        <f t="shared" si="516"/>
        <v>0</v>
      </c>
      <c r="G2179" s="16">
        <f t="shared" si="517"/>
        <v>0</v>
      </c>
      <c r="H2179" s="16">
        <f t="shared" si="518"/>
        <v>0</v>
      </c>
      <c r="I2179" s="63">
        <f>IF(E2179=0,0,Fixture!D183)</f>
        <v>0</v>
      </c>
      <c r="J2179" s="63">
        <f>IF(E2179=0,0,Fixture!F183)</f>
        <v>0</v>
      </c>
      <c r="K2179" s="63">
        <f t="shared" si="519"/>
        <v>0</v>
      </c>
      <c r="L2179" s="63">
        <f t="shared" si="520"/>
        <v>0</v>
      </c>
      <c r="N2179" s="10" t="str">
        <f t="shared" si="522"/>
        <v>Chicago21</v>
      </c>
      <c r="O2179" s="10">
        <f t="shared" si="523"/>
        <v>0</v>
      </c>
      <c r="P2179" s="10">
        <f t="shared" si="524"/>
        <v>0</v>
      </c>
      <c r="Q2179" s="10">
        <f t="shared" si="525"/>
        <v>0</v>
      </c>
    </row>
    <row r="2180" spans="1:17">
      <c r="A2180" s="15">
        <f t="shared" si="521"/>
        <v>24</v>
      </c>
      <c r="B2180" s="15"/>
      <c r="C2180" s="14" t="str">
        <f>Fixture!C184</f>
        <v>Seattle Sounders FC</v>
      </c>
      <c r="D2180" s="15">
        <f>IF(E2180=0,0,IF(Fixture!D184&lt;Fixture!F184,0,IF(Fixture!F184&lt;Fixture!D184,3,1)))</f>
        <v>0</v>
      </c>
      <c r="E2180" s="16">
        <f>IF(OR(ISBLANK(Fixture!D184),ISBLANK(Fixture!F184),ISTEXT(Fixture!D184),ISTEXT(Fixture!F184)),0,1)</f>
        <v>0</v>
      </c>
      <c r="F2180" s="16">
        <f t="shared" si="516"/>
        <v>0</v>
      </c>
      <c r="G2180" s="16">
        <f t="shared" si="517"/>
        <v>0</v>
      </c>
      <c r="H2180" s="16">
        <f t="shared" si="518"/>
        <v>0</v>
      </c>
      <c r="I2180" s="63">
        <f>IF(E2180=0,0,Fixture!D184)</f>
        <v>0</v>
      </c>
      <c r="J2180" s="63">
        <f>IF(E2180=0,0,Fixture!F184)</f>
        <v>0</v>
      </c>
      <c r="K2180" s="63">
        <f t="shared" si="519"/>
        <v>0</v>
      </c>
      <c r="L2180" s="63">
        <f t="shared" si="520"/>
        <v>0</v>
      </c>
      <c r="N2180" s="10" t="str">
        <f t="shared" si="522"/>
        <v>Seattle Sounders FC24</v>
      </c>
      <c r="O2180" s="10">
        <f t="shared" si="523"/>
        <v>0</v>
      </c>
      <c r="P2180" s="10">
        <f t="shared" si="524"/>
        <v>0</v>
      </c>
      <c r="Q2180" s="10">
        <f t="shared" si="525"/>
        <v>0</v>
      </c>
    </row>
    <row r="2181" spans="1:17">
      <c r="A2181" s="15">
        <f t="shared" si="521"/>
        <v>23</v>
      </c>
      <c r="B2181" s="15"/>
      <c r="C2181" s="14" t="str">
        <f>Fixture!C185</f>
        <v>Chivas USA</v>
      </c>
      <c r="D2181" s="15">
        <f>IF(E2181=0,0,IF(Fixture!D185&lt;Fixture!F185,0,IF(Fixture!F185&lt;Fixture!D185,3,1)))</f>
        <v>0</v>
      </c>
      <c r="E2181" s="16">
        <f>IF(OR(ISBLANK(Fixture!D185),ISBLANK(Fixture!F185),ISTEXT(Fixture!D185),ISTEXT(Fixture!F185)),0,1)</f>
        <v>0</v>
      </c>
      <c r="F2181" s="16">
        <f t="shared" si="516"/>
        <v>0</v>
      </c>
      <c r="G2181" s="16">
        <f t="shared" si="517"/>
        <v>0</v>
      </c>
      <c r="H2181" s="16">
        <f t="shared" si="518"/>
        <v>0</v>
      </c>
      <c r="I2181" s="63">
        <f>IF(E2181=0,0,Fixture!D185)</f>
        <v>0</v>
      </c>
      <c r="J2181" s="63">
        <f>IF(E2181=0,0,Fixture!F185)</f>
        <v>0</v>
      </c>
      <c r="K2181" s="63">
        <f t="shared" si="519"/>
        <v>0</v>
      </c>
      <c r="L2181" s="63">
        <f t="shared" si="520"/>
        <v>0</v>
      </c>
      <c r="N2181" s="10" t="str">
        <f t="shared" si="522"/>
        <v>Chivas USA23</v>
      </c>
      <c r="O2181" s="10">
        <f t="shared" si="523"/>
        <v>0</v>
      </c>
      <c r="P2181" s="10">
        <f t="shared" si="524"/>
        <v>0</v>
      </c>
      <c r="Q2181" s="10">
        <f t="shared" si="525"/>
        <v>0</v>
      </c>
    </row>
    <row r="2182" spans="1:17">
      <c r="A2182" s="15">
        <f t="shared" si="521"/>
        <v>24</v>
      </c>
      <c r="B2182" s="15"/>
      <c r="C2182" s="14" t="str">
        <f>Fixture!C186</f>
        <v>New York Red Bulls</v>
      </c>
      <c r="D2182" s="15">
        <f>IF(E2182=0,0,IF(Fixture!D186&lt;Fixture!F186,0,IF(Fixture!F186&lt;Fixture!D186,3,1)))</f>
        <v>0</v>
      </c>
      <c r="E2182" s="16">
        <f>IF(OR(ISBLANK(Fixture!D186),ISBLANK(Fixture!F186),ISTEXT(Fixture!D186),ISTEXT(Fixture!F186)),0,1)</f>
        <v>0</v>
      </c>
      <c r="F2182" s="16">
        <f t="shared" si="516"/>
        <v>0</v>
      </c>
      <c r="G2182" s="16">
        <f t="shared" si="517"/>
        <v>0</v>
      </c>
      <c r="H2182" s="16">
        <f t="shared" si="518"/>
        <v>0</v>
      </c>
      <c r="I2182" s="63">
        <f>IF(E2182=0,0,Fixture!D186)</f>
        <v>0</v>
      </c>
      <c r="J2182" s="63">
        <f>IF(E2182=0,0,Fixture!F186)</f>
        <v>0</v>
      </c>
      <c r="K2182" s="63">
        <f t="shared" si="519"/>
        <v>0</v>
      </c>
      <c r="L2182" s="63">
        <f t="shared" si="520"/>
        <v>0</v>
      </c>
      <c r="N2182" s="10" t="str">
        <f t="shared" si="522"/>
        <v>New York Red Bulls24</v>
      </c>
      <c r="O2182" s="10">
        <f t="shared" si="523"/>
        <v>0</v>
      </c>
      <c r="P2182" s="10">
        <f t="shared" si="524"/>
        <v>0</v>
      </c>
      <c r="Q2182" s="10">
        <f t="shared" si="525"/>
        <v>0</v>
      </c>
    </row>
    <row r="2183" spans="1:17">
      <c r="A2183" s="15">
        <f t="shared" si="521"/>
        <v>24</v>
      </c>
      <c r="B2183" s="15"/>
      <c r="C2183" s="14" t="str">
        <f>Fixture!C187</f>
        <v>Toronto FC</v>
      </c>
      <c r="D2183" s="15">
        <f>IF(E2183=0,0,IF(Fixture!D187&lt;Fixture!F187,0,IF(Fixture!F187&lt;Fixture!D187,3,1)))</f>
        <v>0</v>
      </c>
      <c r="E2183" s="16">
        <f>IF(OR(ISBLANK(Fixture!D187),ISBLANK(Fixture!F187),ISTEXT(Fixture!D187),ISTEXT(Fixture!F187)),0,1)</f>
        <v>0</v>
      </c>
      <c r="F2183" s="16">
        <f t="shared" si="516"/>
        <v>0</v>
      </c>
      <c r="G2183" s="16">
        <f t="shared" si="517"/>
        <v>0</v>
      </c>
      <c r="H2183" s="16">
        <f t="shared" si="518"/>
        <v>0</v>
      </c>
      <c r="I2183" s="63">
        <f>IF(E2183=0,0,Fixture!D187)</f>
        <v>0</v>
      </c>
      <c r="J2183" s="63">
        <f>IF(E2183=0,0,Fixture!F187)</f>
        <v>0</v>
      </c>
      <c r="K2183" s="63">
        <f t="shared" si="519"/>
        <v>0</v>
      </c>
      <c r="L2183" s="63">
        <f t="shared" si="520"/>
        <v>0</v>
      </c>
      <c r="N2183" s="10" t="str">
        <f t="shared" si="522"/>
        <v>Toronto FC24</v>
      </c>
      <c r="O2183" s="10">
        <f t="shared" si="523"/>
        <v>0</v>
      </c>
      <c r="P2183" s="10">
        <f t="shared" si="524"/>
        <v>0</v>
      </c>
      <c r="Q2183" s="10">
        <f t="shared" si="525"/>
        <v>0</v>
      </c>
    </row>
    <row r="2184" spans="1:17">
      <c r="A2184" s="15">
        <f t="shared" si="521"/>
        <v>23</v>
      </c>
      <c r="B2184" s="15"/>
      <c r="C2184" s="14" t="str">
        <f>Fixture!C188</f>
        <v>Philadelphia Union</v>
      </c>
      <c r="D2184" s="15">
        <f>IF(E2184=0,0,IF(Fixture!D188&lt;Fixture!F188,0,IF(Fixture!F188&lt;Fixture!D188,3,1)))</f>
        <v>0</v>
      </c>
      <c r="E2184" s="16">
        <f>IF(OR(ISBLANK(Fixture!D188),ISBLANK(Fixture!F188),ISTEXT(Fixture!D188),ISTEXT(Fixture!F188)),0,1)</f>
        <v>0</v>
      </c>
      <c r="F2184" s="16">
        <f t="shared" si="516"/>
        <v>0</v>
      </c>
      <c r="G2184" s="16">
        <f t="shared" si="517"/>
        <v>0</v>
      </c>
      <c r="H2184" s="16">
        <f t="shared" si="518"/>
        <v>0</v>
      </c>
      <c r="I2184" s="63">
        <f>IF(E2184=0,0,Fixture!D188)</f>
        <v>0</v>
      </c>
      <c r="J2184" s="63">
        <f>IF(E2184=0,0,Fixture!F188)</f>
        <v>0</v>
      </c>
      <c r="K2184" s="63">
        <f t="shared" si="519"/>
        <v>0</v>
      </c>
      <c r="L2184" s="63">
        <f t="shared" si="520"/>
        <v>0</v>
      </c>
      <c r="N2184" s="10" t="str">
        <f t="shared" si="522"/>
        <v>Philadelphia Union23</v>
      </c>
      <c r="O2184" s="10">
        <f t="shared" si="523"/>
        <v>0</v>
      </c>
      <c r="P2184" s="10">
        <f t="shared" si="524"/>
        <v>0</v>
      </c>
      <c r="Q2184" s="10">
        <f t="shared" si="525"/>
        <v>0</v>
      </c>
    </row>
    <row r="2185" spans="1:17">
      <c r="A2185" s="15">
        <f t="shared" si="521"/>
        <v>23</v>
      </c>
      <c r="B2185" s="15"/>
      <c r="C2185" s="14" t="str">
        <f>Fixture!C189</f>
        <v>Kansas City</v>
      </c>
      <c r="D2185" s="15">
        <f>IF(E2185=0,0,IF(Fixture!D189&lt;Fixture!F189,0,IF(Fixture!F189&lt;Fixture!D189,3,1)))</f>
        <v>0</v>
      </c>
      <c r="E2185" s="16">
        <f>IF(OR(ISBLANK(Fixture!D189),ISBLANK(Fixture!F189),ISTEXT(Fixture!D189),ISTEXT(Fixture!F189)),0,1)</f>
        <v>0</v>
      </c>
      <c r="F2185" s="16">
        <f t="shared" si="516"/>
        <v>0</v>
      </c>
      <c r="G2185" s="16">
        <f t="shared" si="517"/>
        <v>0</v>
      </c>
      <c r="H2185" s="16">
        <f t="shared" si="518"/>
        <v>0</v>
      </c>
      <c r="I2185" s="63">
        <f>IF(E2185=0,0,Fixture!D189)</f>
        <v>0</v>
      </c>
      <c r="J2185" s="63">
        <f>IF(E2185=0,0,Fixture!F189)</f>
        <v>0</v>
      </c>
      <c r="K2185" s="63">
        <f t="shared" si="519"/>
        <v>0</v>
      </c>
      <c r="L2185" s="63">
        <f t="shared" si="520"/>
        <v>0</v>
      </c>
      <c r="N2185" s="10" t="str">
        <f t="shared" si="522"/>
        <v>Kansas City23</v>
      </c>
      <c r="O2185" s="10">
        <f t="shared" si="523"/>
        <v>0</v>
      </c>
      <c r="P2185" s="10">
        <f t="shared" si="524"/>
        <v>0</v>
      </c>
      <c r="Q2185" s="10">
        <f t="shared" si="525"/>
        <v>0</v>
      </c>
    </row>
    <row r="2186" spans="1:17">
      <c r="A2186" s="15">
        <f t="shared" si="521"/>
        <v>22</v>
      </c>
      <c r="B2186" s="15"/>
      <c r="C2186" s="14" t="str">
        <f>Fixture!C190</f>
        <v>San Jose</v>
      </c>
      <c r="D2186" s="15">
        <f>IF(E2186=0,0,IF(Fixture!D190&lt;Fixture!F190,0,IF(Fixture!F190&lt;Fixture!D190,3,1)))</f>
        <v>0</v>
      </c>
      <c r="E2186" s="16">
        <f>IF(OR(ISBLANK(Fixture!D190),ISBLANK(Fixture!F190),ISTEXT(Fixture!D190),ISTEXT(Fixture!F190)),0,1)</f>
        <v>0</v>
      </c>
      <c r="F2186" s="16">
        <f t="shared" si="516"/>
        <v>0</v>
      </c>
      <c r="G2186" s="16">
        <f t="shared" si="517"/>
        <v>0</v>
      </c>
      <c r="H2186" s="16">
        <f t="shared" si="518"/>
        <v>0</v>
      </c>
      <c r="I2186" s="63">
        <f>IF(E2186=0,0,Fixture!D190)</f>
        <v>0</v>
      </c>
      <c r="J2186" s="63">
        <f>IF(E2186=0,0,Fixture!F190)</f>
        <v>0</v>
      </c>
      <c r="K2186" s="63">
        <f t="shared" si="519"/>
        <v>0</v>
      </c>
      <c r="L2186" s="63">
        <f t="shared" si="520"/>
        <v>0</v>
      </c>
      <c r="N2186" s="10" t="str">
        <f t="shared" si="522"/>
        <v>San Jose22</v>
      </c>
      <c r="O2186" s="10">
        <f t="shared" si="523"/>
        <v>0</v>
      </c>
      <c r="P2186" s="10">
        <f t="shared" si="524"/>
        <v>0</v>
      </c>
      <c r="Q2186" s="10">
        <f t="shared" si="525"/>
        <v>0</v>
      </c>
    </row>
    <row r="2187" spans="1:17">
      <c r="A2187" s="15">
        <f t="shared" si="521"/>
        <v>24</v>
      </c>
      <c r="B2187" s="15"/>
      <c r="C2187" s="14" t="str">
        <f>Fixture!C191</f>
        <v>Los Angeles</v>
      </c>
      <c r="D2187" s="15">
        <f>IF(E2187=0,0,IF(Fixture!D191&lt;Fixture!F191,0,IF(Fixture!F191&lt;Fixture!D191,3,1)))</f>
        <v>0</v>
      </c>
      <c r="E2187" s="16">
        <f>IF(OR(ISBLANK(Fixture!D191),ISBLANK(Fixture!F191),ISTEXT(Fixture!D191),ISTEXT(Fixture!F191)),0,1)</f>
        <v>0</v>
      </c>
      <c r="F2187" s="16">
        <f t="shared" si="516"/>
        <v>0</v>
      </c>
      <c r="G2187" s="16">
        <f t="shared" si="517"/>
        <v>0</v>
      </c>
      <c r="H2187" s="16">
        <f t="shared" si="518"/>
        <v>0</v>
      </c>
      <c r="I2187" s="63">
        <f>IF(E2187=0,0,Fixture!D191)</f>
        <v>0</v>
      </c>
      <c r="J2187" s="63">
        <f>IF(E2187=0,0,Fixture!F191)</f>
        <v>0</v>
      </c>
      <c r="K2187" s="63">
        <f t="shared" si="519"/>
        <v>0</v>
      </c>
      <c r="L2187" s="63">
        <f t="shared" si="520"/>
        <v>0</v>
      </c>
      <c r="N2187" s="10" t="str">
        <f t="shared" si="522"/>
        <v>Los Angeles24</v>
      </c>
      <c r="O2187" s="10">
        <f t="shared" si="523"/>
        <v>0</v>
      </c>
      <c r="P2187" s="10">
        <f t="shared" si="524"/>
        <v>0</v>
      </c>
      <c r="Q2187" s="10">
        <f t="shared" si="525"/>
        <v>0</v>
      </c>
    </row>
    <row r="2188" spans="1:17">
      <c r="A2188" s="15">
        <f t="shared" si="521"/>
        <v>23</v>
      </c>
      <c r="B2188" s="15"/>
      <c r="C2188" s="14" t="str">
        <f>Fixture!C192</f>
        <v>San Jose</v>
      </c>
      <c r="D2188" s="15">
        <f>IF(E2188=0,0,IF(Fixture!D192&lt;Fixture!F192,0,IF(Fixture!F192&lt;Fixture!D192,3,1)))</f>
        <v>0</v>
      </c>
      <c r="E2188" s="16">
        <f>IF(OR(ISBLANK(Fixture!D192),ISBLANK(Fixture!F192),ISTEXT(Fixture!D192),ISTEXT(Fixture!F192)),0,1)</f>
        <v>0</v>
      </c>
      <c r="F2188" s="16">
        <f t="shared" si="516"/>
        <v>0</v>
      </c>
      <c r="G2188" s="16">
        <f t="shared" si="517"/>
        <v>0</v>
      </c>
      <c r="H2188" s="16">
        <f t="shared" si="518"/>
        <v>0</v>
      </c>
      <c r="I2188" s="63">
        <f>IF(E2188=0,0,Fixture!D192)</f>
        <v>0</v>
      </c>
      <c r="J2188" s="63">
        <f>IF(E2188=0,0,Fixture!F192)</f>
        <v>0</v>
      </c>
      <c r="K2188" s="63">
        <f t="shared" si="519"/>
        <v>0</v>
      </c>
      <c r="L2188" s="63">
        <f t="shared" si="520"/>
        <v>0</v>
      </c>
      <c r="N2188" s="10" t="str">
        <f t="shared" si="522"/>
        <v>San Jose23</v>
      </c>
      <c r="O2188" s="10">
        <f t="shared" si="523"/>
        <v>0</v>
      </c>
      <c r="P2188" s="10">
        <f t="shared" si="524"/>
        <v>0</v>
      </c>
      <c r="Q2188" s="10">
        <f t="shared" si="525"/>
        <v>0</v>
      </c>
    </row>
    <row r="2189" spans="1:17">
      <c r="A2189" s="15">
        <f t="shared" si="521"/>
        <v>25</v>
      </c>
      <c r="B2189" s="15"/>
      <c r="C2189" s="14" t="str">
        <f>Fixture!C193</f>
        <v>Real Salt Lake</v>
      </c>
      <c r="D2189" s="15">
        <f>IF(E2189=0,0,IF(Fixture!D193&lt;Fixture!F193,0,IF(Fixture!F193&lt;Fixture!D193,3,1)))</f>
        <v>0</v>
      </c>
      <c r="E2189" s="16">
        <f>IF(OR(ISBLANK(Fixture!D193),ISBLANK(Fixture!F193),ISTEXT(Fixture!D193),ISTEXT(Fixture!F193)),0,1)</f>
        <v>0</v>
      </c>
      <c r="F2189" s="16">
        <f t="shared" si="516"/>
        <v>0</v>
      </c>
      <c r="G2189" s="16">
        <f t="shared" si="517"/>
        <v>0</v>
      </c>
      <c r="H2189" s="16">
        <f t="shared" si="518"/>
        <v>0</v>
      </c>
      <c r="I2189" s="63">
        <f>IF(E2189=0,0,Fixture!D193)</f>
        <v>0</v>
      </c>
      <c r="J2189" s="63">
        <f>IF(E2189=0,0,Fixture!F193)</f>
        <v>0</v>
      </c>
      <c r="K2189" s="63">
        <f t="shared" si="519"/>
        <v>0</v>
      </c>
      <c r="L2189" s="63">
        <f t="shared" si="520"/>
        <v>0</v>
      </c>
      <c r="N2189" s="10" t="str">
        <f t="shared" si="522"/>
        <v>Real Salt Lake25</v>
      </c>
      <c r="O2189" s="10">
        <f t="shared" si="523"/>
        <v>0</v>
      </c>
      <c r="P2189" s="10">
        <f t="shared" si="524"/>
        <v>0</v>
      </c>
      <c r="Q2189" s="10">
        <f t="shared" si="525"/>
        <v>0</v>
      </c>
    </row>
    <row r="2190" spans="1:17">
      <c r="A2190" s="15">
        <f t="shared" si="521"/>
        <v>25</v>
      </c>
      <c r="B2190" s="15"/>
      <c r="C2190" s="14" t="str">
        <f>Fixture!C194</f>
        <v>Columbus</v>
      </c>
      <c r="D2190" s="15">
        <f>IF(E2190=0,0,IF(Fixture!D194&lt;Fixture!F194,0,IF(Fixture!F194&lt;Fixture!D194,3,1)))</f>
        <v>0</v>
      </c>
      <c r="E2190" s="16">
        <f>IF(OR(ISBLANK(Fixture!D194),ISBLANK(Fixture!F194),ISTEXT(Fixture!D194),ISTEXT(Fixture!F194)),0,1)</f>
        <v>0</v>
      </c>
      <c r="F2190" s="16">
        <f t="shared" si="516"/>
        <v>0</v>
      </c>
      <c r="G2190" s="16">
        <f t="shared" si="517"/>
        <v>0</v>
      </c>
      <c r="H2190" s="16">
        <f t="shared" si="518"/>
        <v>0</v>
      </c>
      <c r="I2190" s="63">
        <f>IF(E2190=0,0,Fixture!D194)</f>
        <v>0</v>
      </c>
      <c r="J2190" s="63">
        <f>IF(E2190=0,0,Fixture!F194)</f>
        <v>0</v>
      </c>
      <c r="K2190" s="63">
        <f t="shared" si="519"/>
        <v>0</v>
      </c>
      <c r="L2190" s="63">
        <f t="shared" si="520"/>
        <v>0</v>
      </c>
      <c r="N2190" s="10" t="str">
        <f t="shared" si="522"/>
        <v>Columbus25</v>
      </c>
      <c r="O2190" s="10">
        <f t="shared" si="523"/>
        <v>0</v>
      </c>
      <c r="P2190" s="10">
        <f t="shared" si="524"/>
        <v>0</v>
      </c>
      <c r="Q2190" s="10">
        <f t="shared" si="525"/>
        <v>0</v>
      </c>
    </row>
    <row r="2191" spans="1:17">
      <c r="A2191" s="15">
        <f t="shared" si="521"/>
        <v>24</v>
      </c>
      <c r="B2191" s="15"/>
      <c r="C2191" s="14" t="str">
        <f>Fixture!C195</f>
        <v>Dallas</v>
      </c>
      <c r="D2191" s="15">
        <f>IF(E2191=0,0,IF(Fixture!D195&lt;Fixture!F195,0,IF(Fixture!F195&lt;Fixture!D195,3,1)))</f>
        <v>0</v>
      </c>
      <c r="E2191" s="16">
        <f>IF(OR(ISBLANK(Fixture!D195),ISBLANK(Fixture!F195),ISTEXT(Fixture!D195),ISTEXT(Fixture!F195)),0,1)</f>
        <v>0</v>
      </c>
      <c r="F2191" s="16">
        <f t="shared" si="516"/>
        <v>0</v>
      </c>
      <c r="G2191" s="16">
        <f t="shared" si="517"/>
        <v>0</v>
      </c>
      <c r="H2191" s="16">
        <f t="shared" si="518"/>
        <v>0</v>
      </c>
      <c r="I2191" s="63">
        <f>IF(E2191=0,0,Fixture!D195)</f>
        <v>0</v>
      </c>
      <c r="J2191" s="63">
        <f>IF(E2191=0,0,Fixture!F195)</f>
        <v>0</v>
      </c>
      <c r="K2191" s="63">
        <f t="shared" si="519"/>
        <v>0</v>
      </c>
      <c r="L2191" s="63">
        <f t="shared" si="520"/>
        <v>0</v>
      </c>
      <c r="N2191" s="10" t="str">
        <f t="shared" si="522"/>
        <v>Dallas24</v>
      </c>
      <c r="O2191" s="10">
        <f t="shared" si="523"/>
        <v>0</v>
      </c>
      <c r="P2191" s="10">
        <f t="shared" si="524"/>
        <v>0</v>
      </c>
      <c r="Q2191" s="10">
        <f t="shared" si="525"/>
        <v>0</v>
      </c>
    </row>
    <row r="2192" spans="1:17">
      <c r="A2192" s="15">
        <f t="shared" si="521"/>
        <v>25</v>
      </c>
      <c r="B2192" s="15"/>
      <c r="C2192" s="14" t="str">
        <f>Fixture!C196</f>
        <v>Houston</v>
      </c>
      <c r="D2192" s="15">
        <f>IF(E2192=0,0,IF(Fixture!D196&lt;Fixture!F196,0,IF(Fixture!F196&lt;Fixture!D196,3,1)))</f>
        <v>0</v>
      </c>
      <c r="E2192" s="16">
        <f>IF(OR(ISBLANK(Fixture!D196),ISBLANK(Fixture!F196),ISTEXT(Fixture!D196),ISTEXT(Fixture!F196)),0,1)</f>
        <v>0</v>
      </c>
      <c r="F2192" s="16">
        <f t="shared" si="516"/>
        <v>0</v>
      </c>
      <c r="G2192" s="16">
        <f t="shared" si="517"/>
        <v>0</v>
      </c>
      <c r="H2192" s="16">
        <f t="shared" si="518"/>
        <v>0</v>
      </c>
      <c r="I2192" s="63">
        <f>IF(E2192=0,0,Fixture!D196)</f>
        <v>0</v>
      </c>
      <c r="J2192" s="63">
        <f>IF(E2192=0,0,Fixture!F196)</f>
        <v>0</v>
      </c>
      <c r="K2192" s="63">
        <f t="shared" si="519"/>
        <v>0</v>
      </c>
      <c r="L2192" s="63">
        <f t="shared" si="520"/>
        <v>0</v>
      </c>
      <c r="N2192" s="10" t="str">
        <f t="shared" si="522"/>
        <v>Houston25</v>
      </c>
      <c r="O2192" s="10">
        <f t="shared" si="523"/>
        <v>0</v>
      </c>
      <c r="P2192" s="10">
        <f t="shared" si="524"/>
        <v>0</v>
      </c>
      <c r="Q2192" s="10">
        <f t="shared" si="525"/>
        <v>0</v>
      </c>
    </row>
    <row r="2193" spans="1:17">
      <c r="A2193" s="15">
        <f t="shared" si="521"/>
        <v>24</v>
      </c>
      <c r="B2193" s="15"/>
      <c r="C2193" s="14" t="str">
        <f>Fixture!C197</f>
        <v>Colorado</v>
      </c>
      <c r="D2193" s="15">
        <f>IF(E2193=0,0,IF(Fixture!D197&lt;Fixture!F197,0,IF(Fixture!F197&lt;Fixture!D197,3,1)))</f>
        <v>0</v>
      </c>
      <c r="E2193" s="16">
        <f>IF(OR(ISBLANK(Fixture!D197),ISBLANK(Fixture!F197),ISTEXT(Fixture!D197),ISTEXT(Fixture!F197)),0,1)</f>
        <v>0</v>
      </c>
      <c r="F2193" s="16">
        <f t="shared" ref="F2193:F2256" si="526">IF(E2193=0,0,IF(D2193&lt;&gt;3,0,1))</f>
        <v>0</v>
      </c>
      <c r="G2193" s="16">
        <f t="shared" ref="G2193:G2256" si="527">IF(E2193=0,0,IF(D2193&lt;&gt;1,0,1))</f>
        <v>0</v>
      </c>
      <c r="H2193" s="16">
        <f t="shared" ref="H2193:H2256" si="528">IF(E2193=0,0,IF(D2193&lt;&gt;0,0,1))</f>
        <v>0</v>
      </c>
      <c r="I2193" s="63">
        <f>IF(E2193=0,0,Fixture!D197)</f>
        <v>0</v>
      </c>
      <c r="J2193" s="63">
        <f>IF(E2193=0,0,Fixture!F197)</f>
        <v>0</v>
      </c>
      <c r="K2193" s="63">
        <f t="shared" ref="K2193:K2256" si="529">IF(E2193=0,0,IF(I2193&gt;0,0,1))</f>
        <v>0</v>
      </c>
      <c r="L2193" s="63">
        <f t="shared" ref="L2193:L2256" si="530">IF(E2193=0,0,IF(J2193&gt;0,0,1))</f>
        <v>0</v>
      </c>
      <c r="N2193" s="10" t="str">
        <f t="shared" si="522"/>
        <v>Colorado24</v>
      </c>
      <c r="O2193" s="10">
        <f t="shared" si="523"/>
        <v>0</v>
      </c>
      <c r="P2193" s="10">
        <f t="shared" si="524"/>
        <v>0</v>
      </c>
      <c r="Q2193" s="10">
        <f t="shared" si="525"/>
        <v>0</v>
      </c>
    </row>
    <row r="2194" spans="1:17">
      <c r="A2194" s="15">
        <f t="shared" ref="A2194:A2257" si="531">A237</f>
        <v>25</v>
      </c>
      <c r="B2194" s="15"/>
      <c r="C2194" s="14" t="str">
        <f>Fixture!C198</f>
        <v>Los Angeles</v>
      </c>
      <c r="D2194" s="15">
        <f>IF(E2194=0,0,IF(Fixture!D198&lt;Fixture!F198,0,IF(Fixture!F198&lt;Fixture!D198,3,1)))</f>
        <v>0</v>
      </c>
      <c r="E2194" s="16">
        <f>IF(OR(ISBLANK(Fixture!D198),ISBLANK(Fixture!F198),ISTEXT(Fixture!D198),ISTEXT(Fixture!F198)),0,1)</f>
        <v>0</v>
      </c>
      <c r="F2194" s="16">
        <f t="shared" si="526"/>
        <v>0</v>
      </c>
      <c r="G2194" s="16">
        <f t="shared" si="527"/>
        <v>0</v>
      </c>
      <c r="H2194" s="16">
        <f t="shared" si="528"/>
        <v>0</v>
      </c>
      <c r="I2194" s="63">
        <f>IF(E2194=0,0,Fixture!D198)</f>
        <v>0</v>
      </c>
      <c r="J2194" s="63">
        <f>IF(E2194=0,0,Fixture!F198)</f>
        <v>0</v>
      </c>
      <c r="K2194" s="63">
        <f t="shared" si="529"/>
        <v>0</v>
      </c>
      <c r="L2194" s="63">
        <f t="shared" si="530"/>
        <v>0</v>
      </c>
      <c r="N2194" s="10" t="str">
        <f t="shared" ref="N2194:N2257" si="532">CONCATENATE(C2194,A2194)</f>
        <v>Los Angeles25</v>
      </c>
      <c r="O2194" s="10">
        <f t="shared" ref="O2194:O2257" si="533">D2194</f>
        <v>0</v>
      </c>
      <c r="P2194" s="10">
        <f t="shared" ref="P2194:P2257" si="534">I2194</f>
        <v>0</v>
      </c>
      <c r="Q2194" s="10">
        <f t="shared" ref="Q2194:Q2257" si="535">J2194</f>
        <v>0</v>
      </c>
    </row>
    <row r="2195" spans="1:17">
      <c r="A2195" s="15">
        <f t="shared" si="531"/>
        <v>24</v>
      </c>
      <c r="B2195" s="15"/>
      <c r="C2195" s="14" t="str">
        <f>Fixture!C199</f>
        <v>Chivas USA</v>
      </c>
      <c r="D2195" s="15">
        <f>IF(E2195=0,0,IF(Fixture!D199&lt;Fixture!F199,0,IF(Fixture!F199&lt;Fixture!D199,3,1)))</f>
        <v>0</v>
      </c>
      <c r="E2195" s="16">
        <f>IF(OR(ISBLANK(Fixture!D199),ISBLANK(Fixture!F199),ISTEXT(Fixture!D199),ISTEXT(Fixture!F199)),0,1)</f>
        <v>0</v>
      </c>
      <c r="F2195" s="16">
        <f t="shared" si="526"/>
        <v>0</v>
      </c>
      <c r="G2195" s="16">
        <f t="shared" si="527"/>
        <v>0</v>
      </c>
      <c r="H2195" s="16">
        <f t="shared" si="528"/>
        <v>0</v>
      </c>
      <c r="I2195" s="63">
        <f>IF(E2195=0,0,Fixture!D199)</f>
        <v>0</v>
      </c>
      <c r="J2195" s="63">
        <f>IF(E2195=0,0,Fixture!F199)</f>
        <v>0</v>
      </c>
      <c r="K2195" s="63">
        <f t="shared" si="529"/>
        <v>0</v>
      </c>
      <c r="L2195" s="63">
        <f t="shared" si="530"/>
        <v>0</v>
      </c>
      <c r="N2195" s="10" t="str">
        <f t="shared" si="532"/>
        <v>Chivas USA24</v>
      </c>
      <c r="O2195" s="10">
        <f t="shared" si="533"/>
        <v>0</v>
      </c>
      <c r="P2195" s="10">
        <f t="shared" si="534"/>
        <v>0</v>
      </c>
      <c r="Q2195" s="10">
        <f t="shared" si="535"/>
        <v>0</v>
      </c>
    </row>
    <row r="2196" spans="1:17">
      <c r="A2196" s="15">
        <f t="shared" si="531"/>
        <v>25</v>
      </c>
      <c r="B2196" s="15"/>
      <c r="C2196" s="14" t="str">
        <f>Fixture!C200</f>
        <v>Dallas</v>
      </c>
      <c r="D2196" s="15">
        <f>IF(E2196=0,0,IF(Fixture!D200&lt;Fixture!F200,0,IF(Fixture!F200&lt;Fixture!D200,3,1)))</f>
        <v>0</v>
      </c>
      <c r="E2196" s="16">
        <f>IF(OR(ISBLANK(Fixture!D200),ISBLANK(Fixture!F200),ISTEXT(Fixture!D200),ISTEXT(Fixture!F200)),0,1)</f>
        <v>0</v>
      </c>
      <c r="F2196" s="16">
        <f t="shared" si="526"/>
        <v>0</v>
      </c>
      <c r="G2196" s="16">
        <f t="shared" si="527"/>
        <v>0</v>
      </c>
      <c r="H2196" s="16">
        <f t="shared" si="528"/>
        <v>0</v>
      </c>
      <c r="I2196" s="63">
        <f>IF(E2196=0,0,Fixture!D200)</f>
        <v>0</v>
      </c>
      <c r="J2196" s="63">
        <f>IF(E2196=0,0,Fixture!F200)</f>
        <v>0</v>
      </c>
      <c r="K2196" s="63">
        <f t="shared" si="529"/>
        <v>0</v>
      </c>
      <c r="L2196" s="63">
        <f t="shared" si="530"/>
        <v>0</v>
      </c>
      <c r="N2196" s="10" t="str">
        <f t="shared" si="532"/>
        <v>Dallas25</v>
      </c>
      <c r="O2196" s="10">
        <f t="shared" si="533"/>
        <v>0</v>
      </c>
      <c r="P2196" s="10">
        <f t="shared" si="534"/>
        <v>0</v>
      </c>
      <c r="Q2196" s="10">
        <f t="shared" si="535"/>
        <v>0</v>
      </c>
    </row>
    <row r="2197" spans="1:17">
      <c r="A2197" s="15">
        <f t="shared" si="531"/>
        <v>26</v>
      </c>
      <c r="B2197" s="15"/>
      <c r="C2197" s="14" t="str">
        <f>Fixture!C201</f>
        <v>Los Angeles</v>
      </c>
      <c r="D2197" s="15">
        <f>IF(E2197=0,0,IF(Fixture!D201&lt;Fixture!F201,0,IF(Fixture!F201&lt;Fixture!D201,3,1)))</f>
        <v>0</v>
      </c>
      <c r="E2197" s="16">
        <f>IF(OR(ISBLANK(Fixture!D201),ISBLANK(Fixture!F201),ISTEXT(Fixture!D201),ISTEXT(Fixture!F201)),0,1)</f>
        <v>0</v>
      </c>
      <c r="F2197" s="16">
        <f t="shared" si="526"/>
        <v>0</v>
      </c>
      <c r="G2197" s="16">
        <f t="shared" si="527"/>
        <v>0</v>
      </c>
      <c r="H2197" s="16">
        <f t="shared" si="528"/>
        <v>0</v>
      </c>
      <c r="I2197" s="63">
        <f>IF(E2197=0,0,Fixture!D201)</f>
        <v>0</v>
      </c>
      <c r="J2197" s="63">
        <f>IF(E2197=0,0,Fixture!F201)</f>
        <v>0</v>
      </c>
      <c r="K2197" s="63">
        <f t="shared" si="529"/>
        <v>0</v>
      </c>
      <c r="L2197" s="63">
        <f t="shared" si="530"/>
        <v>0</v>
      </c>
      <c r="N2197" s="10" t="str">
        <f t="shared" si="532"/>
        <v>Los Angeles26</v>
      </c>
      <c r="O2197" s="10">
        <f t="shared" si="533"/>
        <v>0</v>
      </c>
      <c r="P2197" s="10">
        <f t="shared" si="534"/>
        <v>0</v>
      </c>
      <c r="Q2197" s="10">
        <f t="shared" si="535"/>
        <v>0</v>
      </c>
    </row>
    <row r="2198" spans="1:17">
      <c r="A2198" s="15">
        <f t="shared" si="531"/>
        <v>25</v>
      </c>
      <c r="B2198" s="15"/>
      <c r="C2198" s="14" t="str">
        <f>Fixture!C202</f>
        <v>Philadelphia Union</v>
      </c>
      <c r="D2198" s="15">
        <f>IF(E2198=0,0,IF(Fixture!D202&lt;Fixture!F202,0,IF(Fixture!F202&lt;Fixture!D202,3,1)))</f>
        <v>0</v>
      </c>
      <c r="E2198" s="16">
        <f>IF(OR(ISBLANK(Fixture!D202),ISBLANK(Fixture!F202),ISTEXT(Fixture!D202),ISTEXT(Fixture!F202)),0,1)</f>
        <v>0</v>
      </c>
      <c r="F2198" s="16">
        <f t="shared" si="526"/>
        <v>0</v>
      </c>
      <c r="G2198" s="16">
        <f t="shared" si="527"/>
        <v>0</v>
      </c>
      <c r="H2198" s="16">
        <f t="shared" si="528"/>
        <v>0</v>
      </c>
      <c r="I2198" s="63">
        <f>IF(E2198=0,0,Fixture!D202)</f>
        <v>0</v>
      </c>
      <c r="J2198" s="63">
        <f>IF(E2198=0,0,Fixture!F202)</f>
        <v>0</v>
      </c>
      <c r="K2198" s="63">
        <f t="shared" si="529"/>
        <v>0</v>
      </c>
      <c r="L2198" s="63">
        <f t="shared" si="530"/>
        <v>0</v>
      </c>
      <c r="N2198" s="10" t="str">
        <f t="shared" si="532"/>
        <v>Philadelphia Union25</v>
      </c>
      <c r="O2198" s="10">
        <f t="shared" si="533"/>
        <v>0</v>
      </c>
      <c r="P2198" s="10">
        <f t="shared" si="534"/>
        <v>0</v>
      </c>
      <c r="Q2198" s="10">
        <f t="shared" si="535"/>
        <v>0</v>
      </c>
    </row>
    <row r="2199" spans="1:17">
      <c r="A2199" s="15">
        <f t="shared" si="531"/>
        <v>26</v>
      </c>
      <c r="B2199" s="15"/>
      <c r="C2199" s="14" t="str">
        <f>Fixture!C203</f>
        <v>Toronto FC</v>
      </c>
      <c r="D2199" s="15">
        <f>IF(E2199=0,0,IF(Fixture!D203&lt;Fixture!F203,0,IF(Fixture!F203&lt;Fixture!D203,3,1)))</f>
        <v>0</v>
      </c>
      <c r="E2199" s="16">
        <f>IF(OR(ISBLANK(Fixture!D203),ISBLANK(Fixture!F203),ISTEXT(Fixture!D203),ISTEXT(Fixture!F203)),0,1)</f>
        <v>0</v>
      </c>
      <c r="F2199" s="16">
        <f t="shared" si="526"/>
        <v>0</v>
      </c>
      <c r="G2199" s="16">
        <f t="shared" si="527"/>
        <v>0</v>
      </c>
      <c r="H2199" s="16">
        <f t="shared" si="528"/>
        <v>0</v>
      </c>
      <c r="I2199" s="63">
        <f>IF(E2199=0,0,Fixture!D203)</f>
        <v>0</v>
      </c>
      <c r="J2199" s="63">
        <f>IF(E2199=0,0,Fixture!F203)</f>
        <v>0</v>
      </c>
      <c r="K2199" s="63">
        <f t="shared" si="529"/>
        <v>0</v>
      </c>
      <c r="L2199" s="63">
        <f t="shared" si="530"/>
        <v>0</v>
      </c>
      <c r="N2199" s="10" t="str">
        <f t="shared" si="532"/>
        <v>Toronto FC26</v>
      </c>
      <c r="O2199" s="10">
        <f t="shared" si="533"/>
        <v>0</v>
      </c>
      <c r="P2199" s="10">
        <f t="shared" si="534"/>
        <v>0</v>
      </c>
      <c r="Q2199" s="10">
        <f t="shared" si="535"/>
        <v>0</v>
      </c>
    </row>
    <row r="2200" spans="1:17">
      <c r="A2200" s="15">
        <f t="shared" si="531"/>
        <v>26</v>
      </c>
      <c r="B2200" s="15"/>
      <c r="C2200" s="14" t="str">
        <f>Fixture!C204</f>
        <v>DC United</v>
      </c>
      <c r="D2200" s="15">
        <f>IF(E2200=0,0,IF(Fixture!D204&lt;Fixture!F204,0,IF(Fixture!F204&lt;Fixture!D204,3,1)))</f>
        <v>0</v>
      </c>
      <c r="E2200" s="16">
        <f>IF(OR(ISBLANK(Fixture!D204),ISBLANK(Fixture!F204),ISTEXT(Fixture!D204),ISTEXT(Fixture!F204)),0,1)</f>
        <v>0</v>
      </c>
      <c r="F2200" s="16">
        <f t="shared" si="526"/>
        <v>0</v>
      </c>
      <c r="G2200" s="16">
        <f t="shared" si="527"/>
        <v>0</v>
      </c>
      <c r="H2200" s="16">
        <f t="shared" si="528"/>
        <v>0</v>
      </c>
      <c r="I2200" s="63">
        <f>IF(E2200=0,0,Fixture!D204)</f>
        <v>0</v>
      </c>
      <c r="J2200" s="63">
        <f>IF(E2200=0,0,Fixture!F204)</f>
        <v>0</v>
      </c>
      <c r="K2200" s="63">
        <f t="shared" si="529"/>
        <v>0</v>
      </c>
      <c r="L2200" s="63">
        <f t="shared" si="530"/>
        <v>0</v>
      </c>
      <c r="N2200" s="10" t="str">
        <f t="shared" si="532"/>
        <v>DC United26</v>
      </c>
      <c r="O2200" s="10">
        <f t="shared" si="533"/>
        <v>0</v>
      </c>
      <c r="P2200" s="10">
        <f t="shared" si="534"/>
        <v>0</v>
      </c>
      <c r="Q2200" s="10">
        <f t="shared" si="535"/>
        <v>0</v>
      </c>
    </row>
    <row r="2201" spans="1:17">
      <c r="A2201" s="15">
        <f t="shared" si="531"/>
        <v>26</v>
      </c>
      <c r="B2201" s="15"/>
      <c r="C2201" s="14" t="str">
        <f>Fixture!C205</f>
        <v>New England</v>
      </c>
      <c r="D2201" s="15">
        <f>IF(E2201=0,0,IF(Fixture!D205&lt;Fixture!F205,0,IF(Fixture!F205&lt;Fixture!D205,3,1)))</f>
        <v>0</v>
      </c>
      <c r="E2201" s="16">
        <f>IF(OR(ISBLANK(Fixture!D205),ISBLANK(Fixture!F205),ISTEXT(Fixture!D205),ISTEXT(Fixture!F205)),0,1)</f>
        <v>0</v>
      </c>
      <c r="F2201" s="16">
        <f t="shared" si="526"/>
        <v>0</v>
      </c>
      <c r="G2201" s="16">
        <f t="shared" si="527"/>
        <v>0</v>
      </c>
      <c r="H2201" s="16">
        <f t="shared" si="528"/>
        <v>0</v>
      </c>
      <c r="I2201" s="63">
        <f>IF(E2201=0,0,Fixture!D205)</f>
        <v>0</v>
      </c>
      <c r="J2201" s="63">
        <f>IF(E2201=0,0,Fixture!F205)</f>
        <v>0</v>
      </c>
      <c r="K2201" s="63">
        <f t="shared" si="529"/>
        <v>0</v>
      </c>
      <c r="L2201" s="63">
        <f t="shared" si="530"/>
        <v>0</v>
      </c>
      <c r="N2201" s="10" t="str">
        <f t="shared" si="532"/>
        <v>New England26</v>
      </c>
      <c r="O2201" s="10">
        <f t="shared" si="533"/>
        <v>0</v>
      </c>
      <c r="P2201" s="10">
        <f t="shared" si="534"/>
        <v>0</v>
      </c>
      <c r="Q2201" s="10">
        <f t="shared" si="535"/>
        <v>0</v>
      </c>
    </row>
    <row r="2202" spans="1:17">
      <c r="A2202" s="15">
        <f t="shared" si="531"/>
        <v>24</v>
      </c>
      <c r="B2202" s="15"/>
      <c r="C2202" s="14" t="str">
        <f>Fixture!C206</f>
        <v>Chicago</v>
      </c>
      <c r="D2202" s="15">
        <f>IF(E2202=0,0,IF(Fixture!D206&lt;Fixture!F206,0,IF(Fixture!F206&lt;Fixture!D206,3,1)))</f>
        <v>0</v>
      </c>
      <c r="E2202" s="16">
        <f>IF(OR(ISBLANK(Fixture!D206),ISBLANK(Fixture!F206),ISTEXT(Fixture!D206),ISTEXT(Fixture!F206)),0,1)</f>
        <v>0</v>
      </c>
      <c r="F2202" s="16">
        <f t="shared" si="526"/>
        <v>0</v>
      </c>
      <c r="G2202" s="16">
        <f t="shared" si="527"/>
        <v>0</v>
      </c>
      <c r="H2202" s="16">
        <f t="shared" si="528"/>
        <v>0</v>
      </c>
      <c r="I2202" s="63">
        <f>IF(E2202=0,0,Fixture!D206)</f>
        <v>0</v>
      </c>
      <c r="J2202" s="63">
        <f>IF(E2202=0,0,Fixture!F206)</f>
        <v>0</v>
      </c>
      <c r="K2202" s="63">
        <f t="shared" si="529"/>
        <v>0</v>
      </c>
      <c r="L2202" s="63">
        <f t="shared" si="530"/>
        <v>0</v>
      </c>
      <c r="N2202" s="10" t="str">
        <f t="shared" si="532"/>
        <v>Chicago24</v>
      </c>
      <c r="O2202" s="10">
        <f t="shared" si="533"/>
        <v>0</v>
      </c>
      <c r="P2202" s="10">
        <f t="shared" si="534"/>
        <v>0</v>
      </c>
      <c r="Q2202" s="10">
        <f t="shared" si="535"/>
        <v>0</v>
      </c>
    </row>
    <row r="2203" spans="1:17">
      <c r="A2203" s="15">
        <f t="shared" si="531"/>
        <v>25</v>
      </c>
      <c r="B2203" s="15"/>
      <c r="C2203" s="14" t="str">
        <f>Fixture!C207</f>
        <v>Kansas City</v>
      </c>
      <c r="D2203" s="15">
        <f>IF(E2203=0,0,IF(Fixture!D207&lt;Fixture!F207,0,IF(Fixture!F207&lt;Fixture!D207,3,1)))</f>
        <v>0</v>
      </c>
      <c r="E2203" s="16">
        <f>IF(OR(ISBLANK(Fixture!D207),ISBLANK(Fixture!F207),ISTEXT(Fixture!D207),ISTEXT(Fixture!F207)),0,1)</f>
        <v>0</v>
      </c>
      <c r="F2203" s="16">
        <f t="shared" si="526"/>
        <v>0</v>
      </c>
      <c r="G2203" s="16">
        <f t="shared" si="527"/>
        <v>0</v>
      </c>
      <c r="H2203" s="16">
        <f t="shared" si="528"/>
        <v>0</v>
      </c>
      <c r="I2203" s="63">
        <f>IF(E2203=0,0,Fixture!D207)</f>
        <v>0</v>
      </c>
      <c r="J2203" s="63">
        <f>IF(E2203=0,0,Fixture!F207)</f>
        <v>0</v>
      </c>
      <c r="K2203" s="63">
        <f t="shared" si="529"/>
        <v>0</v>
      </c>
      <c r="L2203" s="63">
        <f t="shared" si="530"/>
        <v>0</v>
      </c>
      <c r="N2203" s="10" t="str">
        <f t="shared" si="532"/>
        <v>Kansas City25</v>
      </c>
      <c r="O2203" s="10">
        <f t="shared" si="533"/>
        <v>0</v>
      </c>
      <c r="P2203" s="10">
        <f t="shared" si="534"/>
        <v>0</v>
      </c>
      <c r="Q2203" s="10">
        <f t="shared" si="535"/>
        <v>0</v>
      </c>
    </row>
    <row r="2204" spans="1:17">
      <c r="A2204" s="15">
        <f t="shared" si="531"/>
        <v>26</v>
      </c>
      <c r="B2204" s="15"/>
      <c r="C2204" s="14" t="str">
        <f>Fixture!C208</f>
        <v>Real Salt Lake</v>
      </c>
      <c r="D2204" s="15">
        <f>IF(E2204=0,0,IF(Fixture!D208&lt;Fixture!F208,0,IF(Fixture!F208&lt;Fixture!D208,3,1)))</f>
        <v>0</v>
      </c>
      <c r="E2204" s="16">
        <f>IF(OR(ISBLANK(Fixture!D208),ISBLANK(Fixture!F208),ISTEXT(Fixture!D208),ISTEXT(Fixture!F208)),0,1)</f>
        <v>0</v>
      </c>
      <c r="F2204" s="16">
        <f t="shared" si="526"/>
        <v>0</v>
      </c>
      <c r="G2204" s="16">
        <f t="shared" si="527"/>
        <v>0</v>
      </c>
      <c r="H2204" s="16">
        <f t="shared" si="528"/>
        <v>0</v>
      </c>
      <c r="I2204" s="63">
        <f>IF(E2204=0,0,Fixture!D208)</f>
        <v>0</v>
      </c>
      <c r="J2204" s="63">
        <f>IF(E2204=0,0,Fixture!F208)</f>
        <v>0</v>
      </c>
      <c r="K2204" s="63">
        <f t="shared" si="529"/>
        <v>0</v>
      </c>
      <c r="L2204" s="63">
        <f t="shared" si="530"/>
        <v>0</v>
      </c>
      <c r="N2204" s="10" t="str">
        <f t="shared" si="532"/>
        <v>Real Salt Lake26</v>
      </c>
      <c r="O2204" s="10">
        <f t="shared" si="533"/>
        <v>0</v>
      </c>
      <c r="P2204" s="10">
        <f t="shared" si="534"/>
        <v>0</v>
      </c>
      <c r="Q2204" s="10">
        <f t="shared" si="535"/>
        <v>0</v>
      </c>
    </row>
    <row r="2205" spans="1:17">
      <c r="A2205" s="15">
        <f t="shared" si="531"/>
        <v>26</v>
      </c>
      <c r="B2205" s="15"/>
      <c r="C2205" s="14" t="str">
        <f>Fixture!C209</f>
        <v>Colorado</v>
      </c>
      <c r="D2205" s="15">
        <f>IF(E2205=0,0,IF(Fixture!D209&lt;Fixture!F209,0,IF(Fixture!F209&lt;Fixture!D209,3,1)))</f>
        <v>0</v>
      </c>
      <c r="E2205" s="16">
        <f>IF(OR(ISBLANK(Fixture!D209),ISBLANK(Fixture!F209),ISTEXT(Fixture!D209),ISTEXT(Fixture!F209)),0,1)</f>
        <v>0</v>
      </c>
      <c r="F2205" s="16">
        <f t="shared" si="526"/>
        <v>0</v>
      </c>
      <c r="G2205" s="16">
        <f t="shared" si="527"/>
        <v>0</v>
      </c>
      <c r="H2205" s="16">
        <f t="shared" si="528"/>
        <v>0</v>
      </c>
      <c r="I2205" s="63">
        <f>IF(E2205=0,0,Fixture!D209)</f>
        <v>0</v>
      </c>
      <c r="J2205" s="63">
        <f>IF(E2205=0,0,Fixture!F209)</f>
        <v>0</v>
      </c>
      <c r="K2205" s="63">
        <f t="shared" si="529"/>
        <v>0</v>
      </c>
      <c r="L2205" s="63">
        <f t="shared" si="530"/>
        <v>0</v>
      </c>
      <c r="N2205" s="10" t="str">
        <f t="shared" si="532"/>
        <v>Colorado26</v>
      </c>
      <c r="O2205" s="10">
        <f t="shared" si="533"/>
        <v>0</v>
      </c>
      <c r="P2205" s="10">
        <f t="shared" si="534"/>
        <v>0</v>
      </c>
      <c r="Q2205" s="10">
        <f t="shared" si="535"/>
        <v>0</v>
      </c>
    </row>
    <row r="2206" spans="1:17">
      <c r="A2206" s="15">
        <f t="shared" si="531"/>
        <v>25</v>
      </c>
      <c r="B2206" s="15"/>
      <c r="C2206" s="14" t="str">
        <f>Fixture!C210</f>
        <v>San Jose</v>
      </c>
      <c r="D2206" s="15">
        <f>IF(E2206=0,0,IF(Fixture!D210&lt;Fixture!F210,0,IF(Fixture!F210&lt;Fixture!D210,3,1)))</f>
        <v>0</v>
      </c>
      <c r="E2206" s="16">
        <f>IF(OR(ISBLANK(Fixture!D210),ISBLANK(Fixture!F210),ISTEXT(Fixture!D210),ISTEXT(Fixture!F210)),0,1)</f>
        <v>0</v>
      </c>
      <c r="F2206" s="16">
        <f t="shared" si="526"/>
        <v>0</v>
      </c>
      <c r="G2206" s="16">
        <f t="shared" si="527"/>
        <v>0</v>
      </c>
      <c r="H2206" s="16">
        <f t="shared" si="528"/>
        <v>0</v>
      </c>
      <c r="I2206" s="63">
        <f>IF(E2206=0,0,Fixture!D210)</f>
        <v>0</v>
      </c>
      <c r="J2206" s="63">
        <f>IF(E2206=0,0,Fixture!F210)</f>
        <v>0</v>
      </c>
      <c r="K2206" s="63">
        <f t="shared" si="529"/>
        <v>0</v>
      </c>
      <c r="L2206" s="63">
        <f t="shared" si="530"/>
        <v>0</v>
      </c>
      <c r="N2206" s="10" t="str">
        <f t="shared" si="532"/>
        <v>San Jose25</v>
      </c>
      <c r="O2206" s="10">
        <f t="shared" si="533"/>
        <v>0</v>
      </c>
      <c r="P2206" s="10">
        <f t="shared" si="534"/>
        <v>0</v>
      </c>
      <c r="Q2206" s="10">
        <f t="shared" si="535"/>
        <v>0</v>
      </c>
    </row>
    <row r="2207" spans="1:17">
      <c r="A2207" s="15">
        <f t="shared" si="531"/>
        <v>27</v>
      </c>
      <c r="B2207" s="15"/>
      <c r="C2207" s="14" t="str">
        <f>Fixture!C211</f>
        <v>Seattle Sounders FC</v>
      </c>
      <c r="D2207" s="15">
        <f>IF(E2207=0,0,IF(Fixture!D211&lt;Fixture!F211,0,IF(Fixture!F211&lt;Fixture!D211,3,1)))</f>
        <v>0</v>
      </c>
      <c r="E2207" s="16">
        <f>IF(OR(ISBLANK(Fixture!D211),ISBLANK(Fixture!F211),ISTEXT(Fixture!D211),ISTEXT(Fixture!F211)),0,1)</f>
        <v>0</v>
      </c>
      <c r="F2207" s="16">
        <f t="shared" si="526"/>
        <v>0</v>
      </c>
      <c r="G2207" s="16">
        <f t="shared" si="527"/>
        <v>0</v>
      </c>
      <c r="H2207" s="16">
        <f t="shared" si="528"/>
        <v>0</v>
      </c>
      <c r="I2207" s="63">
        <f>IF(E2207=0,0,Fixture!D211)</f>
        <v>0</v>
      </c>
      <c r="J2207" s="63">
        <f>IF(E2207=0,0,Fixture!F211)</f>
        <v>0</v>
      </c>
      <c r="K2207" s="63">
        <f t="shared" si="529"/>
        <v>0</v>
      </c>
      <c r="L2207" s="63">
        <f t="shared" si="530"/>
        <v>0</v>
      </c>
      <c r="N2207" s="10" t="str">
        <f t="shared" si="532"/>
        <v>Seattle Sounders FC27</v>
      </c>
      <c r="O2207" s="10">
        <f t="shared" si="533"/>
        <v>0</v>
      </c>
      <c r="P2207" s="10">
        <f t="shared" si="534"/>
        <v>0</v>
      </c>
      <c r="Q2207" s="10">
        <f t="shared" si="535"/>
        <v>0</v>
      </c>
    </row>
    <row r="2208" spans="1:17">
      <c r="A2208" s="15">
        <f t="shared" si="531"/>
        <v>27</v>
      </c>
      <c r="B2208" s="15"/>
      <c r="C2208" s="14" t="str">
        <f>Fixture!C212</f>
        <v>Philadelphia Union</v>
      </c>
      <c r="D2208" s="15">
        <f>IF(E2208=0,0,IF(Fixture!D212&lt;Fixture!F212,0,IF(Fixture!F212&lt;Fixture!D212,3,1)))</f>
        <v>0</v>
      </c>
      <c r="E2208" s="16">
        <f>IF(OR(ISBLANK(Fixture!D212),ISBLANK(Fixture!F212),ISTEXT(Fixture!D212),ISTEXT(Fixture!F212)),0,1)</f>
        <v>0</v>
      </c>
      <c r="F2208" s="16">
        <f t="shared" si="526"/>
        <v>0</v>
      </c>
      <c r="G2208" s="16">
        <f t="shared" si="527"/>
        <v>0</v>
      </c>
      <c r="H2208" s="16">
        <f t="shared" si="528"/>
        <v>0</v>
      </c>
      <c r="I2208" s="63">
        <f>IF(E2208=0,0,Fixture!D212)</f>
        <v>0</v>
      </c>
      <c r="J2208" s="63">
        <f>IF(E2208=0,0,Fixture!F212)</f>
        <v>0</v>
      </c>
      <c r="K2208" s="63">
        <f t="shared" si="529"/>
        <v>0</v>
      </c>
      <c r="L2208" s="63">
        <f t="shared" si="530"/>
        <v>0</v>
      </c>
      <c r="N2208" s="10" t="str">
        <f t="shared" si="532"/>
        <v>Philadelphia Union27</v>
      </c>
      <c r="O2208" s="10">
        <f t="shared" si="533"/>
        <v>0</v>
      </c>
      <c r="P2208" s="10">
        <f t="shared" si="534"/>
        <v>0</v>
      </c>
      <c r="Q2208" s="10">
        <f t="shared" si="535"/>
        <v>0</v>
      </c>
    </row>
    <row r="2209" spans="1:17">
      <c r="A2209" s="15">
        <f t="shared" si="531"/>
        <v>27</v>
      </c>
      <c r="B2209" s="15"/>
      <c r="C2209" s="14" t="str">
        <f>Fixture!C213</f>
        <v>Colorado</v>
      </c>
      <c r="D2209" s="15">
        <f>IF(E2209=0,0,IF(Fixture!D213&lt;Fixture!F213,0,IF(Fixture!F213&lt;Fixture!D213,3,1)))</f>
        <v>0</v>
      </c>
      <c r="E2209" s="16">
        <f>IF(OR(ISBLANK(Fixture!D213),ISBLANK(Fixture!F213),ISTEXT(Fixture!D213),ISTEXT(Fixture!F213)),0,1)</f>
        <v>0</v>
      </c>
      <c r="F2209" s="16">
        <f t="shared" si="526"/>
        <v>0</v>
      </c>
      <c r="G2209" s="16">
        <f t="shared" si="527"/>
        <v>0</v>
      </c>
      <c r="H2209" s="16">
        <f t="shared" si="528"/>
        <v>0</v>
      </c>
      <c r="I2209" s="63">
        <f>IF(E2209=0,0,Fixture!D213)</f>
        <v>0</v>
      </c>
      <c r="J2209" s="63">
        <f>IF(E2209=0,0,Fixture!F213)</f>
        <v>0</v>
      </c>
      <c r="K2209" s="63">
        <f t="shared" si="529"/>
        <v>0</v>
      </c>
      <c r="L2209" s="63">
        <f t="shared" si="530"/>
        <v>0</v>
      </c>
      <c r="N2209" s="10" t="str">
        <f t="shared" si="532"/>
        <v>Colorado27</v>
      </c>
      <c r="O2209" s="10">
        <f t="shared" si="533"/>
        <v>0</v>
      </c>
      <c r="P2209" s="10">
        <f t="shared" si="534"/>
        <v>0</v>
      </c>
      <c r="Q2209" s="10">
        <f t="shared" si="535"/>
        <v>0</v>
      </c>
    </row>
    <row r="2210" spans="1:17">
      <c r="A2210" s="15">
        <f t="shared" si="531"/>
        <v>27</v>
      </c>
      <c r="B2210" s="15"/>
      <c r="C2210" s="14" t="str">
        <f>Fixture!C214</f>
        <v>Columbus</v>
      </c>
      <c r="D2210" s="15">
        <f>IF(E2210=0,0,IF(Fixture!D214&lt;Fixture!F214,0,IF(Fixture!F214&lt;Fixture!D214,3,1)))</f>
        <v>0</v>
      </c>
      <c r="E2210" s="16">
        <f>IF(OR(ISBLANK(Fixture!D214),ISBLANK(Fixture!F214),ISTEXT(Fixture!D214),ISTEXT(Fixture!F214)),0,1)</f>
        <v>0</v>
      </c>
      <c r="F2210" s="16">
        <f t="shared" si="526"/>
        <v>0</v>
      </c>
      <c r="G2210" s="16">
        <f t="shared" si="527"/>
        <v>0</v>
      </c>
      <c r="H2210" s="16">
        <f t="shared" si="528"/>
        <v>0</v>
      </c>
      <c r="I2210" s="63">
        <f>IF(E2210=0,0,Fixture!D214)</f>
        <v>0</v>
      </c>
      <c r="J2210" s="63">
        <f>IF(E2210=0,0,Fixture!F214)</f>
        <v>0</v>
      </c>
      <c r="K2210" s="63">
        <f t="shared" si="529"/>
        <v>0</v>
      </c>
      <c r="L2210" s="63">
        <f t="shared" si="530"/>
        <v>0</v>
      </c>
      <c r="N2210" s="10" t="str">
        <f t="shared" si="532"/>
        <v>Columbus27</v>
      </c>
      <c r="O2210" s="10">
        <f t="shared" si="533"/>
        <v>0</v>
      </c>
      <c r="P2210" s="10">
        <f t="shared" si="534"/>
        <v>0</v>
      </c>
      <c r="Q2210" s="10">
        <f t="shared" si="535"/>
        <v>0</v>
      </c>
    </row>
    <row r="2211" spans="1:17">
      <c r="A2211" s="15">
        <f t="shared" si="531"/>
        <v>27</v>
      </c>
      <c r="B2211" s="15"/>
      <c r="C2211" s="14" t="str">
        <f>Fixture!C215</f>
        <v>New England</v>
      </c>
      <c r="D2211" s="15">
        <f>IF(E2211=0,0,IF(Fixture!D215&lt;Fixture!F215,0,IF(Fixture!F215&lt;Fixture!D215,3,1)))</f>
        <v>0</v>
      </c>
      <c r="E2211" s="16">
        <f>IF(OR(ISBLANK(Fixture!D215),ISBLANK(Fixture!F215),ISTEXT(Fixture!D215),ISTEXT(Fixture!F215)),0,1)</f>
        <v>0</v>
      </c>
      <c r="F2211" s="16">
        <f t="shared" si="526"/>
        <v>0</v>
      </c>
      <c r="G2211" s="16">
        <f t="shared" si="527"/>
        <v>0</v>
      </c>
      <c r="H2211" s="16">
        <f t="shared" si="528"/>
        <v>0</v>
      </c>
      <c r="I2211" s="63">
        <f>IF(E2211=0,0,Fixture!D215)</f>
        <v>0</v>
      </c>
      <c r="J2211" s="63">
        <f>IF(E2211=0,0,Fixture!F215)</f>
        <v>0</v>
      </c>
      <c r="K2211" s="63">
        <f t="shared" si="529"/>
        <v>0</v>
      </c>
      <c r="L2211" s="63">
        <f t="shared" si="530"/>
        <v>0</v>
      </c>
      <c r="N2211" s="10" t="str">
        <f t="shared" si="532"/>
        <v>New England27</v>
      </c>
      <c r="O2211" s="10">
        <f t="shared" si="533"/>
        <v>0</v>
      </c>
      <c r="P2211" s="10">
        <f t="shared" si="534"/>
        <v>0</v>
      </c>
      <c r="Q2211" s="10">
        <f t="shared" si="535"/>
        <v>0</v>
      </c>
    </row>
    <row r="2212" spans="1:17">
      <c r="A2212" s="15">
        <f t="shared" si="531"/>
        <v>27</v>
      </c>
      <c r="B2212" s="15"/>
      <c r="C2212" s="14" t="str">
        <f>Fixture!C216</f>
        <v>New York Red Bulls</v>
      </c>
      <c r="D2212" s="15">
        <f>IF(E2212=0,0,IF(Fixture!D216&lt;Fixture!F216,0,IF(Fixture!F216&lt;Fixture!D216,3,1)))</f>
        <v>0</v>
      </c>
      <c r="E2212" s="16">
        <f>IF(OR(ISBLANK(Fixture!D216),ISBLANK(Fixture!F216),ISTEXT(Fixture!D216),ISTEXT(Fixture!F216)),0,1)</f>
        <v>0</v>
      </c>
      <c r="F2212" s="16">
        <f t="shared" si="526"/>
        <v>0</v>
      </c>
      <c r="G2212" s="16">
        <f t="shared" si="527"/>
        <v>0</v>
      </c>
      <c r="H2212" s="16">
        <f t="shared" si="528"/>
        <v>0</v>
      </c>
      <c r="I2212" s="63">
        <f>IF(E2212=0,0,Fixture!D216)</f>
        <v>0</v>
      </c>
      <c r="J2212" s="63">
        <f>IF(E2212=0,0,Fixture!F216)</f>
        <v>0</v>
      </c>
      <c r="K2212" s="63">
        <f t="shared" si="529"/>
        <v>0</v>
      </c>
      <c r="L2212" s="63">
        <f t="shared" si="530"/>
        <v>0</v>
      </c>
      <c r="N2212" s="10" t="str">
        <f t="shared" si="532"/>
        <v>New York Red Bulls27</v>
      </c>
      <c r="O2212" s="10">
        <f t="shared" si="533"/>
        <v>0</v>
      </c>
      <c r="P2212" s="10">
        <f t="shared" si="534"/>
        <v>0</v>
      </c>
      <c r="Q2212" s="10">
        <f t="shared" si="535"/>
        <v>0</v>
      </c>
    </row>
    <row r="2213" spans="1:17">
      <c r="A2213" s="15">
        <f t="shared" si="531"/>
        <v>27</v>
      </c>
      <c r="B2213" s="15"/>
      <c r="C2213" s="14" t="str">
        <f>Fixture!C217</f>
        <v>Dallas</v>
      </c>
      <c r="D2213" s="15">
        <f>IF(E2213=0,0,IF(Fixture!D217&lt;Fixture!F217,0,IF(Fixture!F217&lt;Fixture!D217,3,1)))</f>
        <v>0</v>
      </c>
      <c r="E2213" s="16">
        <f>IF(OR(ISBLANK(Fixture!D217),ISBLANK(Fixture!F217),ISTEXT(Fixture!D217),ISTEXT(Fixture!F217)),0,1)</f>
        <v>0</v>
      </c>
      <c r="F2213" s="16">
        <f t="shared" si="526"/>
        <v>0</v>
      </c>
      <c r="G2213" s="16">
        <f t="shared" si="527"/>
        <v>0</v>
      </c>
      <c r="H2213" s="16">
        <f t="shared" si="528"/>
        <v>0</v>
      </c>
      <c r="I2213" s="63">
        <f>IF(E2213=0,0,Fixture!D217)</f>
        <v>0</v>
      </c>
      <c r="J2213" s="63">
        <f>IF(E2213=0,0,Fixture!F217)</f>
        <v>0</v>
      </c>
      <c r="K2213" s="63">
        <f t="shared" si="529"/>
        <v>0</v>
      </c>
      <c r="L2213" s="63">
        <f t="shared" si="530"/>
        <v>0</v>
      </c>
      <c r="N2213" s="10" t="str">
        <f t="shared" si="532"/>
        <v>Dallas27</v>
      </c>
      <c r="O2213" s="10">
        <f t="shared" si="533"/>
        <v>0</v>
      </c>
      <c r="P2213" s="10">
        <f t="shared" si="534"/>
        <v>0</v>
      </c>
      <c r="Q2213" s="10">
        <f t="shared" si="535"/>
        <v>0</v>
      </c>
    </row>
    <row r="2214" spans="1:17">
      <c r="A2214" s="15">
        <f t="shared" si="531"/>
        <v>26</v>
      </c>
      <c r="B2214" s="15"/>
      <c r="C2214" s="14" t="str">
        <f>Fixture!C218</f>
        <v>Chivas USA</v>
      </c>
      <c r="D2214" s="15">
        <f>IF(E2214=0,0,IF(Fixture!D218&lt;Fixture!F218,0,IF(Fixture!F218&lt;Fixture!D218,3,1)))</f>
        <v>0</v>
      </c>
      <c r="E2214" s="16">
        <f>IF(OR(ISBLANK(Fixture!D218),ISBLANK(Fixture!F218),ISTEXT(Fixture!D218),ISTEXT(Fixture!F218)),0,1)</f>
        <v>0</v>
      </c>
      <c r="F2214" s="16">
        <f t="shared" si="526"/>
        <v>0</v>
      </c>
      <c r="G2214" s="16">
        <f t="shared" si="527"/>
        <v>0</v>
      </c>
      <c r="H2214" s="16">
        <f t="shared" si="528"/>
        <v>0</v>
      </c>
      <c r="I2214" s="63">
        <f>IF(E2214=0,0,Fixture!D218)</f>
        <v>0</v>
      </c>
      <c r="J2214" s="63">
        <f>IF(E2214=0,0,Fixture!F218)</f>
        <v>0</v>
      </c>
      <c r="K2214" s="63">
        <f t="shared" si="529"/>
        <v>0</v>
      </c>
      <c r="L2214" s="63">
        <f t="shared" si="530"/>
        <v>0</v>
      </c>
      <c r="N2214" s="10" t="str">
        <f t="shared" si="532"/>
        <v>Chivas USA26</v>
      </c>
      <c r="O2214" s="10">
        <f t="shared" si="533"/>
        <v>0</v>
      </c>
      <c r="P2214" s="10">
        <f t="shared" si="534"/>
        <v>0</v>
      </c>
      <c r="Q2214" s="10">
        <f t="shared" si="535"/>
        <v>0</v>
      </c>
    </row>
    <row r="2215" spans="1:17">
      <c r="A2215" s="15">
        <f t="shared" si="531"/>
        <v>28</v>
      </c>
      <c r="B2215" s="15"/>
      <c r="C2215" s="14" t="str">
        <f>Fixture!C219</f>
        <v>Philadelphia Union</v>
      </c>
      <c r="D2215" s="15">
        <f>IF(E2215=0,0,IF(Fixture!D219&lt;Fixture!F219,0,IF(Fixture!F219&lt;Fixture!D219,3,1)))</f>
        <v>0</v>
      </c>
      <c r="E2215" s="16">
        <f>IF(OR(ISBLANK(Fixture!D219),ISBLANK(Fixture!F219),ISTEXT(Fixture!D219),ISTEXT(Fixture!F219)),0,1)</f>
        <v>0</v>
      </c>
      <c r="F2215" s="16">
        <f t="shared" si="526"/>
        <v>0</v>
      </c>
      <c r="G2215" s="16">
        <f t="shared" si="527"/>
        <v>0</v>
      </c>
      <c r="H2215" s="16">
        <f t="shared" si="528"/>
        <v>0</v>
      </c>
      <c r="I2215" s="63">
        <f>IF(E2215=0,0,Fixture!D219)</f>
        <v>0</v>
      </c>
      <c r="J2215" s="63">
        <f>IF(E2215=0,0,Fixture!F219)</f>
        <v>0</v>
      </c>
      <c r="K2215" s="63">
        <f t="shared" si="529"/>
        <v>0</v>
      </c>
      <c r="L2215" s="63">
        <f t="shared" si="530"/>
        <v>0</v>
      </c>
      <c r="N2215" s="10" t="str">
        <f t="shared" si="532"/>
        <v>Philadelphia Union28</v>
      </c>
      <c r="O2215" s="10">
        <f t="shared" si="533"/>
        <v>0</v>
      </c>
      <c r="P2215" s="10">
        <f t="shared" si="534"/>
        <v>0</v>
      </c>
      <c r="Q2215" s="10">
        <f t="shared" si="535"/>
        <v>0</v>
      </c>
    </row>
    <row r="2216" spans="1:17">
      <c r="A2216" s="15">
        <f t="shared" si="531"/>
        <v>27</v>
      </c>
      <c r="B2216" s="15"/>
      <c r="C2216" s="14" t="str">
        <f>Fixture!C220</f>
        <v>Chicago</v>
      </c>
      <c r="D2216" s="15">
        <f>IF(E2216=0,0,IF(Fixture!D220&lt;Fixture!F220,0,IF(Fixture!F220&lt;Fixture!D220,3,1)))</f>
        <v>0</v>
      </c>
      <c r="E2216" s="16">
        <f>IF(OR(ISBLANK(Fixture!D220),ISBLANK(Fixture!F220),ISTEXT(Fixture!D220),ISTEXT(Fixture!F220)),0,1)</f>
        <v>0</v>
      </c>
      <c r="F2216" s="16">
        <f t="shared" si="526"/>
        <v>0</v>
      </c>
      <c r="G2216" s="16">
        <f t="shared" si="527"/>
        <v>0</v>
      </c>
      <c r="H2216" s="16">
        <f t="shared" si="528"/>
        <v>0</v>
      </c>
      <c r="I2216" s="63">
        <f>IF(E2216=0,0,Fixture!D220)</f>
        <v>0</v>
      </c>
      <c r="J2216" s="63">
        <f>IF(E2216=0,0,Fixture!F220)</f>
        <v>0</v>
      </c>
      <c r="K2216" s="63">
        <f t="shared" si="529"/>
        <v>0</v>
      </c>
      <c r="L2216" s="63">
        <f t="shared" si="530"/>
        <v>0</v>
      </c>
      <c r="N2216" s="10" t="str">
        <f t="shared" si="532"/>
        <v>Chicago27</v>
      </c>
      <c r="O2216" s="10">
        <f t="shared" si="533"/>
        <v>0</v>
      </c>
      <c r="P2216" s="10">
        <f t="shared" si="534"/>
        <v>0</v>
      </c>
      <c r="Q2216" s="10">
        <f t="shared" si="535"/>
        <v>0</v>
      </c>
    </row>
    <row r="2217" spans="1:17">
      <c r="A2217" s="15">
        <f t="shared" si="531"/>
        <v>28</v>
      </c>
      <c r="B2217" s="15"/>
      <c r="C2217" s="14" t="str">
        <f>Fixture!C221</f>
        <v>Dallas</v>
      </c>
      <c r="D2217" s="15">
        <f>IF(E2217=0,0,IF(Fixture!D221&lt;Fixture!F221,0,IF(Fixture!F221&lt;Fixture!D221,3,1)))</f>
        <v>0</v>
      </c>
      <c r="E2217" s="16">
        <f>IF(OR(ISBLANK(Fixture!D221),ISBLANK(Fixture!F221),ISTEXT(Fixture!D221),ISTEXT(Fixture!F221)),0,1)</f>
        <v>0</v>
      </c>
      <c r="F2217" s="16">
        <f t="shared" si="526"/>
        <v>0</v>
      </c>
      <c r="G2217" s="16">
        <f t="shared" si="527"/>
        <v>0</v>
      </c>
      <c r="H2217" s="16">
        <f t="shared" si="528"/>
        <v>0</v>
      </c>
      <c r="I2217" s="63">
        <f>IF(E2217=0,0,Fixture!D221)</f>
        <v>0</v>
      </c>
      <c r="J2217" s="63">
        <f>IF(E2217=0,0,Fixture!F221)</f>
        <v>0</v>
      </c>
      <c r="K2217" s="63">
        <f t="shared" si="529"/>
        <v>0</v>
      </c>
      <c r="L2217" s="63">
        <f t="shared" si="530"/>
        <v>0</v>
      </c>
      <c r="N2217" s="10" t="str">
        <f t="shared" si="532"/>
        <v>Dallas28</v>
      </c>
      <c r="O2217" s="10">
        <f t="shared" si="533"/>
        <v>0</v>
      </c>
      <c r="P2217" s="10">
        <f t="shared" si="534"/>
        <v>0</v>
      </c>
      <c r="Q2217" s="10">
        <f t="shared" si="535"/>
        <v>0</v>
      </c>
    </row>
    <row r="2218" spans="1:17">
      <c r="A2218" s="15">
        <f t="shared" si="531"/>
        <v>28</v>
      </c>
      <c r="B2218" s="15"/>
      <c r="C2218" s="14" t="str">
        <f>Fixture!C222</f>
        <v>New York Red Bulls</v>
      </c>
      <c r="D2218" s="15">
        <f>IF(E2218=0,0,IF(Fixture!D222&lt;Fixture!F222,0,IF(Fixture!F222&lt;Fixture!D222,3,1)))</f>
        <v>0</v>
      </c>
      <c r="E2218" s="16">
        <f>IF(OR(ISBLANK(Fixture!D222),ISBLANK(Fixture!F222),ISTEXT(Fixture!D222),ISTEXT(Fixture!F222)),0,1)</f>
        <v>0</v>
      </c>
      <c r="F2218" s="16">
        <f t="shared" si="526"/>
        <v>0</v>
      </c>
      <c r="G2218" s="16">
        <f t="shared" si="527"/>
        <v>0</v>
      </c>
      <c r="H2218" s="16">
        <f t="shared" si="528"/>
        <v>0</v>
      </c>
      <c r="I2218" s="63">
        <f>IF(E2218=0,0,Fixture!D222)</f>
        <v>0</v>
      </c>
      <c r="J2218" s="63">
        <f>IF(E2218=0,0,Fixture!F222)</f>
        <v>0</v>
      </c>
      <c r="K2218" s="63">
        <f t="shared" si="529"/>
        <v>0</v>
      </c>
      <c r="L2218" s="63">
        <f t="shared" si="530"/>
        <v>0</v>
      </c>
      <c r="N2218" s="10" t="str">
        <f t="shared" si="532"/>
        <v>New York Red Bulls28</v>
      </c>
      <c r="O2218" s="10">
        <f t="shared" si="533"/>
        <v>0</v>
      </c>
      <c r="P2218" s="10">
        <f t="shared" si="534"/>
        <v>0</v>
      </c>
      <c r="Q2218" s="10">
        <f t="shared" si="535"/>
        <v>0</v>
      </c>
    </row>
    <row r="2219" spans="1:17">
      <c r="A2219" s="15">
        <f t="shared" si="531"/>
        <v>28</v>
      </c>
      <c r="B2219" s="15"/>
      <c r="C2219" s="14" t="str">
        <f>Fixture!C223</f>
        <v>DC United</v>
      </c>
      <c r="D2219" s="15">
        <f>IF(E2219=0,0,IF(Fixture!D223&lt;Fixture!F223,0,IF(Fixture!F223&lt;Fixture!D223,3,1)))</f>
        <v>0</v>
      </c>
      <c r="E2219" s="16">
        <f>IF(OR(ISBLANK(Fixture!D223),ISBLANK(Fixture!F223),ISTEXT(Fixture!D223),ISTEXT(Fixture!F223)),0,1)</f>
        <v>0</v>
      </c>
      <c r="F2219" s="16">
        <f t="shared" si="526"/>
        <v>0</v>
      </c>
      <c r="G2219" s="16">
        <f t="shared" si="527"/>
        <v>0</v>
      </c>
      <c r="H2219" s="16">
        <f t="shared" si="528"/>
        <v>0</v>
      </c>
      <c r="I2219" s="63">
        <f>IF(E2219=0,0,Fixture!D223)</f>
        <v>0</v>
      </c>
      <c r="J2219" s="63">
        <f>IF(E2219=0,0,Fixture!F223)</f>
        <v>0</v>
      </c>
      <c r="K2219" s="63">
        <f t="shared" si="529"/>
        <v>0</v>
      </c>
      <c r="L2219" s="63">
        <f t="shared" si="530"/>
        <v>0</v>
      </c>
      <c r="N2219" s="10" t="str">
        <f t="shared" si="532"/>
        <v>DC United28</v>
      </c>
      <c r="O2219" s="10">
        <f t="shared" si="533"/>
        <v>0</v>
      </c>
      <c r="P2219" s="10">
        <f t="shared" si="534"/>
        <v>0</v>
      </c>
      <c r="Q2219" s="10">
        <f t="shared" si="535"/>
        <v>0</v>
      </c>
    </row>
    <row r="2220" spans="1:17">
      <c r="A2220" s="15">
        <f t="shared" si="531"/>
        <v>27</v>
      </c>
      <c r="B2220" s="15"/>
      <c r="C2220" s="14" t="str">
        <f>Fixture!C224</f>
        <v>Kansas City</v>
      </c>
      <c r="D2220" s="15">
        <f>IF(E2220=0,0,IF(Fixture!D224&lt;Fixture!F224,0,IF(Fixture!F224&lt;Fixture!D224,3,1)))</f>
        <v>0</v>
      </c>
      <c r="E2220" s="16">
        <f>IF(OR(ISBLANK(Fixture!D224),ISBLANK(Fixture!F224),ISTEXT(Fixture!D224),ISTEXT(Fixture!F224)),0,1)</f>
        <v>0</v>
      </c>
      <c r="F2220" s="16">
        <f t="shared" si="526"/>
        <v>0</v>
      </c>
      <c r="G2220" s="16">
        <f t="shared" si="527"/>
        <v>0</v>
      </c>
      <c r="H2220" s="16">
        <f t="shared" si="528"/>
        <v>0</v>
      </c>
      <c r="I2220" s="63">
        <f>IF(E2220=0,0,Fixture!D224)</f>
        <v>0</v>
      </c>
      <c r="J2220" s="63">
        <f>IF(E2220=0,0,Fixture!F224)</f>
        <v>0</v>
      </c>
      <c r="K2220" s="63">
        <f t="shared" si="529"/>
        <v>0</v>
      </c>
      <c r="L2220" s="63">
        <f t="shared" si="530"/>
        <v>0</v>
      </c>
      <c r="N2220" s="10" t="str">
        <f t="shared" si="532"/>
        <v>Kansas City27</v>
      </c>
      <c r="O2220" s="10">
        <f t="shared" si="533"/>
        <v>0</v>
      </c>
      <c r="P2220" s="10">
        <f t="shared" si="534"/>
        <v>0</v>
      </c>
      <c r="Q2220" s="10">
        <f t="shared" si="535"/>
        <v>0</v>
      </c>
    </row>
    <row r="2221" spans="1:17">
      <c r="A2221" s="15">
        <f t="shared" si="531"/>
        <v>27</v>
      </c>
      <c r="B2221" s="15"/>
      <c r="C2221" s="14" t="str">
        <f>Fixture!C225</f>
        <v>Chivas USA</v>
      </c>
      <c r="D2221" s="15">
        <f>IF(E2221=0,0,IF(Fixture!D225&lt;Fixture!F225,0,IF(Fixture!F225&lt;Fixture!D225,3,1)))</f>
        <v>0</v>
      </c>
      <c r="E2221" s="16">
        <f>IF(OR(ISBLANK(Fixture!D225),ISBLANK(Fixture!F225),ISTEXT(Fixture!D225),ISTEXT(Fixture!F225)),0,1)</f>
        <v>0</v>
      </c>
      <c r="F2221" s="16">
        <f t="shared" si="526"/>
        <v>0</v>
      </c>
      <c r="G2221" s="16">
        <f t="shared" si="527"/>
        <v>0</v>
      </c>
      <c r="H2221" s="16">
        <f t="shared" si="528"/>
        <v>0</v>
      </c>
      <c r="I2221" s="63">
        <f>IF(E2221=0,0,Fixture!D225)</f>
        <v>0</v>
      </c>
      <c r="J2221" s="63">
        <f>IF(E2221=0,0,Fixture!F225)</f>
        <v>0</v>
      </c>
      <c r="K2221" s="63">
        <f t="shared" si="529"/>
        <v>0</v>
      </c>
      <c r="L2221" s="63">
        <f t="shared" si="530"/>
        <v>0</v>
      </c>
      <c r="N2221" s="10" t="str">
        <f t="shared" si="532"/>
        <v>Chivas USA27</v>
      </c>
      <c r="O2221" s="10">
        <f t="shared" si="533"/>
        <v>0</v>
      </c>
      <c r="P2221" s="10">
        <f t="shared" si="534"/>
        <v>0</v>
      </c>
      <c r="Q2221" s="10">
        <f t="shared" si="535"/>
        <v>0</v>
      </c>
    </row>
    <row r="2222" spans="1:17">
      <c r="A2222" s="15">
        <f t="shared" si="531"/>
        <v>28</v>
      </c>
      <c r="B2222" s="15"/>
      <c r="C2222" s="14" t="str">
        <f>Fixture!C226</f>
        <v>Houston</v>
      </c>
      <c r="D2222" s="15">
        <f>IF(E2222=0,0,IF(Fixture!D226&lt;Fixture!F226,0,IF(Fixture!F226&lt;Fixture!D226,3,1)))</f>
        <v>0</v>
      </c>
      <c r="E2222" s="16">
        <f>IF(OR(ISBLANK(Fixture!D226),ISBLANK(Fixture!F226),ISTEXT(Fixture!D226),ISTEXT(Fixture!F226)),0,1)</f>
        <v>0</v>
      </c>
      <c r="F2222" s="16">
        <f t="shared" si="526"/>
        <v>0</v>
      </c>
      <c r="G2222" s="16">
        <f t="shared" si="527"/>
        <v>0</v>
      </c>
      <c r="H2222" s="16">
        <f t="shared" si="528"/>
        <v>0</v>
      </c>
      <c r="I2222" s="63">
        <f>IF(E2222=0,0,Fixture!D226)</f>
        <v>0</v>
      </c>
      <c r="J2222" s="63">
        <f>IF(E2222=0,0,Fixture!F226)</f>
        <v>0</v>
      </c>
      <c r="K2222" s="63">
        <f t="shared" si="529"/>
        <v>0</v>
      </c>
      <c r="L2222" s="63">
        <f t="shared" si="530"/>
        <v>0</v>
      </c>
      <c r="N2222" s="10" t="str">
        <f t="shared" si="532"/>
        <v>Houston28</v>
      </c>
      <c r="O2222" s="10">
        <f t="shared" si="533"/>
        <v>0</v>
      </c>
      <c r="P2222" s="10">
        <f t="shared" si="534"/>
        <v>0</v>
      </c>
      <c r="Q2222" s="10">
        <f t="shared" si="535"/>
        <v>0</v>
      </c>
    </row>
    <row r="2223" spans="1:17">
      <c r="A2223" s="15">
        <f t="shared" si="531"/>
        <v>28</v>
      </c>
      <c r="B2223" s="15"/>
      <c r="C2223" s="14" t="str">
        <f>Fixture!C227</f>
        <v>Chicago</v>
      </c>
      <c r="D2223" s="15">
        <f>IF(E2223=0,0,IF(Fixture!D227&lt;Fixture!F227,0,IF(Fixture!F227&lt;Fixture!D227,3,1)))</f>
        <v>0</v>
      </c>
      <c r="E2223" s="16">
        <f>IF(OR(ISBLANK(Fixture!D227),ISBLANK(Fixture!F227),ISTEXT(Fixture!D227),ISTEXT(Fixture!F227)),0,1)</f>
        <v>0</v>
      </c>
      <c r="F2223" s="16">
        <f t="shared" si="526"/>
        <v>0</v>
      </c>
      <c r="G2223" s="16">
        <f t="shared" si="527"/>
        <v>0</v>
      </c>
      <c r="H2223" s="16">
        <f t="shared" si="528"/>
        <v>0</v>
      </c>
      <c r="I2223" s="63">
        <f>IF(E2223=0,0,Fixture!D227)</f>
        <v>0</v>
      </c>
      <c r="J2223" s="63">
        <f>IF(E2223=0,0,Fixture!F227)</f>
        <v>0</v>
      </c>
      <c r="K2223" s="63">
        <f t="shared" si="529"/>
        <v>0</v>
      </c>
      <c r="L2223" s="63">
        <f t="shared" si="530"/>
        <v>0</v>
      </c>
      <c r="N2223" s="10" t="str">
        <f t="shared" si="532"/>
        <v>Chicago28</v>
      </c>
      <c r="O2223" s="10">
        <f t="shared" si="533"/>
        <v>0</v>
      </c>
      <c r="P2223" s="10">
        <f t="shared" si="534"/>
        <v>0</v>
      </c>
      <c r="Q2223" s="10">
        <f t="shared" si="535"/>
        <v>0</v>
      </c>
    </row>
    <row r="2224" spans="1:17">
      <c r="A2224" s="15">
        <f t="shared" si="531"/>
        <v>29</v>
      </c>
      <c r="B2224" s="15"/>
      <c r="C2224" s="14" t="str">
        <f>Fixture!C228</f>
        <v>Seattle Sounders FC</v>
      </c>
      <c r="D2224" s="15">
        <f>IF(E2224=0,0,IF(Fixture!D228&lt;Fixture!F228,0,IF(Fixture!F228&lt;Fixture!D228,3,1)))</f>
        <v>0</v>
      </c>
      <c r="E2224" s="16">
        <f>IF(OR(ISBLANK(Fixture!D228),ISBLANK(Fixture!F228),ISTEXT(Fixture!D228),ISTEXT(Fixture!F228)),0,1)</f>
        <v>0</v>
      </c>
      <c r="F2224" s="16">
        <f t="shared" si="526"/>
        <v>0</v>
      </c>
      <c r="G2224" s="16">
        <f t="shared" si="527"/>
        <v>0</v>
      </c>
      <c r="H2224" s="16">
        <f t="shared" si="528"/>
        <v>0</v>
      </c>
      <c r="I2224" s="63">
        <f>IF(E2224=0,0,Fixture!D228)</f>
        <v>0</v>
      </c>
      <c r="J2224" s="63">
        <f>IF(E2224=0,0,Fixture!F228)</f>
        <v>0</v>
      </c>
      <c r="K2224" s="63">
        <f t="shared" si="529"/>
        <v>0</v>
      </c>
      <c r="L2224" s="63">
        <f t="shared" si="530"/>
        <v>0</v>
      </c>
      <c r="N2224" s="10" t="str">
        <f t="shared" si="532"/>
        <v>Seattle Sounders FC29</v>
      </c>
      <c r="O2224" s="10">
        <f t="shared" si="533"/>
        <v>0</v>
      </c>
      <c r="P2224" s="10">
        <f t="shared" si="534"/>
        <v>0</v>
      </c>
      <c r="Q2224" s="10">
        <f t="shared" si="535"/>
        <v>0</v>
      </c>
    </row>
    <row r="2225" spans="1:17">
      <c r="A2225" s="15">
        <f t="shared" si="531"/>
        <v>29</v>
      </c>
      <c r="B2225" s="15"/>
      <c r="C2225" s="14" t="str">
        <f>Fixture!C229</f>
        <v>Chicago</v>
      </c>
      <c r="D2225" s="15">
        <f>IF(E2225=0,0,IF(Fixture!D229&lt;Fixture!F229,0,IF(Fixture!F229&lt;Fixture!D229,3,1)))</f>
        <v>0</v>
      </c>
      <c r="E2225" s="16">
        <f>IF(OR(ISBLANK(Fixture!D229),ISBLANK(Fixture!F229),ISTEXT(Fixture!D229),ISTEXT(Fixture!F229)),0,1)</f>
        <v>0</v>
      </c>
      <c r="F2225" s="16">
        <f t="shared" si="526"/>
        <v>0</v>
      </c>
      <c r="G2225" s="16">
        <f t="shared" si="527"/>
        <v>0</v>
      </c>
      <c r="H2225" s="16">
        <f t="shared" si="528"/>
        <v>0</v>
      </c>
      <c r="I2225" s="63">
        <f>IF(E2225=0,0,Fixture!D229)</f>
        <v>0</v>
      </c>
      <c r="J2225" s="63">
        <f>IF(E2225=0,0,Fixture!F229)</f>
        <v>0</v>
      </c>
      <c r="K2225" s="63">
        <f t="shared" si="529"/>
        <v>0</v>
      </c>
      <c r="L2225" s="63">
        <f t="shared" si="530"/>
        <v>0</v>
      </c>
      <c r="N2225" s="10" t="str">
        <f t="shared" si="532"/>
        <v>Chicago29</v>
      </c>
      <c r="O2225" s="10">
        <f t="shared" si="533"/>
        <v>0</v>
      </c>
      <c r="P2225" s="10">
        <f t="shared" si="534"/>
        <v>0</v>
      </c>
      <c r="Q2225" s="10">
        <f t="shared" si="535"/>
        <v>0</v>
      </c>
    </row>
    <row r="2226" spans="1:17">
      <c r="A2226" s="15">
        <f t="shared" si="531"/>
        <v>29</v>
      </c>
      <c r="B2226" s="15"/>
      <c r="C2226" s="14" t="str">
        <f>Fixture!C230</f>
        <v>Toronto FC</v>
      </c>
      <c r="D2226" s="15">
        <f>IF(E2226=0,0,IF(Fixture!D230&lt;Fixture!F230,0,IF(Fixture!F230&lt;Fixture!D230,3,1)))</f>
        <v>0</v>
      </c>
      <c r="E2226" s="16">
        <f>IF(OR(ISBLANK(Fixture!D230),ISBLANK(Fixture!F230),ISTEXT(Fixture!D230),ISTEXT(Fixture!F230)),0,1)</f>
        <v>0</v>
      </c>
      <c r="F2226" s="16">
        <f t="shared" si="526"/>
        <v>0</v>
      </c>
      <c r="G2226" s="16">
        <f t="shared" si="527"/>
        <v>0</v>
      </c>
      <c r="H2226" s="16">
        <f t="shared" si="528"/>
        <v>0</v>
      </c>
      <c r="I2226" s="63">
        <f>IF(E2226=0,0,Fixture!D230)</f>
        <v>0</v>
      </c>
      <c r="J2226" s="63">
        <f>IF(E2226=0,0,Fixture!F230)</f>
        <v>0</v>
      </c>
      <c r="K2226" s="63">
        <f t="shared" si="529"/>
        <v>0</v>
      </c>
      <c r="L2226" s="63">
        <f t="shared" si="530"/>
        <v>0</v>
      </c>
      <c r="N2226" s="10" t="str">
        <f t="shared" si="532"/>
        <v>Toronto FC29</v>
      </c>
      <c r="O2226" s="10">
        <f t="shared" si="533"/>
        <v>0</v>
      </c>
      <c r="P2226" s="10">
        <f t="shared" si="534"/>
        <v>0</v>
      </c>
      <c r="Q2226" s="10">
        <f t="shared" si="535"/>
        <v>0</v>
      </c>
    </row>
    <row r="2227" spans="1:17">
      <c r="A2227" s="15">
        <f t="shared" si="531"/>
        <v>29</v>
      </c>
      <c r="B2227" s="15"/>
      <c r="C2227" s="14" t="str">
        <f>Fixture!C231</f>
        <v>Philadelphia Union</v>
      </c>
      <c r="D2227" s="15">
        <f>IF(E2227=0,0,IF(Fixture!D231&lt;Fixture!F231,0,IF(Fixture!F231&lt;Fixture!D231,3,1)))</f>
        <v>0</v>
      </c>
      <c r="E2227" s="16">
        <f>IF(OR(ISBLANK(Fixture!D231),ISBLANK(Fixture!F231),ISTEXT(Fixture!D231),ISTEXT(Fixture!F231)),0,1)</f>
        <v>0</v>
      </c>
      <c r="F2227" s="16">
        <f t="shared" si="526"/>
        <v>0</v>
      </c>
      <c r="G2227" s="16">
        <f t="shared" si="527"/>
        <v>0</v>
      </c>
      <c r="H2227" s="16">
        <f t="shared" si="528"/>
        <v>0</v>
      </c>
      <c r="I2227" s="63">
        <f>IF(E2227=0,0,Fixture!D231)</f>
        <v>0</v>
      </c>
      <c r="J2227" s="63">
        <f>IF(E2227=0,0,Fixture!F231)</f>
        <v>0</v>
      </c>
      <c r="K2227" s="63">
        <f t="shared" si="529"/>
        <v>0</v>
      </c>
      <c r="L2227" s="63">
        <f t="shared" si="530"/>
        <v>0</v>
      </c>
      <c r="N2227" s="10" t="str">
        <f t="shared" si="532"/>
        <v>Philadelphia Union29</v>
      </c>
      <c r="O2227" s="10">
        <f t="shared" si="533"/>
        <v>0</v>
      </c>
      <c r="P2227" s="10">
        <f t="shared" si="534"/>
        <v>0</v>
      </c>
      <c r="Q2227" s="10">
        <f t="shared" si="535"/>
        <v>0</v>
      </c>
    </row>
    <row r="2228" spans="1:17">
      <c r="A2228" s="15">
        <f t="shared" si="531"/>
        <v>29</v>
      </c>
      <c r="B2228" s="15"/>
      <c r="C2228" s="14" t="str">
        <f>Fixture!C232</f>
        <v>New England</v>
      </c>
      <c r="D2228" s="15">
        <f>IF(E2228=0,0,IF(Fixture!D232&lt;Fixture!F232,0,IF(Fixture!F232&lt;Fixture!D232,3,1)))</f>
        <v>0</v>
      </c>
      <c r="E2228" s="16">
        <f>IF(OR(ISBLANK(Fixture!D232),ISBLANK(Fixture!F232),ISTEXT(Fixture!D232),ISTEXT(Fixture!F232)),0,1)</f>
        <v>0</v>
      </c>
      <c r="F2228" s="16">
        <f t="shared" si="526"/>
        <v>0</v>
      </c>
      <c r="G2228" s="16">
        <f t="shared" si="527"/>
        <v>0</v>
      </c>
      <c r="H2228" s="16">
        <f t="shared" si="528"/>
        <v>0</v>
      </c>
      <c r="I2228" s="63">
        <f>IF(E2228=0,0,Fixture!D232)</f>
        <v>0</v>
      </c>
      <c r="J2228" s="63">
        <f>IF(E2228=0,0,Fixture!F232)</f>
        <v>0</v>
      </c>
      <c r="K2228" s="63">
        <f t="shared" si="529"/>
        <v>0</v>
      </c>
      <c r="L2228" s="63">
        <f t="shared" si="530"/>
        <v>0</v>
      </c>
      <c r="N2228" s="10" t="str">
        <f t="shared" si="532"/>
        <v>New England29</v>
      </c>
      <c r="O2228" s="10">
        <f t="shared" si="533"/>
        <v>0</v>
      </c>
      <c r="P2228" s="10">
        <f t="shared" si="534"/>
        <v>0</v>
      </c>
      <c r="Q2228" s="10">
        <f t="shared" si="535"/>
        <v>0</v>
      </c>
    </row>
    <row r="2229" spans="1:17">
      <c r="A2229" s="15">
        <f t="shared" si="531"/>
        <v>29</v>
      </c>
      <c r="B2229" s="15"/>
      <c r="C2229" s="14" t="str">
        <f>Fixture!C233</f>
        <v>Real Salt Lake</v>
      </c>
      <c r="D2229" s="15">
        <f>IF(E2229=0,0,IF(Fixture!D233&lt;Fixture!F233,0,IF(Fixture!F233&lt;Fixture!D233,3,1)))</f>
        <v>0</v>
      </c>
      <c r="E2229" s="16">
        <f>IF(OR(ISBLANK(Fixture!D233),ISBLANK(Fixture!F233),ISTEXT(Fixture!D233),ISTEXT(Fixture!F233)),0,1)</f>
        <v>0</v>
      </c>
      <c r="F2229" s="16">
        <f t="shared" si="526"/>
        <v>0</v>
      </c>
      <c r="G2229" s="16">
        <f t="shared" si="527"/>
        <v>0</v>
      </c>
      <c r="H2229" s="16">
        <f t="shared" si="528"/>
        <v>0</v>
      </c>
      <c r="I2229" s="63">
        <f>IF(E2229=0,0,Fixture!D233)</f>
        <v>0</v>
      </c>
      <c r="J2229" s="63">
        <f>IF(E2229=0,0,Fixture!F233)</f>
        <v>0</v>
      </c>
      <c r="K2229" s="63">
        <f t="shared" si="529"/>
        <v>0</v>
      </c>
      <c r="L2229" s="63">
        <f t="shared" si="530"/>
        <v>0</v>
      </c>
      <c r="N2229" s="10" t="str">
        <f t="shared" si="532"/>
        <v>Real Salt Lake29</v>
      </c>
      <c r="O2229" s="10">
        <f t="shared" si="533"/>
        <v>0</v>
      </c>
      <c r="P2229" s="10">
        <f t="shared" si="534"/>
        <v>0</v>
      </c>
      <c r="Q2229" s="10">
        <f t="shared" si="535"/>
        <v>0</v>
      </c>
    </row>
    <row r="2230" spans="1:17">
      <c r="A2230" s="15">
        <f t="shared" si="531"/>
        <v>28</v>
      </c>
      <c r="B2230" s="15"/>
      <c r="C2230" s="14" t="str">
        <f>Fixture!C234</f>
        <v>San Jose</v>
      </c>
      <c r="D2230" s="15">
        <f>IF(E2230=0,0,IF(Fixture!D234&lt;Fixture!F234,0,IF(Fixture!F234&lt;Fixture!D234,3,1)))</f>
        <v>0</v>
      </c>
      <c r="E2230" s="16">
        <f>IF(OR(ISBLANK(Fixture!D234),ISBLANK(Fixture!F234),ISTEXT(Fixture!D234),ISTEXT(Fixture!F234)),0,1)</f>
        <v>0</v>
      </c>
      <c r="F2230" s="16">
        <f t="shared" si="526"/>
        <v>0</v>
      </c>
      <c r="G2230" s="16">
        <f t="shared" si="527"/>
        <v>0</v>
      </c>
      <c r="H2230" s="16">
        <f t="shared" si="528"/>
        <v>0</v>
      </c>
      <c r="I2230" s="63">
        <f>IF(E2230=0,0,Fixture!D234)</f>
        <v>0</v>
      </c>
      <c r="J2230" s="63">
        <f>IF(E2230=0,0,Fixture!F234)</f>
        <v>0</v>
      </c>
      <c r="K2230" s="63">
        <f t="shared" si="529"/>
        <v>0</v>
      </c>
      <c r="L2230" s="63">
        <f t="shared" si="530"/>
        <v>0</v>
      </c>
      <c r="N2230" s="10" t="str">
        <f t="shared" si="532"/>
        <v>San Jose28</v>
      </c>
      <c r="O2230" s="10">
        <f t="shared" si="533"/>
        <v>0</v>
      </c>
      <c r="P2230" s="10">
        <f t="shared" si="534"/>
        <v>0</v>
      </c>
      <c r="Q2230" s="10">
        <f t="shared" si="535"/>
        <v>0</v>
      </c>
    </row>
    <row r="2231" spans="1:17">
      <c r="A2231" s="15">
        <f t="shared" si="531"/>
        <v>29</v>
      </c>
      <c r="B2231" s="15"/>
      <c r="C2231" s="14" t="str">
        <f>Fixture!C235</f>
        <v>Los Angeles</v>
      </c>
      <c r="D2231" s="15">
        <f>IF(E2231=0,0,IF(Fixture!D235&lt;Fixture!F235,0,IF(Fixture!F235&lt;Fixture!D235,3,1)))</f>
        <v>0</v>
      </c>
      <c r="E2231" s="16">
        <f>IF(OR(ISBLANK(Fixture!D235),ISBLANK(Fixture!F235),ISTEXT(Fixture!D235),ISTEXT(Fixture!F235)),0,1)</f>
        <v>0</v>
      </c>
      <c r="F2231" s="16">
        <f t="shared" si="526"/>
        <v>0</v>
      </c>
      <c r="G2231" s="16">
        <f t="shared" si="527"/>
        <v>0</v>
      </c>
      <c r="H2231" s="16">
        <f t="shared" si="528"/>
        <v>0</v>
      </c>
      <c r="I2231" s="63">
        <f>IF(E2231=0,0,Fixture!D235)</f>
        <v>0</v>
      </c>
      <c r="J2231" s="63">
        <f>IF(E2231=0,0,Fixture!F235)</f>
        <v>0</v>
      </c>
      <c r="K2231" s="63">
        <f t="shared" si="529"/>
        <v>0</v>
      </c>
      <c r="L2231" s="63">
        <f t="shared" si="530"/>
        <v>0</v>
      </c>
      <c r="N2231" s="10" t="str">
        <f t="shared" si="532"/>
        <v>Los Angeles29</v>
      </c>
      <c r="O2231" s="10">
        <f t="shared" si="533"/>
        <v>0</v>
      </c>
      <c r="P2231" s="10">
        <f t="shared" si="534"/>
        <v>0</v>
      </c>
      <c r="Q2231" s="10">
        <f t="shared" si="535"/>
        <v>0</v>
      </c>
    </row>
    <row r="2232" spans="1:17">
      <c r="A2232" s="15">
        <f t="shared" si="531"/>
        <v>29</v>
      </c>
      <c r="B2232" s="15"/>
      <c r="C2232" s="14" t="str">
        <f>Fixture!C236</f>
        <v>San Jose</v>
      </c>
      <c r="D2232" s="15">
        <f>IF(E2232=0,0,IF(Fixture!D236&lt;Fixture!F236,0,IF(Fixture!F236&lt;Fixture!D236,3,1)))</f>
        <v>0</v>
      </c>
      <c r="E2232" s="16">
        <f>IF(OR(ISBLANK(Fixture!D236),ISBLANK(Fixture!F236),ISTEXT(Fixture!D236),ISTEXT(Fixture!F236)),0,1)</f>
        <v>0</v>
      </c>
      <c r="F2232" s="16">
        <f t="shared" si="526"/>
        <v>0</v>
      </c>
      <c r="G2232" s="16">
        <f t="shared" si="527"/>
        <v>0</v>
      </c>
      <c r="H2232" s="16">
        <f t="shared" si="528"/>
        <v>0</v>
      </c>
      <c r="I2232" s="63">
        <f>IF(E2232=0,0,Fixture!D236)</f>
        <v>0</v>
      </c>
      <c r="J2232" s="63">
        <f>IF(E2232=0,0,Fixture!F236)</f>
        <v>0</v>
      </c>
      <c r="K2232" s="63">
        <f t="shared" si="529"/>
        <v>0</v>
      </c>
      <c r="L2232" s="63">
        <f t="shared" si="530"/>
        <v>0</v>
      </c>
      <c r="N2232" s="10" t="str">
        <f t="shared" si="532"/>
        <v>San Jose29</v>
      </c>
      <c r="O2232" s="10">
        <f t="shared" si="533"/>
        <v>0</v>
      </c>
      <c r="P2232" s="10">
        <f t="shared" si="534"/>
        <v>0</v>
      </c>
      <c r="Q2232" s="10">
        <f t="shared" si="535"/>
        <v>0</v>
      </c>
    </row>
    <row r="2233" spans="1:17">
      <c r="A2233" s="15">
        <f t="shared" si="531"/>
        <v>30</v>
      </c>
      <c r="B2233" s="15"/>
      <c r="C2233" s="14" t="str">
        <f>Fixture!C237</f>
        <v>New York Red Bulls</v>
      </c>
      <c r="D2233" s="15">
        <f>IF(E2233=0,0,IF(Fixture!D237&lt;Fixture!F237,0,IF(Fixture!F237&lt;Fixture!D237,3,1)))</f>
        <v>0</v>
      </c>
      <c r="E2233" s="16">
        <f>IF(OR(ISBLANK(Fixture!D237),ISBLANK(Fixture!F237),ISTEXT(Fixture!D237),ISTEXT(Fixture!F237)),0,1)</f>
        <v>0</v>
      </c>
      <c r="F2233" s="16">
        <f t="shared" si="526"/>
        <v>0</v>
      </c>
      <c r="G2233" s="16">
        <f t="shared" si="527"/>
        <v>0</v>
      </c>
      <c r="H2233" s="16">
        <f t="shared" si="528"/>
        <v>0</v>
      </c>
      <c r="I2233" s="63">
        <f>IF(E2233=0,0,Fixture!D237)</f>
        <v>0</v>
      </c>
      <c r="J2233" s="63">
        <f>IF(E2233=0,0,Fixture!F237)</f>
        <v>0</v>
      </c>
      <c r="K2233" s="63">
        <f t="shared" si="529"/>
        <v>0</v>
      </c>
      <c r="L2233" s="63">
        <f t="shared" si="530"/>
        <v>0</v>
      </c>
      <c r="N2233" s="10" t="str">
        <f t="shared" si="532"/>
        <v>New York Red Bulls30</v>
      </c>
      <c r="O2233" s="10">
        <f t="shared" si="533"/>
        <v>0</v>
      </c>
      <c r="P2233" s="10">
        <f t="shared" si="534"/>
        <v>0</v>
      </c>
      <c r="Q2233" s="10">
        <f t="shared" si="535"/>
        <v>0</v>
      </c>
    </row>
    <row r="2234" spans="1:17">
      <c r="A2234" s="15">
        <f t="shared" si="531"/>
        <v>30</v>
      </c>
      <c r="B2234" s="15"/>
      <c r="C2234" s="14" t="str">
        <f>Fixture!C238</f>
        <v>Houston</v>
      </c>
      <c r="D2234" s="15">
        <f>IF(E2234=0,0,IF(Fixture!D238&lt;Fixture!F238,0,IF(Fixture!F238&lt;Fixture!D238,3,1)))</f>
        <v>0</v>
      </c>
      <c r="E2234" s="16">
        <f>IF(OR(ISBLANK(Fixture!D238),ISBLANK(Fixture!F238),ISTEXT(Fixture!D238),ISTEXT(Fixture!F238)),0,1)</f>
        <v>0</v>
      </c>
      <c r="F2234" s="16">
        <f t="shared" si="526"/>
        <v>0</v>
      </c>
      <c r="G2234" s="16">
        <f t="shared" si="527"/>
        <v>0</v>
      </c>
      <c r="H2234" s="16">
        <f t="shared" si="528"/>
        <v>0</v>
      </c>
      <c r="I2234" s="63">
        <f>IF(E2234=0,0,Fixture!D238)</f>
        <v>0</v>
      </c>
      <c r="J2234" s="63">
        <f>IF(E2234=0,0,Fixture!F238)</f>
        <v>0</v>
      </c>
      <c r="K2234" s="63">
        <f t="shared" si="529"/>
        <v>0</v>
      </c>
      <c r="L2234" s="63">
        <f t="shared" si="530"/>
        <v>0</v>
      </c>
      <c r="N2234" s="10" t="str">
        <f t="shared" si="532"/>
        <v>Houston30</v>
      </c>
      <c r="O2234" s="10">
        <f t="shared" si="533"/>
        <v>0</v>
      </c>
      <c r="P2234" s="10">
        <f t="shared" si="534"/>
        <v>0</v>
      </c>
      <c r="Q2234" s="10">
        <f t="shared" si="535"/>
        <v>0</v>
      </c>
    </row>
    <row r="2235" spans="1:17">
      <c r="A2235" s="15">
        <f t="shared" si="531"/>
        <v>30</v>
      </c>
      <c r="B2235" s="15"/>
      <c r="C2235" s="14" t="str">
        <f>Fixture!C239</f>
        <v>Colorado</v>
      </c>
      <c r="D2235" s="15">
        <f>IF(E2235=0,0,IF(Fixture!D239&lt;Fixture!F239,0,IF(Fixture!F239&lt;Fixture!D239,3,1)))</f>
        <v>0</v>
      </c>
      <c r="E2235" s="16">
        <f>IF(OR(ISBLANK(Fixture!D239),ISBLANK(Fixture!F239),ISTEXT(Fixture!D239),ISTEXT(Fixture!F239)),0,1)</f>
        <v>0</v>
      </c>
      <c r="F2235" s="16">
        <f t="shared" si="526"/>
        <v>0</v>
      </c>
      <c r="G2235" s="16">
        <f t="shared" si="527"/>
        <v>0</v>
      </c>
      <c r="H2235" s="16">
        <f t="shared" si="528"/>
        <v>0</v>
      </c>
      <c r="I2235" s="63">
        <f>IF(E2235=0,0,Fixture!D239)</f>
        <v>0</v>
      </c>
      <c r="J2235" s="63">
        <f>IF(E2235=0,0,Fixture!F239)</f>
        <v>0</v>
      </c>
      <c r="K2235" s="63">
        <f t="shared" si="529"/>
        <v>0</v>
      </c>
      <c r="L2235" s="63">
        <f t="shared" si="530"/>
        <v>0</v>
      </c>
      <c r="N2235" s="10" t="str">
        <f t="shared" si="532"/>
        <v>Colorado30</v>
      </c>
      <c r="O2235" s="10">
        <f t="shared" si="533"/>
        <v>0</v>
      </c>
      <c r="P2235" s="10">
        <f t="shared" si="534"/>
        <v>0</v>
      </c>
      <c r="Q2235" s="10">
        <f t="shared" si="535"/>
        <v>0</v>
      </c>
    </row>
    <row r="2236" spans="1:17">
      <c r="A2236" s="15">
        <f t="shared" si="531"/>
        <v>30</v>
      </c>
      <c r="B2236" s="15"/>
      <c r="C2236" s="14" t="str">
        <f>Fixture!C240</f>
        <v>DC United</v>
      </c>
      <c r="D2236" s="15">
        <f>IF(E2236=0,0,IF(Fixture!D240&lt;Fixture!F240,0,IF(Fixture!F240&lt;Fixture!D240,3,1)))</f>
        <v>0</v>
      </c>
      <c r="E2236" s="16">
        <f>IF(OR(ISBLANK(Fixture!D240),ISBLANK(Fixture!F240),ISTEXT(Fixture!D240),ISTEXT(Fixture!F240)),0,1)</f>
        <v>0</v>
      </c>
      <c r="F2236" s="16">
        <f t="shared" si="526"/>
        <v>0</v>
      </c>
      <c r="G2236" s="16">
        <f t="shared" si="527"/>
        <v>0</v>
      </c>
      <c r="H2236" s="16">
        <f t="shared" si="528"/>
        <v>0</v>
      </c>
      <c r="I2236" s="63">
        <f>IF(E2236=0,0,Fixture!D240)</f>
        <v>0</v>
      </c>
      <c r="J2236" s="63">
        <f>IF(E2236=0,0,Fixture!F240)</f>
        <v>0</v>
      </c>
      <c r="K2236" s="63">
        <f t="shared" si="529"/>
        <v>0</v>
      </c>
      <c r="L2236" s="63">
        <f t="shared" si="530"/>
        <v>0</v>
      </c>
      <c r="N2236" s="10" t="str">
        <f t="shared" si="532"/>
        <v>DC United30</v>
      </c>
      <c r="O2236" s="10">
        <f t="shared" si="533"/>
        <v>0</v>
      </c>
      <c r="P2236" s="10">
        <f t="shared" si="534"/>
        <v>0</v>
      </c>
      <c r="Q2236" s="10">
        <f t="shared" si="535"/>
        <v>0</v>
      </c>
    </row>
    <row r="2237" spans="1:17">
      <c r="A2237" s="15">
        <f t="shared" si="531"/>
        <v>30</v>
      </c>
      <c r="B2237" s="15"/>
      <c r="C2237" s="14" t="str">
        <f>Fixture!C241</f>
        <v>Kansas City</v>
      </c>
      <c r="D2237" s="15">
        <f>IF(E2237=0,0,IF(Fixture!D241&lt;Fixture!F241,0,IF(Fixture!F241&lt;Fixture!D241,3,1)))</f>
        <v>0</v>
      </c>
      <c r="E2237" s="16">
        <f>IF(OR(ISBLANK(Fixture!D241),ISBLANK(Fixture!F241),ISTEXT(Fixture!D241),ISTEXT(Fixture!F241)),0,1)</f>
        <v>0</v>
      </c>
      <c r="F2237" s="16">
        <f t="shared" si="526"/>
        <v>0</v>
      </c>
      <c r="G2237" s="16">
        <f t="shared" si="527"/>
        <v>0</v>
      </c>
      <c r="H2237" s="16">
        <f t="shared" si="528"/>
        <v>0</v>
      </c>
      <c r="I2237" s="63">
        <f>IF(E2237=0,0,Fixture!D241)</f>
        <v>0</v>
      </c>
      <c r="J2237" s="63">
        <f>IF(E2237=0,0,Fixture!F241)</f>
        <v>0</v>
      </c>
      <c r="K2237" s="63">
        <f t="shared" si="529"/>
        <v>0</v>
      </c>
      <c r="L2237" s="63">
        <f t="shared" si="530"/>
        <v>0</v>
      </c>
      <c r="N2237" s="10" t="str">
        <f t="shared" si="532"/>
        <v>Kansas City30</v>
      </c>
      <c r="O2237" s="10">
        <f t="shared" si="533"/>
        <v>0</v>
      </c>
      <c r="P2237" s="10">
        <f t="shared" si="534"/>
        <v>0</v>
      </c>
      <c r="Q2237" s="10">
        <f t="shared" si="535"/>
        <v>0</v>
      </c>
    </row>
    <row r="2238" spans="1:17">
      <c r="A2238" s="15">
        <f t="shared" si="531"/>
        <v>30</v>
      </c>
      <c r="B2238" s="15"/>
      <c r="C2238" s="14" t="str">
        <f>Fixture!C242</f>
        <v>Chivas USA</v>
      </c>
      <c r="D2238" s="15">
        <f>IF(E2238=0,0,IF(Fixture!D242&lt;Fixture!F242,0,IF(Fixture!F242&lt;Fixture!D242,3,1)))</f>
        <v>0</v>
      </c>
      <c r="E2238" s="16">
        <f>IF(OR(ISBLANK(Fixture!D242),ISBLANK(Fixture!F242),ISTEXT(Fixture!D242),ISTEXT(Fixture!F242)),0,1)</f>
        <v>0</v>
      </c>
      <c r="F2238" s="16">
        <f t="shared" si="526"/>
        <v>0</v>
      </c>
      <c r="G2238" s="16">
        <f t="shared" si="527"/>
        <v>0</v>
      </c>
      <c r="H2238" s="16">
        <f t="shared" si="528"/>
        <v>0</v>
      </c>
      <c r="I2238" s="63">
        <f>IF(E2238=0,0,Fixture!D242)</f>
        <v>0</v>
      </c>
      <c r="J2238" s="63">
        <f>IF(E2238=0,0,Fixture!F242)</f>
        <v>0</v>
      </c>
      <c r="K2238" s="63">
        <f t="shared" si="529"/>
        <v>0</v>
      </c>
      <c r="L2238" s="63">
        <f t="shared" si="530"/>
        <v>0</v>
      </c>
      <c r="N2238" s="10" t="str">
        <f t="shared" si="532"/>
        <v>Chivas USA30</v>
      </c>
      <c r="O2238" s="10">
        <f t="shared" si="533"/>
        <v>0</v>
      </c>
      <c r="P2238" s="10">
        <f t="shared" si="534"/>
        <v>0</v>
      </c>
      <c r="Q2238" s="10">
        <f t="shared" si="535"/>
        <v>0</v>
      </c>
    </row>
    <row r="2239" spans="1:17">
      <c r="A2239" s="15">
        <f t="shared" si="531"/>
        <v>30</v>
      </c>
      <c r="B2239" s="15"/>
      <c r="C2239" s="14" t="str">
        <f>Fixture!C243</f>
        <v>Columbus</v>
      </c>
      <c r="D2239" s="15">
        <f>IF(E2239=0,0,IF(Fixture!D243&lt;Fixture!F243,0,IF(Fixture!F243&lt;Fixture!D243,3,1)))</f>
        <v>0</v>
      </c>
      <c r="E2239" s="16">
        <f>IF(OR(ISBLANK(Fixture!D243),ISBLANK(Fixture!F243),ISTEXT(Fixture!D243),ISTEXT(Fixture!F243)),0,1)</f>
        <v>0</v>
      </c>
      <c r="F2239" s="16">
        <f t="shared" si="526"/>
        <v>0</v>
      </c>
      <c r="G2239" s="16">
        <f t="shared" si="527"/>
        <v>0</v>
      </c>
      <c r="H2239" s="16">
        <f t="shared" si="528"/>
        <v>0</v>
      </c>
      <c r="I2239" s="63">
        <f>IF(E2239=0,0,Fixture!D243)</f>
        <v>0</v>
      </c>
      <c r="J2239" s="63">
        <f>IF(E2239=0,0,Fixture!F243)</f>
        <v>0</v>
      </c>
      <c r="K2239" s="63">
        <f t="shared" si="529"/>
        <v>0</v>
      </c>
      <c r="L2239" s="63">
        <f t="shared" si="530"/>
        <v>0</v>
      </c>
      <c r="N2239" s="10" t="str">
        <f t="shared" si="532"/>
        <v>Columbus30</v>
      </c>
      <c r="O2239" s="10">
        <f t="shared" si="533"/>
        <v>0</v>
      </c>
      <c r="P2239" s="10">
        <f t="shared" si="534"/>
        <v>0</v>
      </c>
      <c r="Q2239" s="10">
        <f t="shared" si="535"/>
        <v>0</v>
      </c>
    </row>
    <row r="2240" spans="1:17">
      <c r="A2240" s="15">
        <f t="shared" si="531"/>
        <v>30</v>
      </c>
      <c r="B2240" s="15"/>
      <c r="C2240" s="14" t="str">
        <f>Fixture!C244</f>
        <v>Los Angeles</v>
      </c>
      <c r="D2240" s="15">
        <f>IF(E2240=0,0,IF(Fixture!D244&lt;Fixture!F244,0,IF(Fixture!F244&lt;Fixture!D244,3,1)))</f>
        <v>0</v>
      </c>
      <c r="E2240" s="16">
        <f>IF(OR(ISBLANK(Fixture!D244),ISBLANK(Fixture!F244),ISTEXT(Fixture!D244),ISTEXT(Fixture!F244)),0,1)</f>
        <v>0</v>
      </c>
      <c r="F2240" s="16">
        <f t="shared" si="526"/>
        <v>0</v>
      </c>
      <c r="G2240" s="16">
        <f t="shared" si="527"/>
        <v>0</v>
      </c>
      <c r="H2240" s="16">
        <f t="shared" si="528"/>
        <v>0</v>
      </c>
      <c r="I2240" s="63">
        <f>IF(E2240=0,0,Fixture!D244)</f>
        <v>0</v>
      </c>
      <c r="J2240" s="63">
        <f>IF(E2240=0,0,Fixture!F244)</f>
        <v>0</v>
      </c>
      <c r="K2240" s="63">
        <f t="shared" si="529"/>
        <v>0</v>
      </c>
      <c r="L2240" s="63">
        <f t="shared" si="530"/>
        <v>0</v>
      </c>
      <c r="N2240" s="10" t="str">
        <f t="shared" si="532"/>
        <v>Los Angeles30</v>
      </c>
      <c r="O2240" s="10">
        <f t="shared" si="533"/>
        <v>0</v>
      </c>
      <c r="P2240" s="10">
        <f t="shared" si="534"/>
        <v>0</v>
      </c>
      <c r="Q2240" s="10">
        <f t="shared" si="535"/>
        <v>0</v>
      </c>
    </row>
    <row r="2241" spans="1:17">
      <c r="A2241" s="15">
        <f t="shared" si="531"/>
        <v>0</v>
      </c>
      <c r="B2241" s="15"/>
      <c r="C2241" s="14">
        <f>Fixture!C245</f>
        <v>0</v>
      </c>
      <c r="D2241" s="15">
        <f>IF(E2241=0,0,IF(Fixture!D245&lt;Fixture!F245,0,IF(Fixture!F245&lt;Fixture!D245,3,1)))</f>
        <v>0</v>
      </c>
      <c r="E2241" s="16">
        <f>IF(OR(ISBLANK(Fixture!D245),ISBLANK(Fixture!F245),ISTEXT(Fixture!D245),ISTEXT(Fixture!F245)),0,1)</f>
        <v>0</v>
      </c>
      <c r="F2241" s="16">
        <f t="shared" si="526"/>
        <v>0</v>
      </c>
      <c r="G2241" s="16">
        <f t="shared" si="527"/>
        <v>0</v>
      </c>
      <c r="H2241" s="16">
        <f t="shared" si="528"/>
        <v>0</v>
      </c>
      <c r="I2241" s="63">
        <f>IF(E2241=0,0,Fixture!D245)</f>
        <v>0</v>
      </c>
      <c r="J2241" s="63">
        <f>IF(E2241=0,0,Fixture!F245)</f>
        <v>0</v>
      </c>
      <c r="K2241" s="63">
        <f t="shared" si="529"/>
        <v>0</v>
      </c>
      <c r="L2241" s="63">
        <f t="shared" si="530"/>
        <v>0</v>
      </c>
      <c r="N2241" s="10" t="str">
        <f t="shared" si="532"/>
        <v>00</v>
      </c>
      <c r="O2241" s="10">
        <f t="shared" si="533"/>
        <v>0</v>
      </c>
      <c r="P2241" s="10">
        <f t="shared" si="534"/>
        <v>0</v>
      </c>
      <c r="Q2241" s="10">
        <f t="shared" si="535"/>
        <v>0</v>
      </c>
    </row>
    <row r="2242" spans="1:17">
      <c r="A2242" s="15">
        <f t="shared" si="531"/>
        <v>0</v>
      </c>
      <c r="B2242" s="15"/>
      <c r="C2242" s="14">
        <f>Fixture!C246</f>
        <v>0</v>
      </c>
      <c r="D2242" s="15">
        <f>IF(E2242=0,0,IF(Fixture!D246&lt;Fixture!F246,0,IF(Fixture!F246&lt;Fixture!D246,3,1)))</f>
        <v>0</v>
      </c>
      <c r="E2242" s="16">
        <f>IF(OR(ISBLANK(Fixture!D246),ISBLANK(Fixture!F246),ISTEXT(Fixture!D246),ISTEXT(Fixture!F246)),0,1)</f>
        <v>0</v>
      </c>
      <c r="F2242" s="16">
        <f t="shared" si="526"/>
        <v>0</v>
      </c>
      <c r="G2242" s="16">
        <f t="shared" si="527"/>
        <v>0</v>
      </c>
      <c r="H2242" s="16">
        <f t="shared" si="528"/>
        <v>0</v>
      </c>
      <c r="I2242" s="63">
        <f>IF(E2242=0,0,Fixture!D246)</f>
        <v>0</v>
      </c>
      <c r="J2242" s="63">
        <f>IF(E2242=0,0,Fixture!F246)</f>
        <v>0</v>
      </c>
      <c r="K2242" s="63">
        <f t="shared" si="529"/>
        <v>0</v>
      </c>
      <c r="L2242" s="63">
        <f t="shared" si="530"/>
        <v>0</v>
      </c>
      <c r="N2242" s="10" t="str">
        <f t="shared" si="532"/>
        <v>00</v>
      </c>
      <c r="O2242" s="10">
        <f t="shared" si="533"/>
        <v>0</v>
      </c>
      <c r="P2242" s="10">
        <f t="shared" si="534"/>
        <v>0</v>
      </c>
      <c r="Q2242" s="10">
        <f t="shared" si="535"/>
        <v>0</v>
      </c>
    </row>
    <row r="2243" spans="1:17">
      <c r="A2243" s="15">
        <f t="shared" si="531"/>
        <v>0</v>
      </c>
      <c r="B2243" s="15"/>
      <c r="C2243" s="14">
        <f>Fixture!C247</f>
        <v>0</v>
      </c>
      <c r="D2243" s="15">
        <f>IF(E2243=0,0,IF(Fixture!D247&lt;Fixture!F247,0,IF(Fixture!F247&lt;Fixture!D247,3,1)))</f>
        <v>0</v>
      </c>
      <c r="E2243" s="16">
        <f>IF(OR(ISBLANK(Fixture!D247),ISBLANK(Fixture!F247),ISTEXT(Fixture!D247),ISTEXT(Fixture!F247)),0,1)</f>
        <v>0</v>
      </c>
      <c r="F2243" s="16">
        <f t="shared" si="526"/>
        <v>0</v>
      </c>
      <c r="G2243" s="16">
        <f t="shared" si="527"/>
        <v>0</v>
      </c>
      <c r="H2243" s="16">
        <f t="shared" si="528"/>
        <v>0</v>
      </c>
      <c r="I2243" s="63">
        <f>IF(E2243=0,0,Fixture!D247)</f>
        <v>0</v>
      </c>
      <c r="J2243" s="63">
        <f>IF(E2243=0,0,Fixture!F247)</f>
        <v>0</v>
      </c>
      <c r="K2243" s="63">
        <f t="shared" si="529"/>
        <v>0</v>
      </c>
      <c r="L2243" s="63">
        <f t="shared" si="530"/>
        <v>0</v>
      </c>
      <c r="N2243" s="10" t="str">
        <f t="shared" si="532"/>
        <v>00</v>
      </c>
      <c r="O2243" s="10">
        <f t="shared" si="533"/>
        <v>0</v>
      </c>
      <c r="P2243" s="10">
        <f t="shared" si="534"/>
        <v>0</v>
      </c>
      <c r="Q2243" s="10">
        <f t="shared" si="535"/>
        <v>0</v>
      </c>
    </row>
    <row r="2244" spans="1:17">
      <c r="A2244" s="15">
        <f t="shared" si="531"/>
        <v>0</v>
      </c>
      <c r="B2244" s="15"/>
      <c r="C2244" s="14">
        <f>Fixture!C248</f>
        <v>0</v>
      </c>
      <c r="D2244" s="15">
        <f>IF(E2244=0,0,IF(Fixture!D248&lt;Fixture!F248,0,IF(Fixture!F248&lt;Fixture!D248,3,1)))</f>
        <v>0</v>
      </c>
      <c r="E2244" s="16">
        <f>IF(OR(ISBLANK(Fixture!D248),ISBLANK(Fixture!F248),ISTEXT(Fixture!D248),ISTEXT(Fixture!F248)),0,1)</f>
        <v>0</v>
      </c>
      <c r="F2244" s="16">
        <f t="shared" si="526"/>
        <v>0</v>
      </c>
      <c r="G2244" s="16">
        <f t="shared" si="527"/>
        <v>0</v>
      </c>
      <c r="H2244" s="16">
        <f t="shared" si="528"/>
        <v>0</v>
      </c>
      <c r="I2244" s="63">
        <f>IF(E2244=0,0,Fixture!D248)</f>
        <v>0</v>
      </c>
      <c r="J2244" s="63">
        <f>IF(E2244=0,0,Fixture!F248)</f>
        <v>0</v>
      </c>
      <c r="K2244" s="63">
        <f t="shared" si="529"/>
        <v>0</v>
      </c>
      <c r="L2244" s="63">
        <f t="shared" si="530"/>
        <v>0</v>
      </c>
      <c r="N2244" s="10" t="str">
        <f t="shared" si="532"/>
        <v>00</v>
      </c>
      <c r="O2244" s="10">
        <f t="shared" si="533"/>
        <v>0</v>
      </c>
      <c r="P2244" s="10">
        <f t="shared" si="534"/>
        <v>0</v>
      </c>
      <c r="Q2244" s="10">
        <f t="shared" si="535"/>
        <v>0</v>
      </c>
    </row>
    <row r="2245" spans="1:17">
      <c r="A2245" s="15">
        <f t="shared" si="531"/>
        <v>0</v>
      </c>
      <c r="B2245" s="15"/>
      <c r="C2245" s="14">
        <f>Fixture!C249</f>
        <v>0</v>
      </c>
      <c r="D2245" s="15">
        <f>IF(E2245=0,0,IF(Fixture!D249&lt;Fixture!F249,0,IF(Fixture!F249&lt;Fixture!D249,3,1)))</f>
        <v>0</v>
      </c>
      <c r="E2245" s="16">
        <f>IF(OR(ISBLANK(Fixture!D249),ISBLANK(Fixture!F249),ISTEXT(Fixture!D249),ISTEXT(Fixture!F249)),0,1)</f>
        <v>0</v>
      </c>
      <c r="F2245" s="16">
        <f t="shared" si="526"/>
        <v>0</v>
      </c>
      <c r="G2245" s="16">
        <f t="shared" si="527"/>
        <v>0</v>
      </c>
      <c r="H2245" s="16">
        <f t="shared" si="528"/>
        <v>0</v>
      </c>
      <c r="I2245" s="63">
        <f>IF(E2245=0,0,Fixture!D249)</f>
        <v>0</v>
      </c>
      <c r="J2245" s="63">
        <f>IF(E2245=0,0,Fixture!F249)</f>
        <v>0</v>
      </c>
      <c r="K2245" s="63">
        <f t="shared" si="529"/>
        <v>0</v>
      </c>
      <c r="L2245" s="63">
        <f t="shared" si="530"/>
        <v>0</v>
      </c>
      <c r="N2245" s="10" t="str">
        <f t="shared" si="532"/>
        <v>00</v>
      </c>
      <c r="O2245" s="10">
        <f t="shared" si="533"/>
        <v>0</v>
      </c>
      <c r="P2245" s="10">
        <f t="shared" si="534"/>
        <v>0</v>
      </c>
      <c r="Q2245" s="10">
        <f t="shared" si="535"/>
        <v>0</v>
      </c>
    </row>
    <row r="2246" spans="1:17">
      <c r="A2246" s="15">
        <f t="shared" si="531"/>
        <v>0</v>
      </c>
      <c r="B2246" s="15"/>
      <c r="C2246" s="14">
        <f>Fixture!C250</f>
        <v>0</v>
      </c>
      <c r="D2246" s="15">
        <f>IF(E2246=0,0,IF(Fixture!D250&lt;Fixture!F250,0,IF(Fixture!F250&lt;Fixture!D250,3,1)))</f>
        <v>0</v>
      </c>
      <c r="E2246" s="16">
        <f>IF(OR(ISBLANK(Fixture!D250),ISBLANK(Fixture!F250),ISTEXT(Fixture!D250),ISTEXT(Fixture!F250)),0,1)</f>
        <v>0</v>
      </c>
      <c r="F2246" s="16">
        <f t="shared" si="526"/>
        <v>0</v>
      </c>
      <c r="G2246" s="16">
        <f t="shared" si="527"/>
        <v>0</v>
      </c>
      <c r="H2246" s="16">
        <f t="shared" si="528"/>
        <v>0</v>
      </c>
      <c r="I2246" s="63">
        <f>IF(E2246=0,0,Fixture!D250)</f>
        <v>0</v>
      </c>
      <c r="J2246" s="63">
        <f>IF(E2246=0,0,Fixture!F250)</f>
        <v>0</v>
      </c>
      <c r="K2246" s="63">
        <f t="shared" si="529"/>
        <v>0</v>
      </c>
      <c r="L2246" s="63">
        <f t="shared" si="530"/>
        <v>0</v>
      </c>
      <c r="N2246" s="10" t="str">
        <f t="shared" si="532"/>
        <v>00</v>
      </c>
      <c r="O2246" s="10">
        <f t="shared" si="533"/>
        <v>0</v>
      </c>
      <c r="P2246" s="10">
        <f t="shared" si="534"/>
        <v>0</v>
      </c>
      <c r="Q2246" s="10">
        <f t="shared" si="535"/>
        <v>0</v>
      </c>
    </row>
    <row r="2247" spans="1:17">
      <c r="A2247" s="15">
        <f t="shared" si="531"/>
        <v>0</v>
      </c>
      <c r="B2247" s="15"/>
      <c r="C2247" s="14">
        <f>Fixture!C251</f>
        <v>0</v>
      </c>
      <c r="D2247" s="15">
        <f>IF(E2247=0,0,IF(Fixture!D251&lt;Fixture!F251,0,IF(Fixture!F251&lt;Fixture!D251,3,1)))</f>
        <v>0</v>
      </c>
      <c r="E2247" s="16">
        <f>IF(OR(ISBLANK(Fixture!D251),ISBLANK(Fixture!F251),ISTEXT(Fixture!D251),ISTEXT(Fixture!F251)),0,1)</f>
        <v>0</v>
      </c>
      <c r="F2247" s="16">
        <f t="shared" si="526"/>
        <v>0</v>
      </c>
      <c r="G2247" s="16">
        <f t="shared" si="527"/>
        <v>0</v>
      </c>
      <c r="H2247" s="16">
        <f t="shared" si="528"/>
        <v>0</v>
      </c>
      <c r="I2247" s="63">
        <f>IF(E2247=0,0,Fixture!D251)</f>
        <v>0</v>
      </c>
      <c r="J2247" s="63">
        <f>IF(E2247=0,0,Fixture!F251)</f>
        <v>0</v>
      </c>
      <c r="K2247" s="63">
        <f t="shared" si="529"/>
        <v>0</v>
      </c>
      <c r="L2247" s="63">
        <f t="shared" si="530"/>
        <v>0</v>
      </c>
      <c r="N2247" s="10" t="str">
        <f t="shared" si="532"/>
        <v>00</v>
      </c>
      <c r="O2247" s="10">
        <f t="shared" si="533"/>
        <v>0</v>
      </c>
      <c r="P2247" s="10">
        <f t="shared" si="534"/>
        <v>0</v>
      </c>
      <c r="Q2247" s="10">
        <f t="shared" si="535"/>
        <v>0</v>
      </c>
    </row>
    <row r="2248" spans="1:17">
      <c r="A2248" s="15">
        <f t="shared" si="531"/>
        <v>0</v>
      </c>
      <c r="B2248" s="15"/>
      <c r="C2248" s="14">
        <f>Fixture!C252</f>
        <v>0</v>
      </c>
      <c r="D2248" s="15">
        <f>IF(E2248=0,0,IF(Fixture!D252&lt;Fixture!F252,0,IF(Fixture!F252&lt;Fixture!D252,3,1)))</f>
        <v>0</v>
      </c>
      <c r="E2248" s="16">
        <f>IF(OR(ISBLANK(Fixture!D252),ISBLANK(Fixture!F252),ISTEXT(Fixture!D252),ISTEXT(Fixture!F252)),0,1)</f>
        <v>0</v>
      </c>
      <c r="F2248" s="16">
        <f t="shared" si="526"/>
        <v>0</v>
      </c>
      <c r="G2248" s="16">
        <f t="shared" si="527"/>
        <v>0</v>
      </c>
      <c r="H2248" s="16">
        <f t="shared" si="528"/>
        <v>0</v>
      </c>
      <c r="I2248" s="63">
        <f>IF(E2248=0,0,Fixture!D252)</f>
        <v>0</v>
      </c>
      <c r="J2248" s="63">
        <f>IF(E2248=0,0,Fixture!F252)</f>
        <v>0</v>
      </c>
      <c r="K2248" s="63">
        <f t="shared" si="529"/>
        <v>0</v>
      </c>
      <c r="L2248" s="63">
        <f t="shared" si="530"/>
        <v>0</v>
      </c>
      <c r="N2248" s="10" t="str">
        <f t="shared" si="532"/>
        <v>00</v>
      </c>
      <c r="O2248" s="10">
        <f t="shared" si="533"/>
        <v>0</v>
      </c>
      <c r="P2248" s="10">
        <f t="shared" si="534"/>
        <v>0</v>
      </c>
      <c r="Q2248" s="10">
        <f t="shared" si="535"/>
        <v>0</v>
      </c>
    </row>
    <row r="2249" spans="1:17">
      <c r="A2249" s="15">
        <f t="shared" si="531"/>
        <v>0</v>
      </c>
      <c r="B2249" s="15"/>
      <c r="C2249" s="14">
        <f>Fixture!C253</f>
        <v>0</v>
      </c>
      <c r="D2249" s="15">
        <f>IF(E2249=0,0,IF(Fixture!D253&lt;Fixture!F253,0,IF(Fixture!F253&lt;Fixture!D253,3,1)))</f>
        <v>0</v>
      </c>
      <c r="E2249" s="16">
        <f>IF(OR(ISBLANK(Fixture!D253),ISBLANK(Fixture!F253),ISTEXT(Fixture!D253),ISTEXT(Fixture!F253)),0,1)</f>
        <v>0</v>
      </c>
      <c r="F2249" s="16">
        <f t="shared" si="526"/>
        <v>0</v>
      </c>
      <c r="G2249" s="16">
        <f t="shared" si="527"/>
        <v>0</v>
      </c>
      <c r="H2249" s="16">
        <f t="shared" si="528"/>
        <v>0</v>
      </c>
      <c r="I2249" s="63">
        <f>IF(E2249=0,0,Fixture!D253)</f>
        <v>0</v>
      </c>
      <c r="J2249" s="63">
        <f>IF(E2249=0,0,Fixture!F253)</f>
        <v>0</v>
      </c>
      <c r="K2249" s="63">
        <f t="shared" si="529"/>
        <v>0</v>
      </c>
      <c r="L2249" s="63">
        <f t="shared" si="530"/>
        <v>0</v>
      </c>
      <c r="N2249" s="10" t="str">
        <f t="shared" si="532"/>
        <v>00</v>
      </c>
      <c r="O2249" s="10">
        <f t="shared" si="533"/>
        <v>0</v>
      </c>
      <c r="P2249" s="10">
        <f t="shared" si="534"/>
        <v>0</v>
      </c>
      <c r="Q2249" s="10">
        <f t="shared" si="535"/>
        <v>0</v>
      </c>
    </row>
    <row r="2250" spans="1:17">
      <c r="A2250" s="15">
        <f t="shared" si="531"/>
        <v>0</v>
      </c>
      <c r="B2250" s="15"/>
      <c r="C2250" s="14">
        <f>Fixture!C254</f>
        <v>0</v>
      </c>
      <c r="D2250" s="15">
        <f>IF(E2250=0,0,IF(Fixture!D254&lt;Fixture!F254,0,IF(Fixture!F254&lt;Fixture!D254,3,1)))</f>
        <v>0</v>
      </c>
      <c r="E2250" s="16">
        <f>IF(OR(ISBLANK(Fixture!D254),ISBLANK(Fixture!F254),ISTEXT(Fixture!D254),ISTEXT(Fixture!F254)),0,1)</f>
        <v>0</v>
      </c>
      <c r="F2250" s="16">
        <f t="shared" si="526"/>
        <v>0</v>
      </c>
      <c r="G2250" s="16">
        <f t="shared" si="527"/>
        <v>0</v>
      </c>
      <c r="H2250" s="16">
        <f t="shared" si="528"/>
        <v>0</v>
      </c>
      <c r="I2250" s="63">
        <f>IF(E2250=0,0,Fixture!D254)</f>
        <v>0</v>
      </c>
      <c r="J2250" s="63">
        <f>IF(E2250=0,0,Fixture!F254)</f>
        <v>0</v>
      </c>
      <c r="K2250" s="63">
        <f t="shared" si="529"/>
        <v>0</v>
      </c>
      <c r="L2250" s="63">
        <f t="shared" si="530"/>
        <v>0</v>
      </c>
      <c r="N2250" s="10" t="str">
        <f t="shared" si="532"/>
        <v>00</v>
      </c>
      <c r="O2250" s="10">
        <f t="shared" si="533"/>
        <v>0</v>
      </c>
      <c r="P2250" s="10">
        <f t="shared" si="534"/>
        <v>0</v>
      </c>
      <c r="Q2250" s="10">
        <f t="shared" si="535"/>
        <v>0</v>
      </c>
    </row>
    <row r="2251" spans="1:17">
      <c r="A2251" s="15">
        <f t="shared" si="531"/>
        <v>0</v>
      </c>
      <c r="B2251" s="15"/>
      <c r="C2251" s="14">
        <f>Fixture!C255</f>
        <v>0</v>
      </c>
      <c r="D2251" s="15">
        <f>IF(E2251=0,0,IF(Fixture!D255&lt;Fixture!F255,0,IF(Fixture!F255&lt;Fixture!D255,3,1)))</f>
        <v>0</v>
      </c>
      <c r="E2251" s="16">
        <f>IF(OR(ISBLANK(Fixture!D255),ISBLANK(Fixture!F255),ISTEXT(Fixture!D255),ISTEXT(Fixture!F255)),0,1)</f>
        <v>0</v>
      </c>
      <c r="F2251" s="16">
        <f t="shared" si="526"/>
        <v>0</v>
      </c>
      <c r="G2251" s="16">
        <f t="shared" si="527"/>
        <v>0</v>
      </c>
      <c r="H2251" s="16">
        <f t="shared" si="528"/>
        <v>0</v>
      </c>
      <c r="I2251" s="63">
        <f>IF(E2251=0,0,Fixture!D255)</f>
        <v>0</v>
      </c>
      <c r="J2251" s="63">
        <f>IF(E2251=0,0,Fixture!F255)</f>
        <v>0</v>
      </c>
      <c r="K2251" s="63">
        <f t="shared" si="529"/>
        <v>0</v>
      </c>
      <c r="L2251" s="63">
        <f t="shared" si="530"/>
        <v>0</v>
      </c>
      <c r="N2251" s="10" t="str">
        <f t="shared" si="532"/>
        <v>00</v>
      </c>
      <c r="O2251" s="10">
        <f t="shared" si="533"/>
        <v>0</v>
      </c>
      <c r="P2251" s="10">
        <f t="shared" si="534"/>
        <v>0</v>
      </c>
      <c r="Q2251" s="10">
        <f t="shared" si="535"/>
        <v>0</v>
      </c>
    </row>
    <row r="2252" spans="1:17">
      <c r="A2252" s="15">
        <f t="shared" si="531"/>
        <v>0</v>
      </c>
      <c r="B2252" s="15"/>
      <c r="C2252" s="14">
        <f>Fixture!C256</f>
        <v>0</v>
      </c>
      <c r="D2252" s="15">
        <f>IF(E2252=0,0,IF(Fixture!D256&lt;Fixture!F256,0,IF(Fixture!F256&lt;Fixture!D256,3,1)))</f>
        <v>0</v>
      </c>
      <c r="E2252" s="16">
        <f>IF(OR(ISBLANK(Fixture!D256),ISBLANK(Fixture!F256),ISTEXT(Fixture!D256),ISTEXT(Fixture!F256)),0,1)</f>
        <v>0</v>
      </c>
      <c r="F2252" s="16">
        <f t="shared" si="526"/>
        <v>0</v>
      </c>
      <c r="G2252" s="16">
        <f t="shared" si="527"/>
        <v>0</v>
      </c>
      <c r="H2252" s="16">
        <f t="shared" si="528"/>
        <v>0</v>
      </c>
      <c r="I2252" s="63">
        <f>IF(E2252=0,0,Fixture!D256)</f>
        <v>0</v>
      </c>
      <c r="J2252" s="63">
        <f>IF(E2252=0,0,Fixture!F256)</f>
        <v>0</v>
      </c>
      <c r="K2252" s="63">
        <f t="shared" si="529"/>
        <v>0</v>
      </c>
      <c r="L2252" s="63">
        <f t="shared" si="530"/>
        <v>0</v>
      </c>
      <c r="N2252" s="10" t="str">
        <f t="shared" si="532"/>
        <v>00</v>
      </c>
      <c r="O2252" s="10">
        <f t="shared" si="533"/>
        <v>0</v>
      </c>
      <c r="P2252" s="10">
        <f t="shared" si="534"/>
        <v>0</v>
      </c>
      <c r="Q2252" s="10">
        <f t="shared" si="535"/>
        <v>0</v>
      </c>
    </row>
    <row r="2253" spans="1:17">
      <c r="A2253" s="15">
        <f t="shared" si="531"/>
        <v>0</v>
      </c>
      <c r="B2253" s="15"/>
      <c r="C2253" s="14">
        <f>Fixture!C257</f>
        <v>0</v>
      </c>
      <c r="D2253" s="15">
        <f>IF(E2253=0,0,IF(Fixture!D257&lt;Fixture!F257,0,IF(Fixture!F257&lt;Fixture!D257,3,1)))</f>
        <v>0</v>
      </c>
      <c r="E2253" s="16">
        <f>IF(OR(ISBLANK(Fixture!D257),ISBLANK(Fixture!F257),ISTEXT(Fixture!D257),ISTEXT(Fixture!F257)),0,1)</f>
        <v>0</v>
      </c>
      <c r="F2253" s="16">
        <f t="shared" si="526"/>
        <v>0</v>
      </c>
      <c r="G2253" s="16">
        <f t="shared" si="527"/>
        <v>0</v>
      </c>
      <c r="H2253" s="16">
        <f t="shared" si="528"/>
        <v>0</v>
      </c>
      <c r="I2253" s="63">
        <f>IF(E2253=0,0,Fixture!D257)</f>
        <v>0</v>
      </c>
      <c r="J2253" s="63">
        <f>IF(E2253=0,0,Fixture!F257)</f>
        <v>0</v>
      </c>
      <c r="K2253" s="63">
        <f t="shared" si="529"/>
        <v>0</v>
      </c>
      <c r="L2253" s="63">
        <f t="shared" si="530"/>
        <v>0</v>
      </c>
      <c r="N2253" s="10" t="str">
        <f t="shared" si="532"/>
        <v>00</v>
      </c>
      <c r="O2253" s="10">
        <f t="shared" si="533"/>
        <v>0</v>
      </c>
      <c r="P2253" s="10">
        <f t="shared" si="534"/>
        <v>0</v>
      </c>
      <c r="Q2253" s="10">
        <f t="shared" si="535"/>
        <v>0</v>
      </c>
    </row>
    <row r="2254" spans="1:17">
      <c r="A2254" s="15">
        <f t="shared" si="531"/>
        <v>0</v>
      </c>
      <c r="B2254" s="15"/>
      <c r="C2254" s="14">
        <f>Fixture!C258</f>
        <v>0</v>
      </c>
      <c r="D2254" s="15">
        <f>IF(E2254=0,0,IF(Fixture!D258&lt;Fixture!F258,0,IF(Fixture!F258&lt;Fixture!D258,3,1)))</f>
        <v>0</v>
      </c>
      <c r="E2254" s="16">
        <f>IF(OR(ISBLANK(Fixture!D258),ISBLANK(Fixture!F258),ISTEXT(Fixture!D258),ISTEXT(Fixture!F258)),0,1)</f>
        <v>0</v>
      </c>
      <c r="F2254" s="16">
        <f t="shared" si="526"/>
        <v>0</v>
      </c>
      <c r="G2254" s="16">
        <f t="shared" si="527"/>
        <v>0</v>
      </c>
      <c r="H2254" s="16">
        <f t="shared" si="528"/>
        <v>0</v>
      </c>
      <c r="I2254" s="63">
        <f>IF(E2254=0,0,Fixture!D258)</f>
        <v>0</v>
      </c>
      <c r="J2254" s="63">
        <f>IF(E2254=0,0,Fixture!F258)</f>
        <v>0</v>
      </c>
      <c r="K2254" s="63">
        <f t="shared" si="529"/>
        <v>0</v>
      </c>
      <c r="L2254" s="63">
        <f t="shared" si="530"/>
        <v>0</v>
      </c>
      <c r="N2254" s="10" t="str">
        <f t="shared" si="532"/>
        <v>00</v>
      </c>
      <c r="O2254" s="10">
        <f t="shared" si="533"/>
        <v>0</v>
      </c>
      <c r="P2254" s="10">
        <f t="shared" si="534"/>
        <v>0</v>
      </c>
      <c r="Q2254" s="10">
        <f t="shared" si="535"/>
        <v>0</v>
      </c>
    </row>
    <row r="2255" spans="1:17">
      <c r="A2255" s="15">
        <f t="shared" si="531"/>
        <v>0</v>
      </c>
      <c r="B2255" s="15"/>
      <c r="C2255" s="14">
        <f>Fixture!C259</f>
        <v>0</v>
      </c>
      <c r="D2255" s="15">
        <f>IF(E2255=0,0,IF(Fixture!D259&lt;Fixture!F259,0,IF(Fixture!F259&lt;Fixture!D259,3,1)))</f>
        <v>0</v>
      </c>
      <c r="E2255" s="16">
        <f>IF(OR(ISBLANK(Fixture!D259),ISBLANK(Fixture!F259),ISTEXT(Fixture!D259),ISTEXT(Fixture!F259)),0,1)</f>
        <v>0</v>
      </c>
      <c r="F2255" s="16">
        <f t="shared" si="526"/>
        <v>0</v>
      </c>
      <c r="G2255" s="16">
        <f t="shared" si="527"/>
        <v>0</v>
      </c>
      <c r="H2255" s="16">
        <f t="shared" si="528"/>
        <v>0</v>
      </c>
      <c r="I2255" s="63">
        <f>IF(E2255=0,0,Fixture!D259)</f>
        <v>0</v>
      </c>
      <c r="J2255" s="63">
        <f>IF(E2255=0,0,Fixture!F259)</f>
        <v>0</v>
      </c>
      <c r="K2255" s="63">
        <f t="shared" si="529"/>
        <v>0</v>
      </c>
      <c r="L2255" s="63">
        <f t="shared" si="530"/>
        <v>0</v>
      </c>
      <c r="N2255" s="10" t="str">
        <f t="shared" si="532"/>
        <v>00</v>
      </c>
      <c r="O2255" s="10">
        <f t="shared" si="533"/>
        <v>0</v>
      </c>
      <c r="P2255" s="10">
        <f t="shared" si="534"/>
        <v>0</v>
      </c>
      <c r="Q2255" s="10">
        <f t="shared" si="535"/>
        <v>0</v>
      </c>
    </row>
    <row r="2256" spans="1:17">
      <c r="A2256" s="15">
        <f t="shared" si="531"/>
        <v>0</v>
      </c>
      <c r="B2256" s="15"/>
      <c r="C2256" s="14">
        <f>Fixture!C260</f>
        <v>0</v>
      </c>
      <c r="D2256" s="15">
        <f>IF(E2256=0,0,IF(Fixture!D260&lt;Fixture!F260,0,IF(Fixture!F260&lt;Fixture!D260,3,1)))</f>
        <v>0</v>
      </c>
      <c r="E2256" s="16">
        <f>IF(OR(ISBLANK(Fixture!D260),ISBLANK(Fixture!F260),ISTEXT(Fixture!D260),ISTEXT(Fixture!F260)),0,1)</f>
        <v>0</v>
      </c>
      <c r="F2256" s="16">
        <f t="shared" si="526"/>
        <v>0</v>
      </c>
      <c r="G2256" s="16">
        <f t="shared" si="527"/>
        <v>0</v>
      </c>
      <c r="H2256" s="16">
        <f t="shared" si="528"/>
        <v>0</v>
      </c>
      <c r="I2256" s="63">
        <f>IF(E2256=0,0,Fixture!D260)</f>
        <v>0</v>
      </c>
      <c r="J2256" s="63">
        <f>IF(E2256=0,0,Fixture!F260)</f>
        <v>0</v>
      </c>
      <c r="K2256" s="63">
        <f t="shared" si="529"/>
        <v>0</v>
      </c>
      <c r="L2256" s="63">
        <f t="shared" si="530"/>
        <v>0</v>
      </c>
      <c r="N2256" s="10" t="str">
        <f t="shared" si="532"/>
        <v>00</v>
      </c>
      <c r="O2256" s="10">
        <f t="shared" si="533"/>
        <v>0</v>
      </c>
      <c r="P2256" s="10">
        <f t="shared" si="534"/>
        <v>0</v>
      </c>
      <c r="Q2256" s="10">
        <f t="shared" si="535"/>
        <v>0</v>
      </c>
    </row>
    <row r="2257" spans="1:17">
      <c r="A2257" s="15">
        <f t="shared" si="531"/>
        <v>0</v>
      </c>
      <c r="B2257" s="15"/>
      <c r="C2257" s="14">
        <f>Fixture!C261</f>
        <v>0</v>
      </c>
      <c r="D2257" s="15">
        <f>IF(E2257=0,0,IF(Fixture!D261&lt;Fixture!F261,0,IF(Fixture!F261&lt;Fixture!D261,3,1)))</f>
        <v>0</v>
      </c>
      <c r="E2257" s="16">
        <f>IF(OR(ISBLANK(Fixture!D261),ISBLANK(Fixture!F261),ISTEXT(Fixture!D261),ISTEXT(Fixture!F261)),0,1)</f>
        <v>0</v>
      </c>
      <c r="F2257" s="16">
        <f t="shared" ref="F2257:F2320" si="536">IF(E2257=0,0,IF(D2257&lt;&gt;3,0,1))</f>
        <v>0</v>
      </c>
      <c r="G2257" s="16">
        <f t="shared" ref="G2257:G2320" si="537">IF(E2257=0,0,IF(D2257&lt;&gt;1,0,1))</f>
        <v>0</v>
      </c>
      <c r="H2257" s="16">
        <f t="shared" ref="H2257:H2320" si="538">IF(E2257=0,0,IF(D2257&lt;&gt;0,0,1))</f>
        <v>0</v>
      </c>
      <c r="I2257" s="63">
        <f>IF(E2257=0,0,Fixture!D261)</f>
        <v>0</v>
      </c>
      <c r="J2257" s="63">
        <f>IF(E2257=0,0,Fixture!F261)</f>
        <v>0</v>
      </c>
      <c r="K2257" s="63">
        <f t="shared" ref="K2257:K2320" si="539">IF(E2257=0,0,IF(I2257&gt;0,0,1))</f>
        <v>0</v>
      </c>
      <c r="L2257" s="63">
        <f t="shared" ref="L2257:L2320" si="540">IF(E2257=0,0,IF(J2257&gt;0,0,1))</f>
        <v>0</v>
      </c>
      <c r="N2257" s="10" t="str">
        <f t="shared" si="532"/>
        <v>00</v>
      </c>
      <c r="O2257" s="10">
        <f t="shared" si="533"/>
        <v>0</v>
      </c>
      <c r="P2257" s="10">
        <f t="shared" si="534"/>
        <v>0</v>
      </c>
      <c r="Q2257" s="10">
        <f t="shared" si="535"/>
        <v>0</v>
      </c>
    </row>
    <row r="2258" spans="1:17">
      <c r="A2258" s="15">
        <f t="shared" ref="A2258:A2321" si="541">A301</f>
        <v>0</v>
      </c>
      <c r="B2258" s="15"/>
      <c r="C2258" s="14">
        <f>Fixture!C262</f>
        <v>0</v>
      </c>
      <c r="D2258" s="15">
        <f>IF(E2258=0,0,IF(Fixture!D262&lt;Fixture!F262,0,IF(Fixture!F262&lt;Fixture!D262,3,1)))</f>
        <v>0</v>
      </c>
      <c r="E2258" s="16">
        <f>IF(OR(ISBLANK(Fixture!D262),ISBLANK(Fixture!F262),ISTEXT(Fixture!D262),ISTEXT(Fixture!F262)),0,1)</f>
        <v>0</v>
      </c>
      <c r="F2258" s="16">
        <f t="shared" si="536"/>
        <v>0</v>
      </c>
      <c r="G2258" s="16">
        <f t="shared" si="537"/>
        <v>0</v>
      </c>
      <c r="H2258" s="16">
        <f t="shared" si="538"/>
        <v>0</v>
      </c>
      <c r="I2258" s="63">
        <f>IF(E2258=0,0,Fixture!D262)</f>
        <v>0</v>
      </c>
      <c r="J2258" s="63">
        <f>IF(E2258=0,0,Fixture!F262)</f>
        <v>0</v>
      </c>
      <c r="K2258" s="63">
        <f t="shared" si="539"/>
        <v>0</v>
      </c>
      <c r="L2258" s="63">
        <f t="shared" si="540"/>
        <v>0</v>
      </c>
      <c r="N2258" s="10" t="str">
        <f t="shared" ref="N2258:N2321" si="542">CONCATENATE(C2258,A2258)</f>
        <v>00</v>
      </c>
      <c r="O2258" s="10">
        <f t="shared" ref="O2258:O2321" si="543">D2258</f>
        <v>0</v>
      </c>
      <c r="P2258" s="10">
        <f t="shared" ref="P2258:P2321" si="544">I2258</f>
        <v>0</v>
      </c>
      <c r="Q2258" s="10">
        <f t="shared" ref="Q2258:Q2321" si="545">J2258</f>
        <v>0</v>
      </c>
    </row>
    <row r="2259" spans="1:17">
      <c r="A2259" s="15">
        <f t="shared" si="541"/>
        <v>0</v>
      </c>
      <c r="B2259" s="15"/>
      <c r="C2259" s="14">
        <f>Fixture!C263</f>
        <v>0</v>
      </c>
      <c r="D2259" s="15">
        <f>IF(E2259=0,0,IF(Fixture!D263&lt;Fixture!F263,0,IF(Fixture!F263&lt;Fixture!D263,3,1)))</f>
        <v>0</v>
      </c>
      <c r="E2259" s="16">
        <f>IF(OR(ISBLANK(Fixture!D263),ISBLANK(Fixture!F263),ISTEXT(Fixture!D263),ISTEXT(Fixture!F263)),0,1)</f>
        <v>0</v>
      </c>
      <c r="F2259" s="16">
        <f t="shared" si="536"/>
        <v>0</v>
      </c>
      <c r="G2259" s="16">
        <f t="shared" si="537"/>
        <v>0</v>
      </c>
      <c r="H2259" s="16">
        <f t="shared" si="538"/>
        <v>0</v>
      </c>
      <c r="I2259" s="63">
        <f>IF(E2259=0,0,Fixture!D263)</f>
        <v>0</v>
      </c>
      <c r="J2259" s="63">
        <f>IF(E2259=0,0,Fixture!F263)</f>
        <v>0</v>
      </c>
      <c r="K2259" s="63">
        <f t="shared" si="539"/>
        <v>0</v>
      </c>
      <c r="L2259" s="63">
        <f t="shared" si="540"/>
        <v>0</v>
      </c>
      <c r="N2259" s="10" t="str">
        <f t="shared" si="542"/>
        <v>00</v>
      </c>
      <c r="O2259" s="10">
        <f t="shared" si="543"/>
        <v>0</v>
      </c>
      <c r="P2259" s="10">
        <f t="shared" si="544"/>
        <v>0</v>
      </c>
      <c r="Q2259" s="10">
        <f t="shared" si="545"/>
        <v>0</v>
      </c>
    </row>
    <row r="2260" spans="1:17">
      <c r="A2260" s="15">
        <f t="shared" si="541"/>
        <v>0</v>
      </c>
      <c r="B2260" s="15"/>
      <c r="C2260" s="14">
        <f>Fixture!C264</f>
        <v>0</v>
      </c>
      <c r="D2260" s="15">
        <f>IF(E2260=0,0,IF(Fixture!D264&lt;Fixture!F264,0,IF(Fixture!F264&lt;Fixture!D264,3,1)))</f>
        <v>0</v>
      </c>
      <c r="E2260" s="16">
        <f>IF(OR(ISBLANK(Fixture!D264),ISBLANK(Fixture!F264),ISTEXT(Fixture!D264),ISTEXT(Fixture!F264)),0,1)</f>
        <v>0</v>
      </c>
      <c r="F2260" s="16">
        <f t="shared" si="536"/>
        <v>0</v>
      </c>
      <c r="G2260" s="16">
        <f t="shared" si="537"/>
        <v>0</v>
      </c>
      <c r="H2260" s="16">
        <f t="shared" si="538"/>
        <v>0</v>
      </c>
      <c r="I2260" s="63">
        <f>IF(E2260=0,0,Fixture!D264)</f>
        <v>0</v>
      </c>
      <c r="J2260" s="63">
        <f>IF(E2260=0,0,Fixture!F264)</f>
        <v>0</v>
      </c>
      <c r="K2260" s="63">
        <f t="shared" si="539"/>
        <v>0</v>
      </c>
      <c r="L2260" s="63">
        <f t="shared" si="540"/>
        <v>0</v>
      </c>
      <c r="N2260" s="10" t="str">
        <f t="shared" si="542"/>
        <v>00</v>
      </c>
      <c r="O2260" s="10">
        <f t="shared" si="543"/>
        <v>0</v>
      </c>
      <c r="P2260" s="10">
        <f t="shared" si="544"/>
        <v>0</v>
      </c>
      <c r="Q2260" s="10">
        <f t="shared" si="545"/>
        <v>0</v>
      </c>
    </row>
    <row r="2261" spans="1:17">
      <c r="A2261" s="15">
        <f t="shared" si="541"/>
        <v>0</v>
      </c>
      <c r="B2261" s="15"/>
      <c r="C2261" s="14">
        <f>Fixture!C265</f>
        <v>0</v>
      </c>
      <c r="D2261" s="15">
        <f>IF(E2261=0,0,IF(Fixture!D265&lt;Fixture!F265,0,IF(Fixture!F265&lt;Fixture!D265,3,1)))</f>
        <v>0</v>
      </c>
      <c r="E2261" s="16">
        <f>IF(OR(ISBLANK(Fixture!D265),ISBLANK(Fixture!F265),ISTEXT(Fixture!D265),ISTEXT(Fixture!F265)),0,1)</f>
        <v>0</v>
      </c>
      <c r="F2261" s="16">
        <f t="shared" si="536"/>
        <v>0</v>
      </c>
      <c r="G2261" s="16">
        <f t="shared" si="537"/>
        <v>0</v>
      </c>
      <c r="H2261" s="16">
        <f t="shared" si="538"/>
        <v>0</v>
      </c>
      <c r="I2261" s="63">
        <f>IF(E2261=0,0,Fixture!D265)</f>
        <v>0</v>
      </c>
      <c r="J2261" s="63">
        <f>IF(E2261=0,0,Fixture!F265)</f>
        <v>0</v>
      </c>
      <c r="K2261" s="63">
        <f t="shared" si="539"/>
        <v>0</v>
      </c>
      <c r="L2261" s="63">
        <f t="shared" si="540"/>
        <v>0</v>
      </c>
      <c r="N2261" s="10" t="str">
        <f t="shared" si="542"/>
        <v>00</v>
      </c>
      <c r="O2261" s="10">
        <f t="shared" si="543"/>
        <v>0</v>
      </c>
      <c r="P2261" s="10">
        <f t="shared" si="544"/>
        <v>0</v>
      </c>
      <c r="Q2261" s="10">
        <f t="shared" si="545"/>
        <v>0</v>
      </c>
    </row>
    <row r="2262" spans="1:17">
      <c r="A2262" s="15">
        <f t="shared" si="541"/>
        <v>0</v>
      </c>
      <c r="B2262" s="15"/>
      <c r="C2262" s="14">
        <f>Fixture!C266</f>
        <v>0</v>
      </c>
      <c r="D2262" s="15">
        <f>IF(E2262=0,0,IF(Fixture!D266&lt;Fixture!F266,0,IF(Fixture!F266&lt;Fixture!D266,3,1)))</f>
        <v>0</v>
      </c>
      <c r="E2262" s="16">
        <f>IF(OR(ISBLANK(Fixture!D266),ISBLANK(Fixture!F266),ISTEXT(Fixture!D266),ISTEXT(Fixture!F266)),0,1)</f>
        <v>0</v>
      </c>
      <c r="F2262" s="16">
        <f t="shared" si="536"/>
        <v>0</v>
      </c>
      <c r="G2262" s="16">
        <f t="shared" si="537"/>
        <v>0</v>
      </c>
      <c r="H2262" s="16">
        <f t="shared" si="538"/>
        <v>0</v>
      </c>
      <c r="I2262" s="63">
        <f>IF(E2262=0,0,Fixture!D266)</f>
        <v>0</v>
      </c>
      <c r="J2262" s="63">
        <f>IF(E2262=0,0,Fixture!F266)</f>
        <v>0</v>
      </c>
      <c r="K2262" s="63">
        <f t="shared" si="539"/>
        <v>0</v>
      </c>
      <c r="L2262" s="63">
        <f t="shared" si="540"/>
        <v>0</v>
      </c>
      <c r="N2262" s="10" t="str">
        <f t="shared" si="542"/>
        <v>00</v>
      </c>
      <c r="O2262" s="10">
        <f t="shared" si="543"/>
        <v>0</v>
      </c>
      <c r="P2262" s="10">
        <f t="shared" si="544"/>
        <v>0</v>
      </c>
      <c r="Q2262" s="10">
        <f t="shared" si="545"/>
        <v>0</v>
      </c>
    </row>
    <row r="2263" spans="1:17">
      <c r="A2263" s="15">
        <f t="shared" si="541"/>
        <v>0</v>
      </c>
      <c r="B2263" s="15"/>
      <c r="C2263" s="14">
        <f>Fixture!C267</f>
        <v>0</v>
      </c>
      <c r="D2263" s="15">
        <f>IF(E2263=0,0,IF(Fixture!D267&lt;Fixture!F267,0,IF(Fixture!F267&lt;Fixture!D267,3,1)))</f>
        <v>0</v>
      </c>
      <c r="E2263" s="16">
        <f>IF(OR(ISBLANK(Fixture!D267),ISBLANK(Fixture!F267),ISTEXT(Fixture!D267),ISTEXT(Fixture!F267)),0,1)</f>
        <v>0</v>
      </c>
      <c r="F2263" s="16">
        <f t="shared" si="536"/>
        <v>0</v>
      </c>
      <c r="G2263" s="16">
        <f t="shared" si="537"/>
        <v>0</v>
      </c>
      <c r="H2263" s="16">
        <f t="shared" si="538"/>
        <v>0</v>
      </c>
      <c r="I2263" s="63">
        <f>IF(E2263=0,0,Fixture!D267)</f>
        <v>0</v>
      </c>
      <c r="J2263" s="63">
        <f>IF(E2263=0,0,Fixture!F267)</f>
        <v>0</v>
      </c>
      <c r="K2263" s="63">
        <f t="shared" si="539"/>
        <v>0</v>
      </c>
      <c r="L2263" s="63">
        <f t="shared" si="540"/>
        <v>0</v>
      </c>
      <c r="N2263" s="10" t="str">
        <f t="shared" si="542"/>
        <v>00</v>
      </c>
      <c r="O2263" s="10">
        <f t="shared" si="543"/>
        <v>0</v>
      </c>
      <c r="P2263" s="10">
        <f t="shared" si="544"/>
        <v>0</v>
      </c>
      <c r="Q2263" s="10">
        <f t="shared" si="545"/>
        <v>0</v>
      </c>
    </row>
    <row r="2264" spans="1:17">
      <c r="A2264" s="15">
        <f t="shared" si="541"/>
        <v>0</v>
      </c>
      <c r="B2264" s="15"/>
      <c r="C2264" s="14">
        <f>Fixture!C268</f>
        <v>0</v>
      </c>
      <c r="D2264" s="15">
        <f>IF(E2264=0,0,IF(Fixture!D268&lt;Fixture!F268,0,IF(Fixture!F268&lt;Fixture!D268,3,1)))</f>
        <v>0</v>
      </c>
      <c r="E2264" s="16">
        <f>IF(OR(ISBLANK(Fixture!D268),ISBLANK(Fixture!F268),ISTEXT(Fixture!D268),ISTEXT(Fixture!F268)),0,1)</f>
        <v>0</v>
      </c>
      <c r="F2264" s="16">
        <f t="shared" si="536"/>
        <v>0</v>
      </c>
      <c r="G2264" s="16">
        <f t="shared" si="537"/>
        <v>0</v>
      </c>
      <c r="H2264" s="16">
        <f t="shared" si="538"/>
        <v>0</v>
      </c>
      <c r="I2264" s="63">
        <f>IF(E2264=0,0,Fixture!D268)</f>
        <v>0</v>
      </c>
      <c r="J2264" s="63">
        <f>IF(E2264=0,0,Fixture!F268)</f>
        <v>0</v>
      </c>
      <c r="K2264" s="63">
        <f t="shared" si="539"/>
        <v>0</v>
      </c>
      <c r="L2264" s="63">
        <f t="shared" si="540"/>
        <v>0</v>
      </c>
      <c r="N2264" s="10" t="str">
        <f t="shared" si="542"/>
        <v>00</v>
      </c>
      <c r="O2264" s="10">
        <f t="shared" si="543"/>
        <v>0</v>
      </c>
      <c r="P2264" s="10">
        <f t="shared" si="544"/>
        <v>0</v>
      </c>
      <c r="Q2264" s="10">
        <f t="shared" si="545"/>
        <v>0</v>
      </c>
    </row>
    <row r="2265" spans="1:17">
      <c r="A2265" s="15">
        <f t="shared" si="541"/>
        <v>0</v>
      </c>
      <c r="B2265" s="15"/>
      <c r="C2265" s="14">
        <f>Fixture!C269</f>
        <v>0</v>
      </c>
      <c r="D2265" s="15">
        <f>IF(E2265=0,0,IF(Fixture!D269&lt;Fixture!F269,0,IF(Fixture!F269&lt;Fixture!D269,3,1)))</f>
        <v>0</v>
      </c>
      <c r="E2265" s="16">
        <f>IF(OR(ISBLANK(Fixture!D269),ISBLANK(Fixture!F269),ISTEXT(Fixture!D269),ISTEXT(Fixture!F269)),0,1)</f>
        <v>0</v>
      </c>
      <c r="F2265" s="16">
        <f t="shared" si="536"/>
        <v>0</v>
      </c>
      <c r="G2265" s="16">
        <f t="shared" si="537"/>
        <v>0</v>
      </c>
      <c r="H2265" s="16">
        <f t="shared" si="538"/>
        <v>0</v>
      </c>
      <c r="I2265" s="63">
        <f>IF(E2265=0,0,Fixture!D269)</f>
        <v>0</v>
      </c>
      <c r="J2265" s="63">
        <f>IF(E2265=0,0,Fixture!F269)</f>
        <v>0</v>
      </c>
      <c r="K2265" s="63">
        <f t="shared" si="539"/>
        <v>0</v>
      </c>
      <c r="L2265" s="63">
        <f t="shared" si="540"/>
        <v>0</v>
      </c>
      <c r="N2265" s="10" t="str">
        <f t="shared" si="542"/>
        <v>00</v>
      </c>
      <c r="O2265" s="10">
        <f t="shared" si="543"/>
        <v>0</v>
      </c>
      <c r="P2265" s="10">
        <f t="shared" si="544"/>
        <v>0</v>
      </c>
      <c r="Q2265" s="10">
        <f t="shared" si="545"/>
        <v>0</v>
      </c>
    </row>
    <row r="2266" spans="1:17">
      <c r="A2266" s="15">
        <f t="shared" si="541"/>
        <v>0</v>
      </c>
      <c r="B2266" s="15"/>
      <c r="C2266" s="14">
        <f>Fixture!C270</f>
        <v>0</v>
      </c>
      <c r="D2266" s="15">
        <f>IF(E2266=0,0,IF(Fixture!D270&lt;Fixture!F270,0,IF(Fixture!F270&lt;Fixture!D270,3,1)))</f>
        <v>0</v>
      </c>
      <c r="E2266" s="16">
        <f>IF(OR(ISBLANK(Fixture!D270),ISBLANK(Fixture!F270),ISTEXT(Fixture!D270),ISTEXT(Fixture!F270)),0,1)</f>
        <v>0</v>
      </c>
      <c r="F2266" s="16">
        <f t="shared" si="536"/>
        <v>0</v>
      </c>
      <c r="G2266" s="16">
        <f t="shared" si="537"/>
        <v>0</v>
      </c>
      <c r="H2266" s="16">
        <f t="shared" si="538"/>
        <v>0</v>
      </c>
      <c r="I2266" s="63">
        <f>IF(E2266=0,0,Fixture!D270)</f>
        <v>0</v>
      </c>
      <c r="J2266" s="63">
        <f>IF(E2266=0,0,Fixture!F270)</f>
        <v>0</v>
      </c>
      <c r="K2266" s="63">
        <f t="shared" si="539"/>
        <v>0</v>
      </c>
      <c r="L2266" s="63">
        <f t="shared" si="540"/>
        <v>0</v>
      </c>
      <c r="N2266" s="10" t="str">
        <f t="shared" si="542"/>
        <v>00</v>
      </c>
      <c r="O2266" s="10">
        <f t="shared" si="543"/>
        <v>0</v>
      </c>
      <c r="P2266" s="10">
        <f t="shared" si="544"/>
        <v>0</v>
      </c>
      <c r="Q2266" s="10">
        <f t="shared" si="545"/>
        <v>0</v>
      </c>
    </row>
    <row r="2267" spans="1:17">
      <c r="A2267" s="15">
        <f t="shared" si="541"/>
        <v>0</v>
      </c>
      <c r="B2267" s="15"/>
      <c r="C2267" s="14">
        <f>Fixture!C271</f>
        <v>0</v>
      </c>
      <c r="D2267" s="15">
        <f>IF(E2267=0,0,IF(Fixture!D271&lt;Fixture!F271,0,IF(Fixture!F271&lt;Fixture!D271,3,1)))</f>
        <v>0</v>
      </c>
      <c r="E2267" s="16">
        <f>IF(OR(ISBLANK(Fixture!D271),ISBLANK(Fixture!F271),ISTEXT(Fixture!D271),ISTEXT(Fixture!F271)),0,1)</f>
        <v>0</v>
      </c>
      <c r="F2267" s="16">
        <f t="shared" si="536"/>
        <v>0</v>
      </c>
      <c r="G2267" s="16">
        <f t="shared" si="537"/>
        <v>0</v>
      </c>
      <c r="H2267" s="16">
        <f t="shared" si="538"/>
        <v>0</v>
      </c>
      <c r="I2267" s="63">
        <f>IF(E2267=0,0,Fixture!D271)</f>
        <v>0</v>
      </c>
      <c r="J2267" s="63">
        <f>IF(E2267=0,0,Fixture!F271)</f>
        <v>0</v>
      </c>
      <c r="K2267" s="63">
        <f t="shared" si="539"/>
        <v>0</v>
      </c>
      <c r="L2267" s="63">
        <f t="shared" si="540"/>
        <v>0</v>
      </c>
      <c r="N2267" s="10" t="str">
        <f t="shared" si="542"/>
        <v>00</v>
      </c>
      <c r="O2267" s="10">
        <f t="shared" si="543"/>
        <v>0</v>
      </c>
      <c r="P2267" s="10">
        <f t="shared" si="544"/>
        <v>0</v>
      </c>
      <c r="Q2267" s="10">
        <f t="shared" si="545"/>
        <v>0</v>
      </c>
    </row>
    <row r="2268" spans="1:17">
      <c r="A2268" s="15">
        <f t="shared" si="541"/>
        <v>0</v>
      </c>
      <c r="B2268" s="15"/>
      <c r="C2268" s="14">
        <f>Fixture!C272</f>
        <v>0</v>
      </c>
      <c r="D2268" s="15">
        <f>IF(E2268=0,0,IF(Fixture!D272&lt;Fixture!F272,0,IF(Fixture!F272&lt;Fixture!D272,3,1)))</f>
        <v>0</v>
      </c>
      <c r="E2268" s="16">
        <f>IF(OR(ISBLANK(Fixture!D272),ISBLANK(Fixture!F272),ISTEXT(Fixture!D272),ISTEXT(Fixture!F272)),0,1)</f>
        <v>0</v>
      </c>
      <c r="F2268" s="16">
        <f t="shared" si="536"/>
        <v>0</v>
      </c>
      <c r="G2268" s="16">
        <f t="shared" si="537"/>
        <v>0</v>
      </c>
      <c r="H2268" s="16">
        <f t="shared" si="538"/>
        <v>0</v>
      </c>
      <c r="I2268" s="63">
        <f>IF(E2268=0,0,Fixture!D272)</f>
        <v>0</v>
      </c>
      <c r="J2268" s="63">
        <f>IF(E2268=0,0,Fixture!F272)</f>
        <v>0</v>
      </c>
      <c r="K2268" s="63">
        <f t="shared" si="539"/>
        <v>0</v>
      </c>
      <c r="L2268" s="63">
        <f t="shared" si="540"/>
        <v>0</v>
      </c>
      <c r="N2268" s="10" t="str">
        <f t="shared" si="542"/>
        <v>00</v>
      </c>
      <c r="O2268" s="10">
        <f t="shared" si="543"/>
        <v>0</v>
      </c>
      <c r="P2268" s="10">
        <f t="shared" si="544"/>
        <v>0</v>
      </c>
      <c r="Q2268" s="10">
        <f t="shared" si="545"/>
        <v>0</v>
      </c>
    </row>
    <row r="2269" spans="1:17">
      <c r="A2269" s="15">
        <f t="shared" si="541"/>
        <v>0</v>
      </c>
      <c r="B2269" s="15"/>
      <c r="C2269" s="14">
        <f>Fixture!C273</f>
        <v>0</v>
      </c>
      <c r="D2269" s="15">
        <f>IF(E2269=0,0,IF(Fixture!D273&lt;Fixture!F273,0,IF(Fixture!F273&lt;Fixture!D273,3,1)))</f>
        <v>0</v>
      </c>
      <c r="E2269" s="16">
        <f>IF(OR(ISBLANK(Fixture!D273),ISBLANK(Fixture!F273),ISTEXT(Fixture!D273),ISTEXT(Fixture!F273)),0,1)</f>
        <v>0</v>
      </c>
      <c r="F2269" s="16">
        <f t="shared" si="536"/>
        <v>0</v>
      </c>
      <c r="G2269" s="16">
        <f t="shared" si="537"/>
        <v>0</v>
      </c>
      <c r="H2269" s="16">
        <f t="shared" si="538"/>
        <v>0</v>
      </c>
      <c r="I2269" s="63">
        <f>IF(E2269=0,0,Fixture!D273)</f>
        <v>0</v>
      </c>
      <c r="J2269" s="63">
        <f>IF(E2269=0,0,Fixture!F273)</f>
        <v>0</v>
      </c>
      <c r="K2269" s="63">
        <f t="shared" si="539"/>
        <v>0</v>
      </c>
      <c r="L2269" s="63">
        <f t="shared" si="540"/>
        <v>0</v>
      </c>
      <c r="N2269" s="10" t="str">
        <f t="shared" si="542"/>
        <v>00</v>
      </c>
      <c r="O2269" s="10">
        <f t="shared" si="543"/>
        <v>0</v>
      </c>
      <c r="P2269" s="10">
        <f t="shared" si="544"/>
        <v>0</v>
      </c>
      <c r="Q2269" s="10">
        <f t="shared" si="545"/>
        <v>0</v>
      </c>
    </row>
    <row r="2270" spans="1:17">
      <c r="A2270" s="15">
        <f t="shared" si="541"/>
        <v>0</v>
      </c>
      <c r="B2270" s="15"/>
      <c r="C2270" s="14">
        <f>Fixture!C274</f>
        <v>0</v>
      </c>
      <c r="D2270" s="15">
        <f>IF(E2270=0,0,IF(Fixture!D274&lt;Fixture!F274,0,IF(Fixture!F274&lt;Fixture!D274,3,1)))</f>
        <v>0</v>
      </c>
      <c r="E2270" s="16">
        <f>IF(OR(ISBLANK(Fixture!D274),ISBLANK(Fixture!F274),ISTEXT(Fixture!D274),ISTEXT(Fixture!F274)),0,1)</f>
        <v>0</v>
      </c>
      <c r="F2270" s="16">
        <f t="shared" si="536"/>
        <v>0</v>
      </c>
      <c r="G2270" s="16">
        <f t="shared" si="537"/>
        <v>0</v>
      </c>
      <c r="H2270" s="16">
        <f t="shared" si="538"/>
        <v>0</v>
      </c>
      <c r="I2270" s="63">
        <f>IF(E2270=0,0,Fixture!D274)</f>
        <v>0</v>
      </c>
      <c r="J2270" s="63">
        <f>IF(E2270=0,0,Fixture!F274)</f>
        <v>0</v>
      </c>
      <c r="K2270" s="63">
        <f t="shared" si="539"/>
        <v>0</v>
      </c>
      <c r="L2270" s="63">
        <f t="shared" si="540"/>
        <v>0</v>
      </c>
      <c r="N2270" s="10" t="str">
        <f t="shared" si="542"/>
        <v>00</v>
      </c>
      <c r="O2270" s="10">
        <f t="shared" si="543"/>
        <v>0</v>
      </c>
      <c r="P2270" s="10">
        <f t="shared" si="544"/>
        <v>0</v>
      </c>
      <c r="Q2270" s="10">
        <f t="shared" si="545"/>
        <v>0</v>
      </c>
    </row>
    <row r="2271" spans="1:17">
      <c r="A2271" s="15">
        <f t="shared" si="541"/>
        <v>0</v>
      </c>
      <c r="B2271" s="15"/>
      <c r="C2271" s="14">
        <f>Fixture!C275</f>
        <v>0</v>
      </c>
      <c r="D2271" s="15">
        <f>IF(E2271=0,0,IF(Fixture!D275&lt;Fixture!F275,0,IF(Fixture!F275&lt;Fixture!D275,3,1)))</f>
        <v>0</v>
      </c>
      <c r="E2271" s="16">
        <f>IF(OR(ISBLANK(Fixture!D275),ISBLANK(Fixture!F275),ISTEXT(Fixture!D275),ISTEXT(Fixture!F275)),0,1)</f>
        <v>0</v>
      </c>
      <c r="F2271" s="16">
        <f t="shared" si="536"/>
        <v>0</v>
      </c>
      <c r="G2271" s="16">
        <f t="shared" si="537"/>
        <v>0</v>
      </c>
      <c r="H2271" s="16">
        <f t="shared" si="538"/>
        <v>0</v>
      </c>
      <c r="I2271" s="63">
        <f>IF(E2271=0,0,Fixture!D275)</f>
        <v>0</v>
      </c>
      <c r="J2271" s="63">
        <f>IF(E2271=0,0,Fixture!F275)</f>
        <v>0</v>
      </c>
      <c r="K2271" s="63">
        <f t="shared" si="539"/>
        <v>0</v>
      </c>
      <c r="L2271" s="63">
        <f t="shared" si="540"/>
        <v>0</v>
      </c>
      <c r="N2271" s="10" t="str">
        <f t="shared" si="542"/>
        <v>00</v>
      </c>
      <c r="O2271" s="10">
        <f t="shared" si="543"/>
        <v>0</v>
      </c>
      <c r="P2271" s="10">
        <f t="shared" si="544"/>
        <v>0</v>
      </c>
      <c r="Q2271" s="10">
        <f t="shared" si="545"/>
        <v>0</v>
      </c>
    </row>
    <row r="2272" spans="1:17">
      <c r="A2272" s="15">
        <f t="shared" si="541"/>
        <v>0</v>
      </c>
      <c r="B2272" s="15"/>
      <c r="C2272" s="14">
        <f>Fixture!C276</f>
        <v>0</v>
      </c>
      <c r="D2272" s="15">
        <f>IF(E2272=0,0,IF(Fixture!D276&lt;Fixture!F276,0,IF(Fixture!F276&lt;Fixture!D276,3,1)))</f>
        <v>0</v>
      </c>
      <c r="E2272" s="16">
        <f>IF(OR(ISBLANK(Fixture!D276),ISBLANK(Fixture!F276),ISTEXT(Fixture!D276),ISTEXT(Fixture!F276)),0,1)</f>
        <v>0</v>
      </c>
      <c r="F2272" s="16">
        <f t="shared" si="536"/>
        <v>0</v>
      </c>
      <c r="G2272" s="16">
        <f t="shared" si="537"/>
        <v>0</v>
      </c>
      <c r="H2272" s="16">
        <f t="shared" si="538"/>
        <v>0</v>
      </c>
      <c r="I2272" s="63">
        <f>IF(E2272=0,0,Fixture!D276)</f>
        <v>0</v>
      </c>
      <c r="J2272" s="63">
        <f>IF(E2272=0,0,Fixture!F276)</f>
        <v>0</v>
      </c>
      <c r="K2272" s="63">
        <f t="shared" si="539"/>
        <v>0</v>
      </c>
      <c r="L2272" s="63">
        <f t="shared" si="540"/>
        <v>0</v>
      </c>
      <c r="N2272" s="10" t="str">
        <f t="shared" si="542"/>
        <v>00</v>
      </c>
      <c r="O2272" s="10">
        <f t="shared" si="543"/>
        <v>0</v>
      </c>
      <c r="P2272" s="10">
        <f t="shared" si="544"/>
        <v>0</v>
      </c>
      <c r="Q2272" s="10">
        <f t="shared" si="545"/>
        <v>0</v>
      </c>
    </row>
    <row r="2273" spans="1:17">
      <c r="A2273" s="15">
        <f t="shared" si="541"/>
        <v>0</v>
      </c>
      <c r="B2273" s="15"/>
      <c r="C2273" s="14">
        <f>Fixture!C277</f>
        <v>0</v>
      </c>
      <c r="D2273" s="15">
        <f>IF(E2273=0,0,IF(Fixture!D277&lt;Fixture!F277,0,IF(Fixture!F277&lt;Fixture!D277,3,1)))</f>
        <v>0</v>
      </c>
      <c r="E2273" s="16">
        <f>IF(OR(ISBLANK(Fixture!D277),ISBLANK(Fixture!F277),ISTEXT(Fixture!D277),ISTEXT(Fixture!F277)),0,1)</f>
        <v>0</v>
      </c>
      <c r="F2273" s="16">
        <f t="shared" si="536"/>
        <v>0</v>
      </c>
      <c r="G2273" s="16">
        <f t="shared" si="537"/>
        <v>0</v>
      </c>
      <c r="H2273" s="16">
        <f t="shared" si="538"/>
        <v>0</v>
      </c>
      <c r="I2273" s="63">
        <f>IF(E2273=0,0,Fixture!D277)</f>
        <v>0</v>
      </c>
      <c r="J2273" s="63">
        <f>IF(E2273=0,0,Fixture!F277)</f>
        <v>0</v>
      </c>
      <c r="K2273" s="63">
        <f t="shared" si="539"/>
        <v>0</v>
      </c>
      <c r="L2273" s="63">
        <f t="shared" si="540"/>
        <v>0</v>
      </c>
      <c r="N2273" s="10" t="str">
        <f t="shared" si="542"/>
        <v>00</v>
      </c>
      <c r="O2273" s="10">
        <f t="shared" si="543"/>
        <v>0</v>
      </c>
      <c r="P2273" s="10">
        <f t="shared" si="544"/>
        <v>0</v>
      </c>
      <c r="Q2273" s="10">
        <f t="shared" si="545"/>
        <v>0</v>
      </c>
    </row>
    <row r="2274" spans="1:17">
      <c r="A2274" s="15">
        <f t="shared" si="541"/>
        <v>0</v>
      </c>
      <c r="B2274" s="15"/>
      <c r="C2274" s="14">
        <f>Fixture!C278</f>
        <v>0</v>
      </c>
      <c r="D2274" s="15">
        <f>IF(E2274=0,0,IF(Fixture!D278&lt;Fixture!F278,0,IF(Fixture!F278&lt;Fixture!D278,3,1)))</f>
        <v>0</v>
      </c>
      <c r="E2274" s="16">
        <f>IF(OR(ISBLANK(Fixture!D278),ISBLANK(Fixture!F278),ISTEXT(Fixture!D278),ISTEXT(Fixture!F278)),0,1)</f>
        <v>0</v>
      </c>
      <c r="F2274" s="16">
        <f t="shared" si="536"/>
        <v>0</v>
      </c>
      <c r="G2274" s="16">
        <f t="shared" si="537"/>
        <v>0</v>
      </c>
      <c r="H2274" s="16">
        <f t="shared" si="538"/>
        <v>0</v>
      </c>
      <c r="I2274" s="63">
        <f>IF(E2274=0,0,Fixture!D278)</f>
        <v>0</v>
      </c>
      <c r="J2274" s="63">
        <f>IF(E2274=0,0,Fixture!F278)</f>
        <v>0</v>
      </c>
      <c r="K2274" s="63">
        <f t="shared" si="539"/>
        <v>0</v>
      </c>
      <c r="L2274" s="63">
        <f t="shared" si="540"/>
        <v>0</v>
      </c>
      <c r="N2274" s="10" t="str">
        <f t="shared" si="542"/>
        <v>00</v>
      </c>
      <c r="O2274" s="10">
        <f t="shared" si="543"/>
        <v>0</v>
      </c>
      <c r="P2274" s="10">
        <f t="shared" si="544"/>
        <v>0</v>
      </c>
      <c r="Q2274" s="10">
        <f t="shared" si="545"/>
        <v>0</v>
      </c>
    </row>
    <row r="2275" spans="1:17">
      <c r="A2275" s="15">
        <f t="shared" si="541"/>
        <v>0</v>
      </c>
      <c r="B2275" s="15"/>
      <c r="C2275" s="14">
        <f>Fixture!C279</f>
        <v>0</v>
      </c>
      <c r="D2275" s="15">
        <f>IF(E2275=0,0,IF(Fixture!D279&lt;Fixture!F279,0,IF(Fixture!F279&lt;Fixture!D279,3,1)))</f>
        <v>0</v>
      </c>
      <c r="E2275" s="16">
        <f>IF(OR(ISBLANK(Fixture!D279),ISBLANK(Fixture!F279),ISTEXT(Fixture!D279),ISTEXT(Fixture!F279)),0,1)</f>
        <v>0</v>
      </c>
      <c r="F2275" s="16">
        <f t="shared" si="536"/>
        <v>0</v>
      </c>
      <c r="G2275" s="16">
        <f t="shared" si="537"/>
        <v>0</v>
      </c>
      <c r="H2275" s="16">
        <f t="shared" si="538"/>
        <v>0</v>
      </c>
      <c r="I2275" s="63">
        <f>IF(E2275=0,0,Fixture!D279)</f>
        <v>0</v>
      </c>
      <c r="J2275" s="63">
        <f>IF(E2275=0,0,Fixture!F279)</f>
        <v>0</v>
      </c>
      <c r="K2275" s="63">
        <f t="shared" si="539"/>
        <v>0</v>
      </c>
      <c r="L2275" s="63">
        <f t="shared" si="540"/>
        <v>0</v>
      </c>
      <c r="N2275" s="10" t="str">
        <f t="shared" si="542"/>
        <v>00</v>
      </c>
      <c r="O2275" s="10">
        <f t="shared" si="543"/>
        <v>0</v>
      </c>
      <c r="P2275" s="10">
        <f t="shared" si="544"/>
        <v>0</v>
      </c>
      <c r="Q2275" s="10">
        <f t="shared" si="545"/>
        <v>0</v>
      </c>
    </row>
    <row r="2276" spans="1:17">
      <c r="A2276" s="15">
        <f t="shared" si="541"/>
        <v>0</v>
      </c>
      <c r="B2276" s="15"/>
      <c r="C2276" s="14">
        <f>Fixture!C280</f>
        <v>0</v>
      </c>
      <c r="D2276" s="15">
        <f>IF(E2276=0,0,IF(Fixture!D280&lt;Fixture!F280,0,IF(Fixture!F280&lt;Fixture!D280,3,1)))</f>
        <v>0</v>
      </c>
      <c r="E2276" s="16">
        <f>IF(OR(ISBLANK(Fixture!D280),ISBLANK(Fixture!F280),ISTEXT(Fixture!D280),ISTEXT(Fixture!F280)),0,1)</f>
        <v>0</v>
      </c>
      <c r="F2276" s="16">
        <f t="shared" si="536"/>
        <v>0</v>
      </c>
      <c r="G2276" s="16">
        <f t="shared" si="537"/>
        <v>0</v>
      </c>
      <c r="H2276" s="16">
        <f t="shared" si="538"/>
        <v>0</v>
      </c>
      <c r="I2276" s="63">
        <f>IF(E2276=0,0,Fixture!D280)</f>
        <v>0</v>
      </c>
      <c r="J2276" s="63">
        <f>IF(E2276=0,0,Fixture!F280)</f>
        <v>0</v>
      </c>
      <c r="K2276" s="63">
        <f t="shared" si="539"/>
        <v>0</v>
      </c>
      <c r="L2276" s="63">
        <f t="shared" si="540"/>
        <v>0</v>
      </c>
      <c r="N2276" s="10" t="str">
        <f t="shared" si="542"/>
        <v>00</v>
      </c>
      <c r="O2276" s="10">
        <f t="shared" si="543"/>
        <v>0</v>
      </c>
      <c r="P2276" s="10">
        <f t="shared" si="544"/>
        <v>0</v>
      </c>
      <c r="Q2276" s="10">
        <f t="shared" si="545"/>
        <v>0</v>
      </c>
    </row>
    <row r="2277" spans="1:17">
      <c r="A2277" s="15">
        <f t="shared" si="541"/>
        <v>0</v>
      </c>
      <c r="B2277" s="15"/>
      <c r="C2277" s="14">
        <f>Fixture!C281</f>
        <v>0</v>
      </c>
      <c r="D2277" s="15">
        <f>IF(E2277=0,0,IF(Fixture!D281&lt;Fixture!F281,0,IF(Fixture!F281&lt;Fixture!D281,3,1)))</f>
        <v>0</v>
      </c>
      <c r="E2277" s="16">
        <f>IF(OR(ISBLANK(Fixture!D281),ISBLANK(Fixture!F281),ISTEXT(Fixture!D281),ISTEXT(Fixture!F281)),0,1)</f>
        <v>0</v>
      </c>
      <c r="F2277" s="16">
        <f t="shared" si="536"/>
        <v>0</v>
      </c>
      <c r="G2277" s="16">
        <f t="shared" si="537"/>
        <v>0</v>
      </c>
      <c r="H2277" s="16">
        <f t="shared" si="538"/>
        <v>0</v>
      </c>
      <c r="I2277" s="63">
        <f>IF(E2277=0,0,Fixture!D281)</f>
        <v>0</v>
      </c>
      <c r="J2277" s="63">
        <f>IF(E2277=0,0,Fixture!F281)</f>
        <v>0</v>
      </c>
      <c r="K2277" s="63">
        <f t="shared" si="539"/>
        <v>0</v>
      </c>
      <c r="L2277" s="63">
        <f t="shared" si="540"/>
        <v>0</v>
      </c>
      <c r="N2277" s="10" t="str">
        <f t="shared" si="542"/>
        <v>00</v>
      </c>
      <c r="O2277" s="10">
        <f t="shared" si="543"/>
        <v>0</v>
      </c>
      <c r="P2277" s="10">
        <f t="shared" si="544"/>
        <v>0</v>
      </c>
      <c r="Q2277" s="10">
        <f t="shared" si="545"/>
        <v>0</v>
      </c>
    </row>
    <row r="2278" spans="1:17">
      <c r="A2278" s="15">
        <f t="shared" si="541"/>
        <v>0</v>
      </c>
      <c r="B2278" s="15"/>
      <c r="C2278" s="14">
        <f>Fixture!C282</f>
        <v>0</v>
      </c>
      <c r="D2278" s="15">
        <f>IF(E2278=0,0,IF(Fixture!D282&lt;Fixture!F282,0,IF(Fixture!F282&lt;Fixture!D282,3,1)))</f>
        <v>0</v>
      </c>
      <c r="E2278" s="16">
        <f>IF(OR(ISBLANK(Fixture!D282),ISBLANK(Fixture!F282),ISTEXT(Fixture!D282),ISTEXT(Fixture!F282)),0,1)</f>
        <v>0</v>
      </c>
      <c r="F2278" s="16">
        <f t="shared" si="536"/>
        <v>0</v>
      </c>
      <c r="G2278" s="16">
        <f t="shared" si="537"/>
        <v>0</v>
      </c>
      <c r="H2278" s="16">
        <f t="shared" si="538"/>
        <v>0</v>
      </c>
      <c r="I2278" s="63">
        <f>IF(E2278=0,0,Fixture!D282)</f>
        <v>0</v>
      </c>
      <c r="J2278" s="63">
        <f>IF(E2278=0,0,Fixture!F282)</f>
        <v>0</v>
      </c>
      <c r="K2278" s="63">
        <f t="shared" si="539"/>
        <v>0</v>
      </c>
      <c r="L2278" s="63">
        <f t="shared" si="540"/>
        <v>0</v>
      </c>
      <c r="N2278" s="10" t="str">
        <f t="shared" si="542"/>
        <v>00</v>
      </c>
      <c r="O2278" s="10">
        <f t="shared" si="543"/>
        <v>0</v>
      </c>
      <c r="P2278" s="10">
        <f t="shared" si="544"/>
        <v>0</v>
      </c>
      <c r="Q2278" s="10">
        <f t="shared" si="545"/>
        <v>0</v>
      </c>
    </row>
    <row r="2279" spans="1:17">
      <c r="A2279" s="15">
        <f t="shared" si="541"/>
        <v>0</v>
      </c>
      <c r="B2279" s="15"/>
      <c r="C2279" s="14">
        <f>Fixture!C283</f>
        <v>0</v>
      </c>
      <c r="D2279" s="15">
        <f>IF(E2279=0,0,IF(Fixture!D283&lt;Fixture!F283,0,IF(Fixture!F283&lt;Fixture!D283,3,1)))</f>
        <v>0</v>
      </c>
      <c r="E2279" s="16">
        <f>IF(OR(ISBLANK(Fixture!D283),ISBLANK(Fixture!F283),ISTEXT(Fixture!D283),ISTEXT(Fixture!F283)),0,1)</f>
        <v>0</v>
      </c>
      <c r="F2279" s="16">
        <f t="shared" si="536"/>
        <v>0</v>
      </c>
      <c r="G2279" s="16">
        <f t="shared" si="537"/>
        <v>0</v>
      </c>
      <c r="H2279" s="16">
        <f t="shared" si="538"/>
        <v>0</v>
      </c>
      <c r="I2279" s="63">
        <f>IF(E2279=0,0,Fixture!D283)</f>
        <v>0</v>
      </c>
      <c r="J2279" s="63">
        <f>IF(E2279=0,0,Fixture!F283)</f>
        <v>0</v>
      </c>
      <c r="K2279" s="63">
        <f t="shared" si="539"/>
        <v>0</v>
      </c>
      <c r="L2279" s="63">
        <f t="shared" si="540"/>
        <v>0</v>
      </c>
      <c r="N2279" s="10" t="str">
        <f t="shared" si="542"/>
        <v>00</v>
      </c>
      <c r="O2279" s="10">
        <f t="shared" si="543"/>
        <v>0</v>
      </c>
      <c r="P2279" s="10">
        <f t="shared" si="544"/>
        <v>0</v>
      </c>
      <c r="Q2279" s="10">
        <f t="shared" si="545"/>
        <v>0</v>
      </c>
    </row>
    <row r="2280" spans="1:17">
      <c r="A2280" s="15">
        <f t="shared" si="541"/>
        <v>0</v>
      </c>
      <c r="B2280" s="15"/>
      <c r="C2280" s="14">
        <f>Fixture!C284</f>
        <v>0</v>
      </c>
      <c r="D2280" s="15">
        <f>IF(E2280=0,0,IF(Fixture!D284&lt;Fixture!F284,0,IF(Fixture!F284&lt;Fixture!D284,3,1)))</f>
        <v>0</v>
      </c>
      <c r="E2280" s="16">
        <f>IF(OR(ISBLANK(Fixture!D284),ISBLANK(Fixture!F284),ISTEXT(Fixture!D284),ISTEXT(Fixture!F284)),0,1)</f>
        <v>0</v>
      </c>
      <c r="F2280" s="16">
        <f t="shared" si="536"/>
        <v>0</v>
      </c>
      <c r="G2280" s="16">
        <f t="shared" si="537"/>
        <v>0</v>
      </c>
      <c r="H2280" s="16">
        <f t="shared" si="538"/>
        <v>0</v>
      </c>
      <c r="I2280" s="63">
        <f>IF(E2280=0,0,Fixture!D284)</f>
        <v>0</v>
      </c>
      <c r="J2280" s="63">
        <f>IF(E2280=0,0,Fixture!F284)</f>
        <v>0</v>
      </c>
      <c r="K2280" s="63">
        <f t="shared" si="539"/>
        <v>0</v>
      </c>
      <c r="L2280" s="63">
        <f t="shared" si="540"/>
        <v>0</v>
      </c>
      <c r="N2280" s="10" t="str">
        <f t="shared" si="542"/>
        <v>00</v>
      </c>
      <c r="O2280" s="10">
        <f t="shared" si="543"/>
        <v>0</v>
      </c>
      <c r="P2280" s="10">
        <f t="shared" si="544"/>
        <v>0</v>
      </c>
      <c r="Q2280" s="10">
        <f t="shared" si="545"/>
        <v>0</v>
      </c>
    </row>
    <row r="2281" spans="1:17">
      <c r="A2281" s="15">
        <f t="shared" si="541"/>
        <v>0</v>
      </c>
      <c r="B2281" s="15"/>
      <c r="C2281" s="14">
        <f>Fixture!C285</f>
        <v>0</v>
      </c>
      <c r="D2281" s="15">
        <f>IF(E2281=0,0,IF(Fixture!D285&lt;Fixture!F285,0,IF(Fixture!F285&lt;Fixture!D285,3,1)))</f>
        <v>0</v>
      </c>
      <c r="E2281" s="16">
        <f>IF(OR(ISBLANK(Fixture!D285),ISBLANK(Fixture!F285),ISTEXT(Fixture!D285),ISTEXT(Fixture!F285)),0,1)</f>
        <v>0</v>
      </c>
      <c r="F2281" s="16">
        <f t="shared" si="536"/>
        <v>0</v>
      </c>
      <c r="G2281" s="16">
        <f t="shared" si="537"/>
        <v>0</v>
      </c>
      <c r="H2281" s="16">
        <f t="shared" si="538"/>
        <v>0</v>
      </c>
      <c r="I2281" s="63">
        <f>IF(E2281=0,0,Fixture!D285)</f>
        <v>0</v>
      </c>
      <c r="J2281" s="63">
        <f>IF(E2281=0,0,Fixture!F285)</f>
        <v>0</v>
      </c>
      <c r="K2281" s="63">
        <f t="shared" si="539"/>
        <v>0</v>
      </c>
      <c r="L2281" s="63">
        <f t="shared" si="540"/>
        <v>0</v>
      </c>
      <c r="N2281" s="10" t="str">
        <f t="shared" si="542"/>
        <v>00</v>
      </c>
      <c r="O2281" s="10">
        <f t="shared" si="543"/>
        <v>0</v>
      </c>
      <c r="P2281" s="10">
        <f t="shared" si="544"/>
        <v>0</v>
      </c>
      <c r="Q2281" s="10">
        <f t="shared" si="545"/>
        <v>0</v>
      </c>
    </row>
    <row r="2282" spans="1:17">
      <c r="A2282" s="15">
        <f t="shared" si="541"/>
        <v>0</v>
      </c>
      <c r="B2282" s="15"/>
      <c r="C2282" s="14">
        <f>Fixture!C286</f>
        <v>0</v>
      </c>
      <c r="D2282" s="15">
        <f>IF(E2282=0,0,IF(Fixture!D286&lt;Fixture!F286,0,IF(Fixture!F286&lt;Fixture!D286,3,1)))</f>
        <v>0</v>
      </c>
      <c r="E2282" s="16">
        <f>IF(OR(ISBLANK(Fixture!D286),ISBLANK(Fixture!F286),ISTEXT(Fixture!D286),ISTEXT(Fixture!F286)),0,1)</f>
        <v>0</v>
      </c>
      <c r="F2282" s="16">
        <f t="shared" si="536"/>
        <v>0</v>
      </c>
      <c r="G2282" s="16">
        <f t="shared" si="537"/>
        <v>0</v>
      </c>
      <c r="H2282" s="16">
        <f t="shared" si="538"/>
        <v>0</v>
      </c>
      <c r="I2282" s="63">
        <f>IF(E2282=0,0,Fixture!D286)</f>
        <v>0</v>
      </c>
      <c r="J2282" s="63">
        <f>IF(E2282=0,0,Fixture!F286)</f>
        <v>0</v>
      </c>
      <c r="K2282" s="63">
        <f t="shared" si="539"/>
        <v>0</v>
      </c>
      <c r="L2282" s="63">
        <f t="shared" si="540"/>
        <v>0</v>
      </c>
      <c r="N2282" s="10" t="str">
        <f t="shared" si="542"/>
        <v>00</v>
      </c>
      <c r="O2282" s="10">
        <f t="shared" si="543"/>
        <v>0</v>
      </c>
      <c r="P2282" s="10">
        <f t="shared" si="544"/>
        <v>0</v>
      </c>
      <c r="Q2282" s="10">
        <f t="shared" si="545"/>
        <v>0</v>
      </c>
    </row>
    <row r="2283" spans="1:17">
      <c r="A2283" s="15">
        <f t="shared" si="541"/>
        <v>0</v>
      </c>
      <c r="B2283" s="15"/>
      <c r="C2283" s="14">
        <f>Fixture!C287</f>
        <v>0</v>
      </c>
      <c r="D2283" s="15">
        <f>IF(E2283=0,0,IF(Fixture!D287&lt;Fixture!F287,0,IF(Fixture!F287&lt;Fixture!D287,3,1)))</f>
        <v>0</v>
      </c>
      <c r="E2283" s="16">
        <f>IF(OR(ISBLANK(Fixture!D287),ISBLANK(Fixture!F287),ISTEXT(Fixture!D287),ISTEXT(Fixture!F287)),0,1)</f>
        <v>0</v>
      </c>
      <c r="F2283" s="16">
        <f t="shared" si="536"/>
        <v>0</v>
      </c>
      <c r="G2283" s="16">
        <f t="shared" si="537"/>
        <v>0</v>
      </c>
      <c r="H2283" s="16">
        <f t="shared" si="538"/>
        <v>0</v>
      </c>
      <c r="I2283" s="63">
        <f>IF(E2283=0,0,Fixture!D287)</f>
        <v>0</v>
      </c>
      <c r="J2283" s="63">
        <f>IF(E2283=0,0,Fixture!F287)</f>
        <v>0</v>
      </c>
      <c r="K2283" s="63">
        <f t="shared" si="539"/>
        <v>0</v>
      </c>
      <c r="L2283" s="63">
        <f t="shared" si="540"/>
        <v>0</v>
      </c>
      <c r="N2283" s="10" t="str">
        <f t="shared" si="542"/>
        <v>00</v>
      </c>
      <c r="O2283" s="10">
        <f t="shared" si="543"/>
        <v>0</v>
      </c>
      <c r="P2283" s="10">
        <f t="shared" si="544"/>
        <v>0</v>
      </c>
      <c r="Q2283" s="10">
        <f t="shared" si="545"/>
        <v>0</v>
      </c>
    </row>
    <row r="2284" spans="1:17">
      <c r="A2284" s="15">
        <f t="shared" si="541"/>
        <v>0</v>
      </c>
      <c r="B2284" s="15"/>
      <c r="C2284" s="14">
        <f>Fixture!C288</f>
        <v>0</v>
      </c>
      <c r="D2284" s="15">
        <f>IF(E2284=0,0,IF(Fixture!D288&lt;Fixture!F288,0,IF(Fixture!F288&lt;Fixture!D288,3,1)))</f>
        <v>0</v>
      </c>
      <c r="E2284" s="16">
        <f>IF(OR(ISBLANK(Fixture!D288),ISBLANK(Fixture!F288),ISTEXT(Fixture!D288),ISTEXT(Fixture!F288)),0,1)</f>
        <v>0</v>
      </c>
      <c r="F2284" s="16">
        <f t="shared" si="536"/>
        <v>0</v>
      </c>
      <c r="G2284" s="16">
        <f t="shared" si="537"/>
        <v>0</v>
      </c>
      <c r="H2284" s="16">
        <f t="shared" si="538"/>
        <v>0</v>
      </c>
      <c r="I2284" s="63">
        <f>IF(E2284=0,0,Fixture!D288)</f>
        <v>0</v>
      </c>
      <c r="J2284" s="63">
        <f>IF(E2284=0,0,Fixture!F288)</f>
        <v>0</v>
      </c>
      <c r="K2284" s="63">
        <f t="shared" si="539"/>
        <v>0</v>
      </c>
      <c r="L2284" s="63">
        <f t="shared" si="540"/>
        <v>0</v>
      </c>
      <c r="N2284" s="10" t="str">
        <f t="shared" si="542"/>
        <v>00</v>
      </c>
      <c r="O2284" s="10">
        <f t="shared" si="543"/>
        <v>0</v>
      </c>
      <c r="P2284" s="10">
        <f t="shared" si="544"/>
        <v>0</v>
      </c>
      <c r="Q2284" s="10">
        <f t="shared" si="545"/>
        <v>0</v>
      </c>
    </row>
    <row r="2285" spans="1:17">
      <c r="A2285" s="15">
        <f t="shared" si="541"/>
        <v>0</v>
      </c>
      <c r="B2285" s="15"/>
      <c r="C2285" s="14">
        <f>Fixture!C289</f>
        <v>0</v>
      </c>
      <c r="D2285" s="15">
        <f>IF(E2285=0,0,IF(Fixture!D289&lt;Fixture!F289,0,IF(Fixture!F289&lt;Fixture!D289,3,1)))</f>
        <v>0</v>
      </c>
      <c r="E2285" s="16">
        <f>IF(OR(ISBLANK(Fixture!D289),ISBLANK(Fixture!F289),ISTEXT(Fixture!D289),ISTEXT(Fixture!F289)),0,1)</f>
        <v>0</v>
      </c>
      <c r="F2285" s="16">
        <f t="shared" si="536"/>
        <v>0</v>
      </c>
      <c r="G2285" s="16">
        <f t="shared" si="537"/>
        <v>0</v>
      </c>
      <c r="H2285" s="16">
        <f t="shared" si="538"/>
        <v>0</v>
      </c>
      <c r="I2285" s="63">
        <f>IF(E2285=0,0,Fixture!D289)</f>
        <v>0</v>
      </c>
      <c r="J2285" s="63">
        <f>IF(E2285=0,0,Fixture!F289)</f>
        <v>0</v>
      </c>
      <c r="K2285" s="63">
        <f t="shared" si="539"/>
        <v>0</v>
      </c>
      <c r="L2285" s="63">
        <f t="shared" si="540"/>
        <v>0</v>
      </c>
      <c r="N2285" s="10" t="str">
        <f t="shared" si="542"/>
        <v>00</v>
      </c>
      <c r="O2285" s="10">
        <f t="shared" si="543"/>
        <v>0</v>
      </c>
      <c r="P2285" s="10">
        <f t="shared" si="544"/>
        <v>0</v>
      </c>
      <c r="Q2285" s="10">
        <f t="shared" si="545"/>
        <v>0</v>
      </c>
    </row>
    <row r="2286" spans="1:17">
      <c r="A2286" s="15">
        <f t="shared" si="541"/>
        <v>0</v>
      </c>
      <c r="B2286" s="15"/>
      <c r="C2286" s="14">
        <f>Fixture!C290</f>
        <v>0</v>
      </c>
      <c r="D2286" s="15">
        <f>IF(E2286=0,0,IF(Fixture!D290&lt;Fixture!F290,0,IF(Fixture!F290&lt;Fixture!D290,3,1)))</f>
        <v>0</v>
      </c>
      <c r="E2286" s="16">
        <f>IF(OR(ISBLANK(Fixture!D290),ISBLANK(Fixture!F290),ISTEXT(Fixture!D290),ISTEXT(Fixture!F290)),0,1)</f>
        <v>0</v>
      </c>
      <c r="F2286" s="16">
        <f t="shared" si="536"/>
        <v>0</v>
      </c>
      <c r="G2286" s="16">
        <f t="shared" si="537"/>
        <v>0</v>
      </c>
      <c r="H2286" s="16">
        <f t="shared" si="538"/>
        <v>0</v>
      </c>
      <c r="I2286" s="63">
        <f>IF(E2286=0,0,Fixture!D290)</f>
        <v>0</v>
      </c>
      <c r="J2286" s="63">
        <f>IF(E2286=0,0,Fixture!F290)</f>
        <v>0</v>
      </c>
      <c r="K2286" s="63">
        <f t="shared" si="539"/>
        <v>0</v>
      </c>
      <c r="L2286" s="63">
        <f t="shared" si="540"/>
        <v>0</v>
      </c>
      <c r="N2286" s="10" t="str">
        <f t="shared" si="542"/>
        <v>00</v>
      </c>
      <c r="O2286" s="10">
        <f t="shared" si="543"/>
        <v>0</v>
      </c>
      <c r="P2286" s="10">
        <f t="shared" si="544"/>
        <v>0</v>
      </c>
      <c r="Q2286" s="10">
        <f t="shared" si="545"/>
        <v>0</v>
      </c>
    </row>
    <row r="2287" spans="1:17">
      <c r="A2287" s="15">
        <f t="shared" si="541"/>
        <v>0</v>
      </c>
      <c r="B2287" s="15"/>
      <c r="C2287" s="14">
        <f>Fixture!C291</f>
        <v>0</v>
      </c>
      <c r="D2287" s="15">
        <f>IF(E2287=0,0,IF(Fixture!D291&lt;Fixture!F291,0,IF(Fixture!F291&lt;Fixture!D291,3,1)))</f>
        <v>0</v>
      </c>
      <c r="E2287" s="16">
        <f>IF(OR(ISBLANK(Fixture!D291),ISBLANK(Fixture!F291),ISTEXT(Fixture!D291),ISTEXT(Fixture!F291)),0,1)</f>
        <v>0</v>
      </c>
      <c r="F2287" s="16">
        <f t="shared" si="536"/>
        <v>0</v>
      </c>
      <c r="G2287" s="16">
        <f t="shared" si="537"/>
        <v>0</v>
      </c>
      <c r="H2287" s="16">
        <f t="shared" si="538"/>
        <v>0</v>
      </c>
      <c r="I2287" s="63">
        <f>IF(E2287=0,0,Fixture!D291)</f>
        <v>0</v>
      </c>
      <c r="J2287" s="63">
        <f>IF(E2287=0,0,Fixture!F291)</f>
        <v>0</v>
      </c>
      <c r="K2287" s="63">
        <f t="shared" si="539"/>
        <v>0</v>
      </c>
      <c r="L2287" s="63">
        <f t="shared" si="540"/>
        <v>0</v>
      </c>
      <c r="N2287" s="10" t="str">
        <f t="shared" si="542"/>
        <v>00</v>
      </c>
      <c r="O2287" s="10">
        <f t="shared" si="543"/>
        <v>0</v>
      </c>
      <c r="P2287" s="10">
        <f t="shared" si="544"/>
        <v>0</v>
      </c>
      <c r="Q2287" s="10">
        <f t="shared" si="545"/>
        <v>0</v>
      </c>
    </row>
    <row r="2288" spans="1:17">
      <c r="A2288" s="15">
        <f t="shared" si="541"/>
        <v>0</v>
      </c>
      <c r="B2288" s="15"/>
      <c r="C2288" s="14">
        <f>Fixture!C292</f>
        <v>0</v>
      </c>
      <c r="D2288" s="15">
        <f>IF(E2288=0,0,IF(Fixture!D292&lt;Fixture!F292,0,IF(Fixture!F292&lt;Fixture!D292,3,1)))</f>
        <v>0</v>
      </c>
      <c r="E2288" s="16">
        <f>IF(OR(ISBLANK(Fixture!D292),ISBLANK(Fixture!F292),ISTEXT(Fixture!D292),ISTEXT(Fixture!F292)),0,1)</f>
        <v>0</v>
      </c>
      <c r="F2288" s="16">
        <f t="shared" si="536"/>
        <v>0</v>
      </c>
      <c r="G2288" s="16">
        <f t="shared" si="537"/>
        <v>0</v>
      </c>
      <c r="H2288" s="16">
        <f t="shared" si="538"/>
        <v>0</v>
      </c>
      <c r="I2288" s="63">
        <f>IF(E2288=0,0,Fixture!D292)</f>
        <v>0</v>
      </c>
      <c r="J2288" s="63">
        <f>IF(E2288=0,0,Fixture!F292)</f>
        <v>0</v>
      </c>
      <c r="K2288" s="63">
        <f t="shared" si="539"/>
        <v>0</v>
      </c>
      <c r="L2288" s="63">
        <f t="shared" si="540"/>
        <v>0</v>
      </c>
      <c r="N2288" s="10" t="str">
        <f t="shared" si="542"/>
        <v>00</v>
      </c>
      <c r="O2288" s="10">
        <f t="shared" si="543"/>
        <v>0</v>
      </c>
      <c r="P2288" s="10">
        <f t="shared" si="544"/>
        <v>0</v>
      </c>
      <c r="Q2288" s="10">
        <f t="shared" si="545"/>
        <v>0</v>
      </c>
    </row>
    <row r="2289" spans="1:17">
      <c r="A2289" s="15">
        <f t="shared" si="541"/>
        <v>0</v>
      </c>
      <c r="B2289" s="15"/>
      <c r="C2289" s="14">
        <f>Fixture!C293</f>
        <v>0</v>
      </c>
      <c r="D2289" s="15">
        <f>IF(E2289=0,0,IF(Fixture!D293&lt;Fixture!F293,0,IF(Fixture!F293&lt;Fixture!D293,3,1)))</f>
        <v>0</v>
      </c>
      <c r="E2289" s="16">
        <f>IF(OR(ISBLANK(Fixture!D293),ISBLANK(Fixture!F293),ISTEXT(Fixture!D293),ISTEXT(Fixture!F293)),0,1)</f>
        <v>0</v>
      </c>
      <c r="F2289" s="16">
        <f t="shared" si="536"/>
        <v>0</v>
      </c>
      <c r="G2289" s="16">
        <f t="shared" si="537"/>
        <v>0</v>
      </c>
      <c r="H2289" s="16">
        <f t="shared" si="538"/>
        <v>0</v>
      </c>
      <c r="I2289" s="63">
        <f>IF(E2289=0,0,Fixture!D293)</f>
        <v>0</v>
      </c>
      <c r="J2289" s="63">
        <f>IF(E2289=0,0,Fixture!F293)</f>
        <v>0</v>
      </c>
      <c r="K2289" s="63">
        <f t="shared" si="539"/>
        <v>0</v>
      </c>
      <c r="L2289" s="63">
        <f t="shared" si="540"/>
        <v>0</v>
      </c>
      <c r="N2289" s="10" t="str">
        <f t="shared" si="542"/>
        <v>00</v>
      </c>
      <c r="O2289" s="10">
        <f t="shared" si="543"/>
        <v>0</v>
      </c>
      <c r="P2289" s="10">
        <f t="shared" si="544"/>
        <v>0</v>
      </c>
      <c r="Q2289" s="10">
        <f t="shared" si="545"/>
        <v>0</v>
      </c>
    </row>
    <row r="2290" spans="1:17">
      <c r="A2290" s="15">
        <f t="shared" si="541"/>
        <v>0</v>
      </c>
      <c r="B2290" s="15"/>
      <c r="C2290" s="14">
        <f>Fixture!C294</f>
        <v>0</v>
      </c>
      <c r="D2290" s="15">
        <f>IF(E2290=0,0,IF(Fixture!D294&lt;Fixture!F294,0,IF(Fixture!F294&lt;Fixture!D294,3,1)))</f>
        <v>0</v>
      </c>
      <c r="E2290" s="16">
        <f>IF(OR(ISBLANK(Fixture!D294),ISBLANK(Fixture!F294),ISTEXT(Fixture!D294),ISTEXT(Fixture!F294)),0,1)</f>
        <v>0</v>
      </c>
      <c r="F2290" s="16">
        <f t="shared" si="536"/>
        <v>0</v>
      </c>
      <c r="G2290" s="16">
        <f t="shared" si="537"/>
        <v>0</v>
      </c>
      <c r="H2290" s="16">
        <f t="shared" si="538"/>
        <v>0</v>
      </c>
      <c r="I2290" s="63">
        <f>IF(E2290=0,0,Fixture!D294)</f>
        <v>0</v>
      </c>
      <c r="J2290" s="63">
        <f>IF(E2290=0,0,Fixture!F294)</f>
        <v>0</v>
      </c>
      <c r="K2290" s="63">
        <f t="shared" si="539"/>
        <v>0</v>
      </c>
      <c r="L2290" s="63">
        <f t="shared" si="540"/>
        <v>0</v>
      </c>
      <c r="N2290" s="10" t="str">
        <f t="shared" si="542"/>
        <v>00</v>
      </c>
      <c r="O2290" s="10">
        <f t="shared" si="543"/>
        <v>0</v>
      </c>
      <c r="P2290" s="10">
        <f t="shared" si="544"/>
        <v>0</v>
      </c>
      <c r="Q2290" s="10">
        <f t="shared" si="545"/>
        <v>0</v>
      </c>
    </row>
    <row r="2291" spans="1:17">
      <c r="A2291" s="15">
        <f t="shared" si="541"/>
        <v>0</v>
      </c>
      <c r="B2291" s="15"/>
      <c r="C2291" s="14">
        <f>Fixture!C295</f>
        <v>0</v>
      </c>
      <c r="D2291" s="15">
        <f>IF(E2291=0,0,IF(Fixture!D295&lt;Fixture!F295,0,IF(Fixture!F295&lt;Fixture!D295,3,1)))</f>
        <v>0</v>
      </c>
      <c r="E2291" s="16">
        <f>IF(OR(ISBLANK(Fixture!D295),ISBLANK(Fixture!F295),ISTEXT(Fixture!D295),ISTEXT(Fixture!F295)),0,1)</f>
        <v>0</v>
      </c>
      <c r="F2291" s="16">
        <f t="shared" si="536"/>
        <v>0</v>
      </c>
      <c r="G2291" s="16">
        <f t="shared" si="537"/>
        <v>0</v>
      </c>
      <c r="H2291" s="16">
        <f t="shared" si="538"/>
        <v>0</v>
      </c>
      <c r="I2291" s="63">
        <f>IF(E2291=0,0,Fixture!D295)</f>
        <v>0</v>
      </c>
      <c r="J2291" s="63">
        <f>IF(E2291=0,0,Fixture!F295)</f>
        <v>0</v>
      </c>
      <c r="K2291" s="63">
        <f t="shared" si="539"/>
        <v>0</v>
      </c>
      <c r="L2291" s="63">
        <f t="shared" si="540"/>
        <v>0</v>
      </c>
      <c r="N2291" s="10" t="str">
        <f t="shared" si="542"/>
        <v>00</v>
      </c>
      <c r="O2291" s="10">
        <f t="shared" si="543"/>
        <v>0</v>
      </c>
      <c r="P2291" s="10">
        <f t="shared" si="544"/>
        <v>0</v>
      </c>
      <c r="Q2291" s="10">
        <f t="shared" si="545"/>
        <v>0</v>
      </c>
    </row>
    <row r="2292" spans="1:17">
      <c r="A2292" s="15">
        <f t="shared" si="541"/>
        <v>0</v>
      </c>
      <c r="B2292" s="15"/>
      <c r="C2292" s="14">
        <f>Fixture!C296</f>
        <v>0</v>
      </c>
      <c r="D2292" s="15">
        <f>IF(E2292=0,0,IF(Fixture!D296&lt;Fixture!F296,0,IF(Fixture!F296&lt;Fixture!D296,3,1)))</f>
        <v>0</v>
      </c>
      <c r="E2292" s="16">
        <f>IF(OR(ISBLANK(Fixture!D296),ISBLANK(Fixture!F296),ISTEXT(Fixture!D296),ISTEXT(Fixture!F296)),0,1)</f>
        <v>0</v>
      </c>
      <c r="F2292" s="16">
        <f t="shared" si="536"/>
        <v>0</v>
      </c>
      <c r="G2292" s="16">
        <f t="shared" si="537"/>
        <v>0</v>
      </c>
      <c r="H2292" s="16">
        <f t="shared" si="538"/>
        <v>0</v>
      </c>
      <c r="I2292" s="63">
        <f>IF(E2292=0,0,Fixture!D296)</f>
        <v>0</v>
      </c>
      <c r="J2292" s="63">
        <f>IF(E2292=0,0,Fixture!F296)</f>
        <v>0</v>
      </c>
      <c r="K2292" s="63">
        <f t="shared" si="539"/>
        <v>0</v>
      </c>
      <c r="L2292" s="63">
        <f t="shared" si="540"/>
        <v>0</v>
      </c>
      <c r="N2292" s="10" t="str">
        <f t="shared" si="542"/>
        <v>00</v>
      </c>
      <c r="O2292" s="10">
        <f t="shared" si="543"/>
        <v>0</v>
      </c>
      <c r="P2292" s="10">
        <f t="shared" si="544"/>
        <v>0</v>
      </c>
      <c r="Q2292" s="10">
        <f t="shared" si="545"/>
        <v>0</v>
      </c>
    </row>
    <row r="2293" spans="1:17">
      <c r="A2293" s="15">
        <f t="shared" si="541"/>
        <v>0</v>
      </c>
      <c r="B2293" s="15"/>
      <c r="C2293" s="14">
        <f>Fixture!C297</f>
        <v>0</v>
      </c>
      <c r="D2293" s="15">
        <f>IF(E2293=0,0,IF(Fixture!D297&lt;Fixture!F297,0,IF(Fixture!F297&lt;Fixture!D297,3,1)))</f>
        <v>0</v>
      </c>
      <c r="E2293" s="16">
        <f>IF(OR(ISBLANK(Fixture!D297),ISBLANK(Fixture!F297),ISTEXT(Fixture!D297),ISTEXT(Fixture!F297)),0,1)</f>
        <v>0</v>
      </c>
      <c r="F2293" s="16">
        <f t="shared" si="536"/>
        <v>0</v>
      </c>
      <c r="G2293" s="16">
        <f t="shared" si="537"/>
        <v>0</v>
      </c>
      <c r="H2293" s="16">
        <f t="shared" si="538"/>
        <v>0</v>
      </c>
      <c r="I2293" s="63">
        <f>IF(E2293=0,0,Fixture!D297)</f>
        <v>0</v>
      </c>
      <c r="J2293" s="63">
        <f>IF(E2293=0,0,Fixture!F297)</f>
        <v>0</v>
      </c>
      <c r="K2293" s="63">
        <f t="shared" si="539"/>
        <v>0</v>
      </c>
      <c r="L2293" s="63">
        <f t="shared" si="540"/>
        <v>0</v>
      </c>
      <c r="N2293" s="10" t="str">
        <f t="shared" si="542"/>
        <v>00</v>
      </c>
      <c r="O2293" s="10">
        <f t="shared" si="543"/>
        <v>0</v>
      </c>
      <c r="P2293" s="10">
        <f t="shared" si="544"/>
        <v>0</v>
      </c>
      <c r="Q2293" s="10">
        <f t="shared" si="545"/>
        <v>0</v>
      </c>
    </row>
    <row r="2294" spans="1:17">
      <c r="A2294" s="15">
        <f t="shared" si="541"/>
        <v>0</v>
      </c>
      <c r="B2294" s="15"/>
      <c r="C2294" s="14">
        <f>Fixture!C298</f>
        <v>0</v>
      </c>
      <c r="D2294" s="15">
        <f>IF(E2294=0,0,IF(Fixture!D298&lt;Fixture!F298,0,IF(Fixture!F298&lt;Fixture!D298,3,1)))</f>
        <v>0</v>
      </c>
      <c r="E2294" s="16">
        <f>IF(OR(ISBLANK(Fixture!D298),ISBLANK(Fixture!F298),ISTEXT(Fixture!D298),ISTEXT(Fixture!F298)),0,1)</f>
        <v>0</v>
      </c>
      <c r="F2294" s="16">
        <f t="shared" si="536"/>
        <v>0</v>
      </c>
      <c r="G2294" s="16">
        <f t="shared" si="537"/>
        <v>0</v>
      </c>
      <c r="H2294" s="16">
        <f t="shared" si="538"/>
        <v>0</v>
      </c>
      <c r="I2294" s="63">
        <f>IF(E2294=0,0,Fixture!D298)</f>
        <v>0</v>
      </c>
      <c r="J2294" s="63">
        <f>IF(E2294=0,0,Fixture!F298)</f>
        <v>0</v>
      </c>
      <c r="K2294" s="63">
        <f t="shared" si="539"/>
        <v>0</v>
      </c>
      <c r="L2294" s="63">
        <f t="shared" si="540"/>
        <v>0</v>
      </c>
      <c r="N2294" s="10" t="str">
        <f t="shared" si="542"/>
        <v>00</v>
      </c>
      <c r="O2294" s="10">
        <f t="shared" si="543"/>
        <v>0</v>
      </c>
      <c r="P2294" s="10">
        <f t="shared" si="544"/>
        <v>0</v>
      </c>
      <c r="Q2294" s="10">
        <f t="shared" si="545"/>
        <v>0</v>
      </c>
    </row>
    <row r="2295" spans="1:17">
      <c r="A2295" s="15">
        <f t="shared" si="541"/>
        <v>0</v>
      </c>
      <c r="B2295" s="15"/>
      <c r="C2295" s="14">
        <f>Fixture!C299</f>
        <v>0</v>
      </c>
      <c r="D2295" s="15">
        <f>IF(E2295=0,0,IF(Fixture!D299&lt;Fixture!F299,0,IF(Fixture!F299&lt;Fixture!D299,3,1)))</f>
        <v>0</v>
      </c>
      <c r="E2295" s="16">
        <f>IF(OR(ISBLANK(Fixture!D299),ISBLANK(Fixture!F299),ISTEXT(Fixture!D299),ISTEXT(Fixture!F299)),0,1)</f>
        <v>0</v>
      </c>
      <c r="F2295" s="16">
        <f t="shared" si="536"/>
        <v>0</v>
      </c>
      <c r="G2295" s="16">
        <f t="shared" si="537"/>
        <v>0</v>
      </c>
      <c r="H2295" s="16">
        <f t="shared" si="538"/>
        <v>0</v>
      </c>
      <c r="I2295" s="63">
        <f>IF(E2295=0,0,Fixture!D299)</f>
        <v>0</v>
      </c>
      <c r="J2295" s="63">
        <f>IF(E2295=0,0,Fixture!F299)</f>
        <v>0</v>
      </c>
      <c r="K2295" s="63">
        <f t="shared" si="539"/>
        <v>0</v>
      </c>
      <c r="L2295" s="63">
        <f t="shared" si="540"/>
        <v>0</v>
      </c>
      <c r="N2295" s="10" t="str">
        <f t="shared" si="542"/>
        <v>00</v>
      </c>
      <c r="O2295" s="10">
        <f t="shared" si="543"/>
        <v>0</v>
      </c>
      <c r="P2295" s="10">
        <f t="shared" si="544"/>
        <v>0</v>
      </c>
      <c r="Q2295" s="10">
        <f t="shared" si="545"/>
        <v>0</v>
      </c>
    </row>
    <row r="2296" spans="1:17">
      <c r="A2296" s="15">
        <f t="shared" si="541"/>
        <v>0</v>
      </c>
      <c r="B2296" s="15"/>
      <c r="C2296" s="14">
        <f>Fixture!C300</f>
        <v>0</v>
      </c>
      <c r="D2296" s="15">
        <f>IF(E2296=0,0,IF(Fixture!D300&lt;Fixture!F300,0,IF(Fixture!F300&lt;Fixture!D300,3,1)))</f>
        <v>0</v>
      </c>
      <c r="E2296" s="16">
        <f>IF(OR(ISBLANK(Fixture!D300),ISBLANK(Fixture!F300),ISTEXT(Fixture!D300),ISTEXT(Fixture!F300)),0,1)</f>
        <v>0</v>
      </c>
      <c r="F2296" s="16">
        <f t="shared" si="536"/>
        <v>0</v>
      </c>
      <c r="G2296" s="16">
        <f t="shared" si="537"/>
        <v>0</v>
      </c>
      <c r="H2296" s="16">
        <f t="shared" si="538"/>
        <v>0</v>
      </c>
      <c r="I2296" s="63">
        <f>IF(E2296=0,0,Fixture!D300)</f>
        <v>0</v>
      </c>
      <c r="J2296" s="63">
        <f>IF(E2296=0,0,Fixture!F300)</f>
        <v>0</v>
      </c>
      <c r="K2296" s="63">
        <f t="shared" si="539"/>
        <v>0</v>
      </c>
      <c r="L2296" s="63">
        <f t="shared" si="540"/>
        <v>0</v>
      </c>
      <c r="N2296" s="10" t="str">
        <f t="shared" si="542"/>
        <v>00</v>
      </c>
      <c r="O2296" s="10">
        <f t="shared" si="543"/>
        <v>0</v>
      </c>
      <c r="P2296" s="10">
        <f t="shared" si="544"/>
        <v>0</v>
      </c>
      <c r="Q2296" s="10">
        <f t="shared" si="545"/>
        <v>0</v>
      </c>
    </row>
    <row r="2297" spans="1:17">
      <c r="A2297" s="15">
        <f t="shared" si="541"/>
        <v>0</v>
      </c>
      <c r="B2297" s="15"/>
      <c r="C2297" s="14">
        <f>Fixture!C301</f>
        <v>0</v>
      </c>
      <c r="D2297" s="15">
        <f>IF(E2297=0,0,IF(Fixture!D301&lt;Fixture!F301,0,IF(Fixture!F301&lt;Fixture!D301,3,1)))</f>
        <v>0</v>
      </c>
      <c r="E2297" s="16">
        <f>IF(OR(ISBLANK(Fixture!D301),ISBLANK(Fixture!F301),ISTEXT(Fixture!D301),ISTEXT(Fixture!F301)),0,1)</f>
        <v>0</v>
      </c>
      <c r="F2297" s="16">
        <f t="shared" si="536"/>
        <v>0</v>
      </c>
      <c r="G2297" s="16">
        <f t="shared" si="537"/>
        <v>0</v>
      </c>
      <c r="H2297" s="16">
        <f t="shared" si="538"/>
        <v>0</v>
      </c>
      <c r="I2297" s="63">
        <f>IF(E2297=0,0,Fixture!D301)</f>
        <v>0</v>
      </c>
      <c r="J2297" s="63">
        <f>IF(E2297=0,0,Fixture!F301)</f>
        <v>0</v>
      </c>
      <c r="K2297" s="63">
        <f t="shared" si="539"/>
        <v>0</v>
      </c>
      <c r="L2297" s="63">
        <f t="shared" si="540"/>
        <v>0</v>
      </c>
      <c r="N2297" s="10" t="str">
        <f t="shared" si="542"/>
        <v>00</v>
      </c>
      <c r="O2297" s="10">
        <f t="shared" si="543"/>
        <v>0</v>
      </c>
      <c r="P2297" s="10">
        <f t="shared" si="544"/>
        <v>0</v>
      </c>
      <c r="Q2297" s="10">
        <f t="shared" si="545"/>
        <v>0</v>
      </c>
    </row>
    <row r="2298" spans="1:17">
      <c r="A2298" s="15">
        <f t="shared" si="541"/>
        <v>0</v>
      </c>
      <c r="B2298" s="15"/>
      <c r="C2298" s="14">
        <f>Fixture!C302</f>
        <v>0</v>
      </c>
      <c r="D2298" s="15">
        <f>IF(E2298=0,0,IF(Fixture!D302&lt;Fixture!F302,0,IF(Fixture!F302&lt;Fixture!D302,3,1)))</f>
        <v>0</v>
      </c>
      <c r="E2298" s="16">
        <f>IF(OR(ISBLANK(Fixture!D302),ISBLANK(Fixture!F302),ISTEXT(Fixture!D302),ISTEXT(Fixture!F302)),0,1)</f>
        <v>0</v>
      </c>
      <c r="F2298" s="16">
        <f t="shared" si="536"/>
        <v>0</v>
      </c>
      <c r="G2298" s="16">
        <f t="shared" si="537"/>
        <v>0</v>
      </c>
      <c r="H2298" s="16">
        <f t="shared" si="538"/>
        <v>0</v>
      </c>
      <c r="I2298" s="63">
        <f>IF(E2298=0,0,Fixture!D302)</f>
        <v>0</v>
      </c>
      <c r="J2298" s="63">
        <f>IF(E2298=0,0,Fixture!F302)</f>
        <v>0</v>
      </c>
      <c r="K2298" s="63">
        <f t="shared" si="539"/>
        <v>0</v>
      </c>
      <c r="L2298" s="63">
        <f t="shared" si="540"/>
        <v>0</v>
      </c>
      <c r="N2298" s="10" t="str">
        <f t="shared" si="542"/>
        <v>00</v>
      </c>
      <c r="O2298" s="10">
        <f t="shared" si="543"/>
        <v>0</v>
      </c>
      <c r="P2298" s="10">
        <f t="shared" si="544"/>
        <v>0</v>
      </c>
      <c r="Q2298" s="10">
        <f t="shared" si="545"/>
        <v>0</v>
      </c>
    </row>
    <row r="2299" spans="1:17">
      <c r="A2299" s="15">
        <f t="shared" si="541"/>
        <v>0</v>
      </c>
      <c r="B2299" s="15"/>
      <c r="C2299" s="14">
        <f>Fixture!C303</f>
        <v>0</v>
      </c>
      <c r="D2299" s="15">
        <f>IF(E2299=0,0,IF(Fixture!D303&lt;Fixture!F303,0,IF(Fixture!F303&lt;Fixture!D303,3,1)))</f>
        <v>0</v>
      </c>
      <c r="E2299" s="16">
        <f>IF(OR(ISBLANK(Fixture!D303),ISBLANK(Fixture!F303),ISTEXT(Fixture!D303),ISTEXT(Fixture!F303)),0,1)</f>
        <v>0</v>
      </c>
      <c r="F2299" s="16">
        <f t="shared" si="536"/>
        <v>0</v>
      </c>
      <c r="G2299" s="16">
        <f t="shared" si="537"/>
        <v>0</v>
      </c>
      <c r="H2299" s="16">
        <f t="shared" si="538"/>
        <v>0</v>
      </c>
      <c r="I2299" s="63">
        <f>IF(E2299=0,0,Fixture!D303)</f>
        <v>0</v>
      </c>
      <c r="J2299" s="63">
        <f>IF(E2299=0,0,Fixture!F303)</f>
        <v>0</v>
      </c>
      <c r="K2299" s="63">
        <f t="shared" si="539"/>
        <v>0</v>
      </c>
      <c r="L2299" s="63">
        <f t="shared" si="540"/>
        <v>0</v>
      </c>
      <c r="N2299" s="10" t="str">
        <f t="shared" si="542"/>
        <v>00</v>
      </c>
      <c r="O2299" s="10">
        <f t="shared" si="543"/>
        <v>0</v>
      </c>
      <c r="P2299" s="10">
        <f t="shared" si="544"/>
        <v>0</v>
      </c>
      <c r="Q2299" s="10">
        <f t="shared" si="545"/>
        <v>0</v>
      </c>
    </row>
    <row r="2300" spans="1:17">
      <c r="A2300" s="15">
        <f t="shared" si="541"/>
        <v>0</v>
      </c>
      <c r="B2300" s="15"/>
      <c r="C2300" s="14">
        <f>Fixture!C304</f>
        <v>0</v>
      </c>
      <c r="D2300" s="15">
        <f>IF(E2300=0,0,IF(Fixture!D304&lt;Fixture!F304,0,IF(Fixture!F304&lt;Fixture!D304,3,1)))</f>
        <v>0</v>
      </c>
      <c r="E2300" s="16">
        <f>IF(OR(ISBLANK(Fixture!D304),ISBLANK(Fixture!F304),ISTEXT(Fixture!D304),ISTEXT(Fixture!F304)),0,1)</f>
        <v>0</v>
      </c>
      <c r="F2300" s="16">
        <f t="shared" si="536"/>
        <v>0</v>
      </c>
      <c r="G2300" s="16">
        <f t="shared" si="537"/>
        <v>0</v>
      </c>
      <c r="H2300" s="16">
        <f t="shared" si="538"/>
        <v>0</v>
      </c>
      <c r="I2300" s="63">
        <f>IF(E2300=0,0,Fixture!D304)</f>
        <v>0</v>
      </c>
      <c r="J2300" s="63">
        <f>IF(E2300=0,0,Fixture!F304)</f>
        <v>0</v>
      </c>
      <c r="K2300" s="63">
        <f t="shared" si="539"/>
        <v>0</v>
      </c>
      <c r="L2300" s="63">
        <f t="shared" si="540"/>
        <v>0</v>
      </c>
      <c r="N2300" s="10" t="str">
        <f t="shared" si="542"/>
        <v>00</v>
      </c>
      <c r="O2300" s="10">
        <f t="shared" si="543"/>
        <v>0</v>
      </c>
      <c r="P2300" s="10">
        <f t="shared" si="544"/>
        <v>0</v>
      </c>
      <c r="Q2300" s="10">
        <f t="shared" si="545"/>
        <v>0</v>
      </c>
    </row>
    <row r="2301" spans="1:17">
      <c r="A2301" s="15">
        <f t="shared" si="541"/>
        <v>0</v>
      </c>
      <c r="B2301" s="15"/>
      <c r="C2301" s="14">
        <f>Fixture!C305</f>
        <v>0</v>
      </c>
      <c r="D2301" s="15">
        <f>IF(E2301=0,0,IF(Fixture!D305&lt;Fixture!F305,0,IF(Fixture!F305&lt;Fixture!D305,3,1)))</f>
        <v>0</v>
      </c>
      <c r="E2301" s="16">
        <f>IF(OR(ISBLANK(Fixture!D305),ISBLANK(Fixture!F305),ISTEXT(Fixture!D305),ISTEXT(Fixture!F305)),0,1)</f>
        <v>0</v>
      </c>
      <c r="F2301" s="16">
        <f t="shared" si="536"/>
        <v>0</v>
      </c>
      <c r="G2301" s="16">
        <f t="shared" si="537"/>
        <v>0</v>
      </c>
      <c r="H2301" s="16">
        <f t="shared" si="538"/>
        <v>0</v>
      </c>
      <c r="I2301" s="63">
        <f>IF(E2301=0,0,Fixture!D305)</f>
        <v>0</v>
      </c>
      <c r="J2301" s="63">
        <f>IF(E2301=0,0,Fixture!F305)</f>
        <v>0</v>
      </c>
      <c r="K2301" s="63">
        <f t="shared" si="539"/>
        <v>0</v>
      </c>
      <c r="L2301" s="63">
        <f t="shared" si="540"/>
        <v>0</v>
      </c>
      <c r="N2301" s="10" t="str">
        <f t="shared" si="542"/>
        <v>00</v>
      </c>
      <c r="O2301" s="10">
        <f t="shared" si="543"/>
        <v>0</v>
      </c>
      <c r="P2301" s="10">
        <f t="shared" si="544"/>
        <v>0</v>
      </c>
      <c r="Q2301" s="10">
        <f t="shared" si="545"/>
        <v>0</v>
      </c>
    </row>
    <row r="2302" spans="1:17">
      <c r="A2302" s="15">
        <f t="shared" si="541"/>
        <v>0</v>
      </c>
      <c r="B2302" s="15"/>
      <c r="C2302" s="14">
        <f>Fixture!C306</f>
        <v>0</v>
      </c>
      <c r="D2302" s="15">
        <f>IF(E2302=0,0,IF(Fixture!D306&lt;Fixture!F306,0,IF(Fixture!F306&lt;Fixture!D306,3,1)))</f>
        <v>0</v>
      </c>
      <c r="E2302" s="16">
        <f>IF(OR(ISBLANK(Fixture!D306),ISBLANK(Fixture!F306),ISTEXT(Fixture!D306),ISTEXT(Fixture!F306)),0,1)</f>
        <v>0</v>
      </c>
      <c r="F2302" s="16">
        <f t="shared" si="536"/>
        <v>0</v>
      </c>
      <c r="G2302" s="16">
        <f t="shared" si="537"/>
        <v>0</v>
      </c>
      <c r="H2302" s="16">
        <f t="shared" si="538"/>
        <v>0</v>
      </c>
      <c r="I2302" s="63">
        <f>IF(E2302=0,0,Fixture!D306)</f>
        <v>0</v>
      </c>
      <c r="J2302" s="63">
        <f>IF(E2302=0,0,Fixture!F306)</f>
        <v>0</v>
      </c>
      <c r="K2302" s="63">
        <f t="shared" si="539"/>
        <v>0</v>
      </c>
      <c r="L2302" s="63">
        <f t="shared" si="540"/>
        <v>0</v>
      </c>
      <c r="N2302" s="10" t="str">
        <f t="shared" si="542"/>
        <v>00</v>
      </c>
      <c r="O2302" s="10">
        <f t="shared" si="543"/>
        <v>0</v>
      </c>
      <c r="P2302" s="10">
        <f t="shared" si="544"/>
        <v>0</v>
      </c>
      <c r="Q2302" s="10">
        <f t="shared" si="545"/>
        <v>0</v>
      </c>
    </row>
    <row r="2303" spans="1:17">
      <c r="A2303" s="15">
        <f t="shared" si="541"/>
        <v>0</v>
      </c>
      <c r="B2303" s="15"/>
      <c r="C2303" s="14">
        <f>Fixture!C307</f>
        <v>0</v>
      </c>
      <c r="D2303" s="15">
        <f>IF(E2303=0,0,IF(Fixture!D307&lt;Fixture!F307,0,IF(Fixture!F307&lt;Fixture!D307,3,1)))</f>
        <v>0</v>
      </c>
      <c r="E2303" s="16">
        <f>IF(OR(ISBLANK(Fixture!D307),ISBLANK(Fixture!F307),ISTEXT(Fixture!D307),ISTEXT(Fixture!F307)),0,1)</f>
        <v>0</v>
      </c>
      <c r="F2303" s="16">
        <f t="shared" si="536"/>
        <v>0</v>
      </c>
      <c r="G2303" s="16">
        <f t="shared" si="537"/>
        <v>0</v>
      </c>
      <c r="H2303" s="16">
        <f t="shared" si="538"/>
        <v>0</v>
      </c>
      <c r="I2303" s="63">
        <f>IF(E2303=0,0,Fixture!D307)</f>
        <v>0</v>
      </c>
      <c r="J2303" s="63">
        <f>IF(E2303=0,0,Fixture!F307)</f>
        <v>0</v>
      </c>
      <c r="K2303" s="63">
        <f t="shared" si="539"/>
        <v>0</v>
      </c>
      <c r="L2303" s="63">
        <f t="shared" si="540"/>
        <v>0</v>
      </c>
      <c r="N2303" s="10" t="str">
        <f t="shared" si="542"/>
        <v>00</v>
      </c>
      <c r="O2303" s="10">
        <f t="shared" si="543"/>
        <v>0</v>
      </c>
      <c r="P2303" s="10">
        <f t="shared" si="544"/>
        <v>0</v>
      </c>
      <c r="Q2303" s="10">
        <f t="shared" si="545"/>
        <v>0</v>
      </c>
    </row>
    <row r="2304" spans="1:17">
      <c r="A2304" s="15">
        <f t="shared" si="541"/>
        <v>0</v>
      </c>
      <c r="B2304" s="15"/>
      <c r="C2304" s="14">
        <f>Fixture!C308</f>
        <v>0</v>
      </c>
      <c r="D2304" s="15">
        <f>IF(E2304=0,0,IF(Fixture!D308&lt;Fixture!F308,0,IF(Fixture!F308&lt;Fixture!D308,3,1)))</f>
        <v>0</v>
      </c>
      <c r="E2304" s="16">
        <f>IF(OR(ISBLANK(Fixture!D308),ISBLANK(Fixture!F308),ISTEXT(Fixture!D308),ISTEXT(Fixture!F308)),0,1)</f>
        <v>0</v>
      </c>
      <c r="F2304" s="16">
        <f t="shared" si="536"/>
        <v>0</v>
      </c>
      <c r="G2304" s="16">
        <f t="shared" si="537"/>
        <v>0</v>
      </c>
      <c r="H2304" s="16">
        <f t="shared" si="538"/>
        <v>0</v>
      </c>
      <c r="I2304" s="63">
        <f>IF(E2304=0,0,Fixture!D308)</f>
        <v>0</v>
      </c>
      <c r="J2304" s="63">
        <f>IF(E2304=0,0,Fixture!F308)</f>
        <v>0</v>
      </c>
      <c r="K2304" s="63">
        <f t="shared" si="539"/>
        <v>0</v>
      </c>
      <c r="L2304" s="63">
        <f t="shared" si="540"/>
        <v>0</v>
      </c>
      <c r="N2304" s="10" t="str">
        <f t="shared" si="542"/>
        <v>00</v>
      </c>
      <c r="O2304" s="10">
        <f t="shared" si="543"/>
        <v>0</v>
      </c>
      <c r="P2304" s="10">
        <f t="shared" si="544"/>
        <v>0</v>
      </c>
      <c r="Q2304" s="10">
        <f t="shared" si="545"/>
        <v>0</v>
      </c>
    </row>
    <row r="2305" spans="1:17">
      <c r="A2305" s="15">
        <f t="shared" si="541"/>
        <v>0</v>
      </c>
      <c r="B2305" s="15"/>
      <c r="C2305" s="14">
        <f>Fixture!C309</f>
        <v>0</v>
      </c>
      <c r="D2305" s="15">
        <f>IF(E2305=0,0,IF(Fixture!D309&lt;Fixture!F309,0,IF(Fixture!F309&lt;Fixture!D309,3,1)))</f>
        <v>0</v>
      </c>
      <c r="E2305" s="16">
        <f>IF(OR(ISBLANK(Fixture!D309),ISBLANK(Fixture!F309),ISTEXT(Fixture!D309),ISTEXT(Fixture!F309)),0,1)</f>
        <v>0</v>
      </c>
      <c r="F2305" s="16">
        <f t="shared" si="536"/>
        <v>0</v>
      </c>
      <c r="G2305" s="16">
        <f t="shared" si="537"/>
        <v>0</v>
      </c>
      <c r="H2305" s="16">
        <f t="shared" si="538"/>
        <v>0</v>
      </c>
      <c r="I2305" s="63">
        <f>IF(E2305=0,0,Fixture!D309)</f>
        <v>0</v>
      </c>
      <c r="J2305" s="63">
        <f>IF(E2305=0,0,Fixture!F309)</f>
        <v>0</v>
      </c>
      <c r="K2305" s="63">
        <f t="shared" si="539"/>
        <v>0</v>
      </c>
      <c r="L2305" s="63">
        <f t="shared" si="540"/>
        <v>0</v>
      </c>
      <c r="N2305" s="10" t="str">
        <f t="shared" si="542"/>
        <v>00</v>
      </c>
      <c r="O2305" s="10">
        <f t="shared" si="543"/>
        <v>0</v>
      </c>
      <c r="P2305" s="10">
        <f t="shared" si="544"/>
        <v>0</v>
      </c>
      <c r="Q2305" s="10">
        <f t="shared" si="545"/>
        <v>0</v>
      </c>
    </row>
    <row r="2306" spans="1:17">
      <c r="A2306" s="15">
        <f t="shared" si="541"/>
        <v>0</v>
      </c>
      <c r="B2306" s="15"/>
      <c r="C2306" s="14">
        <f>Fixture!C310</f>
        <v>0</v>
      </c>
      <c r="D2306" s="15">
        <f>IF(E2306=0,0,IF(Fixture!D310&lt;Fixture!F310,0,IF(Fixture!F310&lt;Fixture!D310,3,1)))</f>
        <v>0</v>
      </c>
      <c r="E2306" s="16">
        <f>IF(OR(ISBLANK(Fixture!D310),ISBLANK(Fixture!F310),ISTEXT(Fixture!D310),ISTEXT(Fixture!F310)),0,1)</f>
        <v>0</v>
      </c>
      <c r="F2306" s="16">
        <f t="shared" si="536"/>
        <v>0</v>
      </c>
      <c r="G2306" s="16">
        <f t="shared" si="537"/>
        <v>0</v>
      </c>
      <c r="H2306" s="16">
        <f t="shared" si="538"/>
        <v>0</v>
      </c>
      <c r="I2306" s="63">
        <f>IF(E2306=0,0,Fixture!D310)</f>
        <v>0</v>
      </c>
      <c r="J2306" s="63">
        <f>IF(E2306=0,0,Fixture!F310)</f>
        <v>0</v>
      </c>
      <c r="K2306" s="63">
        <f t="shared" si="539"/>
        <v>0</v>
      </c>
      <c r="L2306" s="63">
        <f t="shared" si="540"/>
        <v>0</v>
      </c>
      <c r="N2306" s="10" t="str">
        <f t="shared" si="542"/>
        <v>00</v>
      </c>
      <c r="O2306" s="10">
        <f t="shared" si="543"/>
        <v>0</v>
      </c>
      <c r="P2306" s="10">
        <f t="shared" si="544"/>
        <v>0</v>
      </c>
      <c r="Q2306" s="10">
        <f t="shared" si="545"/>
        <v>0</v>
      </c>
    </row>
    <row r="2307" spans="1:17">
      <c r="A2307" s="15">
        <f t="shared" si="541"/>
        <v>0</v>
      </c>
      <c r="B2307" s="15"/>
      <c r="C2307" s="14">
        <f>Fixture!C311</f>
        <v>0</v>
      </c>
      <c r="D2307" s="15">
        <f>IF(E2307=0,0,IF(Fixture!D311&lt;Fixture!F311,0,IF(Fixture!F311&lt;Fixture!D311,3,1)))</f>
        <v>0</v>
      </c>
      <c r="E2307" s="16">
        <f>IF(OR(ISBLANK(Fixture!D311),ISBLANK(Fixture!F311),ISTEXT(Fixture!D311),ISTEXT(Fixture!F311)),0,1)</f>
        <v>0</v>
      </c>
      <c r="F2307" s="16">
        <f t="shared" si="536"/>
        <v>0</v>
      </c>
      <c r="G2307" s="16">
        <f t="shared" si="537"/>
        <v>0</v>
      </c>
      <c r="H2307" s="16">
        <f t="shared" si="538"/>
        <v>0</v>
      </c>
      <c r="I2307" s="63">
        <f>IF(E2307=0,0,Fixture!D311)</f>
        <v>0</v>
      </c>
      <c r="J2307" s="63">
        <f>IF(E2307=0,0,Fixture!F311)</f>
        <v>0</v>
      </c>
      <c r="K2307" s="63">
        <f t="shared" si="539"/>
        <v>0</v>
      </c>
      <c r="L2307" s="63">
        <f t="shared" si="540"/>
        <v>0</v>
      </c>
      <c r="N2307" s="10" t="str">
        <f t="shared" si="542"/>
        <v>00</v>
      </c>
      <c r="O2307" s="10">
        <f t="shared" si="543"/>
        <v>0</v>
      </c>
      <c r="P2307" s="10">
        <f t="shared" si="544"/>
        <v>0</v>
      </c>
      <c r="Q2307" s="10">
        <f t="shared" si="545"/>
        <v>0</v>
      </c>
    </row>
    <row r="2308" spans="1:17">
      <c r="A2308" s="15">
        <f t="shared" si="541"/>
        <v>0</v>
      </c>
      <c r="B2308" s="15"/>
      <c r="C2308" s="14">
        <f>Fixture!C312</f>
        <v>0</v>
      </c>
      <c r="D2308" s="15">
        <f>IF(E2308=0,0,IF(Fixture!D312&lt;Fixture!F312,0,IF(Fixture!F312&lt;Fixture!D312,3,1)))</f>
        <v>0</v>
      </c>
      <c r="E2308" s="16">
        <f>IF(OR(ISBLANK(Fixture!D312),ISBLANK(Fixture!F312),ISTEXT(Fixture!D312),ISTEXT(Fixture!F312)),0,1)</f>
        <v>0</v>
      </c>
      <c r="F2308" s="16">
        <f t="shared" si="536"/>
        <v>0</v>
      </c>
      <c r="G2308" s="16">
        <f t="shared" si="537"/>
        <v>0</v>
      </c>
      <c r="H2308" s="16">
        <f t="shared" si="538"/>
        <v>0</v>
      </c>
      <c r="I2308" s="63">
        <f>IF(E2308=0,0,Fixture!D312)</f>
        <v>0</v>
      </c>
      <c r="J2308" s="63">
        <f>IF(E2308=0,0,Fixture!F312)</f>
        <v>0</v>
      </c>
      <c r="K2308" s="63">
        <f t="shared" si="539"/>
        <v>0</v>
      </c>
      <c r="L2308" s="63">
        <f t="shared" si="540"/>
        <v>0</v>
      </c>
      <c r="N2308" s="10" t="str">
        <f t="shared" si="542"/>
        <v>00</v>
      </c>
      <c r="O2308" s="10">
        <f t="shared" si="543"/>
        <v>0</v>
      </c>
      <c r="P2308" s="10">
        <f t="shared" si="544"/>
        <v>0</v>
      </c>
      <c r="Q2308" s="10">
        <f t="shared" si="545"/>
        <v>0</v>
      </c>
    </row>
    <row r="2309" spans="1:17">
      <c r="A2309" s="15">
        <f t="shared" si="541"/>
        <v>0</v>
      </c>
      <c r="B2309" s="15"/>
      <c r="C2309" s="14">
        <f>Fixture!C313</f>
        <v>0</v>
      </c>
      <c r="D2309" s="15">
        <f>IF(E2309=0,0,IF(Fixture!D313&lt;Fixture!F313,0,IF(Fixture!F313&lt;Fixture!D313,3,1)))</f>
        <v>0</v>
      </c>
      <c r="E2309" s="16">
        <f>IF(OR(ISBLANK(Fixture!D313),ISBLANK(Fixture!F313),ISTEXT(Fixture!D313),ISTEXT(Fixture!F313)),0,1)</f>
        <v>0</v>
      </c>
      <c r="F2309" s="16">
        <f t="shared" si="536"/>
        <v>0</v>
      </c>
      <c r="G2309" s="16">
        <f t="shared" si="537"/>
        <v>0</v>
      </c>
      <c r="H2309" s="16">
        <f t="shared" si="538"/>
        <v>0</v>
      </c>
      <c r="I2309" s="63">
        <f>IF(E2309=0,0,Fixture!D313)</f>
        <v>0</v>
      </c>
      <c r="J2309" s="63">
        <f>IF(E2309=0,0,Fixture!F313)</f>
        <v>0</v>
      </c>
      <c r="K2309" s="63">
        <f t="shared" si="539"/>
        <v>0</v>
      </c>
      <c r="L2309" s="63">
        <f t="shared" si="540"/>
        <v>0</v>
      </c>
      <c r="N2309" s="10" t="str">
        <f t="shared" si="542"/>
        <v>00</v>
      </c>
      <c r="O2309" s="10">
        <f t="shared" si="543"/>
        <v>0</v>
      </c>
      <c r="P2309" s="10">
        <f t="shared" si="544"/>
        <v>0</v>
      </c>
      <c r="Q2309" s="10">
        <f t="shared" si="545"/>
        <v>0</v>
      </c>
    </row>
    <row r="2310" spans="1:17">
      <c r="A2310" s="15">
        <f t="shared" si="541"/>
        <v>0</v>
      </c>
      <c r="B2310" s="15"/>
      <c r="C2310" s="14">
        <f>Fixture!C314</f>
        <v>0</v>
      </c>
      <c r="D2310" s="15">
        <f>IF(E2310=0,0,IF(Fixture!D314&lt;Fixture!F314,0,IF(Fixture!F314&lt;Fixture!D314,3,1)))</f>
        <v>0</v>
      </c>
      <c r="E2310" s="16">
        <f>IF(OR(ISBLANK(Fixture!D314),ISBLANK(Fixture!F314),ISTEXT(Fixture!D314),ISTEXT(Fixture!F314)),0,1)</f>
        <v>0</v>
      </c>
      <c r="F2310" s="16">
        <f t="shared" si="536"/>
        <v>0</v>
      </c>
      <c r="G2310" s="16">
        <f t="shared" si="537"/>
        <v>0</v>
      </c>
      <c r="H2310" s="16">
        <f t="shared" si="538"/>
        <v>0</v>
      </c>
      <c r="I2310" s="63">
        <f>IF(E2310=0,0,Fixture!D314)</f>
        <v>0</v>
      </c>
      <c r="J2310" s="63">
        <f>IF(E2310=0,0,Fixture!F314)</f>
        <v>0</v>
      </c>
      <c r="K2310" s="63">
        <f t="shared" si="539"/>
        <v>0</v>
      </c>
      <c r="L2310" s="63">
        <f t="shared" si="540"/>
        <v>0</v>
      </c>
      <c r="N2310" s="10" t="str">
        <f t="shared" si="542"/>
        <v>00</v>
      </c>
      <c r="O2310" s="10">
        <f t="shared" si="543"/>
        <v>0</v>
      </c>
      <c r="P2310" s="10">
        <f t="shared" si="544"/>
        <v>0</v>
      </c>
      <c r="Q2310" s="10">
        <f t="shared" si="545"/>
        <v>0</v>
      </c>
    </row>
    <row r="2311" spans="1:17">
      <c r="A2311" s="15">
        <f t="shared" si="541"/>
        <v>0</v>
      </c>
      <c r="B2311" s="15"/>
      <c r="C2311" s="14">
        <f>Fixture!C315</f>
        <v>0</v>
      </c>
      <c r="D2311" s="15">
        <f>IF(E2311=0,0,IF(Fixture!D315&lt;Fixture!F315,0,IF(Fixture!F315&lt;Fixture!D315,3,1)))</f>
        <v>0</v>
      </c>
      <c r="E2311" s="16">
        <f>IF(OR(ISBLANK(Fixture!D315),ISBLANK(Fixture!F315),ISTEXT(Fixture!D315),ISTEXT(Fixture!F315)),0,1)</f>
        <v>0</v>
      </c>
      <c r="F2311" s="16">
        <f t="shared" si="536"/>
        <v>0</v>
      </c>
      <c r="G2311" s="16">
        <f t="shared" si="537"/>
        <v>0</v>
      </c>
      <c r="H2311" s="16">
        <f t="shared" si="538"/>
        <v>0</v>
      </c>
      <c r="I2311" s="63">
        <f>IF(E2311=0,0,Fixture!D315)</f>
        <v>0</v>
      </c>
      <c r="J2311" s="63">
        <f>IF(E2311=0,0,Fixture!F315)</f>
        <v>0</v>
      </c>
      <c r="K2311" s="63">
        <f t="shared" si="539"/>
        <v>0</v>
      </c>
      <c r="L2311" s="63">
        <f t="shared" si="540"/>
        <v>0</v>
      </c>
      <c r="N2311" s="10" t="str">
        <f t="shared" si="542"/>
        <v>00</v>
      </c>
      <c r="O2311" s="10">
        <f t="shared" si="543"/>
        <v>0</v>
      </c>
      <c r="P2311" s="10">
        <f t="shared" si="544"/>
        <v>0</v>
      </c>
      <c r="Q2311" s="10">
        <f t="shared" si="545"/>
        <v>0</v>
      </c>
    </row>
    <row r="2312" spans="1:17">
      <c r="A2312" s="15">
        <f t="shared" si="541"/>
        <v>0</v>
      </c>
      <c r="B2312" s="15"/>
      <c r="C2312" s="14">
        <f>Fixture!C316</f>
        <v>0</v>
      </c>
      <c r="D2312" s="15">
        <f>IF(E2312=0,0,IF(Fixture!D316&lt;Fixture!F316,0,IF(Fixture!F316&lt;Fixture!D316,3,1)))</f>
        <v>0</v>
      </c>
      <c r="E2312" s="16">
        <f>IF(OR(ISBLANK(Fixture!D316),ISBLANK(Fixture!F316),ISTEXT(Fixture!D316),ISTEXT(Fixture!F316)),0,1)</f>
        <v>0</v>
      </c>
      <c r="F2312" s="16">
        <f t="shared" si="536"/>
        <v>0</v>
      </c>
      <c r="G2312" s="16">
        <f t="shared" si="537"/>
        <v>0</v>
      </c>
      <c r="H2312" s="16">
        <f t="shared" si="538"/>
        <v>0</v>
      </c>
      <c r="I2312" s="63">
        <f>IF(E2312=0,0,Fixture!D316)</f>
        <v>0</v>
      </c>
      <c r="J2312" s="63">
        <f>IF(E2312=0,0,Fixture!F316)</f>
        <v>0</v>
      </c>
      <c r="K2312" s="63">
        <f t="shared" si="539"/>
        <v>0</v>
      </c>
      <c r="L2312" s="63">
        <f t="shared" si="540"/>
        <v>0</v>
      </c>
      <c r="N2312" s="10" t="str">
        <f t="shared" si="542"/>
        <v>00</v>
      </c>
      <c r="O2312" s="10">
        <f t="shared" si="543"/>
        <v>0</v>
      </c>
      <c r="P2312" s="10">
        <f t="shared" si="544"/>
        <v>0</v>
      </c>
      <c r="Q2312" s="10">
        <f t="shared" si="545"/>
        <v>0</v>
      </c>
    </row>
    <row r="2313" spans="1:17">
      <c r="A2313" s="15">
        <f t="shared" si="541"/>
        <v>0</v>
      </c>
      <c r="B2313" s="15"/>
      <c r="C2313" s="14">
        <f>Fixture!C317</f>
        <v>0</v>
      </c>
      <c r="D2313" s="15">
        <f>IF(E2313=0,0,IF(Fixture!D317&lt;Fixture!F317,0,IF(Fixture!F317&lt;Fixture!D317,3,1)))</f>
        <v>0</v>
      </c>
      <c r="E2313" s="16">
        <f>IF(OR(ISBLANK(Fixture!D317),ISBLANK(Fixture!F317),ISTEXT(Fixture!D317),ISTEXT(Fixture!F317)),0,1)</f>
        <v>0</v>
      </c>
      <c r="F2313" s="16">
        <f t="shared" si="536"/>
        <v>0</v>
      </c>
      <c r="G2313" s="16">
        <f t="shared" si="537"/>
        <v>0</v>
      </c>
      <c r="H2313" s="16">
        <f t="shared" si="538"/>
        <v>0</v>
      </c>
      <c r="I2313" s="63">
        <f>IF(E2313=0,0,Fixture!D317)</f>
        <v>0</v>
      </c>
      <c r="J2313" s="63">
        <f>IF(E2313=0,0,Fixture!F317)</f>
        <v>0</v>
      </c>
      <c r="K2313" s="63">
        <f t="shared" si="539"/>
        <v>0</v>
      </c>
      <c r="L2313" s="63">
        <f t="shared" si="540"/>
        <v>0</v>
      </c>
      <c r="N2313" s="10" t="str">
        <f t="shared" si="542"/>
        <v>00</v>
      </c>
      <c r="O2313" s="10">
        <f t="shared" si="543"/>
        <v>0</v>
      </c>
      <c r="P2313" s="10">
        <f t="shared" si="544"/>
        <v>0</v>
      </c>
      <c r="Q2313" s="10">
        <f t="shared" si="545"/>
        <v>0</v>
      </c>
    </row>
    <row r="2314" spans="1:17">
      <c r="A2314" s="15">
        <f t="shared" si="541"/>
        <v>0</v>
      </c>
      <c r="B2314" s="15"/>
      <c r="C2314" s="14">
        <f>Fixture!C318</f>
        <v>0</v>
      </c>
      <c r="D2314" s="15">
        <f>IF(E2314=0,0,IF(Fixture!D318&lt;Fixture!F318,0,IF(Fixture!F318&lt;Fixture!D318,3,1)))</f>
        <v>0</v>
      </c>
      <c r="E2314" s="16">
        <f>IF(OR(ISBLANK(Fixture!D318),ISBLANK(Fixture!F318),ISTEXT(Fixture!D318),ISTEXT(Fixture!F318)),0,1)</f>
        <v>0</v>
      </c>
      <c r="F2314" s="16">
        <f t="shared" si="536"/>
        <v>0</v>
      </c>
      <c r="G2314" s="16">
        <f t="shared" si="537"/>
        <v>0</v>
      </c>
      <c r="H2314" s="16">
        <f t="shared" si="538"/>
        <v>0</v>
      </c>
      <c r="I2314" s="63">
        <f>IF(E2314=0,0,Fixture!D318)</f>
        <v>0</v>
      </c>
      <c r="J2314" s="63">
        <f>IF(E2314=0,0,Fixture!F318)</f>
        <v>0</v>
      </c>
      <c r="K2314" s="63">
        <f t="shared" si="539"/>
        <v>0</v>
      </c>
      <c r="L2314" s="63">
        <f t="shared" si="540"/>
        <v>0</v>
      </c>
      <c r="N2314" s="10" t="str">
        <f t="shared" si="542"/>
        <v>00</v>
      </c>
      <c r="O2314" s="10">
        <f t="shared" si="543"/>
        <v>0</v>
      </c>
      <c r="P2314" s="10">
        <f t="shared" si="544"/>
        <v>0</v>
      </c>
      <c r="Q2314" s="10">
        <f t="shared" si="545"/>
        <v>0</v>
      </c>
    </row>
    <row r="2315" spans="1:17">
      <c r="A2315" s="15">
        <f t="shared" si="541"/>
        <v>0</v>
      </c>
      <c r="B2315" s="15"/>
      <c r="C2315" s="14">
        <f>Fixture!C319</f>
        <v>0</v>
      </c>
      <c r="D2315" s="15">
        <f>IF(E2315=0,0,IF(Fixture!D319&lt;Fixture!F319,0,IF(Fixture!F319&lt;Fixture!D319,3,1)))</f>
        <v>0</v>
      </c>
      <c r="E2315" s="16">
        <f>IF(OR(ISBLANK(Fixture!D319),ISBLANK(Fixture!F319),ISTEXT(Fixture!D319),ISTEXT(Fixture!F319)),0,1)</f>
        <v>0</v>
      </c>
      <c r="F2315" s="16">
        <f t="shared" si="536"/>
        <v>0</v>
      </c>
      <c r="G2315" s="16">
        <f t="shared" si="537"/>
        <v>0</v>
      </c>
      <c r="H2315" s="16">
        <f t="shared" si="538"/>
        <v>0</v>
      </c>
      <c r="I2315" s="63">
        <f>IF(E2315=0,0,Fixture!D319)</f>
        <v>0</v>
      </c>
      <c r="J2315" s="63">
        <f>IF(E2315=0,0,Fixture!F319)</f>
        <v>0</v>
      </c>
      <c r="K2315" s="63">
        <f t="shared" si="539"/>
        <v>0</v>
      </c>
      <c r="L2315" s="63">
        <f t="shared" si="540"/>
        <v>0</v>
      </c>
      <c r="N2315" s="10" t="str">
        <f t="shared" si="542"/>
        <v>00</v>
      </c>
      <c r="O2315" s="10">
        <f t="shared" si="543"/>
        <v>0</v>
      </c>
      <c r="P2315" s="10">
        <f t="shared" si="544"/>
        <v>0</v>
      </c>
      <c r="Q2315" s="10">
        <f t="shared" si="545"/>
        <v>0</v>
      </c>
    </row>
    <row r="2316" spans="1:17">
      <c r="A2316" s="15">
        <f t="shared" si="541"/>
        <v>0</v>
      </c>
      <c r="B2316" s="15"/>
      <c r="C2316" s="14">
        <f>Fixture!C320</f>
        <v>0</v>
      </c>
      <c r="D2316" s="15">
        <f>IF(E2316=0,0,IF(Fixture!D320&lt;Fixture!F320,0,IF(Fixture!F320&lt;Fixture!D320,3,1)))</f>
        <v>0</v>
      </c>
      <c r="E2316" s="16">
        <f>IF(OR(ISBLANK(Fixture!D320),ISBLANK(Fixture!F320),ISTEXT(Fixture!D320),ISTEXT(Fixture!F320)),0,1)</f>
        <v>0</v>
      </c>
      <c r="F2316" s="16">
        <f t="shared" si="536"/>
        <v>0</v>
      </c>
      <c r="G2316" s="16">
        <f t="shared" si="537"/>
        <v>0</v>
      </c>
      <c r="H2316" s="16">
        <f t="shared" si="538"/>
        <v>0</v>
      </c>
      <c r="I2316" s="63">
        <f>IF(E2316=0,0,Fixture!D320)</f>
        <v>0</v>
      </c>
      <c r="J2316" s="63">
        <f>IF(E2316=0,0,Fixture!F320)</f>
        <v>0</v>
      </c>
      <c r="K2316" s="63">
        <f t="shared" si="539"/>
        <v>0</v>
      </c>
      <c r="L2316" s="63">
        <f t="shared" si="540"/>
        <v>0</v>
      </c>
      <c r="N2316" s="10" t="str">
        <f t="shared" si="542"/>
        <v>00</v>
      </c>
      <c r="O2316" s="10">
        <f t="shared" si="543"/>
        <v>0</v>
      </c>
      <c r="P2316" s="10">
        <f t="shared" si="544"/>
        <v>0</v>
      </c>
      <c r="Q2316" s="10">
        <f t="shared" si="545"/>
        <v>0</v>
      </c>
    </row>
    <row r="2317" spans="1:17">
      <c r="A2317" s="15">
        <f t="shared" si="541"/>
        <v>0</v>
      </c>
      <c r="B2317" s="15"/>
      <c r="C2317" s="14">
        <f>Fixture!C321</f>
        <v>0</v>
      </c>
      <c r="D2317" s="15">
        <f>IF(E2317=0,0,IF(Fixture!D321&lt;Fixture!F321,0,IF(Fixture!F321&lt;Fixture!D321,3,1)))</f>
        <v>0</v>
      </c>
      <c r="E2317" s="16">
        <f>IF(OR(ISBLANK(Fixture!D321),ISBLANK(Fixture!F321),ISTEXT(Fixture!D321),ISTEXT(Fixture!F321)),0,1)</f>
        <v>0</v>
      </c>
      <c r="F2317" s="16">
        <f t="shared" si="536"/>
        <v>0</v>
      </c>
      <c r="G2317" s="16">
        <f t="shared" si="537"/>
        <v>0</v>
      </c>
      <c r="H2317" s="16">
        <f t="shared" si="538"/>
        <v>0</v>
      </c>
      <c r="I2317" s="63">
        <f>IF(E2317=0,0,Fixture!D321)</f>
        <v>0</v>
      </c>
      <c r="J2317" s="63">
        <f>IF(E2317=0,0,Fixture!F321)</f>
        <v>0</v>
      </c>
      <c r="K2317" s="63">
        <f t="shared" si="539"/>
        <v>0</v>
      </c>
      <c r="L2317" s="63">
        <f t="shared" si="540"/>
        <v>0</v>
      </c>
      <c r="N2317" s="10" t="str">
        <f t="shared" si="542"/>
        <v>00</v>
      </c>
      <c r="O2317" s="10">
        <f t="shared" si="543"/>
        <v>0</v>
      </c>
      <c r="P2317" s="10">
        <f t="shared" si="544"/>
        <v>0</v>
      </c>
      <c r="Q2317" s="10">
        <f t="shared" si="545"/>
        <v>0</v>
      </c>
    </row>
    <row r="2318" spans="1:17">
      <c r="A2318" s="15">
        <f t="shared" si="541"/>
        <v>0</v>
      </c>
      <c r="B2318" s="15"/>
      <c r="C2318" s="14">
        <f>Fixture!C322</f>
        <v>0</v>
      </c>
      <c r="D2318" s="15">
        <f>IF(E2318=0,0,IF(Fixture!D322&lt;Fixture!F322,0,IF(Fixture!F322&lt;Fixture!D322,3,1)))</f>
        <v>0</v>
      </c>
      <c r="E2318" s="16">
        <f>IF(OR(ISBLANK(Fixture!D322),ISBLANK(Fixture!F322),ISTEXT(Fixture!D322),ISTEXT(Fixture!F322)),0,1)</f>
        <v>0</v>
      </c>
      <c r="F2318" s="16">
        <f t="shared" si="536"/>
        <v>0</v>
      </c>
      <c r="G2318" s="16">
        <f t="shared" si="537"/>
        <v>0</v>
      </c>
      <c r="H2318" s="16">
        <f t="shared" si="538"/>
        <v>0</v>
      </c>
      <c r="I2318" s="63">
        <f>IF(E2318=0,0,Fixture!D322)</f>
        <v>0</v>
      </c>
      <c r="J2318" s="63">
        <f>IF(E2318=0,0,Fixture!F322)</f>
        <v>0</v>
      </c>
      <c r="K2318" s="63">
        <f t="shared" si="539"/>
        <v>0</v>
      </c>
      <c r="L2318" s="63">
        <f t="shared" si="540"/>
        <v>0</v>
      </c>
      <c r="N2318" s="10" t="str">
        <f t="shared" si="542"/>
        <v>00</v>
      </c>
      <c r="O2318" s="10">
        <f t="shared" si="543"/>
        <v>0</v>
      </c>
      <c r="P2318" s="10">
        <f t="shared" si="544"/>
        <v>0</v>
      </c>
      <c r="Q2318" s="10">
        <f t="shared" si="545"/>
        <v>0</v>
      </c>
    </row>
    <row r="2319" spans="1:17">
      <c r="A2319" s="15">
        <f t="shared" si="541"/>
        <v>0</v>
      </c>
      <c r="B2319" s="15"/>
      <c r="C2319" s="14">
        <f>Fixture!C323</f>
        <v>0</v>
      </c>
      <c r="D2319" s="15">
        <f>IF(E2319=0,0,IF(Fixture!D323&lt;Fixture!F323,0,IF(Fixture!F323&lt;Fixture!D323,3,1)))</f>
        <v>0</v>
      </c>
      <c r="E2319" s="16">
        <f>IF(OR(ISBLANK(Fixture!D323),ISBLANK(Fixture!F323),ISTEXT(Fixture!D323),ISTEXT(Fixture!F323)),0,1)</f>
        <v>0</v>
      </c>
      <c r="F2319" s="16">
        <f t="shared" si="536"/>
        <v>0</v>
      </c>
      <c r="G2319" s="16">
        <f t="shared" si="537"/>
        <v>0</v>
      </c>
      <c r="H2319" s="16">
        <f t="shared" si="538"/>
        <v>0</v>
      </c>
      <c r="I2319" s="63">
        <f>IF(E2319=0,0,Fixture!D323)</f>
        <v>0</v>
      </c>
      <c r="J2319" s="63">
        <f>IF(E2319=0,0,Fixture!F323)</f>
        <v>0</v>
      </c>
      <c r="K2319" s="63">
        <f t="shared" si="539"/>
        <v>0</v>
      </c>
      <c r="L2319" s="63">
        <f t="shared" si="540"/>
        <v>0</v>
      </c>
      <c r="N2319" s="10" t="str">
        <f t="shared" si="542"/>
        <v>00</v>
      </c>
      <c r="O2319" s="10">
        <f t="shared" si="543"/>
        <v>0</v>
      </c>
      <c r="P2319" s="10">
        <f t="shared" si="544"/>
        <v>0</v>
      </c>
      <c r="Q2319" s="10">
        <f t="shared" si="545"/>
        <v>0</v>
      </c>
    </row>
    <row r="2320" spans="1:17">
      <c r="A2320" s="15">
        <f t="shared" si="541"/>
        <v>0</v>
      </c>
      <c r="B2320" s="15"/>
      <c r="C2320" s="14">
        <f>Fixture!C324</f>
        <v>0</v>
      </c>
      <c r="D2320" s="15">
        <f>IF(E2320=0,0,IF(Fixture!D324&lt;Fixture!F324,0,IF(Fixture!F324&lt;Fixture!D324,3,1)))</f>
        <v>0</v>
      </c>
      <c r="E2320" s="16">
        <f>IF(OR(ISBLANK(Fixture!D324),ISBLANK(Fixture!F324),ISTEXT(Fixture!D324),ISTEXT(Fixture!F324)),0,1)</f>
        <v>0</v>
      </c>
      <c r="F2320" s="16">
        <f t="shared" si="536"/>
        <v>0</v>
      </c>
      <c r="G2320" s="16">
        <f t="shared" si="537"/>
        <v>0</v>
      </c>
      <c r="H2320" s="16">
        <f t="shared" si="538"/>
        <v>0</v>
      </c>
      <c r="I2320" s="63">
        <f>IF(E2320=0,0,Fixture!D324)</f>
        <v>0</v>
      </c>
      <c r="J2320" s="63">
        <f>IF(E2320=0,0,Fixture!F324)</f>
        <v>0</v>
      </c>
      <c r="K2320" s="63">
        <f t="shared" si="539"/>
        <v>0</v>
      </c>
      <c r="L2320" s="63">
        <f t="shared" si="540"/>
        <v>0</v>
      </c>
      <c r="N2320" s="10" t="str">
        <f t="shared" si="542"/>
        <v>00</v>
      </c>
      <c r="O2320" s="10">
        <f t="shared" si="543"/>
        <v>0</v>
      </c>
      <c r="P2320" s="10">
        <f t="shared" si="544"/>
        <v>0</v>
      </c>
      <c r="Q2320" s="10">
        <f t="shared" si="545"/>
        <v>0</v>
      </c>
    </row>
    <row r="2321" spans="1:17">
      <c r="A2321" s="15">
        <f t="shared" si="541"/>
        <v>0</v>
      </c>
      <c r="B2321" s="15"/>
      <c r="C2321" s="14">
        <f>Fixture!C325</f>
        <v>0</v>
      </c>
      <c r="D2321" s="15">
        <f>IF(E2321=0,0,IF(Fixture!D325&lt;Fixture!F325,0,IF(Fixture!F325&lt;Fixture!D325,3,1)))</f>
        <v>0</v>
      </c>
      <c r="E2321" s="16">
        <f>IF(OR(ISBLANK(Fixture!D325),ISBLANK(Fixture!F325),ISTEXT(Fixture!D325),ISTEXT(Fixture!F325)),0,1)</f>
        <v>0</v>
      </c>
      <c r="F2321" s="16">
        <f t="shared" ref="F2321:F2384" si="546">IF(E2321=0,0,IF(D2321&lt;&gt;3,0,1))</f>
        <v>0</v>
      </c>
      <c r="G2321" s="16">
        <f t="shared" ref="G2321:G2384" si="547">IF(E2321=0,0,IF(D2321&lt;&gt;1,0,1))</f>
        <v>0</v>
      </c>
      <c r="H2321" s="16">
        <f t="shared" ref="H2321:H2384" si="548">IF(E2321=0,0,IF(D2321&lt;&gt;0,0,1))</f>
        <v>0</v>
      </c>
      <c r="I2321" s="63">
        <f>IF(E2321=0,0,Fixture!D325)</f>
        <v>0</v>
      </c>
      <c r="J2321" s="63">
        <f>IF(E2321=0,0,Fixture!F325)</f>
        <v>0</v>
      </c>
      <c r="K2321" s="63">
        <f t="shared" ref="K2321:K2384" si="549">IF(E2321=0,0,IF(I2321&gt;0,0,1))</f>
        <v>0</v>
      </c>
      <c r="L2321" s="63">
        <f t="shared" ref="L2321:L2384" si="550">IF(E2321=0,0,IF(J2321&gt;0,0,1))</f>
        <v>0</v>
      </c>
      <c r="N2321" s="10" t="str">
        <f t="shared" si="542"/>
        <v>00</v>
      </c>
      <c r="O2321" s="10">
        <f t="shared" si="543"/>
        <v>0</v>
      </c>
      <c r="P2321" s="10">
        <f t="shared" si="544"/>
        <v>0</v>
      </c>
      <c r="Q2321" s="10">
        <f t="shared" si="545"/>
        <v>0</v>
      </c>
    </row>
    <row r="2322" spans="1:17">
      <c r="A2322" s="15">
        <f t="shared" ref="A2322:A2385" si="551">A365</f>
        <v>0</v>
      </c>
      <c r="B2322" s="15"/>
      <c r="C2322" s="14">
        <f>Fixture!C326</f>
        <v>0</v>
      </c>
      <c r="D2322" s="15">
        <f>IF(E2322=0,0,IF(Fixture!D326&lt;Fixture!F326,0,IF(Fixture!F326&lt;Fixture!D326,3,1)))</f>
        <v>0</v>
      </c>
      <c r="E2322" s="16">
        <f>IF(OR(ISBLANK(Fixture!D326),ISBLANK(Fixture!F326),ISTEXT(Fixture!D326),ISTEXT(Fixture!F326)),0,1)</f>
        <v>0</v>
      </c>
      <c r="F2322" s="16">
        <f t="shared" si="546"/>
        <v>0</v>
      </c>
      <c r="G2322" s="16">
        <f t="shared" si="547"/>
        <v>0</v>
      </c>
      <c r="H2322" s="16">
        <f t="shared" si="548"/>
        <v>0</v>
      </c>
      <c r="I2322" s="63">
        <f>IF(E2322=0,0,Fixture!D326)</f>
        <v>0</v>
      </c>
      <c r="J2322" s="63">
        <f>IF(E2322=0,0,Fixture!F326)</f>
        <v>0</v>
      </c>
      <c r="K2322" s="63">
        <f t="shared" si="549"/>
        <v>0</v>
      </c>
      <c r="L2322" s="63">
        <f t="shared" si="550"/>
        <v>0</v>
      </c>
      <c r="N2322" s="10" t="str">
        <f t="shared" ref="N2322:N2385" si="552">CONCATENATE(C2322,A2322)</f>
        <v>00</v>
      </c>
      <c r="O2322" s="10">
        <f t="shared" ref="O2322:O2385" si="553">D2322</f>
        <v>0</v>
      </c>
      <c r="P2322" s="10">
        <f t="shared" ref="P2322:P2385" si="554">I2322</f>
        <v>0</v>
      </c>
      <c r="Q2322" s="10">
        <f t="shared" ref="Q2322:Q2385" si="555">J2322</f>
        <v>0</v>
      </c>
    </row>
    <row r="2323" spans="1:17">
      <c r="A2323" s="15">
        <f t="shared" si="551"/>
        <v>0</v>
      </c>
      <c r="B2323" s="15"/>
      <c r="C2323" s="14">
        <f>Fixture!C327</f>
        <v>0</v>
      </c>
      <c r="D2323" s="15">
        <f>IF(E2323=0,0,IF(Fixture!D327&lt;Fixture!F327,0,IF(Fixture!F327&lt;Fixture!D327,3,1)))</f>
        <v>0</v>
      </c>
      <c r="E2323" s="16">
        <f>IF(OR(ISBLANK(Fixture!D327),ISBLANK(Fixture!F327),ISTEXT(Fixture!D327),ISTEXT(Fixture!F327)),0,1)</f>
        <v>0</v>
      </c>
      <c r="F2323" s="16">
        <f t="shared" si="546"/>
        <v>0</v>
      </c>
      <c r="G2323" s="16">
        <f t="shared" si="547"/>
        <v>0</v>
      </c>
      <c r="H2323" s="16">
        <f t="shared" si="548"/>
        <v>0</v>
      </c>
      <c r="I2323" s="63">
        <f>IF(E2323=0,0,Fixture!D327)</f>
        <v>0</v>
      </c>
      <c r="J2323" s="63">
        <f>IF(E2323=0,0,Fixture!F327)</f>
        <v>0</v>
      </c>
      <c r="K2323" s="63">
        <f t="shared" si="549"/>
        <v>0</v>
      </c>
      <c r="L2323" s="63">
        <f t="shared" si="550"/>
        <v>0</v>
      </c>
      <c r="N2323" s="10" t="str">
        <f t="shared" si="552"/>
        <v>00</v>
      </c>
      <c r="O2323" s="10">
        <f t="shared" si="553"/>
        <v>0</v>
      </c>
      <c r="P2323" s="10">
        <f t="shared" si="554"/>
        <v>0</v>
      </c>
      <c r="Q2323" s="10">
        <f t="shared" si="555"/>
        <v>0</v>
      </c>
    </row>
    <row r="2324" spans="1:17">
      <c r="A2324" s="15">
        <f t="shared" si="551"/>
        <v>0</v>
      </c>
      <c r="B2324" s="15"/>
      <c r="C2324" s="14">
        <f>Fixture!C328</f>
        <v>0</v>
      </c>
      <c r="D2324" s="15">
        <f>IF(E2324=0,0,IF(Fixture!D328&lt;Fixture!F328,0,IF(Fixture!F328&lt;Fixture!D328,3,1)))</f>
        <v>0</v>
      </c>
      <c r="E2324" s="16">
        <f>IF(OR(ISBLANK(Fixture!D328),ISBLANK(Fixture!F328),ISTEXT(Fixture!D328),ISTEXT(Fixture!F328)),0,1)</f>
        <v>0</v>
      </c>
      <c r="F2324" s="16">
        <f t="shared" si="546"/>
        <v>0</v>
      </c>
      <c r="G2324" s="16">
        <f t="shared" si="547"/>
        <v>0</v>
      </c>
      <c r="H2324" s="16">
        <f t="shared" si="548"/>
        <v>0</v>
      </c>
      <c r="I2324" s="63">
        <f>IF(E2324=0,0,Fixture!D328)</f>
        <v>0</v>
      </c>
      <c r="J2324" s="63">
        <f>IF(E2324=0,0,Fixture!F328)</f>
        <v>0</v>
      </c>
      <c r="K2324" s="63">
        <f t="shared" si="549"/>
        <v>0</v>
      </c>
      <c r="L2324" s="63">
        <f t="shared" si="550"/>
        <v>0</v>
      </c>
      <c r="N2324" s="10" t="str">
        <f t="shared" si="552"/>
        <v>00</v>
      </c>
      <c r="O2324" s="10">
        <f t="shared" si="553"/>
        <v>0</v>
      </c>
      <c r="P2324" s="10">
        <f t="shared" si="554"/>
        <v>0</v>
      </c>
      <c r="Q2324" s="10">
        <f t="shared" si="555"/>
        <v>0</v>
      </c>
    </row>
    <row r="2325" spans="1:17">
      <c r="A2325" s="15">
        <f t="shared" si="551"/>
        <v>0</v>
      </c>
      <c r="B2325" s="15"/>
      <c r="C2325" s="14">
        <f>Fixture!C329</f>
        <v>0</v>
      </c>
      <c r="D2325" s="15">
        <f>IF(E2325=0,0,IF(Fixture!D329&lt;Fixture!F329,0,IF(Fixture!F329&lt;Fixture!D329,3,1)))</f>
        <v>0</v>
      </c>
      <c r="E2325" s="16">
        <f>IF(OR(ISBLANK(Fixture!D329),ISBLANK(Fixture!F329),ISTEXT(Fixture!D329),ISTEXT(Fixture!F329)),0,1)</f>
        <v>0</v>
      </c>
      <c r="F2325" s="16">
        <f t="shared" si="546"/>
        <v>0</v>
      </c>
      <c r="G2325" s="16">
        <f t="shared" si="547"/>
        <v>0</v>
      </c>
      <c r="H2325" s="16">
        <f t="shared" si="548"/>
        <v>0</v>
      </c>
      <c r="I2325" s="63">
        <f>IF(E2325=0,0,Fixture!D329)</f>
        <v>0</v>
      </c>
      <c r="J2325" s="63">
        <f>IF(E2325=0,0,Fixture!F329)</f>
        <v>0</v>
      </c>
      <c r="K2325" s="63">
        <f t="shared" si="549"/>
        <v>0</v>
      </c>
      <c r="L2325" s="63">
        <f t="shared" si="550"/>
        <v>0</v>
      </c>
      <c r="N2325" s="10" t="str">
        <f t="shared" si="552"/>
        <v>00</v>
      </c>
      <c r="O2325" s="10">
        <f t="shared" si="553"/>
        <v>0</v>
      </c>
      <c r="P2325" s="10">
        <f t="shared" si="554"/>
        <v>0</v>
      </c>
      <c r="Q2325" s="10">
        <f t="shared" si="555"/>
        <v>0</v>
      </c>
    </row>
    <row r="2326" spans="1:17">
      <c r="A2326" s="15">
        <f t="shared" si="551"/>
        <v>0</v>
      </c>
      <c r="B2326" s="15"/>
      <c r="C2326" s="14">
        <f>Fixture!C330</f>
        <v>0</v>
      </c>
      <c r="D2326" s="15">
        <f>IF(E2326=0,0,IF(Fixture!D330&lt;Fixture!F330,0,IF(Fixture!F330&lt;Fixture!D330,3,1)))</f>
        <v>0</v>
      </c>
      <c r="E2326" s="16">
        <f>IF(OR(ISBLANK(Fixture!D330),ISBLANK(Fixture!F330),ISTEXT(Fixture!D330),ISTEXT(Fixture!F330)),0,1)</f>
        <v>0</v>
      </c>
      <c r="F2326" s="16">
        <f t="shared" si="546"/>
        <v>0</v>
      </c>
      <c r="G2326" s="16">
        <f t="shared" si="547"/>
        <v>0</v>
      </c>
      <c r="H2326" s="16">
        <f t="shared" si="548"/>
        <v>0</v>
      </c>
      <c r="I2326" s="63">
        <f>IF(E2326=0,0,Fixture!D330)</f>
        <v>0</v>
      </c>
      <c r="J2326" s="63">
        <f>IF(E2326=0,0,Fixture!F330)</f>
        <v>0</v>
      </c>
      <c r="K2326" s="63">
        <f t="shared" si="549"/>
        <v>0</v>
      </c>
      <c r="L2326" s="63">
        <f t="shared" si="550"/>
        <v>0</v>
      </c>
      <c r="N2326" s="10" t="str">
        <f t="shared" si="552"/>
        <v>00</v>
      </c>
      <c r="O2326" s="10">
        <f t="shared" si="553"/>
        <v>0</v>
      </c>
      <c r="P2326" s="10">
        <f t="shared" si="554"/>
        <v>0</v>
      </c>
      <c r="Q2326" s="10">
        <f t="shared" si="555"/>
        <v>0</v>
      </c>
    </row>
    <row r="2327" spans="1:17">
      <c r="A2327" s="15">
        <f t="shared" si="551"/>
        <v>0</v>
      </c>
      <c r="B2327" s="15"/>
      <c r="C2327" s="14">
        <f>Fixture!C331</f>
        <v>0</v>
      </c>
      <c r="D2327" s="15">
        <f>IF(E2327=0,0,IF(Fixture!D331&lt;Fixture!F331,0,IF(Fixture!F331&lt;Fixture!D331,3,1)))</f>
        <v>0</v>
      </c>
      <c r="E2327" s="16">
        <f>IF(OR(ISBLANK(Fixture!D331),ISBLANK(Fixture!F331),ISTEXT(Fixture!D331),ISTEXT(Fixture!F331)),0,1)</f>
        <v>0</v>
      </c>
      <c r="F2327" s="16">
        <f t="shared" si="546"/>
        <v>0</v>
      </c>
      <c r="G2327" s="16">
        <f t="shared" si="547"/>
        <v>0</v>
      </c>
      <c r="H2327" s="16">
        <f t="shared" si="548"/>
        <v>0</v>
      </c>
      <c r="I2327" s="63">
        <f>IF(E2327=0,0,Fixture!D331)</f>
        <v>0</v>
      </c>
      <c r="J2327" s="63">
        <f>IF(E2327=0,0,Fixture!F331)</f>
        <v>0</v>
      </c>
      <c r="K2327" s="63">
        <f t="shared" si="549"/>
        <v>0</v>
      </c>
      <c r="L2327" s="63">
        <f t="shared" si="550"/>
        <v>0</v>
      </c>
      <c r="N2327" s="10" t="str">
        <f t="shared" si="552"/>
        <v>00</v>
      </c>
      <c r="O2327" s="10">
        <f t="shared" si="553"/>
        <v>0</v>
      </c>
      <c r="P2327" s="10">
        <f t="shared" si="554"/>
        <v>0</v>
      </c>
      <c r="Q2327" s="10">
        <f t="shared" si="555"/>
        <v>0</v>
      </c>
    </row>
    <row r="2328" spans="1:17">
      <c r="A2328" s="15">
        <f t="shared" si="551"/>
        <v>0</v>
      </c>
      <c r="B2328" s="15"/>
      <c r="C2328" s="14">
        <f>Fixture!C332</f>
        <v>0</v>
      </c>
      <c r="D2328" s="15">
        <f>IF(E2328=0,0,IF(Fixture!D332&lt;Fixture!F332,0,IF(Fixture!F332&lt;Fixture!D332,3,1)))</f>
        <v>0</v>
      </c>
      <c r="E2328" s="16">
        <f>IF(OR(ISBLANK(Fixture!D332),ISBLANK(Fixture!F332),ISTEXT(Fixture!D332),ISTEXT(Fixture!F332)),0,1)</f>
        <v>0</v>
      </c>
      <c r="F2328" s="16">
        <f t="shared" si="546"/>
        <v>0</v>
      </c>
      <c r="G2328" s="16">
        <f t="shared" si="547"/>
        <v>0</v>
      </c>
      <c r="H2328" s="16">
        <f t="shared" si="548"/>
        <v>0</v>
      </c>
      <c r="I2328" s="63">
        <f>IF(E2328=0,0,Fixture!D332)</f>
        <v>0</v>
      </c>
      <c r="J2328" s="63">
        <f>IF(E2328=0,0,Fixture!F332)</f>
        <v>0</v>
      </c>
      <c r="K2328" s="63">
        <f t="shared" si="549"/>
        <v>0</v>
      </c>
      <c r="L2328" s="63">
        <f t="shared" si="550"/>
        <v>0</v>
      </c>
      <c r="N2328" s="10" t="str">
        <f t="shared" si="552"/>
        <v>00</v>
      </c>
      <c r="O2328" s="10">
        <f t="shared" si="553"/>
        <v>0</v>
      </c>
      <c r="P2328" s="10">
        <f t="shared" si="554"/>
        <v>0</v>
      </c>
      <c r="Q2328" s="10">
        <f t="shared" si="555"/>
        <v>0</v>
      </c>
    </row>
    <row r="2329" spans="1:17">
      <c r="A2329" s="15">
        <f t="shared" si="551"/>
        <v>0</v>
      </c>
      <c r="B2329" s="15"/>
      <c r="C2329" s="14">
        <f>Fixture!C333</f>
        <v>0</v>
      </c>
      <c r="D2329" s="15">
        <f>IF(E2329=0,0,IF(Fixture!D333&lt;Fixture!F333,0,IF(Fixture!F333&lt;Fixture!D333,3,1)))</f>
        <v>0</v>
      </c>
      <c r="E2329" s="16">
        <f>IF(OR(ISBLANK(Fixture!D333),ISBLANK(Fixture!F333),ISTEXT(Fixture!D333),ISTEXT(Fixture!F333)),0,1)</f>
        <v>0</v>
      </c>
      <c r="F2329" s="16">
        <f t="shared" si="546"/>
        <v>0</v>
      </c>
      <c r="G2329" s="16">
        <f t="shared" si="547"/>
        <v>0</v>
      </c>
      <c r="H2329" s="16">
        <f t="shared" si="548"/>
        <v>0</v>
      </c>
      <c r="I2329" s="63">
        <f>IF(E2329=0,0,Fixture!D333)</f>
        <v>0</v>
      </c>
      <c r="J2329" s="63">
        <f>IF(E2329=0,0,Fixture!F333)</f>
        <v>0</v>
      </c>
      <c r="K2329" s="63">
        <f t="shared" si="549"/>
        <v>0</v>
      </c>
      <c r="L2329" s="63">
        <f t="shared" si="550"/>
        <v>0</v>
      </c>
      <c r="N2329" s="10" t="str">
        <f t="shared" si="552"/>
        <v>00</v>
      </c>
      <c r="O2329" s="10">
        <f t="shared" si="553"/>
        <v>0</v>
      </c>
      <c r="P2329" s="10">
        <f t="shared" si="554"/>
        <v>0</v>
      </c>
      <c r="Q2329" s="10">
        <f t="shared" si="555"/>
        <v>0</v>
      </c>
    </row>
    <row r="2330" spans="1:17">
      <c r="A2330" s="15">
        <f t="shared" si="551"/>
        <v>0</v>
      </c>
      <c r="B2330" s="15"/>
      <c r="C2330" s="14">
        <f>Fixture!C334</f>
        <v>0</v>
      </c>
      <c r="D2330" s="15">
        <f>IF(E2330=0,0,IF(Fixture!D334&lt;Fixture!F334,0,IF(Fixture!F334&lt;Fixture!D334,3,1)))</f>
        <v>0</v>
      </c>
      <c r="E2330" s="16">
        <f>IF(OR(ISBLANK(Fixture!D334),ISBLANK(Fixture!F334),ISTEXT(Fixture!D334),ISTEXT(Fixture!F334)),0,1)</f>
        <v>0</v>
      </c>
      <c r="F2330" s="16">
        <f t="shared" si="546"/>
        <v>0</v>
      </c>
      <c r="G2330" s="16">
        <f t="shared" si="547"/>
        <v>0</v>
      </c>
      <c r="H2330" s="16">
        <f t="shared" si="548"/>
        <v>0</v>
      </c>
      <c r="I2330" s="63">
        <f>IF(E2330=0,0,Fixture!D334)</f>
        <v>0</v>
      </c>
      <c r="J2330" s="63">
        <f>IF(E2330=0,0,Fixture!F334)</f>
        <v>0</v>
      </c>
      <c r="K2330" s="63">
        <f t="shared" si="549"/>
        <v>0</v>
      </c>
      <c r="L2330" s="63">
        <f t="shared" si="550"/>
        <v>0</v>
      </c>
      <c r="N2330" s="10" t="str">
        <f t="shared" si="552"/>
        <v>00</v>
      </c>
      <c r="O2330" s="10">
        <f t="shared" si="553"/>
        <v>0</v>
      </c>
      <c r="P2330" s="10">
        <f t="shared" si="554"/>
        <v>0</v>
      </c>
      <c r="Q2330" s="10">
        <f t="shared" si="555"/>
        <v>0</v>
      </c>
    </row>
    <row r="2331" spans="1:17">
      <c r="A2331" s="15">
        <f t="shared" si="551"/>
        <v>0</v>
      </c>
      <c r="B2331" s="15"/>
      <c r="C2331" s="14">
        <f>Fixture!C335</f>
        <v>0</v>
      </c>
      <c r="D2331" s="15">
        <f>IF(E2331=0,0,IF(Fixture!D335&lt;Fixture!F335,0,IF(Fixture!F335&lt;Fixture!D335,3,1)))</f>
        <v>0</v>
      </c>
      <c r="E2331" s="16">
        <f>IF(OR(ISBLANK(Fixture!D335),ISBLANK(Fixture!F335),ISTEXT(Fixture!D335),ISTEXT(Fixture!F335)),0,1)</f>
        <v>0</v>
      </c>
      <c r="F2331" s="16">
        <f t="shared" si="546"/>
        <v>0</v>
      </c>
      <c r="G2331" s="16">
        <f t="shared" si="547"/>
        <v>0</v>
      </c>
      <c r="H2331" s="16">
        <f t="shared" si="548"/>
        <v>0</v>
      </c>
      <c r="I2331" s="63">
        <f>IF(E2331=0,0,Fixture!D335)</f>
        <v>0</v>
      </c>
      <c r="J2331" s="63">
        <f>IF(E2331=0,0,Fixture!F335)</f>
        <v>0</v>
      </c>
      <c r="K2331" s="63">
        <f t="shared" si="549"/>
        <v>0</v>
      </c>
      <c r="L2331" s="63">
        <f t="shared" si="550"/>
        <v>0</v>
      </c>
      <c r="N2331" s="10" t="str">
        <f t="shared" si="552"/>
        <v>00</v>
      </c>
      <c r="O2331" s="10">
        <f t="shared" si="553"/>
        <v>0</v>
      </c>
      <c r="P2331" s="10">
        <f t="shared" si="554"/>
        <v>0</v>
      </c>
      <c r="Q2331" s="10">
        <f t="shared" si="555"/>
        <v>0</v>
      </c>
    </row>
    <row r="2332" spans="1:17">
      <c r="A2332" s="15">
        <f t="shared" si="551"/>
        <v>0</v>
      </c>
      <c r="B2332" s="15"/>
      <c r="C2332" s="14">
        <f>Fixture!C336</f>
        <v>0</v>
      </c>
      <c r="D2332" s="15">
        <f>IF(E2332=0,0,IF(Fixture!D336&lt;Fixture!F336,0,IF(Fixture!F336&lt;Fixture!D336,3,1)))</f>
        <v>0</v>
      </c>
      <c r="E2332" s="16">
        <f>IF(OR(ISBLANK(Fixture!D336),ISBLANK(Fixture!F336),ISTEXT(Fixture!D336),ISTEXT(Fixture!F336)),0,1)</f>
        <v>0</v>
      </c>
      <c r="F2332" s="16">
        <f t="shared" si="546"/>
        <v>0</v>
      </c>
      <c r="G2332" s="16">
        <f t="shared" si="547"/>
        <v>0</v>
      </c>
      <c r="H2332" s="16">
        <f t="shared" si="548"/>
        <v>0</v>
      </c>
      <c r="I2332" s="63">
        <f>IF(E2332=0,0,Fixture!D336)</f>
        <v>0</v>
      </c>
      <c r="J2332" s="63">
        <f>IF(E2332=0,0,Fixture!F336)</f>
        <v>0</v>
      </c>
      <c r="K2332" s="63">
        <f t="shared" si="549"/>
        <v>0</v>
      </c>
      <c r="L2332" s="63">
        <f t="shared" si="550"/>
        <v>0</v>
      </c>
      <c r="N2332" s="10" t="str">
        <f t="shared" si="552"/>
        <v>00</v>
      </c>
      <c r="O2332" s="10">
        <f t="shared" si="553"/>
        <v>0</v>
      </c>
      <c r="P2332" s="10">
        <f t="shared" si="554"/>
        <v>0</v>
      </c>
      <c r="Q2332" s="10">
        <f t="shared" si="555"/>
        <v>0</v>
      </c>
    </row>
    <row r="2333" spans="1:17">
      <c r="A2333" s="15">
        <f t="shared" si="551"/>
        <v>0</v>
      </c>
      <c r="B2333" s="15"/>
      <c r="C2333" s="14">
        <f>Fixture!C337</f>
        <v>0</v>
      </c>
      <c r="D2333" s="15">
        <f>IF(E2333=0,0,IF(Fixture!D337&lt;Fixture!F337,0,IF(Fixture!F337&lt;Fixture!D337,3,1)))</f>
        <v>0</v>
      </c>
      <c r="E2333" s="16">
        <f>IF(OR(ISBLANK(Fixture!D337),ISBLANK(Fixture!F337),ISTEXT(Fixture!D337),ISTEXT(Fixture!F337)),0,1)</f>
        <v>0</v>
      </c>
      <c r="F2333" s="16">
        <f t="shared" si="546"/>
        <v>0</v>
      </c>
      <c r="G2333" s="16">
        <f t="shared" si="547"/>
        <v>0</v>
      </c>
      <c r="H2333" s="16">
        <f t="shared" si="548"/>
        <v>0</v>
      </c>
      <c r="I2333" s="63">
        <f>IF(E2333=0,0,Fixture!D337)</f>
        <v>0</v>
      </c>
      <c r="J2333" s="63">
        <f>IF(E2333=0,0,Fixture!F337)</f>
        <v>0</v>
      </c>
      <c r="K2333" s="63">
        <f t="shared" si="549"/>
        <v>0</v>
      </c>
      <c r="L2333" s="63">
        <f t="shared" si="550"/>
        <v>0</v>
      </c>
      <c r="N2333" s="10" t="str">
        <f t="shared" si="552"/>
        <v>00</v>
      </c>
      <c r="O2333" s="10">
        <f t="shared" si="553"/>
        <v>0</v>
      </c>
      <c r="P2333" s="10">
        <f t="shared" si="554"/>
        <v>0</v>
      </c>
      <c r="Q2333" s="10">
        <f t="shared" si="555"/>
        <v>0</v>
      </c>
    </row>
    <row r="2334" spans="1:17">
      <c r="A2334" s="15">
        <f t="shared" si="551"/>
        <v>0</v>
      </c>
      <c r="B2334" s="15"/>
      <c r="C2334" s="14">
        <f>Fixture!C338</f>
        <v>0</v>
      </c>
      <c r="D2334" s="15">
        <f>IF(E2334=0,0,IF(Fixture!D338&lt;Fixture!F338,0,IF(Fixture!F338&lt;Fixture!D338,3,1)))</f>
        <v>0</v>
      </c>
      <c r="E2334" s="16">
        <f>IF(OR(ISBLANK(Fixture!D338),ISBLANK(Fixture!F338),ISTEXT(Fixture!D338),ISTEXT(Fixture!F338)),0,1)</f>
        <v>0</v>
      </c>
      <c r="F2334" s="16">
        <f t="shared" si="546"/>
        <v>0</v>
      </c>
      <c r="G2334" s="16">
        <f t="shared" si="547"/>
        <v>0</v>
      </c>
      <c r="H2334" s="16">
        <f t="shared" si="548"/>
        <v>0</v>
      </c>
      <c r="I2334" s="63">
        <f>IF(E2334=0,0,Fixture!D338)</f>
        <v>0</v>
      </c>
      <c r="J2334" s="63">
        <f>IF(E2334=0,0,Fixture!F338)</f>
        <v>0</v>
      </c>
      <c r="K2334" s="63">
        <f t="shared" si="549"/>
        <v>0</v>
      </c>
      <c r="L2334" s="63">
        <f t="shared" si="550"/>
        <v>0</v>
      </c>
      <c r="N2334" s="10" t="str">
        <f t="shared" si="552"/>
        <v>00</v>
      </c>
      <c r="O2334" s="10">
        <f t="shared" si="553"/>
        <v>0</v>
      </c>
      <c r="P2334" s="10">
        <f t="shared" si="554"/>
        <v>0</v>
      </c>
      <c r="Q2334" s="10">
        <f t="shared" si="555"/>
        <v>0</v>
      </c>
    </row>
    <row r="2335" spans="1:17">
      <c r="A2335" s="15">
        <f t="shared" si="551"/>
        <v>0</v>
      </c>
      <c r="B2335" s="15"/>
      <c r="C2335" s="14">
        <f>Fixture!C339</f>
        <v>0</v>
      </c>
      <c r="D2335" s="15">
        <f>IF(E2335=0,0,IF(Fixture!D339&lt;Fixture!F339,0,IF(Fixture!F339&lt;Fixture!D339,3,1)))</f>
        <v>0</v>
      </c>
      <c r="E2335" s="16">
        <f>IF(OR(ISBLANK(Fixture!D339),ISBLANK(Fixture!F339),ISTEXT(Fixture!D339),ISTEXT(Fixture!F339)),0,1)</f>
        <v>0</v>
      </c>
      <c r="F2335" s="16">
        <f t="shared" si="546"/>
        <v>0</v>
      </c>
      <c r="G2335" s="16">
        <f t="shared" si="547"/>
        <v>0</v>
      </c>
      <c r="H2335" s="16">
        <f t="shared" si="548"/>
        <v>0</v>
      </c>
      <c r="I2335" s="63">
        <f>IF(E2335=0,0,Fixture!D339)</f>
        <v>0</v>
      </c>
      <c r="J2335" s="63">
        <f>IF(E2335=0,0,Fixture!F339)</f>
        <v>0</v>
      </c>
      <c r="K2335" s="63">
        <f t="shared" si="549"/>
        <v>0</v>
      </c>
      <c r="L2335" s="63">
        <f t="shared" si="550"/>
        <v>0</v>
      </c>
      <c r="N2335" s="10" t="str">
        <f t="shared" si="552"/>
        <v>00</v>
      </c>
      <c r="O2335" s="10">
        <f t="shared" si="553"/>
        <v>0</v>
      </c>
      <c r="P2335" s="10">
        <f t="shared" si="554"/>
        <v>0</v>
      </c>
      <c r="Q2335" s="10">
        <f t="shared" si="555"/>
        <v>0</v>
      </c>
    </row>
    <row r="2336" spans="1:17">
      <c r="A2336" s="15">
        <f t="shared" si="551"/>
        <v>0</v>
      </c>
      <c r="B2336" s="15"/>
      <c r="C2336" s="14">
        <f>Fixture!C340</f>
        <v>0</v>
      </c>
      <c r="D2336" s="15">
        <f>IF(E2336=0,0,IF(Fixture!D340&lt;Fixture!F340,0,IF(Fixture!F340&lt;Fixture!D340,3,1)))</f>
        <v>0</v>
      </c>
      <c r="E2336" s="16">
        <f>IF(OR(ISBLANK(Fixture!D340),ISBLANK(Fixture!F340),ISTEXT(Fixture!D340),ISTEXT(Fixture!F340)),0,1)</f>
        <v>0</v>
      </c>
      <c r="F2336" s="16">
        <f t="shared" si="546"/>
        <v>0</v>
      </c>
      <c r="G2336" s="16">
        <f t="shared" si="547"/>
        <v>0</v>
      </c>
      <c r="H2336" s="16">
        <f t="shared" si="548"/>
        <v>0</v>
      </c>
      <c r="I2336" s="63">
        <f>IF(E2336=0,0,Fixture!D340)</f>
        <v>0</v>
      </c>
      <c r="J2336" s="63">
        <f>IF(E2336=0,0,Fixture!F340)</f>
        <v>0</v>
      </c>
      <c r="K2336" s="63">
        <f t="shared" si="549"/>
        <v>0</v>
      </c>
      <c r="L2336" s="63">
        <f t="shared" si="550"/>
        <v>0</v>
      </c>
      <c r="N2336" s="10" t="str">
        <f t="shared" si="552"/>
        <v>00</v>
      </c>
      <c r="O2336" s="10">
        <f t="shared" si="553"/>
        <v>0</v>
      </c>
      <c r="P2336" s="10">
        <f t="shared" si="554"/>
        <v>0</v>
      </c>
      <c r="Q2336" s="10">
        <f t="shared" si="555"/>
        <v>0</v>
      </c>
    </row>
    <row r="2337" spans="1:17">
      <c r="A2337" s="15">
        <f t="shared" si="551"/>
        <v>0</v>
      </c>
      <c r="B2337" s="15"/>
      <c r="C2337" s="14">
        <f>Fixture!C341</f>
        <v>0</v>
      </c>
      <c r="D2337" s="15">
        <f>IF(E2337=0,0,IF(Fixture!D341&lt;Fixture!F341,0,IF(Fixture!F341&lt;Fixture!D341,3,1)))</f>
        <v>0</v>
      </c>
      <c r="E2337" s="16">
        <f>IF(OR(ISBLANK(Fixture!D341),ISBLANK(Fixture!F341),ISTEXT(Fixture!D341),ISTEXT(Fixture!F341)),0,1)</f>
        <v>0</v>
      </c>
      <c r="F2337" s="16">
        <f t="shared" si="546"/>
        <v>0</v>
      </c>
      <c r="G2337" s="16">
        <f t="shared" si="547"/>
        <v>0</v>
      </c>
      <c r="H2337" s="16">
        <f t="shared" si="548"/>
        <v>0</v>
      </c>
      <c r="I2337" s="63">
        <f>IF(E2337=0,0,Fixture!D341)</f>
        <v>0</v>
      </c>
      <c r="J2337" s="63">
        <f>IF(E2337=0,0,Fixture!F341)</f>
        <v>0</v>
      </c>
      <c r="K2337" s="63">
        <f t="shared" si="549"/>
        <v>0</v>
      </c>
      <c r="L2337" s="63">
        <f t="shared" si="550"/>
        <v>0</v>
      </c>
      <c r="N2337" s="10" t="str">
        <f t="shared" si="552"/>
        <v>00</v>
      </c>
      <c r="O2337" s="10">
        <f t="shared" si="553"/>
        <v>0</v>
      </c>
      <c r="P2337" s="10">
        <f t="shared" si="554"/>
        <v>0</v>
      </c>
      <c r="Q2337" s="10">
        <f t="shared" si="555"/>
        <v>0</v>
      </c>
    </row>
    <row r="2338" spans="1:17">
      <c r="A2338" s="15">
        <f t="shared" si="551"/>
        <v>0</v>
      </c>
      <c r="B2338" s="15"/>
      <c r="C2338" s="14">
        <f>Fixture!C342</f>
        <v>0</v>
      </c>
      <c r="D2338" s="15">
        <f>IF(E2338=0,0,IF(Fixture!D342&lt;Fixture!F342,0,IF(Fixture!F342&lt;Fixture!D342,3,1)))</f>
        <v>0</v>
      </c>
      <c r="E2338" s="16">
        <f>IF(OR(ISBLANK(Fixture!D342),ISBLANK(Fixture!F342),ISTEXT(Fixture!D342),ISTEXT(Fixture!F342)),0,1)</f>
        <v>0</v>
      </c>
      <c r="F2338" s="16">
        <f t="shared" si="546"/>
        <v>0</v>
      </c>
      <c r="G2338" s="16">
        <f t="shared" si="547"/>
        <v>0</v>
      </c>
      <c r="H2338" s="16">
        <f t="shared" si="548"/>
        <v>0</v>
      </c>
      <c r="I2338" s="63">
        <f>IF(E2338=0,0,Fixture!D342)</f>
        <v>0</v>
      </c>
      <c r="J2338" s="63">
        <f>IF(E2338=0,0,Fixture!F342)</f>
        <v>0</v>
      </c>
      <c r="K2338" s="63">
        <f t="shared" si="549"/>
        <v>0</v>
      </c>
      <c r="L2338" s="63">
        <f t="shared" si="550"/>
        <v>0</v>
      </c>
      <c r="N2338" s="10" t="str">
        <f t="shared" si="552"/>
        <v>00</v>
      </c>
      <c r="O2338" s="10">
        <f t="shared" si="553"/>
        <v>0</v>
      </c>
      <c r="P2338" s="10">
        <f t="shared" si="554"/>
        <v>0</v>
      </c>
      <c r="Q2338" s="10">
        <f t="shared" si="555"/>
        <v>0</v>
      </c>
    </row>
    <row r="2339" spans="1:17">
      <c r="A2339" s="15">
        <f t="shared" si="551"/>
        <v>0</v>
      </c>
      <c r="B2339" s="15"/>
      <c r="C2339" s="14">
        <f>Fixture!C343</f>
        <v>0</v>
      </c>
      <c r="D2339" s="15">
        <f>IF(E2339=0,0,IF(Fixture!D343&lt;Fixture!F343,0,IF(Fixture!F343&lt;Fixture!D343,3,1)))</f>
        <v>0</v>
      </c>
      <c r="E2339" s="16">
        <f>IF(OR(ISBLANK(Fixture!D343),ISBLANK(Fixture!F343),ISTEXT(Fixture!D343),ISTEXT(Fixture!F343)),0,1)</f>
        <v>0</v>
      </c>
      <c r="F2339" s="16">
        <f t="shared" si="546"/>
        <v>0</v>
      </c>
      <c r="G2339" s="16">
        <f t="shared" si="547"/>
        <v>0</v>
      </c>
      <c r="H2339" s="16">
        <f t="shared" si="548"/>
        <v>0</v>
      </c>
      <c r="I2339" s="63">
        <f>IF(E2339=0,0,Fixture!D343)</f>
        <v>0</v>
      </c>
      <c r="J2339" s="63">
        <f>IF(E2339=0,0,Fixture!F343)</f>
        <v>0</v>
      </c>
      <c r="K2339" s="63">
        <f t="shared" si="549"/>
        <v>0</v>
      </c>
      <c r="L2339" s="63">
        <f t="shared" si="550"/>
        <v>0</v>
      </c>
      <c r="N2339" s="10" t="str">
        <f t="shared" si="552"/>
        <v>00</v>
      </c>
      <c r="O2339" s="10">
        <f t="shared" si="553"/>
        <v>0</v>
      </c>
      <c r="P2339" s="10">
        <f t="shared" si="554"/>
        <v>0</v>
      </c>
      <c r="Q2339" s="10">
        <f t="shared" si="555"/>
        <v>0</v>
      </c>
    </row>
    <row r="2340" spans="1:17">
      <c r="A2340" s="15">
        <f t="shared" si="551"/>
        <v>0</v>
      </c>
      <c r="B2340" s="15"/>
      <c r="C2340" s="14">
        <f>Fixture!C344</f>
        <v>0</v>
      </c>
      <c r="D2340" s="15">
        <f>IF(E2340=0,0,IF(Fixture!D344&lt;Fixture!F344,0,IF(Fixture!F344&lt;Fixture!D344,3,1)))</f>
        <v>0</v>
      </c>
      <c r="E2340" s="16">
        <f>IF(OR(ISBLANK(Fixture!D344),ISBLANK(Fixture!F344),ISTEXT(Fixture!D344),ISTEXT(Fixture!F344)),0,1)</f>
        <v>0</v>
      </c>
      <c r="F2340" s="16">
        <f t="shared" si="546"/>
        <v>0</v>
      </c>
      <c r="G2340" s="16">
        <f t="shared" si="547"/>
        <v>0</v>
      </c>
      <c r="H2340" s="16">
        <f t="shared" si="548"/>
        <v>0</v>
      </c>
      <c r="I2340" s="63">
        <f>IF(E2340=0,0,Fixture!D344)</f>
        <v>0</v>
      </c>
      <c r="J2340" s="63">
        <f>IF(E2340=0,0,Fixture!F344)</f>
        <v>0</v>
      </c>
      <c r="K2340" s="63">
        <f t="shared" si="549"/>
        <v>0</v>
      </c>
      <c r="L2340" s="63">
        <f t="shared" si="550"/>
        <v>0</v>
      </c>
      <c r="N2340" s="10" t="str">
        <f t="shared" si="552"/>
        <v>00</v>
      </c>
      <c r="O2340" s="10">
        <f t="shared" si="553"/>
        <v>0</v>
      </c>
      <c r="P2340" s="10">
        <f t="shared" si="554"/>
        <v>0</v>
      </c>
      <c r="Q2340" s="10">
        <f t="shared" si="555"/>
        <v>0</v>
      </c>
    </row>
    <row r="2341" spans="1:17">
      <c r="A2341" s="15">
        <f t="shared" si="551"/>
        <v>0</v>
      </c>
      <c r="B2341" s="15"/>
      <c r="C2341" s="14">
        <f>Fixture!C345</f>
        <v>0</v>
      </c>
      <c r="D2341" s="15">
        <f>IF(E2341=0,0,IF(Fixture!D345&lt;Fixture!F345,0,IF(Fixture!F345&lt;Fixture!D345,3,1)))</f>
        <v>0</v>
      </c>
      <c r="E2341" s="16">
        <f>IF(OR(ISBLANK(Fixture!D345),ISBLANK(Fixture!F345),ISTEXT(Fixture!D345),ISTEXT(Fixture!F345)),0,1)</f>
        <v>0</v>
      </c>
      <c r="F2341" s="16">
        <f t="shared" si="546"/>
        <v>0</v>
      </c>
      <c r="G2341" s="16">
        <f t="shared" si="547"/>
        <v>0</v>
      </c>
      <c r="H2341" s="16">
        <f t="shared" si="548"/>
        <v>0</v>
      </c>
      <c r="I2341" s="63">
        <f>IF(E2341=0,0,Fixture!D345)</f>
        <v>0</v>
      </c>
      <c r="J2341" s="63">
        <f>IF(E2341=0,0,Fixture!F345)</f>
        <v>0</v>
      </c>
      <c r="K2341" s="63">
        <f t="shared" si="549"/>
        <v>0</v>
      </c>
      <c r="L2341" s="63">
        <f t="shared" si="550"/>
        <v>0</v>
      </c>
      <c r="N2341" s="10" t="str">
        <f t="shared" si="552"/>
        <v>00</v>
      </c>
      <c r="O2341" s="10">
        <f t="shared" si="553"/>
        <v>0</v>
      </c>
      <c r="P2341" s="10">
        <f t="shared" si="554"/>
        <v>0</v>
      </c>
      <c r="Q2341" s="10">
        <f t="shared" si="555"/>
        <v>0</v>
      </c>
    </row>
    <row r="2342" spans="1:17">
      <c r="A2342" s="15">
        <f t="shared" si="551"/>
        <v>0</v>
      </c>
      <c r="B2342" s="15"/>
      <c r="C2342" s="14">
        <f>Fixture!C346</f>
        <v>0</v>
      </c>
      <c r="D2342" s="15">
        <f>IF(E2342=0,0,IF(Fixture!D346&lt;Fixture!F346,0,IF(Fixture!F346&lt;Fixture!D346,3,1)))</f>
        <v>0</v>
      </c>
      <c r="E2342" s="16">
        <f>IF(OR(ISBLANK(Fixture!D346),ISBLANK(Fixture!F346),ISTEXT(Fixture!D346),ISTEXT(Fixture!F346)),0,1)</f>
        <v>0</v>
      </c>
      <c r="F2342" s="16">
        <f t="shared" si="546"/>
        <v>0</v>
      </c>
      <c r="G2342" s="16">
        <f t="shared" si="547"/>
        <v>0</v>
      </c>
      <c r="H2342" s="16">
        <f t="shared" si="548"/>
        <v>0</v>
      </c>
      <c r="I2342" s="63">
        <f>IF(E2342=0,0,Fixture!D346)</f>
        <v>0</v>
      </c>
      <c r="J2342" s="63">
        <f>IF(E2342=0,0,Fixture!F346)</f>
        <v>0</v>
      </c>
      <c r="K2342" s="63">
        <f t="shared" si="549"/>
        <v>0</v>
      </c>
      <c r="L2342" s="63">
        <f t="shared" si="550"/>
        <v>0</v>
      </c>
      <c r="N2342" s="10" t="str">
        <f t="shared" si="552"/>
        <v>00</v>
      </c>
      <c r="O2342" s="10">
        <f t="shared" si="553"/>
        <v>0</v>
      </c>
      <c r="P2342" s="10">
        <f t="shared" si="554"/>
        <v>0</v>
      </c>
      <c r="Q2342" s="10">
        <f t="shared" si="555"/>
        <v>0</v>
      </c>
    </row>
    <row r="2343" spans="1:17">
      <c r="A2343" s="15">
        <f t="shared" si="551"/>
        <v>0</v>
      </c>
      <c r="B2343" s="15"/>
      <c r="C2343" s="14">
        <f>Fixture!C347</f>
        <v>0</v>
      </c>
      <c r="D2343" s="15">
        <f>IF(E2343=0,0,IF(Fixture!D347&lt;Fixture!F347,0,IF(Fixture!F347&lt;Fixture!D347,3,1)))</f>
        <v>0</v>
      </c>
      <c r="E2343" s="16">
        <f>IF(OR(ISBLANK(Fixture!D347),ISBLANK(Fixture!F347),ISTEXT(Fixture!D347),ISTEXT(Fixture!F347)),0,1)</f>
        <v>0</v>
      </c>
      <c r="F2343" s="16">
        <f t="shared" si="546"/>
        <v>0</v>
      </c>
      <c r="G2343" s="16">
        <f t="shared" si="547"/>
        <v>0</v>
      </c>
      <c r="H2343" s="16">
        <f t="shared" si="548"/>
        <v>0</v>
      </c>
      <c r="I2343" s="63">
        <f>IF(E2343=0,0,Fixture!D347)</f>
        <v>0</v>
      </c>
      <c r="J2343" s="63">
        <f>IF(E2343=0,0,Fixture!F347)</f>
        <v>0</v>
      </c>
      <c r="K2343" s="63">
        <f t="shared" si="549"/>
        <v>0</v>
      </c>
      <c r="L2343" s="63">
        <f t="shared" si="550"/>
        <v>0</v>
      </c>
      <c r="N2343" s="10" t="str">
        <f t="shared" si="552"/>
        <v>00</v>
      </c>
      <c r="O2343" s="10">
        <f t="shared" si="553"/>
        <v>0</v>
      </c>
      <c r="P2343" s="10">
        <f t="shared" si="554"/>
        <v>0</v>
      </c>
      <c r="Q2343" s="10">
        <f t="shared" si="555"/>
        <v>0</v>
      </c>
    </row>
    <row r="2344" spans="1:17">
      <c r="A2344" s="15">
        <f t="shared" si="551"/>
        <v>0</v>
      </c>
      <c r="B2344" s="15"/>
      <c r="C2344" s="14">
        <f>Fixture!C348</f>
        <v>0</v>
      </c>
      <c r="D2344" s="15">
        <f>IF(E2344=0,0,IF(Fixture!D348&lt;Fixture!F348,0,IF(Fixture!F348&lt;Fixture!D348,3,1)))</f>
        <v>0</v>
      </c>
      <c r="E2344" s="16">
        <f>IF(OR(ISBLANK(Fixture!D348),ISBLANK(Fixture!F348),ISTEXT(Fixture!D348),ISTEXT(Fixture!F348)),0,1)</f>
        <v>0</v>
      </c>
      <c r="F2344" s="16">
        <f t="shared" si="546"/>
        <v>0</v>
      </c>
      <c r="G2344" s="16">
        <f t="shared" si="547"/>
        <v>0</v>
      </c>
      <c r="H2344" s="16">
        <f t="shared" si="548"/>
        <v>0</v>
      </c>
      <c r="I2344" s="63">
        <f>IF(E2344=0,0,Fixture!D348)</f>
        <v>0</v>
      </c>
      <c r="J2344" s="63">
        <f>IF(E2344=0,0,Fixture!F348)</f>
        <v>0</v>
      </c>
      <c r="K2344" s="63">
        <f t="shared" si="549"/>
        <v>0</v>
      </c>
      <c r="L2344" s="63">
        <f t="shared" si="550"/>
        <v>0</v>
      </c>
      <c r="N2344" s="10" t="str">
        <f t="shared" si="552"/>
        <v>00</v>
      </c>
      <c r="O2344" s="10">
        <f t="shared" si="553"/>
        <v>0</v>
      </c>
      <c r="P2344" s="10">
        <f t="shared" si="554"/>
        <v>0</v>
      </c>
      <c r="Q2344" s="10">
        <f t="shared" si="555"/>
        <v>0</v>
      </c>
    </row>
    <row r="2345" spans="1:17">
      <c r="A2345" s="15">
        <f t="shared" si="551"/>
        <v>0</v>
      </c>
      <c r="B2345" s="15"/>
      <c r="C2345" s="14">
        <f>Fixture!C349</f>
        <v>0</v>
      </c>
      <c r="D2345" s="15">
        <f>IF(E2345=0,0,IF(Fixture!D349&lt;Fixture!F349,0,IF(Fixture!F349&lt;Fixture!D349,3,1)))</f>
        <v>0</v>
      </c>
      <c r="E2345" s="16">
        <f>IF(OR(ISBLANK(Fixture!D349),ISBLANK(Fixture!F349),ISTEXT(Fixture!D349),ISTEXT(Fixture!F349)),0,1)</f>
        <v>0</v>
      </c>
      <c r="F2345" s="16">
        <f t="shared" si="546"/>
        <v>0</v>
      </c>
      <c r="G2345" s="16">
        <f t="shared" si="547"/>
        <v>0</v>
      </c>
      <c r="H2345" s="16">
        <f t="shared" si="548"/>
        <v>0</v>
      </c>
      <c r="I2345" s="63">
        <f>IF(E2345=0,0,Fixture!D349)</f>
        <v>0</v>
      </c>
      <c r="J2345" s="63">
        <f>IF(E2345=0,0,Fixture!F349)</f>
        <v>0</v>
      </c>
      <c r="K2345" s="63">
        <f t="shared" si="549"/>
        <v>0</v>
      </c>
      <c r="L2345" s="63">
        <f t="shared" si="550"/>
        <v>0</v>
      </c>
      <c r="N2345" s="10" t="str">
        <f t="shared" si="552"/>
        <v>00</v>
      </c>
      <c r="O2345" s="10">
        <f t="shared" si="553"/>
        <v>0</v>
      </c>
      <c r="P2345" s="10">
        <f t="shared" si="554"/>
        <v>0</v>
      </c>
      <c r="Q2345" s="10">
        <f t="shared" si="555"/>
        <v>0</v>
      </c>
    </row>
    <row r="2346" spans="1:17">
      <c r="A2346" s="15">
        <f t="shared" si="551"/>
        <v>0</v>
      </c>
      <c r="B2346" s="15"/>
      <c r="C2346" s="14">
        <f>Fixture!C350</f>
        <v>0</v>
      </c>
      <c r="D2346" s="15">
        <f>IF(E2346=0,0,IF(Fixture!D350&lt;Fixture!F350,0,IF(Fixture!F350&lt;Fixture!D350,3,1)))</f>
        <v>0</v>
      </c>
      <c r="E2346" s="16">
        <f>IF(OR(ISBLANK(Fixture!D350),ISBLANK(Fixture!F350),ISTEXT(Fixture!D350),ISTEXT(Fixture!F350)),0,1)</f>
        <v>0</v>
      </c>
      <c r="F2346" s="16">
        <f t="shared" si="546"/>
        <v>0</v>
      </c>
      <c r="G2346" s="16">
        <f t="shared" si="547"/>
        <v>0</v>
      </c>
      <c r="H2346" s="16">
        <f t="shared" si="548"/>
        <v>0</v>
      </c>
      <c r="I2346" s="63">
        <f>IF(E2346=0,0,Fixture!D350)</f>
        <v>0</v>
      </c>
      <c r="J2346" s="63">
        <f>IF(E2346=0,0,Fixture!F350)</f>
        <v>0</v>
      </c>
      <c r="K2346" s="63">
        <f t="shared" si="549"/>
        <v>0</v>
      </c>
      <c r="L2346" s="63">
        <f t="shared" si="550"/>
        <v>0</v>
      </c>
      <c r="N2346" s="10" t="str">
        <f t="shared" si="552"/>
        <v>00</v>
      </c>
      <c r="O2346" s="10">
        <f t="shared" si="553"/>
        <v>0</v>
      </c>
      <c r="P2346" s="10">
        <f t="shared" si="554"/>
        <v>0</v>
      </c>
      <c r="Q2346" s="10">
        <f t="shared" si="555"/>
        <v>0</v>
      </c>
    </row>
    <row r="2347" spans="1:17">
      <c r="A2347" s="15">
        <f t="shared" si="551"/>
        <v>0</v>
      </c>
      <c r="B2347" s="15"/>
      <c r="C2347" s="14">
        <f>Fixture!C351</f>
        <v>0</v>
      </c>
      <c r="D2347" s="15">
        <f>IF(E2347=0,0,IF(Fixture!D351&lt;Fixture!F351,0,IF(Fixture!F351&lt;Fixture!D351,3,1)))</f>
        <v>0</v>
      </c>
      <c r="E2347" s="16">
        <f>IF(OR(ISBLANK(Fixture!D351),ISBLANK(Fixture!F351),ISTEXT(Fixture!D351),ISTEXT(Fixture!F351)),0,1)</f>
        <v>0</v>
      </c>
      <c r="F2347" s="16">
        <f t="shared" si="546"/>
        <v>0</v>
      </c>
      <c r="G2347" s="16">
        <f t="shared" si="547"/>
        <v>0</v>
      </c>
      <c r="H2347" s="16">
        <f t="shared" si="548"/>
        <v>0</v>
      </c>
      <c r="I2347" s="63">
        <f>IF(E2347=0,0,Fixture!D351)</f>
        <v>0</v>
      </c>
      <c r="J2347" s="63">
        <f>IF(E2347=0,0,Fixture!F351)</f>
        <v>0</v>
      </c>
      <c r="K2347" s="63">
        <f t="shared" si="549"/>
        <v>0</v>
      </c>
      <c r="L2347" s="63">
        <f t="shared" si="550"/>
        <v>0</v>
      </c>
      <c r="N2347" s="10" t="str">
        <f t="shared" si="552"/>
        <v>00</v>
      </c>
      <c r="O2347" s="10">
        <f t="shared" si="553"/>
        <v>0</v>
      </c>
      <c r="P2347" s="10">
        <f t="shared" si="554"/>
        <v>0</v>
      </c>
      <c r="Q2347" s="10">
        <f t="shared" si="555"/>
        <v>0</v>
      </c>
    </row>
    <row r="2348" spans="1:17">
      <c r="A2348" s="15">
        <f t="shared" si="551"/>
        <v>0</v>
      </c>
      <c r="B2348" s="15"/>
      <c r="C2348" s="14">
        <f>Fixture!C352</f>
        <v>0</v>
      </c>
      <c r="D2348" s="15">
        <f>IF(E2348=0,0,IF(Fixture!D352&lt;Fixture!F352,0,IF(Fixture!F352&lt;Fixture!D352,3,1)))</f>
        <v>0</v>
      </c>
      <c r="E2348" s="16">
        <f>IF(OR(ISBLANK(Fixture!D352),ISBLANK(Fixture!F352),ISTEXT(Fixture!D352),ISTEXT(Fixture!F352)),0,1)</f>
        <v>0</v>
      </c>
      <c r="F2348" s="16">
        <f t="shared" si="546"/>
        <v>0</v>
      </c>
      <c r="G2348" s="16">
        <f t="shared" si="547"/>
        <v>0</v>
      </c>
      <c r="H2348" s="16">
        <f t="shared" si="548"/>
        <v>0</v>
      </c>
      <c r="I2348" s="63">
        <f>IF(E2348=0,0,Fixture!D352)</f>
        <v>0</v>
      </c>
      <c r="J2348" s="63">
        <f>IF(E2348=0,0,Fixture!F352)</f>
        <v>0</v>
      </c>
      <c r="K2348" s="63">
        <f t="shared" si="549"/>
        <v>0</v>
      </c>
      <c r="L2348" s="63">
        <f t="shared" si="550"/>
        <v>0</v>
      </c>
      <c r="N2348" s="10" t="str">
        <f t="shared" si="552"/>
        <v>00</v>
      </c>
      <c r="O2348" s="10">
        <f t="shared" si="553"/>
        <v>0</v>
      </c>
      <c r="P2348" s="10">
        <f t="shared" si="554"/>
        <v>0</v>
      </c>
      <c r="Q2348" s="10">
        <f t="shared" si="555"/>
        <v>0</v>
      </c>
    </row>
    <row r="2349" spans="1:17">
      <c r="A2349" s="15">
        <f t="shared" si="551"/>
        <v>0</v>
      </c>
      <c r="B2349" s="15"/>
      <c r="C2349" s="14">
        <f>Fixture!C353</f>
        <v>0</v>
      </c>
      <c r="D2349" s="15">
        <f>IF(E2349=0,0,IF(Fixture!D353&lt;Fixture!F353,0,IF(Fixture!F353&lt;Fixture!D353,3,1)))</f>
        <v>0</v>
      </c>
      <c r="E2349" s="16">
        <f>IF(OR(ISBLANK(Fixture!D353),ISBLANK(Fixture!F353),ISTEXT(Fixture!D353),ISTEXT(Fixture!F353)),0,1)</f>
        <v>0</v>
      </c>
      <c r="F2349" s="16">
        <f t="shared" si="546"/>
        <v>0</v>
      </c>
      <c r="G2349" s="16">
        <f t="shared" si="547"/>
        <v>0</v>
      </c>
      <c r="H2349" s="16">
        <f t="shared" si="548"/>
        <v>0</v>
      </c>
      <c r="I2349" s="63">
        <f>IF(E2349=0,0,Fixture!D353)</f>
        <v>0</v>
      </c>
      <c r="J2349" s="63">
        <f>IF(E2349=0,0,Fixture!F353)</f>
        <v>0</v>
      </c>
      <c r="K2349" s="63">
        <f t="shared" si="549"/>
        <v>0</v>
      </c>
      <c r="L2349" s="63">
        <f t="shared" si="550"/>
        <v>0</v>
      </c>
      <c r="N2349" s="10" t="str">
        <f t="shared" si="552"/>
        <v>00</v>
      </c>
      <c r="O2349" s="10">
        <f t="shared" si="553"/>
        <v>0</v>
      </c>
      <c r="P2349" s="10">
        <f t="shared" si="554"/>
        <v>0</v>
      </c>
      <c r="Q2349" s="10">
        <f t="shared" si="555"/>
        <v>0</v>
      </c>
    </row>
    <row r="2350" spans="1:17">
      <c r="A2350" s="15">
        <f t="shared" si="551"/>
        <v>0</v>
      </c>
      <c r="B2350" s="15"/>
      <c r="C2350" s="14">
        <f>Fixture!C354</f>
        <v>0</v>
      </c>
      <c r="D2350" s="15">
        <f>IF(E2350=0,0,IF(Fixture!D354&lt;Fixture!F354,0,IF(Fixture!F354&lt;Fixture!D354,3,1)))</f>
        <v>0</v>
      </c>
      <c r="E2350" s="16">
        <f>IF(OR(ISBLANK(Fixture!D354),ISBLANK(Fixture!F354),ISTEXT(Fixture!D354),ISTEXT(Fixture!F354)),0,1)</f>
        <v>0</v>
      </c>
      <c r="F2350" s="16">
        <f t="shared" si="546"/>
        <v>0</v>
      </c>
      <c r="G2350" s="16">
        <f t="shared" si="547"/>
        <v>0</v>
      </c>
      <c r="H2350" s="16">
        <f t="shared" si="548"/>
        <v>0</v>
      </c>
      <c r="I2350" s="63">
        <f>IF(E2350=0,0,Fixture!D354)</f>
        <v>0</v>
      </c>
      <c r="J2350" s="63">
        <f>IF(E2350=0,0,Fixture!F354)</f>
        <v>0</v>
      </c>
      <c r="K2350" s="63">
        <f t="shared" si="549"/>
        <v>0</v>
      </c>
      <c r="L2350" s="63">
        <f t="shared" si="550"/>
        <v>0</v>
      </c>
      <c r="N2350" s="10" t="str">
        <f t="shared" si="552"/>
        <v>00</v>
      </c>
      <c r="O2350" s="10">
        <f t="shared" si="553"/>
        <v>0</v>
      </c>
      <c r="P2350" s="10">
        <f t="shared" si="554"/>
        <v>0</v>
      </c>
      <c r="Q2350" s="10">
        <f t="shared" si="555"/>
        <v>0</v>
      </c>
    </row>
    <row r="2351" spans="1:17">
      <c r="A2351" s="15">
        <f t="shared" si="551"/>
        <v>0</v>
      </c>
      <c r="B2351" s="15"/>
      <c r="C2351" s="14">
        <f>Fixture!C355</f>
        <v>0</v>
      </c>
      <c r="D2351" s="15">
        <f>IF(E2351=0,0,IF(Fixture!D355&lt;Fixture!F355,0,IF(Fixture!F355&lt;Fixture!D355,3,1)))</f>
        <v>0</v>
      </c>
      <c r="E2351" s="16">
        <f>IF(OR(ISBLANK(Fixture!D355),ISBLANK(Fixture!F355),ISTEXT(Fixture!D355),ISTEXT(Fixture!F355)),0,1)</f>
        <v>0</v>
      </c>
      <c r="F2351" s="16">
        <f t="shared" si="546"/>
        <v>0</v>
      </c>
      <c r="G2351" s="16">
        <f t="shared" si="547"/>
        <v>0</v>
      </c>
      <c r="H2351" s="16">
        <f t="shared" si="548"/>
        <v>0</v>
      </c>
      <c r="I2351" s="63">
        <f>IF(E2351=0,0,Fixture!D355)</f>
        <v>0</v>
      </c>
      <c r="J2351" s="63">
        <f>IF(E2351=0,0,Fixture!F355)</f>
        <v>0</v>
      </c>
      <c r="K2351" s="63">
        <f t="shared" si="549"/>
        <v>0</v>
      </c>
      <c r="L2351" s="63">
        <f t="shared" si="550"/>
        <v>0</v>
      </c>
      <c r="N2351" s="10" t="str">
        <f t="shared" si="552"/>
        <v>00</v>
      </c>
      <c r="O2351" s="10">
        <f t="shared" si="553"/>
        <v>0</v>
      </c>
      <c r="P2351" s="10">
        <f t="shared" si="554"/>
        <v>0</v>
      </c>
      <c r="Q2351" s="10">
        <f t="shared" si="555"/>
        <v>0</v>
      </c>
    </row>
    <row r="2352" spans="1:17">
      <c r="A2352" s="15">
        <f t="shared" si="551"/>
        <v>0</v>
      </c>
      <c r="B2352" s="15"/>
      <c r="C2352" s="14">
        <f>Fixture!C356</f>
        <v>0</v>
      </c>
      <c r="D2352" s="15">
        <f>IF(E2352=0,0,IF(Fixture!D356&lt;Fixture!F356,0,IF(Fixture!F356&lt;Fixture!D356,3,1)))</f>
        <v>0</v>
      </c>
      <c r="E2352" s="16">
        <f>IF(OR(ISBLANK(Fixture!D356),ISBLANK(Fixture!F356),ISTEXT(Fixture!D356),ISTEXT(Fixture!F356)),0,1)</f>
        <v>0</v>
      </c>
      <c r="F2352" s="16">
        <f t="shared" si="546"/>
        <v>0</v>
      </c>
      <c r="G2352" s="16">
        <f t="shared" si="547"/>
        <v>0</v>
      </c>
      <c r="H2352" s="16">
        <f t="shared" si="548"/>
        <v>0</v>
      </c>
      <c r="I2352" s="63">
        <f>IF(E2352=0,0,Fixture!D356)</f>
        <v>0</v>
      </c>
      <c r="J2352" s="63">
        <f>IF(E2352=0,0,Fixture!F356)</f>
        <v>0</v>
      </c>
      <c r="K2352" s="63">
        <f t="shared" si="549"/>
        <v>0</v>
      </c>
      <c r="L2352" s="63">
        <f t="shared" si="550"/>
        <v>0</v>
      </c>
      <c r="N2352" s="10" t="str">
        <f t="shared" si="552"/>
        <v>00</v>
      </c>
      <c r="O2352" s="10">
        <f t="shared" si="553"/>
        <v>0</v>
      </c>
      <c r="P2352" s="10">
        <f t="shared" si="554"/>
        <v>0</v>
      </c>
      <c r="Q2352" s="10">
        <f t="shared" si="555"/>
        <v>0</v>
      </c>
    </row>
    <row r="2353" spans="1:17">
      <c r="A2353" s="15">
        <f t="shared" si="551"/>
        <v>0</v>
      </c>
      <c r="B2353" s="15"/>
      <c r="C2353" s="14">
        <f>Fixture!C357</f>
        <v>0</v>
      </c>
      <c r="D2353" s="15">
        <f>IF(E2353=0,0,IF(Fixture!D357&lt;Fixture!F357,0,IF(Fixture!F357&lt;Fixture!D357,3,1)))</f>
        <v>0</v>
      </c>
      <c r="E2353" s="16">
        <f>IF(OR(ISBLANK(Fixture!D357),ISBLANK(Fixture!F357),ISTEXT(Fixture!D357),ISTEXT(Fixture!F357)),0,1)</f>
        <v>0</v>
      </c>
      <c r="F2353" s="16">
        <f t="shared" si="546"/>
        <v>0</v>
      </c>
      <c r="G2353" s="16">
        <f t="shared" si="547"/>
        <v>0</v>
      </c>
      <c r="H2353" s="16">
        <f t="shared" si="548"/>
        <v>0</v>
      </c>
      <c r="I2353" s="63">
        <f>IF(E2353=0,0,Fixture!D357)</f>
        <v>0</v>
      </c>
      <c r="J2353" s="63">
        <f>IF(E2353=0,0,Fixture!F357)</f>
        <v>0</v>
      </c>
      <c r="K2353" s="63">
        <f t="shared" si="549"/>
        <v>0</v>
      </c>
      <c r="L2353" s="63">
        <f t="shared" si="550"/>
        <v>0</v>
      </c>
      <c r="N2353" s="10" t="str">
        <f t="shared" si="552"/>
        <v>00</v>
      </c>
      <c r="O2353" s="10">
        <f t="shared" si="553"/>
        <v>0</v>
      </c>
      <c r="P2353" s="10">
        <f t="shared" si="554"/>
        <v>0</v>
      </c>
      <c r="Q2353" s="10">
        <f t="shared" si="555"/>
        <v>0</v>
      </c>
    </row>
    <row r="2354" spans="1:17">
      <c r="A2354" s="15">
        <f t="shared" si="551"/>
        <v>0</v>
      </c>
      <c r="B2354" s="15"/>
      <c r="C2354" s="14">
        <f>Fixture!C358</f>
        <v>0</v>
      </c>
      <c r="D2354" s="15">
        <f>IF(E2354=0,0,IF(Fixture!D358&lt;Fixture!F358,0,IF(Fixture!F358&lt;Fixture!D358,3,1)))</f>
        <v>0</v>
      </c>
      <c r="E2354" s="16">
        <f>IF(OR(ISBLANK(Fixture!D358),ISBLANK(Fixture!F358),ISTEXT(Fixture!D358),ISTEXT(Fixture!F358)),0,1)</f>
        <v>0</v>
      </c>
      <c r="F2354" s="16">
        <f t="shared" si="546"/>
        <v>0</v>
      </c>
      <c r="G2354" s="16">
        <f t="shared" si="547"/>
        <v>0</v>
      </c>
      <c r="H2354" s="16">
        <f t="shared" si="548"/>
        <v>0</v>
      </c>
      <c r="I2354" s="63">
        <f>IF(E2354=0,0,Fixture!D358)</f>
        <v>0</v>
      </c>
      <c r="J2354" s="63">
        <f>IF(E2354=0,0,Fixture!F358)</f>
        <v>0</v>
      </c>
      <c r="K2354" s="63">
        <f t="shared" si="549"/>
        <v>0</v>
      </c>
      <c r="L2354" s="63">
        <f t="shared" si="550"/>
        <v>0</v>
      </c>
      <c r="N2354" s="10" t="str">
        <f t="shared" si="552"/>
        <v>00</v>
      </c>
      <c r="O2354" s="10">
        <f t="shared" si="553"/>
        <v>0</v>
      </c>
      <c r="P2354" s="10">
        <f t="shared" si="554"/>
        <v>0</v>
      </c>
      <c r="Q2354" s="10">
        <f t="shared" si="555"/>
        <v>0</v>
      </c>
    </row>
    <row r="2355" spans="1:17">
      <c r="A2355" s="15">
        <f t="shared" si="551"/>
        <v>0</v>
      </c>
      <c r="B2355" s="15"/>
      <c r="C2355" s="14">
        <f>Fixture!C359</f>
        <v>0</v>
      </c>
      <c r="D2355" s="15">
        <f>IF(E2355=0,0,IF(Fixture!D359&lt;Fixture!F359,0,IF(Fixture!F359&lt;Fixture!D359,3,1)))</f>
        <v>0</v>
      </c>
      <c r="E2355" s="16">
        <f>IF(OR(ISBLANK(Fixture!D359),ISBLANK(Fixture!F359),ISTEXT(Fixture!D359),ISTEXT(Fixture!F359)),0,1)</f>
        <v>0</v>
      </c>
      <c r="F2355" s="16">
        <f t="shared" si="546"/>
        <v>0</v>
      </c>
      <c r="G2355" s="16">
        <f t="shared" si="547"/>
        <v>0</v>
      </c>
      <c r="H2355" s="16">
        <f t="shared" si="548"/>
        <v>0</v>
      </c>
      <c r="I2355" s="63">
        <f>IF(E2355=0,0,Fixture!D359)</f>
        <v>0</v>
      </c>
      <c r="J2355" s="63">
        <f>IF(E2355=0,0,Fixture!F359)</f>
        <v>0</v>
      </c>
      <c r="K2355" s="63">
        <f t="shared" si="549"/>
        <v>0</v>
      </c>
      <c r="L2355" s="63">
        <f t="shared" si="550"/>
        <v>0</v>
      </c>
      <c r="N2355" s="10" t="str">
        <f t="shared" si="552"/>
        <v>00</v>
      </c>
      <c r="O2355" s="10">
        <f t="shared" si="553"/>
        <v>0</v>
      </c>
      <c r="P2355" s="10">
        <f t="shared" si="554"/>
        <v>0</v>
      </c>
      <c r="Q2355" s="10">
        <f t="shared" si="555"/>
        <v>0</v>
      </c>
    </row>
    <row r="2356" spans="1:17">
      <c r="A2356" s="15">
        <f t="shared" si="551"/>
        <v>0</v>
      </c>
      <c r="B2356" s="15"/>
      <c r="C2356" s="14">
        <f>Fixture!C360</f>
        <v>0</v>
      </c>
      <c r="D2356" s="15">
        <f>IF(E2356=0,0,IF(Fixture!D360&lt;Fixture!F360,0,IF(Fixture!F360&lt;Fixture!D360,3,1)))</f>
        <v>0</v>
      </c>
      <c r="E2356" s="16">
        <f>IF(OR(ISBLANK(Fixture!D360),ISBLANK(Fixture!F360),ISTEXT(Fixture!D360),ISTEXT(Fixture!F360)),0,1)</f>
        <v>0</v>
      </c>
      <c r="F2356" s="16">
        <f t="shared" si="546"/>
        <v>0</v>
      </c>
      <c r="G2356" s="16">
        <f t="shared" si="547"/>
        <v>0</v>
      </c>
      <c r="H2356" s="16">
        <f t="shared" si="548"/>
        <v>0</v>
      </c>
      <c r="I2356" s="63">
        <f>IF(E2356=0,0,Fixture!D360)</f>
        <v>0</v>
      </c>
      <c r="J2356" s="63">
        <f>IF(E2356=0,0,Fixture!F360)</f>
        <v>0</v>
      </c>
      <c r="K2356" s="63">
        <f t="shared" si="549"/>
        <v>0</v>
      </c>
      <c r="L2356" s="63">
        <f t="shared" si="550"/>
        <v>0</v>
      </c>
      <c r="N2356" s="10" t="str">
        <f t="shared" si="552"/>
        <v>00</v>
      </c>
      <c r="O2356" s="10">
        <f t="shared" si="553"/>
        <v>0</v>
      </c>
      <c r="P2356" s="10">
        <f t="shared" si="554"/>
        <v>0</v>
      </c>
      <c r="Q2356" s="10">
        <f t="shared" si="555"/>
        <v>0</v>
      </c>
    </row>
    <row r="2357" spans="1:17">
      <c r="A2357" s="15">
        <f t="shared" si="551"/>
        <v>0</v>
      </c>
      <c r="B2357" s="15"/>
      <c r="C2357" s="14">
        <f>Fixture!C361</f>
        <v>0</v>
      </c>
      <c r="D2357" s="15">
        <f>IF(E2357=0,0,IF(Fixture!D361&lt;Fixture!F361,0,IF(Fixture!F361&lt;Fixture!D361,3,1)))</f>
        <v>0</v>
      </c>
      <c r="E2357" s="16">
        <f>IF(OR(ISBLANK(Fixture!D361),ISBLANK(Fixture!F361),ISTEXT(Fixture!D361),ISTEXT(Fixture!F361)),0,1)</f>
        <v>0</v>
      </c>
      <c r="F2357" s="16">
        <f t="shared" si="546"/>
        <v>0</v>
      </c>
      <c r="G2357" s="16">
        <f t="shared" si="547"/>
        <v>0</v>
      </c>
      <c r="H2357" s="16">
        <f t="shared" si="548"/>
        <v>0</v>
      </c>
      <c r="I2357" s="63">
        <f>IF(E2357=0,0,Fixture!D361)</f>
        <v>0</v>
      </c>
      <c r="J2357" s="63">
        <f>IF(E2357=0,0,Fixture!F361)</f>
        <v>0</v>
      </c>
      <c r="K2357" s="63">
        <f t="shared" si="549"/>
        <v>0</v>
      </c>
      <c r="L2357" s="63">
        <f t="shared" si="550"/>
        <v>0</v>
      </c>
      <c r="N2357" s="10" t="str">
        <f t="shared" si="552"/>
        <v>00</v>
      </c>
      <c r="O2357" s="10">
        <f t="shared" si="553"/>
        <v>0</v>
      </c>
      <c r="P2357" s="10">
        <f t="shared" si="554"/>
        <v>0</v>
      </c>
      <c r="Q2357" s="10">
        <f t="shared" si="555"/>
        <v>0</v>
      </c>
    </row>
    <row r="2358" spans="1:17">
      <c r="A2358" s="15">
        <f t="shared" si="551"/>
        <v>0</v>
      </c>
      <c r="B2358" s="15"/>
      <c r="C2358" s="14">
        <f>Fixture!C362</f>
        <v>0</v>
      </c>
      <c r="D2358" s="15">
        <f>IF(E2358=0,0,IF(Fixture!D362&lt;Fixture!F362,0,IF(Fixture!F362&lt;Fixture!D362,3,1)))</f>
        <v>0</v>
      </c>
      <c r="E2358" s="16">
        <f>IF(OR(ISBLANK(Fixture!D362),ISBLANK(Fixture!F362),ISTEXT(Fixture!D362),ISTEXT(Fixture!F362)),0,1)</f>
        <v>0</v>
      </c>
      <c r="F2358" s="16">
        <f t="shared" si="546"/>
        <v>0</v>
      </c>
      <c r="G2358" s="16">
        <f t="shared" si="547"/>
        <v>0</v>
      </c>
      <c r="H2358" s="16">
        <f t="shared" si="548"/>
        <v>0</v>
      </c>
      <c r="I2358" s="63">
        <f>IF(E2358=0,0,Fixture!D362)</f>
        <v>0</v>
      </c>
      <c r="J2358" s="63">
        <f>IF(E2358=0,0,Fixture!F362)</f>
        <v>0</v>
      </c>
      <c r="K2358" s="63">
        <f t="shared" si="549"/>
        <v>0</v>
      </c>
      <c r="L2358" s="63">
        <f t="shared" si="550"/>
        <v>0</v>
      </c>
      <c r="N2358" s="10" t="str">
        <f t="shared" si="552"/>
        <v>00</v>
      </c>
      <c r="O2358" s="10">
        <f t="shared" si="553"/>
        <v>0</v>
      </c>
      <c r="P2358" s="10">
        <f t="shared" si="554"/>
        <v>0</v>
      </c>
      <c r="Q2358" s="10">
        <f t="shared" si="555"/>
        <v>0</v>
      </c>
    </row>
    <row r="2359" spans="1:17">
      <c r="A2359" s="15">
        <f t="shared" si="551"/>
        <v>0</v>
      </c>
      <c r="B2359" s="15"/>
      <c r="C2359" s="14">
        <f>Fixture!C363</f>
        <v>0</v>
      </c>
      <c r="D2359" s="15">
        <f>IF(E2359=0,0,IF(Fixture!D363&lt;Fixture!F363,0,IF(Fixture!F363&lt;Fixture!D363,3,1)))</f>
        <v>0</v>
      </c>
      <c r="E2359" s="16">
        <f>IF(OR(ISBLANK(Fixture!D363),ISBLANK(Fixture!F363),ISTEXT(Fixture!D363),ISTEXT(Fixture!F363)),0,1)</f>
        <v>0</v>
      </c>
      <c r="F2359" s="16">
        <f t="shared" si="546"/>
        <v>0</v>
      </c>
      <c r="G2359" s="16">
        <f t="shared" si="547"/>
        <v>0</v>
      </c>
      <c r="H2359" s="16">
        <f t="shared" si="548"/>
        <v>0</v>
      </c>
      <c r="I2359" s="63">
        <f>IF(E2359=0,0,Fixture!D363)</f>
        <v>0</v>
      </c>
      <c r="J2359" s="63">
        <f>IF(E2359=0,0,Fixture!F363)</f>
        <v>0</v>
      </c>
      <c r="K2359" s="63">
        <f t="shared" si="549"/>
        <v>0</v>
      </c>
      <c r="L2359" s="63">
        <f t="shared" si="550"/>
        <v>0</v>
      </c>
      <c r="N2359" s="10" t="str">
        <f t="shared" si="552"/>
        <v>00</v>
      </c>
      <c r="O2359" s="10">
        <f t="shared" si="553"/>
        <v>0</v>
      </c>
      <c r="P2359" s="10">
        <f t="shared" si="554"/>
        <v>0</v>
      </c>
      <c r="Q2359" s="10">
        <f t="shared" si="555"/>
        <v>0</v>
      </c>
    </row>
    <row r="2360" spans="1:17">
      <c r="A2360" s="15">
        <f t="shared" si="551"/>
        <v>0</v>
      </c>
      <c r="B2360" s="15"/>
      <c r="C2360" s="14">
        <f>Fixture!C364</f>
        <v>0</v>
      </c>
      <c r="D2360" s="15">
        <f>IF(E2360=0,0,IF(Fixture!D364&lt;Fixture!F364,0,IF(Fixture!F364&lt;Fixture!D364,3,1)))</f>
        <v>0</v>
      </c>
      <c r="E2360" s="16">
        <f>IF(OR(ISBLANK(Fixture!D364),ISBLANK(Fixture!F364),ISTEXT(Fixture!D364),ISTEXT(Fixture!F364)),0,1)</f>
        <v>0</v>
      </c>
      <c r="F2360" s="16">
        <f t="shared" si="546"/>
        <v>0</v>
      </c>
      <c r="G2360" s="16">
        <f t="shared" si="547"/>
        <v>0</v>
      </c>
      <c r="H2360" s="16">
        <f t="shared" si="548"/>
        <v>0</v>
      </c>
      <c r="I2360" s="63">
        <f>IF(E2360=0,0,Fixture!D364)</f>
        <v>0</v>
      </c>
      <c r="J2360" s="63">
        <f>IF(E2360=0,0,Fixture!F364)</f>
        <v>0</v>
      </c>
      <c r="K2360" s="63">
        <f t="shared" si="549"/>
        <v>0</v>
      </c>
      <c r="L2360" s="63">
        <f t="shared" si="550"/>
        <v>0</v>
      </c>
      <c r="N2360" s="10" t="str">
        <f t="shared" si="552"/>
        <v>00</v>
      </c>
      <c r="O2360" s="10">
        <f t="shared" si="553"/>
        <v>0</v>
      </c>
      <c r="P2360" s="10">
        <f t="shared" si="554"/>
        <v>0</v>
      </c>
      <c r="Q2360" s="10">
        <f t="shared" si="555"/>
        <v>0</v>
      </c>
    </row>
    <row r="2361" spans="1:17">
      <c r="A2361" s="15">
        <f t="shared" si="551"/>
        <v>0</v>
      </c>
      <c r="B2361" s="15"/>
      <c r="C2361" s="14">
        <f>Fixture!C365</f>
        <v>0</v>
      </c>
      <c r="D2361" s="15">
        <f>IF(E2361=0,0,IF(Fixture!D365&lt;Fixture!F365,0,IF(Fixture!F365&lt;Fixture!D365,3,1)))</f>
        <v>0</v>
      </c>
      <c r="E2361" s="16">
        <f>IF(OR(ISBLANK(Fixture!D365),ISBLANK(Fixture!F365),ISTEXT(Fixture!D365),ISTEXT(Fixture!F365)),0,1)</f>
        <v>0</v>
      </c>
      <c r="F2361" s="16">
        <f t="shared" si="546"/>
        <v>0</v>
      </c>
      <c r="G2361" s="16">
        <f t="shared" si="547"/>
        <v>0</v>
      </c>
      <c r="H2361" s="16">
        <f t="shared" si="548"/>
        <v>0</v>
      </c>
      <c r="I2361" s="63">
        <f>IF(E2361=0,0,Fixture!D365)</f>
        <v>0</v>
      </c>
      <c r="J2361" s="63">
        <f>IF(E2361=0,0,Fixture!F365)</f>
        <v>0</v>
      </c>
      <c r="K2361" s="63">
        <f t="shared" si="549"/>
        <v>0</v>
      </c>
      <c r="L2361" s="63">
        <f t="shared" si="550"/>
        <v>0</v>
      </c>
      <c r="N2361" s="10" t="str">
        <f t="shared" si="552"/>
        <v>00</v>
      </c>
      <c r="O2361" s="10">
        <f t="shared" si="553"/>
        <v>0</v>
      </c>
      <c r="P2361" s="10">
        <f t="shared" si="554"/>
        <v>0</v>
      </c>
      <c r="Q2361" s="10">
        <f t="shared" si="555"/>
        <v>0</v>
      </c>
    </row>
    <row r="2362" spans="1:17">
      <c r="A2362" s="15">
        <f t="shared" si="551"/>
        <v>0</v>
      </c>
      <c r="B2362" s="15"/>
      <c r="C2362" s="14">
        <f>Fixture!C366</f>
        <v>0</v>
      </c>
      <c r="D2362" s="15">
        <f>IF(E2362=0,0,IF(Fixture!D366&lt;Fixture!F366,0,IF(Fixture!F366&lt;Fixture!D366,3,1)))</f>
        <v>0</v>
      </c>
      <c r="E2362" s="16">
        <f>IF(OR(ISBLANK(Fixture!D366),ISBLANK(Fixture!F366),ISTEXT(Fixture!D366),ISTEXT(Fixture!F366)),0,1)</f>
        <v>0</v>
      </c>
      <c r="F2362" s="16">
        <f t="shared" si="546"/>
        <v>0</v>
      </c>
      <c r="G2362" s="16">
        <f t="shared" si="547"/>
        <v>0</v>
      </c>
      <c r="H2362" s="16">
        <f t="shared" si="548"/>
        <v>0</v>
      </c>
      <c r="I2362" s="63">
        <f>IF(E2362=0,0,Fixture!D366)</f>
        <v>0</v>
      </c>
      <c r="J2362" s="63">
        <f>IF(E2362=0,0,Fixture!F366)</f>
        <v>0</v>
      </c>
      <c r="K2362" s="63">
        <f t="shared" si="549"/>
        <v>0</v>
      </c>
      <c r="L2362" s="63">
        <f t="shared" si="550"/>
        <v>0</v>
      </c>
      <c r="N2362" s="10" t="str">
        <f t="shared" si="552"/>
        <v>00</v>
      </c>
      <c r="O2362" s="10">
        <f t="shared" si="553"/>
        <v>0</v>
      </c>
      <c r="P2362" s="10">
        <f t="shared" si="554"/>
        <v>0</v>
      </c>
      <c r="Q2362" s="10">
        <f t="shared" si="555"/>
        <v>0</v>
      </c>
    </row>
    <row r="2363" spans="1:17">
      <c r="A2363" s="15">
        <f t="shared" si="551"/>
        <v>0</v>
      </c>
      <c r="B2363" s="15"/>
      <c r="C2363" s="14">
        <f>Fixture!C367</f>
        <v>0</v>
      </c>
      <c r="D2363" s="15">
        <f>IF(E2363=0,0,IF(Fixture!D367&lt;Fixture!F367,0,IF(Fixture!F367&lt;Fixture!D367,3,1)))</f>
        <v>0</v>
      </c>
      <c r="E2363" s="16">
        <f>IF(OR(ISBLANK(Fixture!D367),ISBLANK(Fixture!F367),ISTEXT(Fixture!D367),ISTEXT(Fixture!F367)),0,1)</f>
        <v>0</v>
      </c>
      <c r="F2363" s="16">
        <f t="shared" si="546"/>
        <v>0</v>
      </c>
      <c r="G2363" s="16">
        <f t="shared" si="547"/>
        <v>0</v>
      </c>
      <c r="H2363" s="16">
        <f t="shared" si="548"/>
        <v>0</v>
      </c>
      <c r="I2363" s="63">
        <f>IF(E2363=0,0,Fixture!D367)</f>
        <v>0</v>
      </c>
      <c r="J2363" s="63">
        <f>IF(E2363=0,0,Fixture!F367)</f>
        <v>0</v>
      </c>
      <c r="K2363" s="63">
        <f t="shared" si="549"/>
        <v>0</v>
      </c>
      <c r="L2363" s="63">
        <f t="shared" si="550"/>
        <v>0</v>
      </c>
      <c r="N2363" s="10" t="str">
        <f t="shared" si="552"/>
        <v>00</v>
      </c>
      <c r="O2363" s="10">
        <f t="shared" si="553"/>
        <v>0</v>
      </c>
      <c r="P2363" s="10">
        <f t="shared" si="554"/>
        <v>0</v>
      </c>
      <c r="Q2363" s="10">
        <f t="shared" si="555"/>
        <v>0</v>
      </c>
    </row>
    <row r="2364" spans="1:17">
      <c r="A2364" s="15">
        <f t="shared" si="551"/>
        <v>0</v>
      </c>
      <c r="B2364" s="15"/>
      <c r="C2364" s="14">
        <f>Fixture!C368</f>
        <v>0</v>
      </c>
      <c r="D2364" s="15">
        <f>IF(E2364=0,0,IF(Fixture!D368&lt;Fixture!F368,0,IF(Fixture!F368&lt;Fixture!D368,3,1)))</f>
        <v>0</v>
      </c>
      <c r="E2364" s="16">
        <f>IF(OR(ISBLANK(Fixture!D368),ISBLANK(Fixture!F368),ISTEXT(Fixture!D368),ISTEXT(Fixture!F368)),0,1)</f>
        <v>0</v>
      </c>
      <c r="F2364" s="16">
        <f t="shared" si="546"/>
        <v>0</v>
      </c>
      <c r="G2364" s="16">
        <f t="shared" si="547"/>
        <v>0</v>
      </c>
      <c r="H2364" s="16">
        <f t="shared" si="548"/>
        <v>0</v>
      </c>
      <c r="I2364" s="63">
        <f>IF(E2364=0,0,Fixture!D368)</f>
        <v>0</v>
      </c>
      <c r="J2364" s="63">
        <f>IF(E2364=0,0,Fixture!F368)</f>
        <v>0</v>
      </c>
      <c r="K2364" s="63">
        <f t="shared" si="549"/>
        <v>0</v>
      </c>
      <c r="L2364" s="63">
        <f t="shared" si="550"/>
        <v>0</v>
      </c>
      <c r="N2364" s="10" t="str">
        <f t="shared" si="552"/>
        <v>00</v>
      </c>
      <c r="O2364" s="10">
        <f t="shared" si="553"/>
        <v>0</v>
      </c>
      <c r="P2364" s="10">
        <f t="shared" si="554"/>
        <v>0</v>
      </c>
      <c r="Q2364" s="10">
        <f t="shared" si="555"/>
        <v>0</v>
      </c>
    </row>
    <row r="2365" spans="1:17">
      <c r="A2365" s="15">
        <f t="shared" si="551"/>
        <v>0</v>
      </c>
      <c r="B2365" s="15"/>
      <c r="C2365" s="14">
        <f>Fixture!C369</f>
        <v>0</v>
      </c>
      <c r="D2365" s="15">
        <f>IF(E2365=0,0,IF(Fixture!D369&lt;Fixture!F369,0,IF(Fixture!F369&lt;Fixture!D369,3,1)))</f>
        <v>0</v>
      </c>
      <c r="E2365" s="16">
        <f>IF(OR(ISBLANK(Fixture!D369),ISBLANK(Fixture!F369),ISTEXT(Fixture!D369),ISTEXT(Fixture!F369)),0,1)</f>
        <v>0</v>
      </c>
      <c r="F2365" s="16">
        <f t="shared" si="546"/>
        <v>0</v>
      </c>
      <c r="G2365" s="16">
        <f t="shared" si="547"/>
        <v>0</v>
      </c>
      <c r="H2365" s="16">
        <f t="shared" si="548"/>
        <v>0</v>
      </c>
      <c r="I2365" s="63">
        <f>IF(E2365=0,0,Fixture!D369)</f>
        <v>0</v>
      </c>
      <c r="J2365" s="63">
        <f>IF(E2365=0,0,Fixture!F369)</f>
        <v>0</v>
      </c>
      <c r="K2365" s="63">
        <f t="shared" si="549"/>
        <v>0</v>
      </c>
      <c r="L2365" s="63">
        <f t="shared" si="550"/>
        <v>0</v>
      </c>
      <c r="N2365" s="10" t="str">
        <f t="shared" si="552"/>
        <v>00</v>
      </c>
      <c r="O2365" s="10">
        <f t="shared" si="553"/>
        <v>0</v>
      </c>
      <c r="P2365" s="10">
        <f t="shared" si="554"/>
        <v>0</v>
      </c>
      <c r="Q2365" s="10">
        <f t="shared" si="555"/>
        <v>0</v>
      </c>
    </row>
    <row r="2366" spans="1:17">
      <c r="A2366" s="15">
        <f t="shared" si="551"/>
        <v>0</v>
      </c>
      <c r="B2366" s="15"/>
      <c r="C2366" s="14">
        <f>Fixture!C370</f>
        <v>0</v>
      </c>
      <c r="D2366" s="15">
        <f>IF(E2366=0,0,IF(Fixture!D370&lt;Fixture!F370,0,IF(Fixture!F370&lt;Fixture!D370,3,1)))</f>
        <v>0</v>
      </c>
      <c r="E2366" s="16">
        <f>IF(OR(ISBLANK(Fixture!D370),ISBLANK(Fixture!F370),ISTEXT(Fixture!D370),ISTEXT(Fixture!F370)),0,1)</f>
        <v>0</v>
      </c>
      <c r="F2366" s="16">
        <f t="shared" si="546"/>
        <v>0</v>
      </c>
      <c r="G2366" s="16">
        <f t="shared" si="547"/>
        <v>0</v>
      </c>
      <c r="H2366" s="16">
        <f t="shared" si="548"/>
        <v>0</v>
      </c>
      <c r="I2366" s="63">
        <f>IF(E2366=0,0,Fixture!D370)</f>
        <v>0</v>
      </c>
      <c r="J2366" s="63">
        <f>IF(E2366=0,0,Fixture!F370)</f>
        <v>0</v>
      </c>
      <c r="K2366" s="63">
        <f t="shared" si="549"/>
        <v>0</v>
      </c>
      <c r="L2366" s="63">
        <f t="shared" si="550"/>
        <v>0</v>
      </c>
      <c r="N2366" s="10" t="str">
        <f t="shared" si="552"/>
        <v>00</v>
      </c>
      <c r="O2366" s="10">
        <f t="shared" si="553"/>
        <v>0</v>
      </c>
      <c r="P2366" s="10">
        <f t="shared" si="554"/>
        <v>0</v>
      </c>
      <c r="Q2366" s="10">
        <f t="shared" si="555"/>
        <v>0</v>
      </c>
    </row>
    <row r="2367" spans="1:17">
      <c r="A2367" s="15">
        <f t="shared" si="551"/>
        <v>0</v>
      </c>
      <c r="B2367" s="15"/>
      <c r="C2367" s="14">
        <f>Fixture!C371</f>
        <v>0</v>
      </c>
      <c r="D2367" s="15">
        <f>IF(E2367=0,0,IF(Fixture!D371&lt;Fixture!F371,0,IF(Fixture!F371&lt;Fixture!D371,3,1)))</f>
        <v>0</v>
      </c>
      <c r="E2367" s="16">
        <f>IF(OR(ISBLANK(Fixture!D371),ISBLANK(Fixture!F371),ISTEXT(Fixture!D371),ISTEXT(Fixture!F371)),0,1)</f>
        <v>0</v>
      </c>
      <c r="F2367" s="16">
        <f t="shared" si="546"/>
        <v>0</v>
      </c>
      <c r="G2367" s="16">
        <f t="shared" si="547"/>
        <v>0</v>
      </c>
      <c r="H2367" s="16">
        <f t="shared" si="548"/>
        <v>0</v>
      </c>
      <c r="I2367" s="63">
        <f>IF(E2367=0,0,Fixture!D371)</f>
        <v>0</v>
      </c>
      <c r="J2367" s="63">
        <f>IF(E2367=0,0,Fixture!F371)</f>
        <v>0</v>
      </c>
      <c r="K2367" s="63">
        <f t="shared" si="549"/>
        <v>0</v>
      </c>
      <c r="L2367" s="63">
        <f t="shared" si="550"/>
        <v>0</v>
      </c>
      <c r="N2367" s="10" t="str">
        <f t="shared" si="552"/>
        <v>00</v>
      </c>
      <c r="O2367" s="10">
        <f t="shared" si="553"/>
        <v>0</v>
      </c>
      <c r="P2367" s="10">
        <f t="shared" si="554"/>
        <v>0</v>
      </c>
      <c r="Q2367" s="10">
        <f t="shared" si="555"/>
        <v>0</v>
      </c>
    </row>
    <row r="2368" spans="1:17">
      <c r="A2368" s="15">
        <f t="shared" si="551"/>
        <v>0</v>
      </c>
      <c r="B2368" s="15"/>
      <c r="C2368" s="14">
        <f>Fixture!C372</f>
        <v>0</v>
      </c>
      <c r="D2368" s="15">
        <f>IF(E2368=0,0,IF(Fixture!D372&lt;Fixture!F372,0,IF(Fixture!F372&lt;Fixture!D372,3,1)))</f>
        <v>0</v>
      </c>
      <c r="E2368" s="16">
        <f>IF(OR(ISBLANK(Fixture!D372),ISBLANK(Fixture!F372),ISTEXT(Fixture!D372),ISTEXT(Fixture!F372)),0,1)</f>
        <v>0</v>
      </c>
      <c r="F2368" s="16">
        <f t="shared" si="546"/>
        <v>0</v>
      </c>
      <c r="G2368" s="16">
        <f t="shared" si="547"/>
        <v>0</v>
      </c>
      <c r="H2368" s="16">
        <f t="shared" si="548"/>
        <v>0</v>
      </c>
      <c r="I2368" s="63">
        <f>IF(E2368=0,0,Fixture!D372)</f>
        <v>0</v>
      </c>
      <c r="J2368" s="63">
        <f>IF(E2368=0,0,Fixture!F372)</f>
        <v>0</v>
      </c>
      <c r="K2368" s="63">
        <f t="shared" si="549"/>
        <v>0</v>
      </c>
      <c r="L2368" s="63">
        <f t="shared" si="550"/>
        <v>0</v>
      </c>
      <c r="N2368" s="10" t="str">
        <f t="shared" si="552"/>
        <v>00</v>
      </c>
      <c r="O2368" s="10">
        <f t="shared" si="553"/>
        <v>0</v>
      </c>
      <c r="P2368" s="10">
        <f t="shared" si="554"/>
        <v>0</v>
      </c>
      <c r="Q2368" s="10">
        <f t="shared" si="555"/>
        <v>0</v>
      </c>
    </row>
    <row r="2369" spans="1:17">
      <c r="A2369" s="15">
        <f t="shared" si="551"/>
        <v>0</v>
      </c>
      <c r="B2369" s="15"/>
      <c r="C2369" s="14">
        <f>Fixture!C373</f>
        <v>0</v>
      </c>
      <c r="D2369" s="15">
        <f>IF(E2369=0,0,IF(Fixture!D373&lt;Fixture!F373,0,IF(Fixture!F373&lt;Fixture!D373,3,1)))</f>
        <v>0</v>
      </c>
      <c r="E2369" s="16">
        <f>IF(OR(ISBLANK(Fixture!D373),ISBLANK(Fixture!F373),ISTEXT(Fixture!D373),ISTEXT(Fixture!F373)),0,1)</f>
        <v>0</v>
      </c>
      <c r="F2369" s="16">
        <f t="shared" si="546"/>
        <v>0</v>
      </c>
      <c r="G2369" s="16">
        <f t="shared" si="547"/>
        <v>0</v>
      </c>
      <c r="H2369" s="16">
        <f t="shared" si="548"/>
        <v>0</v>
      </c>
      <c r="I2369" s="63">
        <f>IF(E2369=0,0,Fixture!D373)</f>
        <v>0</v>
      </c>
      <c r="J2369" s="63">
        <f>IF(E2369=0,0,Fixture!F373)</f>
        <v>0</v>
      </c>
      <c r="K2369" s="63">
        <f t="shared" si="549"/>
        <v>0</v>
      </c>
      <c r="L2369" s="63">
        <f t="shared" si="550"/>
        <v>0</v>
      </c>
      <c r="N2369" s="10" t="str">
        <f t="shared" si="552"/>
        <v>00</v>
      </c>
      <c r="O2369" s="10">
        <f t="shared" si="553"/>
        <v>0</v>
      </c>
      <c r="P2369" s="10">
        <f t="shared" si="554"/>
        <v>0</v>
      </c>
      <c r="Q2369" s="10">
        <f t="shared" si="555"/>
        <v>0</v>
      </c>
    </row>
    <row r="2370" spans="1:17">
      <c r="A2370" s="15">
        <f t="shared" si="551"/>
        <v>0</v>
      </c>
      <c r="B2370" s="15"/>
      <c r="C2370" s="14">
        <f>Fixture!C374</f>
        <v>0</v>
      </c>
      <c r="D2370" s="15">
        <f>IF(E2370=0,0,IF(Fixture!D374&lt;Fixture!F374,0,IF(Fixture!F374&lt;Fixture!D374,3,1)))</f>
        <v>0</v>
      </c>
      <c r="E2370" s="16">
        <f>IF(OR(ISBLANK(Fixture!D374),ISBLANK(Fixture!F374),ISTEXT(Fixture!D374),ISTEXT(Fixture!F374)),0,1)</f>
        <v>0</v>
      </c>
      <c r="F2370" s="16">
        <f t="shared" si="546"/>
        <v>0</v>
      </c>
      <c r="G2370" s="16">
        <f t="shared" si="547"/>
        <v>0</v>
      </c>
      <c r="H2370" s="16">
        <f t="shared" si="548"/>
        <v>0</v>
      </c>
      <c r="I2370" s="63">
        <f>IF(E2370=0,0,Fixture!D374)</f>
        <v>0</v>
      </c>
      <c r="J2370" s="63">
        <f>IF(E2370=0,0,Fixture!F374)</f>
        <v>0</v>
      </c>
      <c r="K2370" s="63">
        <f t="shared" si="549"/>
        <v>0</v>
      </c>
      <c r="L2370" s="63">
        <f t="shared" si="550"/>
        <v>0</v>
      </c>
      <c r="N2370" s="10" t="str">
        <f t="shared" si="552"/>
        <v>00</v>
      </c>
      <c r="O2370" s="10">
        <f t="shared" si="553"/>
        <v>0</v>
      </c>
      <c r="P2370" s="10">
        <f t="shared" si="554"/>
        <v>0</v>
      </c>
      <c r="Q2370" s="10">
        <f t="shared" si="555"/>
        <v>0</v>
      </c>
    </row>
    <row r="2371" spans="1:17">
      <c r="A2371" s="15">
        <f t="shared" si="551"/>
        <v>0</v>
      </c>
      <c r="B2371" s="15"/>
      <c r="C2371" s="14">
        <f>Fixture!C375</f>
        <v>0</v>
      </c>
      <c r="D2371" s="15">
        <f>IF(E2371=0,0,IF(Fixture!D375&lt;Fixture!F375,0,IF(Fixture!F375&lt;Fixture!D375,3,1)))</f>
        <v>0</v>
      </c>
      <c r="E2371" s="16">
        <f>IF(OR(ISBLANK(Fixture!D375),ISBLANK(Fixture!F375),ISTEXT(Fixture!D375),ISTEXT(Fixture!F375)),0,1)</f>
        <v>0</v>
      </c>
      <c r="F2371" s="16">
        <f t="shared" si="546"/>
        <v>0</v>
      </c>
      <c r="G2371" s="16">
        <f t="shared" si="547"/>
        <v>0</v>
      </c>
      <c r="H2371" s="16">
        <f t="shared" si="548"/>
        <v>0</v>
      </c>
      <c r="I2371" s="63">
        <f>IF(E2371=0,0,Fixture!D375)</f>
        <v>0</v>
      </c>
      <c r="J2371" s="63">
        <f>IF(E2371=0,0,Fixture!F375)</f>
        <v>0</v>
      </c>
      <c r="K2371" s="63">
        <f t="shared" si="549"/>
        <v>0</v>
      </c>
      <c r="L2371" s="63">
        <f t="shared" si="550"/>
        <v>0</v>
      </c>
      <c r="N2371" s="10" t="str">
        <f t="shared" si="552"/>
        <v>00</v>
      </c>
      <c r="O2371" s="10">
        <f t="shared" si="553"/>
        <v>0</v>
      </c>
      <c r="P2371" s="10">
        <f t="shared" si="554"/>
        <v>0</v>
      </c>
      <c r="Q2371" s="10">
        <f t="shared" si="555"/>
        <v>0</v>
      </c>
    </row>
    <row r="2372" spans="1:17">
      <c r="A2372" s="15">
        <f t="shared" si="551"/>
        <v>0</v>
      </c>
      <c r="B2372" s="15"/>
      <c r="C2372" s="14">
        <f>Fixture!C376</f>
        <v>0</v>
      </c>
      <c r="D2372" s="15">
        <f>IF(E2372=0,0,IF(Fixture!D376&lt;Fixture!F376,0,IF(Fixture!F376&lt;Fixture!D376,3,1)))</f>
        <v>0</v>
      </c>
      <c r="E2372" s="16">
        <f>IF(OR(ISBLANK(Fixture!D376),ISBLANK(Fixture!F376),ISTEXT(Fixture!D376),ISTEXT(Fixture!F376)),0,1)</f>
        <v>0</v>
      </c>
      <c r="F2372" s="16">
        <f t="shared" si="546"/>
        <v>0</v>
      </c>
      <c r="G2372" s="16">
        <f t="shared" si="547"/>
        <v>0</v>
      </c>
      <c r="H2372" s="16">
        <f t="shared" si="548"/>
        <v>0</v>
      </c>
      <c r="I2372" s="63">
        <f>IF(E2372=0,0,Fixture!D376)</f>
        <v>0</v>
      </c>
      <c r="J2372" s="63">
        <f>IF(E2372=0,0,Fixture!F376)</f>
        <v>0</v>
      </c>
      <c r="K2372" s="63">
        <f t="shared" si="549"/>
        <v>0</v>
      </c>
      <c r="L2372" s="63">
        <f t="shared" si="550"/>
        <v>0</v>
      </c>
      <c r="N2372" s="10" t="str">
        <f t="shared" si="552"/>
        <v>00</v>
      </c>
      <c r="O2372" s="10">
        <f t="shared" si="553"/>
        <v>0</v>
      </c>
      <c r="P2372" s="10">
        <f t="shared" si="554"/>
        <v>0</v>
      </c>
      <c r="Q2372" s="10">
        <f t="shared" si="555"/>
        <v>0</v>
      </c>
    </row>
    <row r="2373" spans="1:17">
      <c r="A2373" s="15">
        <f t="shared" si="551"/>
        <v>0</v>
      </c>
      <c r="B2373" s="15"/>
      <c r="C2373" s="14">
        <f>Fixture!C377</f>
        <v>0</v>
      </c>
      <c r="D2373" s="15">
        <f>IF(E2373=0,0,IF(Fixture!D377&lt;Fixture!F377,0,IF(Fixture!F377&lt;Fixture!D377,3,1)))</f>
        <v>0</v>
      </c>
      <c r="E2373" s="16">
        <f>IF(OR(ISBLANK(Fixture!D377),ISBLANK(Fixture!F377),ISTEXT(Fixture!D377),ISTEXT(Fixture!F377)),0,1)</f>
        <v>0</v>
      </c>
      <c r="F2373" s="16">
        <f t="shared" si="546"/>
        <v>0</v>
      </c>
      <c r="G2373" s="16">
        <f t="shared" si="547"/>
        <v>0</v>
      </c>
      <c r="H2373" s="16">
        <f t="shared" si="548"/>
        <v>0</v>
      </c>
      <c r="I2373" s="63">
        <f>IF(E2373=0,0,Fixture!D377)</f>
        <v>0</v>
      </c>
      <c r="J2373" s="63">
        <f>IF(E2373=0,0,Fixture!F377)</f>
        <v>0</v>
      </c>
      <c r="K2373" s="63">
        <f t="shared" si="549"/>
        <v>0</v>
      </c>
      <c r="L2373" s="63">
        <f t="shared" si="550"/>
        <v>0</v>
      </c>
      <c r="N2373" s="10" t="str">
        <f t="shared" si="552"/>
        <v>00</v>
      </c>
      <c r="O2373" s="10">
        <f t="shared" si="553"/>
        <v>0</v>
      </c>
      <c r="P2373" s="10">
        <f t="shared" si="554"/>
        <v>0</v>
      </c>
      <c r="Q2373" s="10">
        <f t="shared" si="555"/>
        <v>0</v>
      </c>
    </row>
    <row r="2374" spans="1:17">
      <c r="A2374" s="15">
        <f t="shared" si="551"/>
        <v>0</v>
      </c>
      <c r="B2374" s="15"/>
      <c r="C2374" s="14">
        <f>Fixture!C378</f>
        <v>0</v>
      </c>
      <c r="D2374" s="15">
        <f>IF(E2374=0,0,IF(Fixture!D378&lt;Fixture!F378,0,IF(Fixture!F378&lt;Fixture!D378,3,1)))</f>
        <v>0</v>
      </c>
      <c r="E2374" s="16">
        <f>IF(OR(ISBLANK(Fixture!D378),ISBLANK(Fixture!F378),ISTEXT(Fixture!D378),ISTEXT(Fixture!F378)),0,1)</f>
        <v>0</v>
      </c>
      <c r="F2374" s="16">
        <f t="shared" si="546"/>
        <v>0</v>
      </c>
      <c r="G2374" s="16">
        <f t="shared" si="547"/>
        <v>0</v>
      </c>
      <c r="H2374" s="16">
        <f t="shared" si="548"/>
        <v>0</v>
      </c>
      <c r="I2374" s="63">
        <f>IF(E2374=0,0,Fixture!D378)</f>
        <v>0</v>
      </c>
      <c r="J2374" s="63">
        <f>IF(E2374=0,0,Fixture!F378)</f>
        <v>0</v>
      </c>
      <c r="K2374" s="63">
        <f t="shared" si="549"/>
        <v>0</v>
      </c>
      <c r="L2374" s="63">
        <f t="shared" si="550"/>
        <v>0</v>
      </c>
      <c r="N2374" s="10" t="str">
        <f t="shared" si="552"/>
        <v>00</v>
      </c>
      <c r="O2374" s="10">
        <f t="shared" si="553"/>
        <v>0</v>
      </c>
      <c r="P2374" s="10">
        <f t="shared" si="554"/>
        <v>0</v>
      </c>
      <c r="Q2374" s="10">
        <f t="shared" si="555"/>
        <v>0</v>
      </c>
    </row>
    <row r="2375" spans="1:17">
      <c r="A2375" s="15">
        <f t="shared" si="551"/>
        <v>0</v>
      </c>
      <c r="B2375" s="15"/>
      <c r="C2375" s="14">
        <f>Fixture!C379</f>
        <v>0</v>
      </c>
      <c r="D2375" s="15">
        <f>IF(E2375=0,0,IF(Fixture!D379&lt;Fixture!F379,0,IF(Fixture!F379&lt;Fixture!D379,3,1)))</f>
        <v>0</v>
      </c>
      <c r="E2375" s="16">
        <f>IF(OR(ISBLANK(Fixture!D379),ISBLANK(Fixture!F379),ISTEXT(Fixture!D379),ISTEXT(Fixture!F379)),0,1)</f>
        <v>0</v>
      </c>
      <c r="F2375" s="16">
        <f t="shared" si="546"/>
        <v>0</v>
      </c>
      <c r="G2375" s="16">
        <f t="shared" si="547"/>
        <v>0</v>
      </c>
      <c r="H2375" s="16">
        <f t="shared" si="548"/>
        <v>0</v>
      </c>
      <c r="I2375" s="63">
        <f>IF(E2375=0,0,Fixture!D379)</f>
        <v>0</v>
      </c>
      <c r="J2375" s="63">
        <f>IF(E2375=0,0,Fixture!F379)</f>
        <v>0</v>
      </c>
      <c r="K2375" s="63">
        <f t="shared" si="549"/>
        <v>0</v>
      </c>
      <c r="L2375" s="63">
        <f t="shared" si="550"/>
        <v>0</v>
      </c>
      <c r="N2375" s="10" t="str">
        <f t="shared" si="552"/>
        <v>00</v>
      </c>
      <c r="O2375" s="10">
        <f t="shared" si="553"/>
        <v>0</v>
      </c>
      <c r="P2375" s="10">
        <f t="shared" si="554"/>
        <v>0</v>
      </c>
      <c r="Q2375" s="10">
        <f t="shared" si="555"/>
        <v>0</v>
      </c>
    </row>
    <row r="2376" spans="1:17">
      <c r="A2376" s="15">
        <f t="shared" si="551"/>
        <v>0</v>
      </c>
      <c r="B2376" s="15"/>
      <c r="C2376" s="14">
        <f>Fixture!C380</f>
        <v>0</v>
      </c>
      <c r="D2376" s="15">
        <f>IF(E2376=0,0,IF(Fixture!D380&lt;Fixture!F380,0,IF(Fixture!F380&lt;Fixture!D380,3,1)))</f>
        <v>0</v>
      </c>
      <c r="E2376" s="16">
        <f>IF(OR(ISBLANK(Fixture!D380),ISBLANK(Fixture!F380),ISTEXT(Fixture!D380),ISTEXT(Fixture!F380)),0,1)</f>
        <v>0</v>
      </c>
      <c r="F2376" s="16">
        <f t="shared" si="546"/>
        <v>0</v>
      </c>
      <c r="G2376" s="16">
        <f t="shared" si="547"/>
        <v>0</v>
      </c>
      <c r="H2376" s="16">
        <f t="shared" si="548"/>
        <v>0</v>
      </c>
      <c r="I2376" s="63">
        <f>IF(E2376=0,0,Fixture!D380)</f>
        <v>0</v>
      </c>
      <c r="J2376" s="63">
        <f>IF(E2376=0,0,Fixture!F380)</f>
        <v>0</v>
      </c>
      <c r="K2376" s="63">
        <f t="shared" si="549"/>
        <v>0</v>
      </c>
      <c r="L2376" s="63">
        <f t="shared" si="550"/>
        <v>0</v>
      </c>
      <c r="N2376" s="10" t="str">
        <f t="shared" si="552"/>
        <v>00</v>
      </c>
      <c r="O2376" s="10">
        <f t="shared" si="553"/>
        <v>0</v>
      </c>
      <c r="P2376" s="10">
        <f t="shared" si="554"/>
        <v>0</v>
      </c>
      <c r="Q2376" s="10">
        <f t="shared" si="555"/>
        <v>0</v>
      </c>
    </row>
    <row r="2377" spans="1:17">
      <c r="A2377" s="15">
        <f t="shared" si="551"/>
        <v>0</v>
      </c>
      <c r="B2377" s="15"/>
      <c r="C2377" s="14">
        <f>Fixture!C381</f>
        <v>0</v>
      </c>
      <c r="D2377" s="15">
        <f>IF(E2377=0,0,IF(Fixture!D381&lt;Fixture!F381,0,IF(Fixture!F381&lt;Fixture!D381,3,1)))</f>
        <v>0</v>
      </c>
      <c r="E2377" s="16">
        <f>IF(OR(ISBLANK(Fixture!D381),ISBLANK(Fixture!F381),ISTEXT(Fixture!D381),ISTEXT(Fixture!F381)),0,1)</f>
        <v>0</v>
      </c>
      <c r="F2377" s="16">
        <f t="shared" si="546"/>
        <v>0</v>
      </c>
      <c r="G2377" s="16">
        <f t="shared" si="547"/>
        <v>0</v>
      </c>
      <c r="H2377" s="16">
        <f t="shared" si="548"/>
        <v>0</v>
      </c>
      <c r="I2377" s="63">
        <f>IF(E2377=0,0,Fixture!D381)</f>
        <v>0</v>
      </c>
      <c r="J2377" s="63">
        <f>IF(E2377=0,0,Fixture!F381)</f>
        <v>0</v>
      </c>
      <c r="K2377" s="63">
        <f t="shared" si="549"/>
        <v>0</v>
      </c>
      <c r="L2377" s="63">
        <f t="shared" si="550"/>
        <v>0</v>
      </c>
      <c r="N2377" s="10" t="str">
        <f t="shared" si="552"/>
        <v>00</v>
      </c>
      <c r="O2377" s="10">
        <f t="shared" si="553"/>
        <v>0</v>
      </c>
      <c r="P2377" s="10">
        <f t="shared" si="554"/>
        <v>0</v>
      </c>
      <c r="Q2377" s="10">
        <f t="shared" si="555"/>
        <v>0</v>
      </c>
    </row>
    <row r="2378" spans="1:17">
      <c r="A2378" s="15">
        <f t="shared" si="551"/>
        <v>0</v>
      </c>
      <c r="B2378" s="15"/>
      <c r="C2378" s="14">
        <f>Fixture!C382</f>
        <v>0</v>
      </c>
      <c r="D2378" s="15">
        <f>IF(E2378=0,0,IF(Fixture!D382&lt;Fixture!F382,0,IF(Fixture!F382&lt;Fixture!D382,3,1)))</f>
        <v>0</v>
      </c>
      <c r="E2378" s="16">
        <f>IF(OR(ISBLANK(Fixture!D382),ISBLANK(Fixture!F382),ISTEXT(Fixture!D382),ISTEXT(Fixture!F382)),0,1)</f>
        <v>0</v>
      </c>
      <c r="F2378" s="16">
        <f t="shared" si="546"/>
        <v>0</v>
      </c>
      <c r="G2378" s="16">
        <f t="shared" si="547"/>
        <v>0</v>
      </c>
      <c r="H2378" s="16">
        <f t="shared" si="548"/>
        <v>0</v>
      </c>
      <c r="I2378" s="63">
        <f>IF(E2378=0,0,Fixture!D382)</f>
        <v>0</v>
      </c>
      <c r="J2378" s="63">
        <f>IF(E2378=0,0,Fixture!F382)</f>
        <v>0</v>
      </c>
      <c r="K2378" s="63">
        <f t="shared" si="549"/>
        <v>0</v>
      </c>
      <c r="L2378" s="63">
        <f t="shared" si="550"/>
        <v>0</v>
      </c>
      <c r="N2378" s="10" t="str">
        <f t="shared" si="552"/>
        <v>00</v>
      </c>
      <c r="O2378" s="10">
        <f t="shared" si="553"/>
        <v>0</v>
      </c>
      <c r="P2378" s="10">
        <f t="shared" si="554"/>
        <v>0</v>
      </c>
      <c r="Q2378" s="10">
        <f t="shared" si="555"/>
        <v>0</v>
      </c>
    </row>
    <row r="2379" spans="1:17">
      <c r="A2379" s="15">
        <f t="shared" si="551"/>
        <v>0</v>
      </c>
      <c r="B2379" s="15"/>
      <c r="C2379" s="14">
        <f>Fixture!C383</f>
        <v>0</v>
      </c>
      <c r="D2379" s="15">
        <f>IF(E2379=0,0,IF(Fixture!D383&lt;Fixture!F383,0,IF(Fixture!F383&lt;Fixture!D383,3,1)))</f>
        <v>0</v>
      </c>
      <c r="E2379" s="16">
        <f>IF(OR(ISBLANK(Fixture!D383),ISBLANK(Fixture!F383),ISTEXT(Fixture!D383),ISTEXT(Fixture!F383)),0,1)</f>
        <v>0</v>
      </c>
      <c r="F2379" s="16">
        <f t="shared" si="546"/>
        <v>0</v>
      </c>
      <c r="G2379" s="16">
        <f t="shared" si="547"/>
        <v>0</v>
      </c>
      <c r="H2379" s="16">
        <f t="shared" si="548"/>
        <v>0</v>
      </c>
      <c r="I2379" s="63">
        <f>IF(E2379=0,0,Fixture!D383)</f>
        <v>0</v>
      </c>
      <c r="J2379" s="63">
        <f>IF(E2379=0,0,Fixture!F383)</f>
        <v>0</v>
      </c>
      <c r="K2379" s="63">
        <f t="shared" si="549"/>
        <v>0</v>
      </c>
      <c r="L2379" s="63">
        <f t="shared" si="550"/>
        <v>0</v>
      </c>
      <c r="N2379" s="10" t="str">
        <f t="shared" si="552"/>
        <v>00</v>
      </c>
      <c r="O2379" s="10">
        <f t="shared" si="553"/>
        <v>0</v>
      </c>
      <c r="P2379" s="10">
        <f t="shared" si="554"/>
        <v>0</v>
      </c>
      <c r="Q2379" s="10">
        <f t="shared" si="555"/>
        <v>0</v>
      </c>
    </row>
    <row r="2380" spans="1:17">
      <c r="A2380" s="15">
        <f t="shared" si="551"/>
        <v>0</v>
      </c>
      <c r="B2380" s="15"/>
      <c r="C2380" s="14">
        <f>Fixture!C384</f>
        <v>0</v>
      </c>
      <c r="D2380" s="15">
        <f>IF(E2380=0,0,IF(Fixture!D384&lt;Fixture!F384,0,IF(Fixture!F384&lt;Fixture!D384,3,1)))</f>
        <v>0</v>
      </c>
      <c r="E2380" s="16">
        <f>IF(OR(ISBLANK(Fixture!D384),ISBLANK(Fixture!F384),ISTEXT(Fixture!D384),ISTEXT(Fixture!F384)),0,1)</f>
        <v>0</v>
      </c>
      <c r="F2380" s="16">
        <f t="shared" si="546"/>
        <v>0</v>
      </c>
      <c r="G2380" s="16">
        <f t="shared" si="547"/>
        <v>0</v>
      </c>
      <c r="H2380" s="16">
        <f t="shared" si="548"/>
        <v>0</v>
      </c>
      <c r="I2380" s="63">
        <f>IF(E2380=0,0,Fixture!D384)</f>
        <v>0</v>
      </c>
      <c r="J2380" s="63">
        <f>IF(E2380=0,0,Fixture!F384)</f>
        <v>0</v>
      </c>
      <c r="K2380" s="63">
        <f t="shared" si="549"/>
        <v>0</v>
      </c>
      <c r="L2380" s="63">
        <f t="shared" si="550"/>
        <v>0</v>
      </c>
      <c r="N2380" s="10" t="str">
        <f t="shared" si="552"/>
        <v>00</v>
      </c>
      <c r="O2380" s="10">
        <f t="shared" si="553"/>
        <v>0</v>
      </c>
      <c r="P2380" s="10">
        <f t="shared" si="554"/>
        <v>0</v>
      </c>
      <c r="Q2380" s="10">
        <f t="shared" si="555"/>
        <v>0</v>
      </c>
    </row>
    <row r="2381" spans="1:17">
      <c r="A2381" s="15">
        <f t="shared" si="551"/>
        <v>0</v>
      </c>
      <c r="B2381" s="15"/>
      <c r="C2381" s="14">
        <f>Fixture!C385</f>
        <v>0</v>
      </c>
      <c r="D2381" s="15">
        <f>IF(E2381=0,0,IF(Fixture!D385&lt;Fixture!F385,0,IF(Fixture!F385&lt;Fixture!D385,3,1)))</f>
        <v>0</v>
      </c>
      <c r="E2381" s="16">
        <f>IF(OR(ISBLANK(Fixture!D385),ISBLANK(Fixture!F385),ISTEXT(Fixture!D385),ISTEXT(Fixture!F385)),0,1)</f>
        <v>0</v>
      </c>
      <c r="F2381" s="16">
        <f t="shared" si="546"/>
        <v>0</v>
      </c>
      <c r="G2381" s="16">
        <f t="shared" si="547"/>
        <v>0</v>
      </c>
      <c r="H2381" s="16">
        <f t="shared" si="548"/>
        <v>0</v>
      </c>
      <c r="I2381" s="63">
        <f>IF(E2381=0,0,Fixture!D385)</f>
        <v>0</v>
      </c>
      <c r="J2381" s="63">
        <f>IF(E2381=0,0,Fixture!F385)</f>
        <v>0</v>
      </c>
      <c r="K2381" s="63">
        <f t="shared" si="549"/>
        <v>0</v>
      </c>
      <c r="L2381" s="63">
        <f t="shared" si="550"/>
        <v>0</v>
      </c>
      <c r="N2381" s="10" t="str">
        <f t="shared" si="552"/>
        <v>00</v>
      </c>
      <c r="O2381" s="10">
        <f t="shared" si="553"/>
        <v>0</v>
      </c>
      <c r="P2381" s="10">
        <f t="shared" si="554"/>
        <v>0</v>
      </c>
      <c r="Q2381" s="10">
        <f t="shared" si="555"/>
        <v>0</v>
      </c>
    </row>
    <row r="2382" spans="1:17">
      <c r="A2382" s="15">
        <f t="shared" si="551"/>
        <v>0</v>
      </c>
      <c r="B2382" s="15"/>
      <c r="C2382" s="14">
        <f>Fixture!C386</f>
        <v>0</v>
      </c>
      <c r="D2382" s="15">
        <f>IF(E2382=0,0,IF(Fixture!D386&lt;Fixture!F386,0,IF(Fixture!F386&lt;Fixture!D386,3,1)))</f>
        <v>0</v>
      </c>
      <c r="E2382" s="16">
        <f>IF(OR(ISBLANK(Fixture!D386),ISBLANK(Fixture!F386),ISTEXT(Fixture!D386),ISTEXT(Fixture!F386)),0,1)</f>
        <v>0</v>
      </c>
      <c r="F2382" s="16">
        <f t="shared" si="546"/>
        <v>0</v>
      </c>
      <c r="G2382" s="16">
        <f t="shared" si="547"/>
        <v>0</v>
      </c>
      <c r="H2382" s="16">
        <f t="shared" si="548"/>
        <v>0</v>
      </c>
      <c r="I2382" s="63">
        <f>IF(E2382=0,0,Fixture!D386)</f>
        <v>0</v>
      </c>
      <c r="J2382" s="63">
        <f>IF(E2382=0,0,Fixture!F386)</f>
        <v>0</v>
      </c>
      <c r="K2382" s="63">
        <f t="shared" si="549"/>
        <v>0</v>
      </c>
      <c r="L2382" s="63">
        <f t="shared" si="550"/>
        <v>0</v>
      </c>
      <c r="N2382" s="10" t="str">
        <f t="shared" si="552"/>
        <v>00</v>
      </c>
      <c r="O2382" s="10">
        <f t="shared" si="553"/>
        <v>0</v>
      </c>
      <c r="P2382" s="10">
        <f t="shared" si="554"/>
        <v>0</v>
      </c>
      <c r="Q2382" s="10">
        <f t="shared" si="555"/>
        <v>0</v>
      </c>
    </row>
    <row r="2383" spans="1:17">
      <c r="A2383" s="15">
        <f t="shared" si="551"/>
        <v>0</v>
      </c>
      <c r="B2383" s="15"/>
      <c r="C2383" s="14">
        <f>Fixture!C387</f>
        <v>0</v>
      </c>
      <c r="D2383" s="15">
        <f>IF(E2383=0,0,IF(Fixture!D387&lt;Fixture!F387,0,IF(Fixture!F387&lt;Fixture!D387,3,1)))</f>
        <v>0</v>
      </c>
      <c r="E2383" s="16">
        <f>IF(OR(ISBLANK(Fixture!D387),ISBLANK(Fixture!F387),ISTEXT(Fixture!D387),ISTEXT(Fixture!F387)),0,1)</f>
        <v>0</v>
      </c>
      <c r="F2383" s="16">
        <f t="shared" si="546"/>
        <v>0</v>
      </c>
      <c r="G2383" s="16">
        <f t="shared" si="547"/>
        <v>0</v>
      </c>
      <c r="H2383" s="16">
        <f t="shared" si="548"/>
        <v>0</v>
      </c>
      <c r="I2383" s="63">
        <f>IF(E2383=0,0,Fixture!D387)</f>
        <v>0</v>
      </c>
      <c r="J2383" s="63">
        <f>IF(E2383=0,0,Fixture!F387)</f>
        <v>0</v>
      </c>
      <c r="K2383" s="63">
        <f t="shared" si="549"/>
        <v>0</v>
      </c>
      <c r="L2383" s="63">
        <f t="shared" si="550"/>
        <v>0</v>
      </c>
      <c r="N2383" s="10" t="str">
        <f t="shared" si="552"/>
        <v>00</v>
      </c>
      <c r="O2383" s="10">
        <f t="shared" si="553"/>
        <v>0</v>
      </c>
      <c r="P2383" s="10">
        <f t="shared" si="554"/>
        <v>0</v>
      </c>
      <c r="Q2383" s="10">
        <f t="shared" si="555"/>
        <v>0</v>
      </c>
    </row>
    <row r="2384" spans="1:17">
      <c r="A2384" s="15">
        <f t="shared" si="551"/>
        <v>0</v>
      </c>
      <c r="B2384" s="15"/>
      <c r="C2384" s="14">
        <f>Fixture!C388</f>
        <v>0</v>
      </c>
      <c r="D2384" s="15">
        <f>IF(E2384=0,0,IF(Fixture!D388&lt;Fixture!F388,0,IF(Fixture!F388&lt;Fixture!D388,3,1)))</f>
        <v>0</v>
      </c>
      <c r="E2384" s="16">
        <f>IF(OR(ISBLANK(Fixture!D388),ISBLANK(Fixture!F388),ISTEXT(Fixture!D388),ISTEXT(Fixture!F388)),0,1)</f>
        <v>0</v>
      </c>
      <c r="F2384" s="16">
        <f t="shared" si="546"/>
        <v>0</v>
      </c>
      <c r="G2384" s="16">
        <f t="shared" si="547"/>
        <v>0</v>
      </c>
      <c r="H2384" s="16">
        <f t="shared" si="548"/>
        <v>0</v>
      </c>
      <c r="I2384" s="63">
        <f>IF(E2384=0,0,Fixture!D388)</f>
        <v>0</v>
      </c>
      <c r="J2384" s="63">
        <f>IF(E2384=0,0,Fixture!F388)</f>
        <v>0</v>
      </c>
      <c r="K2384" s="63">
        <f t="shared" si="549"/>
        <v>0</v>
      </c>
      <c r="L2384" s="63">
        <f t="shared" si="550"/>
        <v>0</v>
      </c>
      <c r="N2384" s="10" t="str">
        <f t="shared" si="552"/>
        <v>00</v>
      </c>
      <c r="O2384" s="10">
        <f t="shared" si="553"/>
        <v>0</v>
      </c>
      <c r="P2384" s="10">
        <f t="shared" si="554"/>
        <v>0</v>
      </c>
      <c r="Q2384" s="10">
        <f t="shared" si="555"/>
        <v>0</v>
      </c>
    </row>
    <row r="2385" spans="1:17">
      <c r="A2385" s="15">
        <f t="shared" si="551"/>
        <v>0</v>
      </c>
      <c r="B2385" s="15"/>
      <c r="C2385" s="14">
        <f>Fixture!C389</f>
        <v>0</v>
      </c>
      <c r="D2385" s="15">
        <f>IF(E2385=0,0,IF(Fixture!D389&lt;Fixture!F389,0,IF(Fixture!F389&lt;Fixture!D389,3,1)))</f>
        <v>0</v>
      </c>
      <c r="E2385" s="16">
        <f>IF(OR(ISBLANK(Fixture!D389),ISBLANK(Fixture!F389),ISTEXT(Fixture!D389),ISTEXT(Fixture!F389)),0,1)</f>
        <v>0</v>
      </c>
      <c r="F2385" s="16">
        <f t="shared" ref="F2385:F2448" si="556">IF(E2385=0,0,IF(D2385&lt;&gt;3,0,1))</f>
        <v>0</v>
      </c>
      <c r="G2385" s="16">
        <f t="shared" ref="G2385:G2448" si="557">IF(E2385=0,0,IF(D2385&lt;&gt;1,0,1))</f>
        <v>0</v>
      </c>
      <c r="H2385" s="16">
        <f t="shared" ref="H2385:H2448" si="558">IF(E2385=0,0,IF(D2385&lt;&gt;0,0,1))</f>
        <v>0</v>
      </c>
      <c r="I2385" s="63">
        <f>IF(E2385=0,0,Fixture!D389)</f>
        <v>0</v>
      </c>
      <c r="J2385" s="63">
        <f>IF(E2385=0,0,Fixture!F389)</f>
        <v>0</v>
      </c>
      <c r="K2385" s="63">
        <f t="shared" ref="K2385:K2448" si="559">IF(E2385=0,0,IF(I2385&gt;0,0,1))</f>
        <v>0</v>
      </c>
      <c r="L2385" s="63">
        <f t="shared" ref="L2385:L2448" si="560">IF(E2385=0,0,IF(J2385&gt;0,0,1))</f>
        <v>0</v>
      </c>
      <c r="N2385" s="10" t="str">
        <f t="shared" si="552"/>
        <v>00</v>
      </c>
      <c r="O2385" s="10">
        <f t="shared" si="553"/>
        <v>0</v>
      </c>
      <c r="P2385" s="10">
        <f t="shared" si="554"/>
        <v>0</v>
      </c>
      <c r="Q2385" s="10">
        <f t="shared" si="555"/>
        <v>0</v>
      </c>
    </row>
    <row r="2386" spans="1:17">
      <c r="A2386" s="15">
        <f t="shared" ref="A2386:A2449" si="561">A429</f>
        <v>0</v>
      </c>
      <c r="B2386" s="15"/>
      <c r="C2386" s="14">
        <f>Fixture!C390</f>
        <v>0</v>
      </c>
      <c r="D2386" s="15">
        <f>IF(E2386=0,0,IF(Fixture!D390&lt;Fixture!F390,0,IF(Fixture!F390&lt;Fixture!D390,3,1)))</f>
        <v>0</v>
      </c>
      <c r="E2386" s="16">
        <f>IF(OR(ISBLANK(Fixture!D390),ISBLANK(Fixture!F390),ISTEXT(Fixture!D390),ISTEXT(Fixture!F390)),0,1)</f>
        <v>0</v>
      </c>
      <c r="F2386" s="16">
        <f t="shared" si="556"/>
        <v>0</v>
      </c>
      <c r="G2386" s="16">
        <f t="shared" si="557"/>
        <v>0</v>
      </c>
      <c r="H2386" s="16">
        <f t="shared" si="558"/>
        <v>0</v>
      </c>
      <c r="I2386" s="63">
        <f>IF(E2386=0,0,Fixture!D390)</f>
        <v>0</v>
      </c>
      <c r="J2386" s="63">
        <f>IF(E2386=0,0,Fixture!F390)</f>
        <v>0</v>
      </c>
      <c r="K2386" s="63">
        <f t="shared" si="559"/>
        <v>0</v>
      </c>
      <c r="L2386" s="63">
        <f t="shared" si="560"/>
        <v>0</v>
      </c>
      <c r="N2386" s="10" t="str">
        <f t="shared" ref="N2386:N2449" si="562">CONCATENATE(C2386,A2386)</f>
        <v>00</v>
      </c>
      <c r="O2386" s="10">
        <f t="shared" ref="O2386:O2449" si="563">D2386</f>
        <v>0</v>
      </c>
      <c r="P2386" s="10">
        <f t="shared" ref="P2386:P2449" si="564">I2386</f>
        <v>0</v>
      </c>
      <c r="Q2386" s="10">
        <f t="shared" ref="Q2386:Q2449" si="565">J2386</f>
        <v>0</v>
      </c>
    </row>
    <row r="2387" spans="1:17">
      <c r="A2387" s="15">
        <f t="shared" si="561"/>
        <v>0</v>
      </c>
      <c r="B2387" s="15"/>
      <c r="C2387" s="14">
        <f>Fixture!C391</f>
        <v>0</v>
      </c>
      <c r="D2387" s="15">
        <f>IF(E2387=0,0,IF(Fixture!D391&lt;Fixture!F391,0,IF(Fixture!F391&lt;Fixture!D391,3,1)))</f>
        <v>0</v>
      </c>
      <c r="E2387" s="16">
        <f>IF(OR(ISBLANK(Fixture!D391),ISBLANK(Fixture!F391),ISTEXT(Fixture!D391),ISTEXT(Fixture!F391)),0,1)</f>
        <v>0</v>
      </c>
      <c r="F2387" s="16">
        <f t="shared" si="556"/>
        <v>0</v>
      </c>
      <c r="G2387" s="16">
        <f t="shared" si="557"/>
        <v>0</v>
      </c>
      <c r="H2387" s="16">
        <f t="shared" si="558"/>
        <v>0</v>
      </c>
      <c r="I2387" s="63">
        <f>IF(E2387=0,0,Fixture!D391)</f>
        <v>0</v>
      </c>
      <c r="J2387" s="63">
        <f>IF(E2387=0,0,Fixture!F391)</f>
        <v>0</v>
      </c>
      <c r="K2387" s="63">
        <f t="shared" si="559"/>
        <v>0</v>
      </c>
      <c r="L2387" s="63">
        <f t="shared" si="560"/>
        <v>0</v>
      </c>
      <c r="N2387" s="10" t="str">
        <f t="shared" si="562"/>
        <v>00</v>
      </c>
      <c r="O2387" s="10">
        <f t="shared" si="563"/>
        <v>0</v>
      </c>
      <c r="P2387" s="10">
        <f t="shared" si="564"/>
        <v>0</v>
      </c>
      <c r="Q2387" s="10">
        <f t="shared" si="565"/>
        <v>0</v>
      </c>
    </row>
    <row r="2388" spans="1:17">
      <c r="A2388" s="15">
        <f t="shared" si="561"/>
        <v>0</v>
      </c>
      <c r="B2388" s="15"/>
      <c r="C2388" s="14">
        <f>Fixture!C392</f>
        <v>0</v>
      </c>
      <c r="D2388" s="15">
        <f>IF(E2388=0,0,IF(Fixture!D392&lt;Fixture!F392,0,IF(Fixture!F392&lt;Fixture!D392,3,1)))</f>
        <v>0</v>
      </c>
      <c r="E2388" s="16">
        <f>IF(OR(ISBLANK(Fixture!D392),ISBLANK(Fixture!F392),ISTEXT(Fixture!D392),ISTEXT(Fixture!F392)),0,1)</f>
        <v>0</v>
      </c>
      <c r="F2388" s="16">
        <f t="shared" si="556"/>
        <v>0</v>
      </c>
      <c r="G2388" s="16">
        <f t="shared" si="557"/>
        <v>0</v>
      </c>
      <c r="H2388" s="16">
        <f t="shared" si="558"/>
        <v>0</v>
      </c>
      <c r="I2388" s="63">
        <f>IF(E2388=0,0,Fixture!D392)</f>
        <v>0</v>
      </c>
      <c r="J2388" s="63">
        <f>IF(E2388=0,0,Fixture!F392)</f>
        <v>0</v>
      </c>
      <c r="K2388" s="63">
        <f t="shared" si="559"/>
        <v>0</v>
      </c>
      <c r="L2388" s="63">
        <f t="shared" si="560"/>
        <v>0</v>
      </c>
      <c r="N2388" s="10" t="str">
        <f t="shared" si="562"/>
        <v>00</v>
      </c>
      <c r="O2388" s="10">
        <f t="shared" si="563"/>
        <v>0</v>
      </c>
      <c r="P2388" s="10">
        <f t="shared" si="564"/>
        <v>0</v>
      </c>
      <c r="Q2388" s="10">
        <f t="shared" si="565"/>
        <v>0</v>
      </c>
    </row>
    <row r="2389" spans="1:17">
      <c r="A2389" s="15">
        <f t="shared" si="561"/>
        <v>0</v>
      </c>
      <c r="B2389" s="15"/>
      <c r="C2389" s="14">
        <f>Fixture!C393</f>
        <v>0</v>
      </c>
      <c r="D2389" s="15">
        <f>IF(E2389=0,0,IF(Fixture!D393&lt;Fixture!F393,0,IF(Fixture!F393&lt;Fixture!D393,3,1)))</f>
        <v>0</v>
      </c>
      <c r="E2389" s="16">
        <f>IF(OR(ISBLANK(Fixture!D393),ISBLANK(Fixture!F393),ISTEXT(Fixture!D393),ISTEXT(Fixture!F393)),0,1)</f>
        <v>0</v>
      </c>
      <c r="F2389" s="16">
        <f t="shared" si="556"/>
        <v>0</v>
      </c>
      <c r="G2389" s="16">
        <f t="shared" si="557"/>
        <v>0</v>
      </c>
      <c r="H2389" s="16">
        <f t="shared" si="558"/>
        <v>0</v>
      </c>
      <c r="I2389" s="63">
        <f>IF(E2389=0,0,Fixture!D393)</f>
        <v>0</v>
      </c>
      <c r="J2389" s="63">
        <f>IF(E2389=0,0,Fixture!F393)</f>
        <v>0</v>
      </c>
      <c r="K2389" s="63">
        <f t="shared" si="559"/>
        <v>0</v>
      </c>
      <c r="L2389" s="63">
        <f t="shared" si="560"/>
        <v>0</v>
      </c>
      <c r="N2389" s="10" t="str">
        <f t="shared" si="562"/>
        <v>00</v>
      </c>
      <c r="O2389" s="10">
        <f t="shared" si="563"/>
        <v>0</v>
      </c>
      <c r="P2389" s="10">
        <f t="shared" si="564"/>
        <v>0</v>
      </c>
      <c r="Q2389" s="10">
        <f t="shared" si="565"/>
        <v>0</v>
      </c>
    </row>
    <row r="2390" spans="1:17">
      <c r="A2390" s="15">
        <f t="shared" si="561"/>
        <v>0</v>
      </c>
      <c r="B2390" s="15"/>
      <c r="C2390" s="14">
        <f>Fixture!C394</f>
        <v>0</v>
      </c>
      <c r="D2390" s="15">
        <f>IF(E2390=0,0,IF(Fixture!D394&lt;Fixture!F394,0,IF(Fixture!F394&lt;Fixture!D394,3,1)))</f>
        <v>0</v>
      </c>
      <c r="E2390" s="16">
        <f>IF(OR(ISBLANK(Fixture!D394),ISBLANK(Fixture!F394),ISTEXT(Fixture!D394),ISTEXT(Fixture!F394)),0,1)</f>
        <v>0</v>
      </c>
      <c r="F2390" s="16">
        <f t="shared" si="556"/>
        <v>0</v>
      </c>
      <c r="G2390" s="16">
        <f t="shared" si="557"/>
        <v>0</v>
      </c>
      <c r="H2390" s="16">
        <f t="shared" si="558"/>
        <v>0</v>
      </c>
      <c r="I2390" s="63">
        <f>IF(E2390=0,0,Fixture!D394)</f>
        <v>0</v>
      </c>
      <c r="J2390" s="63">
        <f>IF(E2390=0,0,Fixture!F394)</f>
        <v>0</v>
      </c>
      <c r="K2390" s="63">
        <f t="shared" si="559"/>
        <v>0</v>
      </c>
      <c r="L2390" s="63">
        <f t="shared" si="560"/>
        <v>0</v>
      </c>
      <c r="N2390" s="10" t="str">
        <f t="shared" si="562"/>
        <v>00</v>
      </c>
      <c r="O2390" s="10">
        <f t="shared" si="563"/>
        <v>0</v>
      </c>
      <c r="P2390" s="10">
        <f t="shared" si="564"/>
        <v>0</v>
      </c>
      <c r="Q2390" s="10">
        <f t="shared" si="565"/>
        <v>0</v>
      </c>
    </row>
    <row r="2391" spans="1:17">
      <c r="A2391" s="15">
        <f t="shared" si="561"/>
        <v>0</v>
      </c>
      <c r="B2391" s="15"/>
      <c r="C2391" s="14">
        <f>Fixture!C395</f>
        <v>0</v>
      </c>
      <c r="D2391" s="15">
        <f>IF(E2391=0,0,IF(Fixture!D395&lt;Fixture!F395,0,IF(Fixture!F395&lt;Fixture!D395,3,1)))</f>
        <v>0</v>
      </c>
      <c r="E2391" s="16">
        <f>IF(OR(ISBLANK(Fixture!D395),ISBLANK(Fixture!F395),ISTEXT(Fixture!D395),ISTEXT(Fixture!F395)),0,1)</f>
        <v>0</v>
      </c>
      <c r="F2391" s="16">
        <f t="shared" si="556"/>
        <v>0</v>
      </c>
      <c r="G2391" s="16">
        <f t="shared" si="557"/>
        <v>0</v>
      </c>
      <c r="H2391" s="16">
        <f t="shared" si="558"/>
        <v>0</v>
      </c>
      <c r="I2391" s="63">
        <f>IF(E2391=0,0,Fixture!D395)</f>
        <v>0</v>
      </c>
      <c r="J2391" s="63">
        <f>IF(E2391=0,0,Fixture!F395)</f>
        <v>0</v>
      </c>
      <c r="K2391" s="63">
        <f t="shared" si="559"/>
        <v>0</v>
      </c>
      <c r="L2391" s="63">
        <f t="shared" si="560"/>
        <v>0</v>
      </c>
      <c r="N2391" s="10" t="str">
        <f t="shared" si="562"/>
        <v>00</v>
      </c>
      <c r="O2391" s="10">
        <f t="shared" si="563"/>
        <v>0</v>
      </c>
      <c r="P2391" s="10">
        <f t="shared" si="564"/>
        <v>0</v>
      </c>
      <c r="Q2391" s="10">
        <f t="shared" si="565"/>
        <v>0</v>
      </c>
    </row>
    <row r="2392" spans="1:17">
      <c r="A2392" s="15">
        <f t="shared" si="561"/>
        <v>0</v>
      </c>
      <c r="B2392" s="15"/>
      <c r="C2392" s="14">
        <f>Fixture!C396</f>
        <v>0</v>
      </c>
      <c r="D2392" s="15">
        <f>IF(E2392=0,0,IF(Fixture!D396&lt;Fixture!F396,0,IF(Fixture!F396&lt;Fixture!D396,3,1)))</f>
        <v>0</v>
      </c>
      <c r="E2392" s="16">
        <f>IF(OR(ISBLANK(Fixture!D396),ISBLANK(Fixture!F396),ISTEXT(Fixture!D396),ISTEXT(Fixture!F396)),0,1)</f>
        <v>0</v>
      </c>
      <c r="F2392" s="16">
        <f t="shared" si="556"/>
        <v>0</v>
      </c>
      <c r="G2392" s="16">
        <f t="shared" si="557"/>
        <v>0</v>
      </c>
      <c r="H2392" s="16">
        <f t="shared" si="558"/>
        <v>0</v>
      </c>
      <c r="I2392" s="63">
        <f>IF(E2392=0,0,Fixture!D396)</f>
        <v>0</v>
      </c>
      <c r="J2392" s="63">
        <f>IF(E2392=0,0,Fixture!F396)</f>
        <v>0</v>
      </c>
      <c r="K2392" s="63">
        <f t="shared" si="559"/>
        <v>0</v>
      </c>
      <c r="L2392" s="63">
        <f t="shared" si="560"/>
        <v>0</v>
      </c>
      <c r="N2392" s="10" t="str">
        <f t="shared" si="562"/>
        <v>00</v>
      </c>
      <c r="O2392" s="10">
        <f t="shared" si="563"/>
        <v>0</v>
      </c>
      <c r="P2392" s="10">
        <f t="shared" si="564"/>
        <v>0</v>
      </c>
      <c r="Q2392" s="10">
        <f t="shared" si="565"/>
        <v>0</v>
      </c>
    </row>
    <row r="2393" spans="1:17">
      <c r="A2393" s="15">
        <f t="shared" si="561"/>
        <v>0</v>
      </c>
      <c r="B2393" s="15"/>
      <c r="C2393" s="14">
        <f>Fixture!C397</f>
        <v>0</v>
      </c>
      <c r="D2393" s="15">
        <f>IF(E2393=0,0,IF(Fixture!D397&lt;Fixture!F397,0,IF(Fixture!F397&lt;Fixture!D397,3,1)))</f>
        <v>0</v>
      </c>
      <c r="E2393" s="16">
        <f>IF(OR(ISBLANK(Fixture!D397),ISBLANK(Fixture!F397),ISTEXT(Fixture!D397),ISTEXT(Fixture!F397)),0,1)</f>
        <v>0</v>
      </c>
      <c r="F2393" s="16">
        <f t="shared" si="556"/>
        <v>0</v>
      </c>
      <c r="G2393" s="16">
        <f t="shared" si="557"/>
        <v>0</v>
      </c>
      <c r="H2393" s="16">
        <f t="shared" si="558"/>
        <v>0</v>
      </c>
      <c r="I2393" s="63">
        <f>IF(E2393=0,0,Fixture!D397)</f>
        <v>0</v>
      </c>
      <c r="J2393" s="63">
        <f>IF(E2393=0,0,Fixture!F397)</f>
        <v>0</v>
      </c>
      <c r="K2393" s="63">
        <f t="shared" si="559"/>
        <v>0</v>
      </c>
      <c r="L2393" s="63">
        <f t="shared" si="560"/>
        <v>0</v>
      </c>
      <c r="N2393" s="10" t="str">
        <f t="shared" si="562"/>
        <v>00</v>
      </c>
      <c r="O2393" s="10">
        <f t="shared" si="563"/>
        <v>0</v>
      </c>
      <c r="P2393" s="10">
        <f t="shared" si="564"/>
        <v>0</v>
      </c>
      <c r="Q2393" s="10">
        <f t="shared" si="565"/>
        <v>0</v>
      </c>
    </row>
    <row r="2394" spans="1:17">
      <c r="A2394" s="15">
        <f t="shared" si="561"/>
        <v>0</v>
      </c>
      <c r="B2394" s="15"/>
      <c r="C2394" s="14">
        <f>Fixture!C398</f>
        <v>0</v>
      </c>
      <c r="D2394" s="15">
        <f>IF(E2394=0,0,IF(Fixture!D398&lt;Fixture!F398,0,IF(Fixture!F398&lt;Fixture!D398,3,1)))</f>
        <v>0</v>
      </c>
      <c r="E2394" s="16">
        <f>IF(OR(ISBLANK(Fixture!D398),ISBLANK(Fixture!F398),ISTEXT(Fixture!D398),ISTEXT(Fixture!F398)),0,1)</f>
        <v>0</v>
      </c>
      <c r="F2394" s="16">
        <f t="shared" si="556"/>
        <v>0</v>
      </c>
      <c r="G2394" s="16">
        <f t="shared" si="557"/>
        <v>0</v>
      </c>
      <c r="H2394" s="16">
        <f t="shared" si="558"/>
        <v>0</v>
      </c>
      <c r="I2394" s="63">
        <f>IF(E2394=0,0,Fixture!D398)</f>
        <v>0</v>
      </c>
      <c r="J2394" s="63">
        <f>IF(E2394=0,0,Fixture!F398)</f>
        <v>0</v>
      </c>
      <c r="K2394" s="63">
        <f t="shared" si="559"/>
        <v>0</v>
      </c>
      <c r="L2394" s="63">
        <f t="shared" si="560"/>
        <v>0</v>
      </c>
      <c r="N2394" s="10" t="str">
        <f t="shared" si="562"/>
        <v>00</v>
      </c>
      <c r="O2394" s="10">
        <f t="shared" si="563"/>
        <v>0</v>
      </c>
      <c r="P2394" s="10">
        <f t="shared" si="564"/>
        <v>0</v>
      </c>
      <c r="Q2394" s="10">
        <f t="shared" si="565"/>
        <v>0</v>
      </c>
    </row>
    <row r="2395" spans="1:17">
      <c r="A2395" s="15">
        <f t="shared" si="561"/>
        <v>0</v>
      </c>
      <c r="B2395" s="15"/>
      <c r="C2395" s="14">
        <f>Fixture!C399</f>
        <v>0</v>
      </c>
      <c r="D2395" s="15">
        <f>IF(E2395=0,0,IF(Fixture!D399&lt;Fixture!F399,0,IF(Fixture!F399&lt;Fixture!D399,3,1)))</f>
        <v>0</v>
      </c>
      <c r="E2395" s="16">
        <f>IF(OR(ISBLANK(Fixture!D399),ISBLANK(Fixture!F399),ISTEXT(Fixture!D399),ISTEXT(Fixture!F399)),0,1)</f>
        <v>0</v>
      </c>
      <c r="F2395" s="16">
        <f t="shared" si="556"/>
        <v>0</v>
      </c>
      <c r="G2395" s="16">
        <f t="shared" si="557"/>
        <v>0</v>
      </c>
      <c r="H2395" s="16">
        <f t="shared" si="558"/>
        <v>0</v>
      </c>
      <c r="I2395" s="63">
        <f>IF(E2395=0,0,Fixture!D399)</f>
        <v>0</v>
      </c>
      <c r="J2395" s="63">
        <f>IF(E2395=0,0,Fixture!F399)</f>
        <v>0</v>
      </c>
      <c r="K2395" s="63">
        <f t="shared" si="559"/>
        <v>0</v>
      </c>
      <c r="L2395" s="63">
        <f t="shared" si="560"/>
        <v>0</v>
      </c>
      <c r="N2395" s="10" t="str">
        <f t="shared" si="562"/>
        <v>00</v>
      </c>
      <c r="O2395" s="10">
        <f t="shared" si="563"/>
        <v>0</v>
      </c>
      <c r="P2395" s="10">
        <f t="shared" si="564"/>
        <v>0</v>
      </c>
      <c r="Q2395" s="10">
        <f t="shared" si="565"/>
        <v>0</v>
      </c>
    </row>
    <row r="2396" spans="1:17">
      <c r="A2396" s="15">
        <f t="shared" si="561"/>
        <v>0</v>
      </c>
      <c r="B2396" s="15"/>
      <c r="C2396" s="14">
        <f>Fixture!C400</f>
        <v>0</v>
      </c>
      <c r="D2396" s="15">
        <f>IF(E2396=0,0,IF(Fixture!D400&lt;Fixture!F400,0,IF(Fixture!F400&lt;Fixture!D400,3,1)))</f>
        <v>0</v>
      </c>
      <c r="E2396" s="16">
        <f>IF(OR(ISBLANK(Fixture!D400),ISBLANK(Fixture!F400),ISTEXT(Fixture!D400),ISTEXT(Fixture!F400)),0,1)</f>
        <v>0</v>
      </c>
      <c r="F2396" s="16">
        <f t="shared" si="556"/>
        <v>0</v>
      </c>
      <c r="G2396" s="16">
        <f t="shared" si="557"/>
        <v>0</v>
      </c>
      <c r="H2396" s="16">
        <f t="shared" si="558"/>
        <v>0</v>
      </c>
      <c r="I2396" s="63">
        <f>IF(E2396=0,0,Fixture!D400)</f>
        <v>0</v>
      </c>
      <c r="J2396" s="63">
        <f>IF(E2396=0,0,Fixture!F400)</f>
        <v>0</v>
      </c>
      <c r="K2396" s="63">
        <f t="shared" si="559"/>
        <v>0</v>
      </c>
      <c r="L2396" s="63">
        <f t="shared" si="560"/>
        <v>0</v>
      </c>
      <c r="N2396" s="10" t="str">
        <f t="shared" si="562"/>
        <v>00</v>
      </c>
      <c r="O2396" s="10">
        <f t="shared" si="563"/>
        <v>0</v>
      </c>
      <c r="P2396" s="10">
        <f t="shared" si="564"/>
        <v>0</v>
      </c>
      <c r="Q2396" s="10">
        <f t="shared" si="565"/>
        <v>0</v>
      </c>
    </row>
    <row r="2397" spans="1:17">
      <c r="A2397" s="15">
        <f t="shared" si="561"/>
        <v>0</v>
      </c>
      <c r="B2397" s="15"/>
      <c r="C2397" s="14">
        <f>Fixture!C401</f>
        <v>0</v>
      </c>
      <c r="D2397" s="15">
        <f>IF(E2397=0,0,IF(Fixture!D401&lt;Fixture!F401,0,IF(Fixture!F401&lt;Fixture!D401,3,1)))</f>
        <v>0</v>
      </c>
      <c r="E2397" s="16">
        <f>IF(OR(ISBLANK(Fixture!D401),ISBLANK(Fixture!F401),ISTEXT(Fixture!D401),ISTEXT(Fixture!F401)),0,1)</f>
        <v>0</v>
      </c>
      <c r="F2397" s="16">
        <f t="shared" si="556"/>
        <v>0</v>
      </c>
      <c r="G2397" s="16">
        <f t="shared" si="557"/>
        <v>0</v>
      </c>
      <c r="H2397" s="16">
        <f t="shared" si="558"/>
        <v>0</v>
      </c>
      <c r="I2397" s="63">
        <f>IF(E2397=0,0,Fixture!D401)</f>
        <v>0</v>
      </c>
      <c r="J2397" s="63">
        <f>IF(E2397=0,0,Fixture!F401)</f>
        <v>0</v>
      </c>
      <c r="K2397" s="63">
        <f t="shared" si="559"/>
        <v>0</v>
      </c>
      <c r="L2397" s="63">
        <f t="shared" si="560"/>
        <v>0</v>
      </c>
      <c r="N2397" s="10" t="str">
        <f t="shared" si="562"/>
        <v>00</v>
      </c>
      <c r="O2397" s="10">
        <f t="shared" si="563"/>
        <v>0</v>
      </c>
      <c r="P2397" s="10">
        <f t="shared" si="564"/>
        <v>0</v>
      </c>
      <c r="Q2397" s="10">
        <f t="shared" si="565"/>
        <v>0</v>
      </c>
    </row>
    <row r="2398" spans="1:17">
      <c r="A2398" s="15">
        <f t="shared" si="561"/>
        <v>0</v>
      </c>
      <c r="B2398" s="15"/>
      <c r="C2398" s="14">
        <f>Fixture!C402</f>
        <v>0</v>
      </c>
      <c r="D2398" s="15">
        <f>IF(E2398=0,0,IF(Fixture!D402&lt;Fixture!F402,0,IF(Fixture!F402&lt;Fixture!D402,3,1)))</f>
        <v>0</v>
      </c>
      <c r="E2398" s="16">
        <f>IF(OR(ISBLANK(Fixture!D402),ISBLANK(Fixture!F402),ISTEXT(Fixture!D402),ISTEXT(Fixture!F402)),0,1)</f>
        <v>0</v>
      </c>
      <c r="F2398" s="16">
        <f t="shared" si="556"/>
        <v>0</v>
      </c>
      <c r="G2398" s="16">
        <f t="shared" si="557"/>
        <v>0</v>
      </c>
      <c r="H2398" s="16">
        <f t="shared" si="558"/>
        <v>0</v>
      </c>
      <c r="I2398" s="63">
        <f>IF(E2398=0,0,Fixture!D402)</f>
        <v>0</v>
      </c>
      <c r="J2398" s="63">
        <f>IF(E2398=0,0,Fixture!F402)</f>
        <v>0</v>
      </c>
      <c r="K2398" s="63">
        <f t="shared" si="559"/>
        <v>0</v>
      </c>
      <c r="L2398" s="63">
        <f t="shared" si="560"/>
        <v>0</v>
      </c>
      <c r="N2398" s="10" t="str">
        <f t="shared" si="562"/>
        <v>00</v>
      </c>
      <c r="O2398" s="10">
        <f t="shared" si="563"/>
        <v>0</v>
      </c>
      <c r="P2398" s="10">
        <f t="shared" si="564"/>
        <v>0</v>
      </c>
      <c r="Q2398" s="10">
        <f t="shared" si="565"/>
        <v>0</v>
      </c>
    </row>
    <row r="2399" spans="1:17">
      <c r="A2399" s="15">
        <f t="shared" si="561"/>
        <v>0</v>
      </c>
      <c r="B2399" s="15"/>
      <c r="C2399" s="14">
        <f>Fixture!C403</f>
        <v>0</v>
      </c>
      <c r="D2399" s="15">
        <f>IF(E2399=0,0,IF(Fixture!D403&lt;Fixture!F403,0,IF(Fixture!F403&lt;Fixture!D403,3,1)))</f>
        <v>0</v>
      </c>
      <c r="E2399" s="16">
        <f>IF(OR(ISBLANK(Fixture!D403),ISBLANK(Fixture!F403),ISTEXT(Fixture!D403),ISTEXT(Fixture!F403)),0,1)</f>
        <v>0</v>
      </c>
      <c r="F2399" s="16">
        <f t="shared" si="556"/>
        <v>0</v>
      </c>
      <c r="G2399" s="16">
        <f t="shared" si="557"/>
        <v>0</v>
      </c>
      <c r="H2399" s="16">
        <f t="shared" si="558"/>
        <v>0</v>
      </c>
      <c r="I2399" s="63">
        <f>IF(E2399=0,0,Fixture!D403)</f>
        <v>0</v>
      </c>
      <c r="J2399" s="63">
        <f>IF(E2399=0,0,Fixture!F403)</f>
        <v>0</v>
      </c>
      <c r="K2399" s="63">
        <f t="shared" si="559"/>
        <v>0</v>
      </c>
      <c r="L2399" s="63">
        <f t="shared" si="560"/>
        <v>0</v>
      </c>
      <c r="N2399" s="10" t="str">
        <f t="shared" si="562"/>
        <v>00</v>
      </c>
      <c r="O2399" s="10">
        <f t="shared" si="563"/>
        <v>0</v>
      </c>
      <c r="P2399" s="10">
        <f t="shared" si="564"/>
        <v>0</v>
      </c>
      <c r="Q2399" s="10">
        <f t="shared" si="565"/>
        <v>0</v>
      </c>
    </row>
    <row r="2400" spans="1:17">
      <c r="A2400" s="15">
        <f t="shared" si="561"/>
        <v>0</v>
      </c>
      <c r="B2400" s="15"/>
      <c r="C2400" s="14">
        <f>Fixture!C404</f>
        <v>0</v>
      </c>
      <c r="D2400" s="15">
        <f>IF(E2400=0,0,IF(Fixture!D404&lt;Fixture!F404,0,IF(Fixture!F404&lt;Fixture!D404,3,1)))</f>
        <v>0</v>
      </c>
      <c r="E2400" s="16">
        <f>IF(OR(ISBLANK(Fixture!D404),ISBLANK(Fixture!F404),ISTEXT(Fixture!D404),ISTEXT(Fixture!F404)),0,1)</f>
        <v>0</v>
      </c>
      <c r="F2400" s="16">
        <f t="shared" si="556"/>
        <v>0</v>
      </c>
      <c r="G2400" s="16">
        <f t="shared" si="557"/>
        <v>0</v>
      </c>
      <c r="H2400" s="16">
        <f t="shared" si="558"/>
        <v>0</v>
      </c>
      <c r="I2400" s="63">
        <f>IF(E2400=0,0,Fixture!D404)</f>
        <v>0</v>
      </c>
      <c r="J2400" s="63">
        <f>IF(E2400=0,0,Fixture!F404)</f>
        <v>0</v>
      </c>
      <c r="K2400" s="63">
        <f t="shared" si="559"/>
        <v>0</v>
      </c>
      <c r="L2400" s="63">
        <f t="shared" si="560"/>
        <v>0</v>
      </c>
      <c r="N2400" s="10" t="str">
        <f t="shared" si="562"/>
        <v>00</v>
      </c>
      <c r="O2400" s="10">
        <f t="shared" si="563"/>
        <v>0</v>
      </c>
      <c r="P2400" s="10">
        <f t="shared" si="564"/>
        <v>0</v>
      </c>
      <c r="Q2400" s="10">
        <f t="shared" si="565"/>
        <v>0</v>
      </c>
    </row>
    <row r="2401" spans="1:17">
      <c r="A2401" s="15">
        <f t="shared" si="561"/>
        <v>0</v>
      </c>
      <c r="B2401" s="15"/>
      <c r="C2401" s="14">
        <f>Fixture!C405</f>
        <v>0</v>
      </c>
      <c r="D2401" s="15">
        <f>IF(E2401=0,0,IF(Fixture!D405&lt;Fixture!F405,0,IF(Fixture!F405&lt;Fixture!D405,3,1)))</f>
        <v>0</v>
      </c>
      <c r="E2401" s="16">
        <f>IF(OR(ISBLANK(Fixture!D405),ISBLANK(Fixture!F405),ISTEXT(Fixture!D405),ISTEXT(Fixture!F405)),0,1)</f>
        <v>0</v>
      </c>
      <c r="F2401" s="16">
        <f t="shared" si="556"/>
        <v>0</v>
      </c>
      <c r="G2401" s="16">
        <f t="shared" si="557"/>
        <v>0</v>
      </c>
      <c r="H2401" s="16">
        <f t="shared" si="558"/>
        <v>0</v>
      </c>
      <c r="I2401" s="63">
        <f>IF(E2401=0,0,Fixture!D405)</f>
        <v>0</v>
      </c>
      <c r="J2401" s="63">
        <f>IF(E2401=0,0,Fixture!F405)</f>
        <v>0</v>
      </c>
      <c r="K2401" s="63">
        <f t="shared" si="559"/>
        <v>0</v>
      </c>
      <c r="L2401" s="63">
        <f t="shared" si="560"/>
        <v>0</v>
      </c>
      <c r="N2401" s="10" t="str">
        <f t="shared" si="562"/>
        <v>00</v>
      </c>
      <c r="O2401" s="10">
        <f t="shared" si="563"/>
        <v>0</v>
      </c>
      <c r="P2401" s="10">
        <f t="shared" si="564"/>
        <v>0</v>
      </c>
      <c r="Q2401" s="10">
        <f t="shared" si="565"/>
        <v>0</v>
      </c>
    </row>
    <row r="2402" spans="1:17">
      <c r="A2402" s="15">
        <f t="shared" si="561"/>
        <v>0</v>
      </c>
      <c r="B2402" s="15"/>
      <c r="C2402" s="14">
        <f>Fixture!C406</f>
        <v>0</v>
      </c>
      <c r="D2402" s="15">
        <f>IF(E2402=0,0,IF(Fixture!D406&lt;Fixture!F406,0,IF(Fixture!F406&lt;Fixture!D406,3,1)))</f>
        <v>0</v>
      </c>
      <c r="E2402" s="16">
        <f>IF(OR(ISBLANK(Fixture!D406),ISBLANK(Fixture!F406),ISTEXT(Fixture!D406),ISTEXT(Fixture!F406)),0,1)</f>
        <v>0</v>
      </c>
      <c r="F2402" s="16">
        <f t="shared" si="556"/>
        <v>0</v>
      </c>
      <c r="G2402" s="16">
        <f t="shared" si="557"/>
        <v>0</v>
      </c>
      <c r="H2402" s="16">
        <f t="shared" si="558"/>
        <v>0</v>
      </c>
      <c r="I2402" s="63">
        <f>IF(E2402=0,0,Fixture!D406)</f>
        <v>0</v>
      </c>
      <c r="J2402" s="63">
        <f>IF(E2402=0,0,Fixture!F406)</f>
        <v>0</v>
      </c>
      <c r="K2402" s="63">
        <f t="shared" si="559"/>
        <v>0</v>
      </c>
      <c r="L2402" s="63">
        <f t="shared" si="560"/>
        <v>0</v>
      </c>
      <c r="N2402" s="10" t="str">
        <f t="shared" si="562"/>
        <v>00</v>
      </c>
      <c r="O2402" s="10">
        <f t="shared" si="563"/>
        <v>0</v>
      </c>
      <c r="P2402" s="10">
        <f t="shared" si="564"/>
        <v>0</v>
      </c>
      <c r="Q2402" s="10">
        <f t="shared" si="565"/>
        <v>0</v>
      </c>
    </row>
    <row r="2403" spans="1:17">
      <c r="A2403" s="15">
        <f t="shared" si="561"/>
        <v>0</v>
      </c>
      <c r="B2403" s="15"/>
      <c r="C2403" s="14">
        <f>Fixture!C407</f>
        <v>0</v>
      </c>
      <c r="D2403" s="15">
        <f>IF(E2403=0,0,IF(Fixture!D407&lt;Fixture!F407,0,IF(Fixture!F407&lt;Fixture!D407,3,1)))</f>
        <v>0</v>
      </c>
      <c r="E2403" s="16">
        <f>IF(OR(ISBLANK(Fixture!D407),ISBLANK(Fixture!F407),ISTEXT(Fixture!D407),ISTEXT(Fixture!F407)),0,1)</f>
        <v>0</v>
      </c>
      <c r="F2403" s="16">
        <f t="shared" si="556"/>
        <v>0</v>
      </c>
      <c r="G2403" s="16">
        <f t="shared" si="557"/>
        <v>0</v>
      </c>
      <c r="H2403" s="16">
        <f t="shared" si="558"/>
        <v>0</v>
      </c>
      <c r="I2403" s="63">
        <f>IF(E2403=0,0,Fixture!D407)</f>
        <v>0</v>
      </c>
      <c r="J2403" s="63">
        <f>IF(E2403=0,0,Fixture!F407)</f>
        <v>0</v>
      </c>
      <c r="K2403" s="63">
        <f t="shared" si="559"/>
        <v>0</v>
      </c>
      <c r="L2403" s="63">
        <f t="shared" si="560"/>
        <v>0</v>
      </c>
      <c r="N2403" s="10" t="str">
        <f t="shared" si="562"/>
        <v>00</v>
      </c>
      <c r="O2403" s="10">
        <f t="shared" si="563"/>
        <v>0</v>
      </c>
      <c r="P2403" s="10">
        <f t="shared" si="564"/>
        <v>0</v>
      </c>
      <c r="Q2403" s="10">
        <f t="shared" si="565"/>
        <v>0</v>
      </c>
    </row>
    <row r="2404" spans="1:17">
      <c r="A2404" s="15">
        <f t="shared" si="561"/>
        <v>0</v>
      </c>
      <c r="B2404" s="15"/>
      <c r="C2404" s="14">
        <f>Fixture!C408</f>
        <v>0</v>
      </c>
      <c r="D2404" s="15">
        <f>IF(E2404=0,0,IF(Fixture!D408&lt;Fixture!F408,0,IF(Fixture!F408&lt;Fixture!D408,3,1)))</f>
        <v>0</v>
      </c>
      <c r="E2404" s="16">
        <f>IF(OR(ISBLANK(Fixture!D408),ISBLANK(Fixture!F408),ISTEXT(Fixture!D408),ISTEXT(Fixture!F408)),0,1)</f>
        <v>0</v>
      </c>
      <c r="F2404" s="16">
        <f t="shared" si="556"/>
        <v>0</v>
      </c>
      <c r="G2404" s="16">
        <f t="shared" si="557"/>
        <v>0</v>
      </c>
      <c r="H2404" s="16">
        <f t="shared" si="558"/>
        <v>0</v>
      </c>
      <c r="I2404" s="63">
        <f>IF(E2404=0,0,Fixture!D408)</f>
        <v>0</v>
      </c>
      <c r="J2404" s="63">
        <f>IF(E2404=0,0,Fixture!F408)</f>
        <v>0</v>
      </c>
      <c r="K2404" s="63">
        <f t="shared" si="559"/>
        <v>0</v>
      </c>
      <c r="L2404" s="63">
        <f t="shared" si="560"/>
        <v>0</v>
      </c>
      <c r="N2404" s="10" t="str">
        <f t="shared" si="562"/>
        <v>00</v>
      </c>
      <c r="O2404" s="10">
        <f t="shared" si="563"/>
        <v>0</v>
      </c>
      <c r="P2404" s="10">
        <f t="shared" si="564"/>
        <v>0</v>
      </c>
      <c r="Q2404" s="10">
        <f t="shared" si="565"/>
        <v>0</v>
      </c>
    </row>
    <row r="2405" spans="1:17">
      <c r="A2405" s="15">
        <f t="shared" si="561"/>
        <v>0</v>
      </c>
      <c r="B2405" s="15"/>
      <c r="C2405" s="14">
        <f>Fixture!C409</f>
        <v>0</v>
      </c>
      <c r="D2405" s="15">
        <f>IF(E2405=0,0,IF(Fixture!D409&lt;Fixture!F409,0,IF(Fixture!F409&lt;Fixture!D409,3,1)))</f>
        <v>0</v>
      </c>
      <c r="E2405" s="16">
        <f>IF(OR(ISBLANK(Fixture!D409),ISBLANK(Fixture!F409),ISTEXT(Fixture!D409),ISTEXT(Fixture!F409)),0,1)</f>
        <v>0</v>
      </c>
      <c r="F2405" s="16">
        <f t="shared" si="556"/>
        <v>0</v>
      </c>
      <c r="G2405" s="16">
        <f t="shared" si="557"/>
        <v>0</v>
      </c>
      <c r="H2405" s="16">
        <f t="shared" si="558"/>
        <v>0</v>
      </c>
      <c r="I2405" s="63">
        <f>IF(E2405=0,0,Fixture!D409)</f>
        <v>0</v>
      </c>
      <c r="J2405" s="63">
        <f>IF(E2405=0,0,Fixture!F409)</f>
        <v>0</v>
      </c>
      <c r="K2405" s="63">
        <f t="shared" si="559"/>
        <v>0</v>
      </c>
      <c r="L2405" s="63">
        <f t="shared" si="560"/>
        <v>0</v>
      </c>
      <c r="N2405" s="10" t="str">
        <f t="shared" si="562"/>
        <v>00</v>
      </c>
      <c r="O2405" s="10">
        <f t="shared" si="563"/>
        <v>0</v>
      </c>
      <c r="P2405" s="10">
        <f t="shared" si="564"/>
        <v>0</v>
      </c>
      <c r="Q2405" s="10">
        <f t="shared" si="565"/>
        <v>0</v>
      </c>
    </row>
    <row r="2406" spans="1:17">
      <c r="A2406" s="15">
        <f t="shared" si="561"/>
        <v>0</v>
      </c>
      <c r="B2406" s="15"/>
      <c r="C2406" s="14">
        <f>Fixture!C410</f>
        <v>0</v>
      </c>
      <c r="D2406" s="15">
        <f>IF(E2406=0,0,IF(Fixture!D410&lt;Fixture!F410,0,IF(Fixture!F410&lt;Fixture!D410,3,1)))</f>
        <v>0</v>
      </c>
      <c r="E2406" s="16">
        <f>IF(OR(ISBLANK(Fixture!D410),ISBLANK(Fixture!F410),ISTEXT(Fixture!D410),ISTEXT(Fixture!F410)),0,1)</f>
        <v>0</v>
      </c>
      <c r="F2406" s="16">
        <f t="shared" si="556"/>
        <v>0</v>
      </c>
      <c r="G2406" s="16">
        <f t="shared" si="557"/>
        <v>0</v>
      </c>
      <c r="H2406" s="16">
        <f t="shared" si="558"/>
        <v>0</v>
      </c>
      <c r="I2406" s="63">
        <f>IF(E2406=0,0,Fixture!D410)</f>
        <v>0</v>
      </c>
      <c r="J2406" s="63">
        <f>IF(E2406=0,0,Fixture!F410)</f>
        <v>0</v>
      </c>
      <c r="K2406" s="63">
        <f t="shared" si="559"/>
        <v>0</v>
      </c>
      <c r="L2406" s="63">
        <f t="shared" si="560"/>
        <v>0</v>
      </c>
      <c r="N2406" s="10" t="str">
        <f t="shared" si="562"/>
        <v>00</v>
      </c>
      <c r="O2406" s="10">
        <f t="shared" si="563"/>
        <v>0</v>
      </c>
      <c r="P2406" s="10">
        <f t="shared" si="564"/>
        <v>0</v>
      </c>
      <c r="Q2406" s="10">
        <f t="shared" si="565"/>
        <v>0</v>
      </c>
    </row>
    <row r="2407" spans="1:17">
      <c r="A2407" s="15">
        <f t="shared" si="561"/>
        <v>0</v>
      </c>
      <c r="B2407" s="15"/>
      <c r="C2407" s="14">
        <f>Fixture!C411</f>
        <v>0</v>
      </c>
      <c r="D2407" s="15">
        <f>IF(E2407=0,0,IF(Fixture!D411&lt;Fixture!F411,0,IF(Fixture!F411&lt;Fixture!D411,3,1)))</f>
        <v>0</v>
      </c>
      <c r="E2407" s="16">
        <f>IF(OR(ISBLANK(Fixture!D411),ISBLANK(Fixture!F411),ISTEXT(Fixture!D411),ISTEXT(Fixture!F411)),0,1)</f>
        <v>0</v>
      </c>
      <c r="F2407" s="16">
        <f t="shared" si="556"/>
        <v>0</v>
      </c>
      <c r="G2407" s="16">
        <f t="shared" si="557"/>
        <v>0</v>
      </c>
      <c r="H2407" s="16">
        <f t="shared" si="558"/>
        <v>0</v>
      </c>
      <c r="I2407" s="63">
        <f>IF(E2407=0,0,Fixture!D411)</f>
        <v>0</v>
      </c>
      <c r="J2407" s="63">
        <f>IF(E2407=0,0,Fixture!F411)</f>
        <v>0</v>
      </c>
      <c r="K2407" s="63">
        <f t="shared" si="559"/>
        <v>0</v>
      </c>
      <c r="L2407" s="63">
        <f t="shared" si="560"/>
        <v>0</v>
      </c>
      <c r="N2407" s="10" t="str">
        <f t="shared" si="562"/>
        <v>00</v>
      </c>
      <c r="O2407" s="10">
        <f t="shared" si="563"/>
        <v>0</v>
      </c>
      <c r="P2407" s="10">
        <f t="shared" si="564"/>
        <v>0</v>
      </c>
      <c r="Q2407" s="10">
        <f t="shared" si="565"/>
        <v>0</v>
      </c>
    </row>
    <row r="2408" spans="1:17">
      <c r="A2408" s="15">
        <f t="shared" si="561"/>
        <v>0</v>
      </c>
      <c r="B2408" s="15"/>
      <c r="C2408" s="14">
        <f>Fixture!C412</f>
        <v>0</v>
      </c>
      <c r="D2408" s="15">
        <f>IF(E2408=0,0,IF(Fixture!D412&lt;Fixture!F412,0,IF(Fixture!F412&lt;Fixture!D412,3,1)))</f>
        <v>0</v>
      </c>
      <c r="E2408" s="16">
        <f>IF(OR(ISBLANK(Fixture!D412),ISBLANK(Fixture!F412),ISTEXT(Fixture!D412),ISTEXT(Fixture!F412)),0,1)</f>
        <v>0</v>
      </c>
      <c r="F2408" s="16">
        <f t="shared" si="556"/>
        <v>0</v>
      </c>
      <c r="G2408" s="16">
        <f t="shared" si="557"/>
        <v>0</v>
      </c>
      <c r="H2408" s="16">
        <f t="shared" si="558"/>
        <v>0</v>
      </c>
      <c r="I2408" s="63">
        <f>IF(E2408=0,0,Fixture!D412)</f>
        <v>0</v>
      </c>
      <c r="J2408" s="63">
        <f>IF(E2408=0,0,Fixture!F412)</f>
        <v>0</v>
      </c>
      <c r="K2408" s="63">
        <f t="shared" si="559"/>
        <v>0</v>
      </c>
      <c r="L2408" s="63">
        <f t="shared" si="560"/>
        <v>0</v>
      </c>
      <c r="N2408" s="10" t="str">
        <f t="shared" si="562"/>
        <v>00</v>
      </c>
      <c r="O2408" s="10">
        <f t="shared" si="563"/>
        <v>0</v>
      </c>
      <c r="P2408" s="10">
        <f t="shared" si="564"/>
        <v>0</v>
      </c>
      <c r="Q2408" s="10">
        <f t="shared" si="565"/>
        <v>0</v>
      </c>
    </row>
    <row r="2409" spans="1:17">
      <c r="A2409" s="15">
        <f t="shared" si="561"/>
        <v>0</v>
      </c>
      <c r="B2409" s="15"/>
      <c r="C2409" s="14">
        <f>Fixture!C413</f>
        <v>0</v>
      </c>
      <c r="D2409" s="15">
        <f>IF(E2409=0,0,IF(Fixture!D413&lt;Fixture!F413,0,IF(Fixture!F413&lt;Fixture!D413,3,1)))</f>
        <v>0</v>
      </c>
      <c r="E2409" s="16">
        <f>IF(OR(ISBLANK(Fixture!D413),ISBLANK(Fixture!F413),ISTEXT(Fixture!D413),ISTEXT(Fixture!F413)),0,1)</f>
        <v>0</v>
      </c>
      <c r="F2409" s="16">
        <f t="shared" si="556"/>
        <v>0</v>
      </c>
      <c r="G2409" s="16">
        <f t="shared" si="557"/>
        <v>0</v>
      </c>
      <c r="H2409" s="16">
        <f t="shared" si="558"/>
        <v>0</v>
      </c>
      <c r="I2409" s="63">
        <f>IF(E2409=0,0,Fixture!D413)</f>
        <v>0</v>
      </c>
      <c r="J2409" s="63">
        <f>IF(E2409=0,0,Fixture!F413)</f>
        <v>0</v>
      </c>
      <c r="K2409" s="63">
        <f t="shared" si="559"/>
        <v>0</v>
      </c>
      <c r="L2409" s="63">
        <f t="shared" si="560"/>
        <v>0</v>
      </c>
      <c r="N2409" s="10" t="str">
        <f t="shared" si="562"/>
        <v>00</v>
      </c>
      <c r="O2409" s="10">
        <f t="shared" si="563"/>
        <v>0</v>
      </c>
      <c r="P2409" s="10">
        <f t="shared" si="564"/>
        <v>0</v>
      </c>
      <c r="Q2409" s="10">
        <f t="shared" si="565"/>
        <v>0</v>
      </c>
    </row>
    <row r="2410" spans="1:17">
      <c r="A2410" s="15">
        <f t="shared" si="561"/>
        <v>0</v>
      </c>
      <c r="B2410" s="15"/>
      <c r="C2410" s="14">
        <f>Fixture!C414</f>
        <v>0</v>
      </c>
      <c r="D2410" s="15">
        <f>IF(E2410=0,0,IF(Fixture!D414&lt;Fixture!F414,0,IF(Fixture!F414&lt;Fixture!D414,3,1)))</f>
        <v>0</v>
      </c>
      <c r="E2410" s="16">
        <f>IF(OR(ISBLANK(Fixture!D414),ISBLANK(Fixture!F414),ISTEXT(Fixture!D414),ISTEXT(Fixture!F414)),0,1)</f>
        <v>0</v>
      </c>
      <c r="F2410" s="16">
        <f t="shared" si="556"/>
        <v>0</v>
      </c>
      <c r="G2410" s="16">
        <f t="shared" si="557"/>
        <v>0</v>
      </c>
      <c r="H2410" s="16">
        <f t="shared" si="558"/>
        <v>0</v>
      </c>
      <c r="I2410" s="63">
        <f>IF(E2410=0,0,Fixture!D414)</f>
        <v>0</v>
      </c>
      <c r="J2410" s="63">
        <f>IF(E2410=0,0,Fixture!F414)</f>
        <v>0</v>
      </c>
      <c r="K2410" s="63">
        <f t="shared" si="559"/>
        <v>0</v>
      </c>
      <c r="L2410" s="63">
        <f t="shared" si="560"/>
        <v>0</v>
      </c>
      <c r="N2410" s="10" t="str">
        <f t="shared" si="562"/>
        <v>00</v>
      </c>
      <c r="O2410" s="10">
        <f t="shared" si="563"/>
        <v>0</v>
      </c>
      <c r="P2410" s="10">
        <f t="shared" si="564"/>
        <v>0</v>
      </c>
      <c r="Q2410" s="10">
        <f t="shared" si="565"/>
        <v>0</v>
      </c>
    </row>
    <row r="2411" spans="1:17">
      <c r="A2411" s="15">
        <f t="shared" si="561"/>
        <v>0</v>
      </c>
      <c r="B2411" s="15"/>
      <c r="C2411" s="14">
        <f>Fixture!C415</f>
        <v>0</v>
      </c>
      <c r="D2411" s="15">
        <f>IF(E2411=0,0,IF(Fixture!D415&lt;Fixture!F415,0,IF(Fixture!F415&lt;Fixture!D415,3,1)))</f>
        <v>0</v>
      </c>
      <c r="E2411" s="16">
        <f>IF(OR(ISBLANK(Fixture!D415),ISBLANK(Fixture!F415),ISTEXT(Fixture!D415),ISTEXT(Fixture!F415)),0,1)</f>
        <v>0</v>
      </c>
      <c r="F2411" s="16">
        <f t="shared" si="556"/>
        <v>0</v>
      </c>
      <c r="G2411" s="16">
        <f t="shared" si="557"/>
        <v>0</v>
      </c>
      <c r="H2411" s="16">
        <f t="shared" si="558"/>
        <v>0</v>
      </c>
      <c r="I2411" s="63">
        <f>IF(E2411=0,0,Fixture!D415)</f>
        <v>0</v>
      </c>
      <c r="J2411" s="63">
        <f>IF(E2411=0,0,Fixture!F415)</f>
        <v>0</v>
      </c>
      <c r="K2411" s="63">
        <f t="shared" si="559"/>
        <v>0</v>
      </c>
      <c r="L2411" s="63">
        <f t="shared" si="560"/>
        <v>0</v>
      </c>
      <c r="N2411" s="10" t="str">
        <f t="shared" si="562"/>
        <v>00</v>
      </c>
      <c r="O2411" s="10">
        <f t="shared" si="563"/>
        <v>0</v>
      </c>
      <c r="P2411" s="10">
        <f t="shared" si="564"/>
        <v>0</v>
      </c>
      <c r="Q2411" s="10">
        <f t="shared" si="565"/>
        <v>0</v>
      </c>
    </row>
    <row r="2412" spans="1:17">
      <c r="A2412" s="15">
        <f t="shared" si="561"/>
        <v>0</v>
      </c>
      <c r="B2412" s="15"/>
      <c r="C2412" s="14">
        <f>Fixture!C416</f>
        <v>0</v>
      </c>
      <c r="D2412" s="15">
        <f>IF(E2412=0,0,IF(Fixture!D416&lt;Fixture!F416,0,IF(Fixture!F416&lt;Fixture!D416,3,1)))</f>
        <v>0</v>
      </c>
      <c r="E2412" s="16">
        <f>IF(OR(ISBLANK(Fixture!D416),ISBLANK(Fixture!F416),ISTEXT(Fixture!D416),ISTEXT(Fixture!F416)),0,1)</f>
        <v>0</v>
      </c>
      <c r="F2412" s="16">
        <f t="shared" si="556"/>
        <v>0</v>
      </c>
      <c r="G2412" s="16">
        <f t="shared" si="557"/>
        <v>0</v>
      </c>
      <c r="H2412" s="16">
        <f t="shared" si="558"/>
        <v>0</v>
      </c>
      <c r="I2412" s="63">
        <f>IF(E2412=0,0,Fixture!D416)</f>
        <v>0</v>
      </c>
      <c r="J2412" s="63">
        <f>IF(E2412=0,0,Fixture!F416)</f>
        <v>0</v>
      </c>
      <c r="K2412" s="63">
        <f t="shared" si="559"/>
        <v>0</v>
      </c>
      <c r="L2412" s="63">
        <f t="shared" si="560"/>
        <v>0</v>
      </c>
      <c r="N2412" s="10" t="str">
        <f t="shared" si="562"/>
        <v>00</v>
      </c>
      <c r="O2412" s="10">
        <f t="shared" si="563"/>
        <v>0</v>
      </c>
      <c r="P2412" s="10">
        <f t="shared" si="564"/>
        <v>0</v>
      </c>
      <c r="Q2412" s="10">
        <f t="shared" si="565"/>
        <v>0</v>
      </c>
    </row>
    <row r="2413" spans="1:17">
      <c r="A2413" s="15">
        <f t="shared" si="561"/>
        <v>0</v>
      </c>
      <c r="B2413" s="15"/>
      <c r="C2413" s="14">
        <f>Fixture!C417</f>
        <v>0</v>
      </c>
      <c r="D2413" s="15">
        <f>IF(E2413=0,0,IF(Fixture!D417&lt;Fixture!F417,0,IF(Fixture!F417&lt;Fixture!D417,3,1)))</f>
        <v>0</v>
      </c>
      <c r="E2413" s="16">
        <f>IF(OR(ISBLANK(Fixture!D417),ISBLANK(Fixture!F417),ISTEXT(Fixture!D417),ISTEXT(Fixture!F417)),0,1)</f>
        <v>0</v>
      </c>
      <c r="F2413" s="16">
        <f t="shared" si="556"/>
        <v>0</v>
      </c>
      <c r="G2413" s="16">
        <f t="shared" si="557"/>
        <v>0</v>
      </c>
      <c r="H2413" s="16">
        <f t="shared" si="558"/>
        <v>0</v>
      </c>
      <c r="I2413" s="63">
        <f>IF(E2413=0,0,Fixture!D417)</f>
        <v>0</v>
      </c>
      <c r="J2413" s="63">
        <f>IF(E2413=0,0,Fixture!F417)</f>
        <v>0</v>
      </c>
      <c r="K2413" s="63">
        <f t="shared" si="559"/>
        <v>0</v>
      </c>
      <c r="L2413" s="63">
        <f t="shared" si="560"/>
        <v>0</v>
      </c>
      <c r="N2413" s="10" t="str">
        <f t="shared" si="562"/>
        <v>00</v>
      </c>
      <c r="O2413" s="10">
        <f t="shared" si="563"/>
        <v>0</v>
      </c>
      <c r="P2413" s="10">
        <f t="shared" si="564"/>
        <v>0</v>
      </c>
      <c r="Q2413" s="10">
        <f t="shared" si="565"/>
        <v>0</v>
      </c>
    </row>
    <row r="2414" spans="1:17">
      <c r="A2414" s="15">
        <f t="shared" si="561"/>
        <v>0</v>
      </c>
      <c r="B2414" s="15"/>
      <c r="C2414" s="14">
        <f>Fixture!C418</f>
        <v>0</v>
      </c>
      <c r="D2414" s="15">
        <f>IF(E2414=0,0,IF(Fixture!D418&lt;Fixture!F418,0,IF(Fixture!F418&lt;Fixture!D418,3,1)))</f>
        <v>0</v>
      </c>
      <c r="E2414" s="16">
        <f>IF(OR(ISBLANK(Fixture!D418),ISBLANK(Fixture!F418),ISTEXT(Fixture!D418),ISTEXT(Fixture!F418)),0,1)</f>
        <v>0</v>
      </c>
      <c r="F2414" s="16">
        <f t="shared" si="556"/>
        <v>0</v>
      </c>
      <c r="G2414" s="16">
        <f t="shared" si="557"/>
        <v>0</v>
      </c>
      <c r="H2414" s="16">
        <f t="shared" si="558"/>
        <v>0</v>
      </c>
      <c r="I2414" s="63">
        <f>IF(E2414=0,0,Fixture!D418)</f>
        <v>0</v>
      </c>
      <c r="J2414" s="63">
        <f>IF(E2414=0,0,Fixture!F418)</f>
        <v>0</v>
      </c>
      <c r="K2414" s="63">
        <f t="shared" si="559"/>
        <v>0</v>
      </c>
      <c r="L2414" s="63">
        <f t="shared" si="560"/>
        <v>0</v>
      </c>
      <c r="N2414" s="10" t="str">
        <f t="shared" si="562"/>
        <v>00</v>
      </c>
      <c r="O2414" s="10">
        <f t="shared" si="563"/>
        <v>0</v>
      </c>
      <c r="P2414" s="10">
        <f t="shared" si="564"/>
        <v>0</v>
      </c>
      <c r="Q2414" s="10">
        <f t="shared" si="565"/>
        <v>0</v>
      </c>
    </row>
    <row r="2415" spans="1:17">
      <c r="A2415" s="15">
        <f t="shared" si="561"/>
        <v>0</v>
      </c>
      <c r="B2415" s="15"/>
      <c r="C2415" s="14">
        <f>Fixture!C419</f>
        <v>0</v>
      </c>
      <c r="D2415" s="15">
        <f>IF(E2415=0,0,IF(Fixture!D419&lt;Fixture!F419,0,IF(Fixture!F419&lt;Fixture!D419,3,1)))</f>
        <v>0</v>
      </c>
      <c r="E2415" s="16">
        <f>IF(OR(ISBLANK(Fixture!D419),ISBLANK(Fixture!F419),ISTEXT(Fixture!D419),ISTEXT(Fixture!F419)),0,1)</f>
        <v>0</v>
      </c>
      <c r="F2415" s="16">
        <f t="shared" si="556"/>
        <v>0</v>
      </c>
      <c r="G2415" s="16">
        <f t="shared" si="557"/>
        <v>0</v>
      </c>
      <c r="H2415" s="16">
        <f t="shared" si="558"/>
        <v>0</v>
      </c>
      <c r="I2415" s="63">
        <f>IF(E2415=0,0,Fixture!D419)</f>
        <v>0</v>
      </c>
      <c r="J2415" s="63">
        <f>IF(E2415=0,0,Fixture!F419)</f>
        <v>0</v>
      </c>
      <c r="K2415" s="63">
        <f t="shared" si="559"/>
        <v>0</v>
      </c>
      <c r="L2415" s="63">
        <f t="shared" si="560"/>
        <v>0</v>
      </c>
      <c r="N2415" s="10" t="str">
        <f t="shared" si="562"/>
        <v>00</v>
      </c>
      <c r="O2415" s="10">
        <f t="shared" si="563"/>
        <v>0</v>
      </c>
      <c r="P2415" s="10">
        <f t="shared" si="564"/>
        <v>0</v>
      </c>
      <c r="Q2415" s="10">
        <f t="shared" si="565"/>
        <v>0</v>
      </c>
    </row>
    <row r="2416" spans="1:17">
      <c r="A2416" s="15">
        <f t="shared" si="561"/>
        <v>0</v>
      </c>
      <c r="B2416" s="15"/>
      <c r="C2416" s="14">
        <f>Fixture!C420</f>
        <v>0</v>
      </c>
      <c r="D2416" s="15">
        <f>IF(E2416=0,0,IF(Fixture!D420&lt;Fixture!F420,0,IF(Fixture!F420&lt;Fixture!D420,3,1)))</f>
        <v>0</v>
      </c>
      <c r="E2416" s="16">
        <f>IF(OR(ISBLANK(Fixture!D420),ISBLANK(Fixture!F420),ISTEXT(Fixture!D420),ISTEXT(Fixture!F420)),0,1)</f>
        <v>0</v>
      </c>
      <c r="F2416" s="16">
        <f t="shared" si="556"/>
        <v>0</v>
      </c>
      <c r="G2416" s="16">
        <f t="shared" si="557"/>
        <v>0</v>
      </c>
      <c r="H2416" s="16">
        <f t="shared" si="558"/>
        <v>0</v>
      </c>
      <c r="I2416" s="63">
        <f>IF(E2416=0,0,Fixture!D420)</f>
        <v>0</v>
      </c>
      <c r="J2416" s="63">
        <f>IF(E2416=0,0,Fixture!F420)</f>
        <v>0</v>
      </c>
      <c r="K2416" s="63">
        <f t="shared" si="559"/>
        <v>0</v>
      </c>
      <c r="L2416" s="63">
        <f t="shared" si="560"/>
        <v>0</v>
      </c>
      <c r="N2416" s="10" t="str">
        <f t="shared" si="562"/>
        <v>00</v>
      </c>
      <c r="O2416" s="10">
        <f t="shared" si="563"/>
        <v>0</v>
      </c>
      <c r="P2416" s="10">
        <f t="shared" si="564"/>
        <v>0</v>
      </c>
      <c r="Q2416" s="10">
        <f t="shared" si="565"/>
        <v>0</v>
      </c>
    </row>
    <row r="2417" spans="1:17">
      <c r="A2417" s="15">
        <f t="shared" si="561"/>
        <v>0</v>
      </c>
      <c r="B2417" s="15"/>
      <c r="C2417" s="14">
        <f>Fixture!C421</f>
        <v>0</v>
      </c>
      <c r="D2417" s="15">
        <f>IF(E2417=0,0,IF(Fixture!D421&lt;Fixture!F421,0,IF(Fixture!F421&lt;Fixture!D421,3,1)))</f>
        <v>0</v>
      </c>
      <c r="E2417" s="16">
        <f>IF(OR(ISBLANK(Fixture!D421),ISBLANK(Fixture!F421),ISTEXT(Fixture!D421),ISTEXT(Fixture!F421)),0,1)</f>
        <v>0</v>
      </c>
      <c r="F2417" s="16">
        <f t="shared" si="556"/>
        <v>0</v>
      </c>
      <c r="G2417" s="16">
        <f t="shared" si="557"/>
        <v>0</v>
      </c>
      <c r="H2417" s="16">
        <f t="shared" si="558"/>
        <v>0</v>
      </c>
      <c r="I2417" s="63">
        <f>IF(E2417=0,0,Fixture!D421)</f>
        <v>0</v>
      </c>
      <c r="J2417" s="63">
        <f>IF(E2417=0,0,Fixture!F421)</f>
        <v>0</v>
      </c>
      <c r="K2417" s="63">
        <f t="shared" si="559"/>
        <v>0</v>
      </c>
      <c r="L2417" s="63">
        <f t="shared" si="560"/>
        <v>0</v>
      </c>
      <c r="N2417" s="10" t="str">
        <f t="shared" si="562"/>
        <v>00</v>
      </c>
      <c r="O2417" s="10">
        <f t="shared" si="563"/>
        <v>0</v>
      </c>
      <c r="P2417" s="10">
        <f t="shared" si="564"/>
        <v>0</v>
      </c>
      <c r="Q2417" s="10">
        <f t="shared" si="565"/>
        <v>0</v>
      </c>
    </row>
    <row r="2418" spans="1:17">
      <c r="A2418" s="15">
        <f t="shared" si="561"/>
        <v>0</v>
      </c>
      <c r="B2418" s="15"/>
      <c r="C2418" s="14">
        <f>Fixture!C422</f>
        <v>0</v>
      </c>
      <c r="D2418" s="15">
        <f>IF(E2418=0,0,IF(Fixture!D422&lt;Fixture!F422,0,IF(Fixture!F422&lt;Fixture!D422,3,1)))</f>
        <v>0</v>
      </c>
      <c r="E2418" s="16">
        <f>IF(OR(ISBLANK(Fixture!D422),ISBLANK(Fixture!F422),ISTEXT(Fixture!D422),ISTEXT(Fixture!F422)),0,1)</f>
        <v>0</v>
      </c>
      <c r="F2418" s="16">
        <f t="shared" si="556"/>
        <v>0</v>
      </c>
      <c r="G2418" s="16">
        <f t="shared" si="557"/>
        <v>0</v>
      </c>
      <c r="H2418" s="16">
        <f t="shared" si="558"/>
        <v>0</v>
      </c>
      <c r="I2418" s="63">
        <f>IF(E2418=0,0,Fixture!D422)</f>
        <v>0</v>
      </c>
      <c r="J2418" s="63">
        <f>IF(E2418=0,0,Fixture!F422)</f>
        <v>0</v>
      </c>
      <c r="K2418" s="63">
        <f t="shared" si="559"/>
        <v>0</v>
      </c>
      <c r="L2418" s="63">
        <f t="shared" si="560"/>
        <v>0</v>
      </c>
      <c r="N2418" s="10" t="str">
        <f t="shared" si="562"/>
        <v>00</v>
      </c>
      <c r="O2418" s="10">
        <f t="shared" si="563"/>
        <v>0</v>
      </c>
      <c r="P2418" s="10">
        <f t="shared" si="564"/>
        <v>0</v>
      </c>
      <c r="Q2418" s="10">
        <f t="shared" si="565"/>
        <v>0</v>
      </c>
    </row>
    <row r="2419" spans="1:17">
      <c r="A2419" s="15">
        <f t="shared" si="561"/>
        <v>0</v>
      </c>
      <c r="B2419" s="15"/>
      <c r="C2419" s="14">
        <f>Fixture!C423</f>
        <v>0</v>
      </c>
      <c r="D2419" s="15">
        <f>IF(E2419=0,0,IF(Fixture!D423&lt;Fixture!F423,0,IF(Fixture!F423&lt;Fixture!D423,3,1)))</f>
        <v>0</v>
      </c>
      <c r="E2419" s="16">
        <f>IF(OR(ISBLANK(Fixture!D423),ISBLANK(Fixture!F423),ISTEXT(Fixture!D423),ISTEXT(Fixture!F423)),0,1)</f>
        <v>0</v>
      </c>
      <c r="F2419" s="16">
        <f t="shared" si="556"/>
        <v>0</v>
      </c>
      <c r="G2419" s="16">
        <f t="shared" si="557"/>
        <v>0</v>
      </c>
      <c r="H2419" s="16">
        <f t="shared" si="558"/>
        <v>0</v>
      </c>
      <c r="I2419" s="63">
        <f>IF(E2419=0,0,Fixture!D423)</f>
        <v>0</v>
      </c>
      <c r="J2419" s="63">
        <f>IF(E2419=0,0,Fixture!F423)</f>
        <v>0</v>
      </c>
      <c r="K2419" s="63">
        <f t="shared" si="559"/>
        <v>0</v>
      </c>
      <c r="L2419" s="63">
        <f t="shared" si="560"/>
        <v>0</v>
      </c>
      <c r="N2419" s="10" t="str">
        <f t="shared" si="562"/>
        <v>00</v>
      </c>
      <c r="O2419" s="10">
        <f t="shared" si="563"/>
        <v>0</v>
      </c>
      <c r="P2419" s="10">
        <f t="shared" si="564"/>
        <v>0</v>
      </c>
      <c r="Q2419" s="10">
        <f t="shared" si="565"/>
        <v>0</v>
      </c>
    </row>
    <row r="2420" spans="1:17">
      <c r="A2420" s="15">
        <f t="shared" si="561"/>
        <v>0</v>
      </c>
      <c r="B2420" s="15"/>
      <c r="C2420" s="14">
        <f>Fixture!C424</f>
        <v>0</v>
      </c>
      <c r="D2420" s="15">
        <f>IF(E2420=0,0,IF(Fixture!D424&lt;Fixture!F424,0,IF(Fixture!F424&lt;Fixture!D424,3,1)))</f>
        <v>0</v>
      </c>
      <c r="E2420" s="16">
        <f>IF(OR(ISBLANK(Fixture!D424),ISBLANK(Fixture!F424),ISTEXT(Fixture!D424),ISTEXT(Fixture!F424)),0,1)</f>
        <v>0</v>
      </c>
      <c r="F2420" s="16">
        <f t="shared" si="556"/>
        <v>0</v>
      </c>
      <c r="G2420" s="16">
        <f t="shared" si="557"/>
        <v>0</v>
      </c>
      <c r="H2420" s="16">
        <f t="shared" si="558"/>
        <v>0</v>
      </c>
      <c r="I2420" s="63">
        <f>IF(E2420=0,0,Fixture!D424)</f>
        <v>0</v>
      </c>
      <c r="J2420" s="63">
        <f>IF(E2420=0,0,Fixture!F424)</f>
        <v>0</v>
      </c>
      <c r="K2420" s="63">
        <f t="shared" si="559"/>
        <v>0</v>
      </c>
      <c r="L2420" s="63">
        <f t="shared" si="560"/>
        <v>0</v>
      </c>
      <c r="N2420" s="10" t="str">
        <f t="shared" si="562"/>
        <v>00</v>
      </c>
      <c r="O2420" s="10">
        <f t="shared" si="563"/>
        <v>0</v>
      </c>
      <c r="P2420" s="10">
        <f t="shared" si="564"/>
        <v>0</v>
      </c>
      <c r="Q2420" s="10">
        <f t="shared" si="565"/>
        <v>0</v>
      </c>
    </row>
    <row r="2421" spans="1:17">
      <c r="A2421" s="15">
        <f t="shared" si="561"/>
        <v>0</v>
      </c>
      <c r="B2421" s="15"/>
      <c r="C2421" s="14">
        <f>Fixture!C425</f>
        <v>0</v>
      </c>
      <c r="D2421" s="15">
        <f>IF(E2421=0,0,IF(Fixture!D425&lt;Fixture!F425,0,IF(Fixture!F425&lt;Fixture!D425,3,1)))</f>
        <v>0</v>
      </c>
      <c r="E2421" s="16">
        <f>IF(OR(ISBLANK(Fixture!D425),ISBLANK(Fixture!F425),ISTEXT(Fixture!D425),ISTEXT(Fixture!F425)),0,1)</f>
        <v>0</v>
      </c>
      <c r="F2421" s="16">
        <f t="shared" si="556"/>
        <v>0</v>
      </c>
      <c r="G2421" s="16">
        <f t="shared" si="557"/>
        <v>0</v>
      </c>
      <c r="H2421" s="16">
        <f t="shared" si="558"/>
        <v>0</v>
      </c>
      <c r="I2421" s="63">
        <f>IF(E2421=0,0,Fixture!D425)</f>
        <v>0</v>
      </c>
      <c r="J2421" s="63">
        <f>IF(E2421=0,0,Fixture!F425)</f>
        <v>0</v>
      </c>
      <c r="K2421" s="63">
        <f t="shared" si="559"/>
        <v>0</v>
      </c>
      <c r="L2421" s="63">
        <f t="shared" si="560"/>
        <v>0</v>
      </c>
      <c r="N2421" s="10" t="str">
        <f t="shared" si="562"/>
        <v>00</v>
      </c>
      <c r="O2421" s="10">
        <f t="shared" si="563"/>
        <v>0</v>
      </c>
      <c r="P2421" s="10">
        <f t="shared" si="564"/>
        <v>0</v>
      </c>
      <c r="Q2421" s="10">
        <f t="shared" si="565"/>
        <v>0</v>
      </c>
    </row>
    <row r="2422" spans="1:17">
      <c r="A2422" s="15">
        <f t="shared" si="561"/>
        <v>0</v>
      </c>
      <c r="B2422" s="15"/>
      <c r="C2422" s="14">
        <f>Fixture!C426</f>
        <v>0</v>
      </c>
      <c r="D2422" s="15">
        <f>IF(E2422=0,0,IF(Fixture!D426&lt;Fixture!F426,0,IF(Fixture!F426&lt;Fixture!D426,3,1)))</f>
        <v>0</v>
      </c>
      <c r="E2422" s="16">
        <f>IF(OR(ISBLANK(Fixture!D426),ISBLANK(Fixture!F426),ISTEXT(Fixture!D426),ISTEXT(Fixture!F426)),0,1)</f>
        <v>0</v>
      </c>
      <c r="F2422" s="16">
        <f t="shared" si="556"/>
        <v>0</v>
      </c>
      <c r="G2422" s="16">
        <f t="shared" si="557"/>
        <v>0</v>
      </c>
      <c r="H2422" s="16">
        <f t="shared" si="558"/>
        <v>0</v>
      </c>
      <c r="I2422" s="63">
        <f>IF(E2422=0,0,Fixture!D426)</f>
        <v>0</v>
      </c>
      <c r="J2422" s="63">
        <f>IF(E2422=0,0,Fixture!F426)</f>
        <v>0</v>
      </c>
      <c r="K2422" s="63">
        <f t="shared" si="559"/>
        <v>0</v>
      </c>
      <c r="L2422" s="63">
        <f t="shared" si="560"/>
        <v>0</v>
      </c>
      <c r="N2422" s="10" t="str">
        <f t="shared" si="562"/>
        <v>00</v>
      </c>
      <c r="O2422" s="10">
        <f t="shared" si="563"/>
        <v>0</v>
      </c>
      <c r="P2422" s="10">
        <f t="shared" si="564"/>
        <v>0</v>
      </c>
      <c r="Q2422" s="10">
        <f t="shared" si="565"/>
        <v>0</v>
      </c>
    </row>
    <row r="2423" spans="1:17">
      <c r="A2423" s="15">
        <f t="shared" si="561"/>
        <v>0</v>
      </c>
      <c r="B2423" s="15"/>
      <c r="C2423" s="14">
        <f>Fixture!C427</f>
        <v>0</v>
      </c>
      <c r="D2423" s="15">
        <f>IF(E2423=0,0,IF(Fixture!D427&lt;Fixture!F427,0,IF(Fixture!F427&lt;Fixture!D427,3,1)))</f>
        <v>0</v>
      </c>
      <c r="E2423" s="16">
        <f>IF(OR(ISBLANK(Fixture!D427),ISBLANK(Fixture!F427),ISTEXT(Fixture!D427),ISTEXT(Fixture!F427)),0,1)</f>
        <v>0</v>
      </c>
      <c r="F2423" s="16">
        <f t="shared" si="556"/>
        <v>0</v>
      </c>
      <c r="G2423" s="16">
        <f t="shared" si="557"/>
        <v>0</v>
      </c>
      <c r="H2423" s="16">
        <f t="shared" si="558"/>
        <v>0</v>
      </c>
      <c r="I2423" s="63">
        <f>IF(E2423=0,0,Fixture!D427)</f>
        <v>0</v>
      </c>
      <c r="J2423" s="63">
        <f>IF(E2423=0,0,Fixture!F427)</f>
        <v>0</v>
      </c>
      <c r="K2423" s="63">
        <f t="shared" si="559"/>
        <v>0</v>
      </c>
      <c r="L2423" s="63">
        <f t="shared" si="560"/>
        <v>0</v>
      </c>
      <c r="N2423" s="10" t="str">
        <f t="shared" si="562"/>
        <v>00</v>
      </c>
      <c r="O2423" s="10">
        <f t="shared" si="563"/>
        <v>0</v>
      </c>
      <c r="P2423" s="10">
        <f t="shared" si="564"/>
        <v>0</v>
      </c>
      <c r="Q2423" s="10">
        <f t="shared" si="565"/>
        <v>0</v>
      </c>
    </row>
    <row r="2424" spans="1:17">
      <c r="A2424" s="15">
        <f t="shared" si="561"/>
        <v>0</v>
      </c>
      <c r="B2424" s="15"/>
      <c r="C2424" s="14">
        <f>Fixture!C428</f>
        <v>0</v>
      </c>
      <c r="D2424" s="15">
        <f>IF(E2424=0,0,IF(Fixture!D428&lt;Fixture!F428,0,IF(Fixture!F428&lt;Fixture!D428,3,1)))</f>
        <v>0</v>
      </c>
      <c r="E2424" s="16">
        <f>IF(OR(ISBLANK(Fixture!D428),ISBLANK(Fixture!F428),ISTEXT(Fixture!D428),ISTEXT(Fixture!F428)),0,1)</f>
        <v>0</v>
      </c>
      <c r="F2424" s="16">
        <f t="shared" si="556"/>
        <v>0</v>
      </c>
      <c r="G2424" s="16">
        <f t="shared" si="557"/>
        <v>0</v>
      </c>
      <c r="H2424" s="16">
        <f t="shared" si="558"/>
        <v>0</v>
      </c>
      <c r="I2424" s="63">
        <f>IF(E2424=0,0,Fixture!D428)</f>
        <v>0</v>
      </c>
      <c r="J2424" s="63">
        <f>IF(E2424=0,0,Fixture!F428)</f>
        <v>0</v>
      </c>
      <c r="K2424" s="63">
        <f t="shared" si="559"/>
        <v>0</v>
      </c>
      <c r="L2424" s="63">
        <f t="shared" si="560"/>
        <v>0</v>
      </c>
      <c r="N2424" s="10" t="str">
        <f t="shared" si="562"/>
        <v>00</v>
      </c>
      <c r="O2424" s="10">
        <f t="shared" si="563"/>
        <v>0</v>
      </c>
      <c r="P2424" s="10">
        <f t="shared" si="564"/>
        <v>0</v>
      </c>
      <c r="Q2424" s="10">
        <f t="shared" si="565"/>
        <v>0</v>
      </c>
    </row>
    <row r="2425" spans="1:17">
      <c r="A2425" s="15">
        <f t="shared" si="561"/>
        <v>0</v>
      </c>
      <c r="B2425" s="15"/>
      <c r="C2425" s="14">
        <f>Fixture!C429</f>
        <v>0</v>
      </c>
      <c r="D2425" s="15">
        <f>IF(E2425=0,0,IF(Fixture!D429&lt;Fixture!F429,0,IF(Fixture!F429&lt;Fixture!D429,3,1)))</f>
        <v>0</v>
      </c>
      <c r="E2425" s="16">
        <f>IF(OR(ISBLANK(Fixture!D429),ISBLANK(Fixture!F429),ISTEXT(Fixture!D429),ISTEXT(Fixture!F429)),0,1)</f>
        <v>0</v>
      </c>
      <c r="F2425" s="16">
        <f t="shared" si="556"/>
        <v>0</v>
      </c>
      <c r="G2425" s="16">
        <f t="shared" si="557"/>
        <v>0</v>
      </c>
      <c r="H2425" s="16">
        <f t="shared" si="558"/>
        <v>0</v>
      </c>
      <c r="I2425" s="63">
        <f>IF(E2425=0,0,Fixture!D429)</f>
        <v>0</v>
      </c>
      <c r="J2425" s="63">
        <f>IF(E2425=0,0,Fixture!F429)</f>
        <v>0</v>
      </c>
      <c r="K2425" s="63">
        <f t="shared" si="559"/>
        <v>0</v>
      </c>
      <c r="L2425" s="63">
        <f t="shared" si="560"/>
        <v>0</v>
      </c>
      <c r="N2425" s="10" t="str">
        <f t="shared" si="562"/>
        <v>00</v>
      </c>
      <c r="O2425" s="10">
        <f t="shared" si="563"/>
        <v>0</v>
      </c>
      <c r="P2425" s="10">
        <f t="shared" si="564"/>
        <v>0</v>
      </c>
      <c r="Q2425" s="10">
        <f t="shared" si="565"/>
        <v>0</v>
      </c>
    </row>
    <row r="2426" spans="1:17">
      <c r="A2426" s="15">
        <f t="shared" si="561"/>
        <v>0</v>
      </c>
      <c r="B2426" s="15"/>
      <c r="C2426" s="14">
        <f>Fixture!C430</f>
        <v>0</v>
      </c>
      <c r="D2426" s="15">
        <f>IF(E2426=0,0,IF(Fixture!D430&lt;Fixture!F430,0,IF(Fixture!F430&lt;Fixture!D430,3,1)))</f>
        <v>0</v>
      </c>
      <c r="E2426" s="16">
        <f>IF(OR(ISBLANK(Fixture!D430),ISBLANK(Fixture!F430),ISTEXT(Fixture!D430),ISTEXT(Fixture!F430)),0,1)</f>
        <v>0</v>
      </c>
      <c r="F2426" s="16">
        <f t="shared" si="556"/>
        <v>0</v>
      </c>
      <c r="G2426" s="16">
        <f t="shared" si="557"/>
        <v>0</v>
      </c>
      <c r="H2426" s="16">
        <f t="shared" si="558"/>
        <v>0</v>
      </c>
      <c r="I2426" s="63">
        <f>IF(E2426=0,0,Fixture!D430)</f>
        <v>0</v>
      </c>
      <c r="J2426" s="63">
        <f>IF(E2426=0,0,Fixture!F430)</f>
        <v>0</v>
      </c>
      <c r="K2426" s="63">
        <f t="shared" si="559"/>
        <v>0</v>
      </c>
      <c r="L2426" s="63">
        <f t="shared" si="560"/>
        <v>0</v>
      </c>
      <c r="N2426" s="10" t="str">
        <f t="shared" si="562"/>
        <v>00</v>
      </c>
      <c r="O2426" s="10">
        <f t="shared" si="563"/>
        <v>0</v>
      </c>
      <c r="P2426" s="10">
        <f t="shared" si="564"/>
        <v>0</v>
      </c>
      <c r="Q2426" s="10">
        <f t="shared" si="565"/>
        <v>0</v>
      </c>
    </row>
    <row r="2427" spans="1:17">
      <c r="A2427" s="15">
        <f t="shared" si="561"/>
        <v>0</v>
      </c>
      <c r="B2427" s="15"/>
      <c r="C2427" s="14">
        <f>Fixture!C431</f>
        <v>0</v>
      </c>
      <c r="D2427" s="15">
        <f>IF(E2427=0,0,IF(Fixture!D431&lt;Fixture!F431,0,IF(Fixture!F431&lt;Fixture!D431,3,1)))</f>
        <v>0</v>
      </c>
      <c r="E2427" s="16">
        <f>IF(OR(ISBLANK(Fixture!D431),ISBLANK(Fixture!F431),ISTEXT(Fixture!D431),ISTEXT(Fixture!F431)),0,1)</f>
        <v>0</v>
      </c>
      <c r="F2427" s="16">
        <f t="shared" si="556"/>
        <v>0</v>
      </c>
      <c r="G2427" s="16">
        <f t="shared" si="557"/>
        <v>0</v>
      </c>
      <c r="H2427" s="16">
        <f t="shared" si="558"/>
        <v>0</v>
      </c>
      <c r="I2427" s="63">
        <f>IF(E2427=0,0,Fixture!D431)</f>
        <v>0</v>
      </c>
      <c r="J2427" s="63">
        <f>IF(E2427=0,0,Fixture!F431)</f>
        <v>0</v>
      </c>
      <c r="K2427" s="63">
        <f t="shared" si="559"/>
        <v>0</v>
      </c>
      <c r="L2427" s="63">
        <f t="shared" si="560"/>
        <v>0</v>
      </c>
      <c r="N2427" s="10" t="str">
        <f t="shared" si="562"/>
        <v>00</v>
      </c>
      <c r="O2427" s="10">
        <f t="shared" si="563"/>
        <v>0</v>
      </c>
      <c r="P2427" s="10">
        <f t="shared" si="564"/>
        <v>0</v>
      </c>
      <c r="Q2427" s="10">
        <f t="shared" si="565"/>
        <v>0</v>
      </c>
    </row>
    <row r="2428" spans="1:17">
      <c r="A2428" s="15">
        <f t="shared" si="561"/>
        <v>0</v>
      </c>
      <c r="B2428" s="15"/>
      <c r="C2428" s="14">
        <f>Fixture!C432</f>
        <v>0</v>
      </c>
      <c r="D2428" s="15">
        <f>IF(E2428=0,0,IF(Fixture!D432&lt;Fixture!F432,0,IF(Fixture!F432&lt;Fixture!D432,3,1)))</f>
        <v>0</v>
      </c>
      <c r="E2428" s="16">
        <f>IF(OR(ISBLANK(Fixture!D432),ISBLANK(Fixture!F432),ISTEXT(Fixture!D432),ISTEXT(Fixture!F432)),0,1)</f>
        <v>0</v>
      </c>
      <c r="F2428" s="16">
        <f t="shared" si="556"/>
        <v>0</v>
      </c>
      <c r="G2428" s="16">
        <f t="shared" si="557"/>
        <v>0</v>
      </c>
      <c r="H2428" s="16">
        <f t="shared" si="558"/>
        <v>0</v>
      </c>
      <c r="I2428" s="63">
        <f>IF(E2428=0,0,Fixture!D432)</f>
        <v>0</v>
      </c>
      <c r="J2428" s="63">
        <f>IF(E2428=0,0,Fixture!F432)</f>
        <v>0</v>
      </c>
      <c r="K2428" s="63">
        <f t="shared" si="559"/>
        <v>0</v>
      </c>
      <c r="L2428" s="63">
        <f t="shared" si="560"/>
        <v>0</v>
      </c>
      <c r="N2428" s="10" t="str">
        <f t="shared" si="562"/>
        <v>00</v>
      </c>
      <c r="O2428" s="10">
        <f t="shared" si="563"/>
        <v>0</v>
      </c>
      <c r="P2428" s="10">
        <f t="shared" si="564"/>
        <v>0</v>
      </c>
      <c r="Q2428" s="10">
        <f t="shared" si="565"/>
        <v>0</v>
      </c>
    </row>
    <row r="2429" spans="1:17">
      <c r="A2429" s="15">
        <f t="shared" si="561"/>
        <v>0</v>
      </c>
      <c r="B2429" s="15"/>
      <c r="C2429" s="14">
        <f>Fixture!C433</f>
        <v>0</v>
      </c>
      <c r="D2429" s="15">
        <f>IF(E2429=0,0,IF(Fixture!D433&lt;Fixture!F433,0,IF(Fixture!F433&lt;Fixture!D433,3,1)))</f>
        <v>0</v>
      </c>
      <c r="E2429" s="16">
        <f>IF(OR(ISBLANK(Fixture!D433),ISBLANK(Fixture!F433),ISTEXT(Fixture!D433),ISTEXT(Fixture!F433)),0,1)</f>
        <v>0</v>
      </c>
      <c r="F2429" s="16">
        <f t="shared" si="556"/>
        <v>0</v>
      </c>
      <c r="G2429" s="16">
        <f t="shared" si="557"/>
        <v>0</v>
      </c>
      <c r="H2429" s="16">
        <f t="shared" si="558"/>
        <v>0</v>
      </c>
      <c r="I2429" s="63">
        <f>IF(E2429=0,0,Fixture!D433)</f>
        <v>0</v>
      </c>
      <c r="J2429" s="63">
        <f>IF(E2429=0,0,Fixture!F433)</f>
        <v>0</v>
      </c>
      <c r="K2429" s="63">
        <f t="shared" si="559"/>
        <v>0</v>
      </c>
      <c r="L2429" s="63">
        <f t="shared" si="560"/>
        <v>0</v>
      </c>
      <c r="N2429" s="10" t="str">
        <f t="shared" si="562"/>
        <v>00</v>
      </c>
      <c r="O2429" s="10">
        <f t="shared" si="563"/>
        <v>0</v>
      </c>
      <c r="P2429" s="10">
        <f t="shared" si="564"/>
        <v>0</v>
      </c>
      <c r="Q2429" s="10">
        <f t="shared" si="565"/>
        <v>0</v>
      </c>
    </row>
    <row r="2430" spans="1:17">
      <c r="A2430" s="15">
        <f t="shared" si="561"/>
        <v>0</v>
      </c>
      <c r="B2430" s="15"/>
      <c r="C2430" s="14">
        <f>Fixture!C434</f>
        <v>0</v>
      </c>
      <c r="D2430" s="15">
        <f>IF(E2430=0,0,IF(Fixture!D434&lt;Fixture!F434,0,IF(Fixture!F434&lt;Fixture!D434,3,1)))</f>
        <v>0</v>
      </c>
      <c r="E2430" s="16">
        <f>IF(OR(ISBLANK(Fixture!D434),ISBLANK(Fixture!F434),ISTEXT(Fixture!D434),ISTEXT(Fixture!F434)),0,1)</f>
        <v>0</v>
      </c>
      <c r="F2430" s="16">
        <f t="shared" si="556"/>
        <v>0</v>
      </c>
      <c r="G2430" s="16">
        <f t="shared" si="557"/>
        <v>0</v>
      </c>
      <c r="H2430" s="16">
        <f t="shared" si="558"/>
        <v>0</v>
      </c>
      <c r="I2430" s="63">
        <f>IF(E2430=0,0,Fixture!D434)</f>
        <v>0</v>
      </c>
      <c r="J2430" s="63">
        <f>IF(E2430=0,0,Fixture!F434)</f>
        <v>0</v>
      </c>
      <c r="K2430" s="63">
        <f t="shared" si="559"/>
        <v>0</v>
      </c>
      <c r="L2430" s="63">
        <f t="shared" si="560"/>
        <v>0</v>
      </c>
      <c r="N2430" s="10" t="str">
        <f t="shared" si="562"/>
        <v>00</v>
      </c>
      <c r="O2430" s="10">
        <f t="shared" si="563"/>
        <v>0</v>
      </c>
      <c r="P2430" s="10">
        <f t="shared" si="564"/>
        <v>0</v>
      </c>
      <c r="Q2430" s="10">
        <f t="shared" si="565"/>
        <v>0</v>
      </c>
    </row>
    <row r="2431" spans="1:17">
      <c r="A2431" s="15">
        <f t="shared" si="561"/>
        <v>0</v>
      </c>
      <c r="B2431" s="15"/>
      <c r="C2431" s="14">
        <f>Fixture!C435</f>
        <v>0</v>
      </c>
      <c r="D2431" s="15">
        <f>IF(E2431=0,0,IF(Fixture!D435&lt;Fixture!F435,0,IF(Fixture!F435&lt;Fixture!D435,3,1)))</f>
        <v>0</v>
      </c>
      <c r="E2431" s="16">
        <f>IF(OR(ISBLANK(Fixture!D435),ISBLANK(Fixture!F435),ISTEXT(Fixture!D435),ISTEXT(Fixture!F435)),0,1)</f>
        <v>0</v>
      </c>
      <c r="F2431" s="16">
        <f t="shared" si="556"/>
        <v>0</v>
      </c>
      <c r="G2431" s="16">
        <f t="shared" si="557"/>
        <v>0</v>
      </c>
      <c r="H2431" s="16">
        <f t="shared" si="558"/>
        <v>0</v>
      </c>
      <c r="I2431" s="63">
        <f>IF(E2431=0,0,Fixture!D435)</f>
        <v>0</v>
      </c>
      <c r="J2431" s="63">
        <f>IF(E2431=0,0,Fixture!F435)</f>
        <v>0</v>
      </c>
      <c r="K2431" s="63">
        <f t="shared" si="559"/>
        <v>0</v>
      </c>
      <c r="L2431" s="63">
        <f t="shared" si="560"/>
        <v>0</v>
      </c>
      <c r="N2431" s="10" t="str">
        <f t="shared" si="562"/>
        <v>00</v>
      </c>
      <c r="O2431" s="10">
        <f t="shared" si="563"/>
        <v>0</v>
      </c>
      <c r="P2431" s="10">
        <f t="shared" si="564"/>
        <v>0</v>
      </c>
      <c r="Q2431" s="10">
        <f t="shared" si="565"/>
        <v>0</v>
      </c>
    </row>
    <row r="2432" spans="1:17">
      <c r="A2432" s="15">
        <f t="shared" si="561"/>
        <v>0</v>
      </c>
      <c r="B2432" s="15"/>
      <c r="C2432" s="14">
        <f>Fixture!C436</f>
        <v>0</v>
      </c>
      <c r="D2432" s="15">
        <f>IF(E2432=0,0,IF(Fixture!D436&lt;Fixture!F436,0,IF(Fixture!F436&lt;Fixture!D436,3,1)))</f>
        <v>0</v>
      </c>
      <c r="E2432" s="16">
        <f>IF(OR(ISBLANK(Fixture!D436),ISBLANK(Fixture!F436),ISTEXT(Fixture!D436),ISTEXT(Fixture!F436)),0,1)</f>
        <v>0</v>
      </c>
      <c r="F2432" s="16">
        <f t="shared" si="556"/>
        <v>0</v>
      </c>
      <c r="G2432" s="16">
        <f t="shared" si="557"/>
        <v>0</v>
      </c>
      <c r="H2432" s="16">
        <f t="shared" si="558"/>
        <v>0</v>
      </c>
      <c r="I2432" s="63">
        <f>IF(E2432=0,0,Fixture!D436)</f>
        <v>0</v>
      </c>
      <c r="J2432" s="63">
        <f>IF(E2432=0,0,Fixture!F436)</f>
        <v>0</v>
      </c>
      <c r="K2432" s="63">
        <f t="shared" si="559"/>
        <v>0</v>
      </c>
      <c r="L2432" s="63">
        <f t="shared" si="560"/>
        <v>0</v>
      </c>
      <c r="N2432" s="10" t="str">
        <f t="shared" si="562"/>
        <v>00</v>
      </c>
      <c r="O2432" s="10">
        <f t="shared" si="563"/>
        <v>0</v>
      </c>
      <c r="P2432" s="10">
        <f t="shared" si="564"/>
        <v>0</v>
      </c>
      <c r="Q2432" s="10">
        <f t="shared" si="565"/>
        <v>0</v>
      </c>
    </row>
    <row r="2433" spans="1:17">
      <c r="A2433" s="15">
        <f t="shared" si="561"/>
        <v>0</v>
      </c>
      <c r="B2433" s="15"/>
      <c r="C2433" s="14">
        <f>Fixture!C437</f>
        <v>0</v>
      </c>
      <c r="D2433" s="15">
        <f>IF(E2433=0,0,IF(Fixture!D437&lt;Fixture!F437,0,IF(Fixture!F437&lt;Fixture!D437,3,1)))</f>
        <v>0</v>
      </c>
      <c r="E2433" s="16">
        <f>IF(OR(ISBLANK(Fixture!D437),ISBLANK(Fixture!F437),ISTEXT(Fixture!D437),ISTEXT(Fixture!F437)),0,1)</f>
        <v>0</v>
      </c>
      <c r="F2433" s="16">
        <f t="shared" si="556"/>
        <v>0</v>
      </c>
      <c r="G2433" s="16">
        <f t="shared" si="557"/>
        <v>0</v>
      </c>
      <c r="H2433" s="16">
        <f t="shared" si="558"/>
        <v>0</v>
      </c>
      <c r="I2433" s="63">
        <f>IF(E2433=0,0,Fixture!D437)</f>
        <v>0</v>
      </c>
      <c r="J2433" s="63">
        <f>IF(E2433=0,0,Fixture!F437)</f>
        <v>0</v>
      </c>
      <c r="K2433" s="63">
        <f t="shared" si="559"/>
        <v>0</v>
      </c>
      <c r="L2433" s="63">
        <f t="shared" si="560"/>
        <v>0</v>
      </c>
      <c r="N2433" s="10" t="str">
        <f t="shared" si="562"/>
        <v>00</v>
      </c>
      <c r="O2433" s="10">
        <f t="shared" si="563"/>
        <v>0</v>
      </c>
      <c r="P2433" s="10">
        <f t="shared" si="564"/>
        <v>0</v>
      </c>
      <c r="Q2433" s="10">
        <f t="shared" si="565"/>
        <v>0</v>
      </c>
    </row>
    <row r="2434" spans="1:17">
      <c r="A2434" s="15">
        <f t="shared" si="561"/>
        <v>0</v>
      </c>
      <c r="B2434" s="15"/>
      <c r="C2434" s="14">
        <f>Fixture!C438</f>
        <v>0</v>
      </c>
      <c r="D2434" s="15">
        <f>IF(E2434=0,0,IF(Fixture!D438&lt;Fixture!F438,0,IF(Fixture!F438&lt;Fixture!D438,3,1)))</f>
        <v>0</v>
      </c>
      <c r="E2434" s="16">
        <f>IF(OR(ISBLANK(Fixture!D438),ISBLANK(Fixture!F438),ISTEXT(Fixture!D438),ISTEXT(Fixture!F438)),0,1)</f>
        <v>0</v>
      </c>
      <c r="F2434" s="16">
        <f t="shared" si="556"/>
        <v>0</v>
      </c>
      <c r="G2434" s="16">
        <f t="shared" si="557"/>
        <v>0</v>
      </c>
      <c r="H2434" s="16">
        <f t="shared" si="558"/>
        <v>0</v>
      </c>
      <c r="I2434" s="63">
        <f>IF(E2434=0,0,Fixture!D438)</f>
        <v>0</v>
      </c>
      <c r="J2434" s="63">
        <f>IF(E2434=0,0,Fixture!F438)</f>
        <v>0</v>
      </c>
      <c r="K2434" s="63">
        <f t="shared" si="559"/>
        <v>0</v>
      </c>
      <c r="L2434" s="63">
        <f t="shared" si="560"/>
        <v>0</v>
      </c>
      <c r="N2434" s="10" t="str">
        <f t="shared" si="562"/>
        <v>00</v>
      </c>
      <c r="O2434" s="10">
        <f t="shared" si="563"/>
        <v>0</v>
      </c>
      <c r="P2434" s="10">
        <f t="shared" si="564"/>
        <v>0</v>
      </c>
      <c r="Q2434" s="10">
        <f t="shared" si="565"/>
        <v>0</v>
      </c>
    </row>
    <row r="2435" spans="1:17">
      <c r="A2435" s="15">
        <f t="shared" si="561"/>
        <v>0</v>
      </c>
      <c r="B2435" s="15"/>
      <c r="C2435" s="14">
        <f>Fixture!C439</f>
        <v>0</v>
      </c>
      <c r="D2435" s="15">
        <f>IF(E2435=0,0,IF(Fixture!D439&lt;Fixture!F439,0,IF(Fixture!F439&lt;Fixture!D439,3,1)))</f>
        <v>0</v>
      </c>
      <c r="E2435" s="16">
        <f>IF(OR(ISBLANK(Fixture!D439),ISBLANK(Fixture!F439),ISTEXT(Fixture!D439),ISTEXT(Fixture!F439)),0,1)</f>
        <v>0</v>
      </c>
      <c r="F2435" s="16">
        <f t="shared" si="556"/>
        <v>0</v>
      </c>
      <c r="G2435" s="16">
        <f t="shared" si="557"/>
        <v>0</v>
      </c>
      <c r="H2435" s="16">
        <f t="shared" si="558"/>
        <v>0</v>
      </c>
      <c r="I2435" s="63">
        <f>IF(E2435=0,0,Fixture!D439)</f>
        <v>0</v>
      </c>
      <c r="J2435" s="63">
        <f>IF(E2435=0,0,Fixture!F439)</f>
        <v>0</v>
      </c>
      <c r="K2435" s="63">
        <f t="shared" si="559"/>
        <v>0</v>
      </c>
      <c r="L2435" s="63">
        <f t="shared" si="560"/>
        <v>0</v>
      </c>
      <c r="N2435" s="10" t="str">
        <f t="shared" si="562"/>
        <v>00</v>
      </c>
      <c r="O2435" s="10">
        <f t="shared" si="563"/>
        <v>0</v>
      </c>
      <c r="P2435" s="10">
        <f t="shared" si="564"/>
        <v>0</v>
      </c>
      <c r="Q2435" s="10">
        <f t="shared" si="565"/>
        <v>0</v>
      </c>
    </row>
    <row r="2436" spans="1:17">
      <c r="A2436" s="15">
        <f t="shared" si="561"/>
        <v>0</v>
      </c>
      <c r="B2436" s="15"/>
      <c r="C2436" s="14">
        <f>Fixture!C440</f>
        <v>0</v>
      </c>
      <c r="D2436" s="15">
        <f>IF(E2436=0,0,IF(Fixture!D440&lt;Fixture!F440,0,IF(Fixture!F440&lt;Fixture!D440,3,1)))</f>
        <v>0</v>
      </c>
      <c r="E2436" s="16">
        <f>IF(OR(ISBLANK(Fixture!D440),ISBLANK(Fixture!F440),ISTEXT(Fixture!D440),ISTEXT(Fixture!F440)),0,1)</f>
        <v>0</v>
      </c>
      <c r="F2436" s="16">
        <f t="shared" si="556"/>
        <v>0</v>
      </c>
      <c r="G2436" s="16">
        <f t="shared" si="557"/>
        <v>0</v>
      </c>
      <c r="H2436" s="16">
        <f t="shared" si="558"/>
        <v>0</v>
      </c>
      <c r="I2436" s="63">
        <f>IF(E2436=0,0,Fixture!D440)</f>
        <v>0</v>
      </c>
      <c r="J2436" s="63">
        <f>IF(E2436=0,0,Fixture!F440)</f>
        <v>0</v>
      </c>
      <c r="K2436" s="63">
        <f t="shared" si="559"/>
        <v>0</v>
      </c>
      <c r="L2436" s="63">
        <f t="shared" si="560"/>
        <v>0</v>
      </c>
      <c r="N2436" s="10" t="str">
        <f t="shared" si="562"/>
        <v>00</v>
      </c>
      <c r="O2436" s="10">
        <f t="shared" si="563"/>
        <v>0</v>
      </c>
      <c r="P2436" s="10">
        <f t="shared" si="564"/>
        <v>0</v>
      </c>
      <c r="Q2436" s="10">
        <f t="shared" si="565"/>
        <v>0</v>
      </c>
    </row>
    <row r="2437" spans="1:17">
      <c r="A2437" s="15">
        <f t="shared" si="561"/>
        <v>0</v>
      </c>
      <c r="B2437" s="15"/>
      <c r="C2437" s="14">
        <f>Fixture!C441</f>
        <v>0</v>
      </c>
      <c r="D2437" s="15">
        <f>IF(E2437=0,0,IF(Fixture!D441&lt;Fixture!F441,0,IF(Fixture!F441&lt;Fixture!D441,3,1)))</f>
        <v>0</v>
      </c>
      <c r="E2437" s="16">
        <f>IF(OR(ISBLANK(Fixture!D441),ISBLANK(Fixture!F441),ISTEXT(Fixture!D441),ISTEXT(Fixture!F441)),0,1)</f>
        <v>0</v>
      </c>
      <c r="F2437" s="16">
        <f t="shared" si="556"/>
        <v>0</v>
      </c>
      <c r="G2437" s="16">
        <f t="shared" si="557"/>
        <v>0</v>
      </c>
      <c r="H2437" s="16">
        <f t="shared" si="558"/>
        <v>0</v>
      </c>
      <c r="I2437" s="63">
        <f>IF(E2437=0,0,Fixture!D441)</f>
        <v>0</v>
      </c>
      <c r="J2437" s="63">
        <f>IF(E2437=0,0,Fixture!F441)</f>
        <v>0</v>
      </c>
      <c r="K2437" s="63">
        <f t="shared" si="559"/>
        <v>0</v>
      </c>
      <c r="L2437" s="63">
        <f t="shared" si="560"/>
        <v>0</v>
      </c>
      <c r="N2437" s="10" t="str">
        <f t="shared" si="562"/>
        <v>00</v>
      </c>
      <c r="O2437" s="10">
        <f t="shared" si="563"/>
        <v>0</v>
      </c>
      <c r="P2437" s="10">
        <f t="shared" si="564"/>
        <v>0</v>
      </c>
      <c r="Q2437" s="10">
        <f t="shared" si="565"/>
        <v>0</v>
      </c>
    </row>
    <row r="2438" spans="1:17">
      <c r="A2438" s="15">
        <f t="shared" si="561"/>
        <v>0</v>
      </c>
      <c r="B2438" s="15"/>
      <c r="C2438" s="14">
        <f>Fixture!C442</f>
        <v>0</v>
      </c>
      <c r="D2438" s="15">
        <f>IF(E2438=0,0,IF(Fixture!D442&lt;Fixture!F442,0,IF(Fixture!F442&lt;Fixture!D442,3,1)))</f>
        <v>0</v>
      </c>
      <c r="E2438" s="16">
        <f>IF(OR(ISBLANK(Fixture!D442),ISBLANK(Fixture!F442),ISTEXT(Fixture!D442),ISTEXT(Fixture!F442)),0,1)</f>
        <v>0</v>
      </c>
      <c r="F2438" s="16">
        <f t="shared" si="556"/>
        <v>0</v>
      </c>
      <c r="G2438" s="16">
        <f t="shared" si="557"/>
        <v>0</v>
      </c>
      <c r="H2438" s="16">
        <f t="shared" si="558"/>
        <v>0</v>
      </c>
      <c r="I2438" s="63">
        <f>IF(E2438=0,0,Fixture!D442)</f>
        <v>0</v>
      </c>
      <c r="J2438" s="63">
        <f>IF(E2438=0,0,Fixture!F442)</f>
        <v>0</v>
      </c>
      <c r="K2438" s="63">
        <f t="shared" si="559"/>
        <v>0</v>
      </c>
      <c r="L2438" s="63">
        <f t="shared" si="560"/>
        <v>0</v>
      </c>
      <c r="N2438" s="10" t="str">
        <f t="shared" si="562"/>
        <v>00</v>
      </c>
      <c r="O2438" s="10">
        <f t="shared" si="563"/>
        <v>0</v>
      </c>
      <c r="P2438" s="10">
        <f t="shared" si="564"/>
        <v>0</v>
      </c>
      <c r="Q2438" s="10">
        <f t="shared" si="565"/>
        <v>0</v>
      </c>
    </row>
    <row r="2439" spans="1:17">
      <c r="A2439" s="15">
        <f t="shared" si="561"/>
        <v>0</v>
      </c>
      <c r="B2439" s="15"/>
      <c r="C2439" s="14">
        <f>Fixture!C443</f>
        <v>0</v>
      </c>
      <c r="D2439" s="15">
        <f>IF(E2439=0,0,IF(Fixture!D443&lt;Fixture!F443,0,IF(Fixture!F443&lt;Fixture!D443,3,1)))</f>
        <v>0</v>
      </c>
      <c r="E2439" s="16">
        <f>IF(OR(ISBLANK(Fixture!D443),ISBLANK(Fixture!F443),ISTEXT(Fixture!D443),ISTEXT(Fixture!F443)),0,1)</f>
        <v>0</v>
      </c>
      <c r="F2439" s="16">
        <f t="shared" si="556"/>
        <v>0</v>
      </c>
      <c r="G2439" s="16">
        <f t="shared" si="557"/>
        <v>0</v>
      </c>
      <c r="H2439" s="16">
        <f t="shared" si="558"/>
        <v>0</v>
      </c>
      <c r="I2439" s="63">
        <f>IF(E2439=0,0,Fixture!D443)</f>
        <v>0</v>
      </c>
      <c r="J2439" s="63">
        <f>IF(E2439=0,0,Fixture!F443)</f>
        <v>0</v>
      </c>
      <c r="K2439" s="63">
        <f t="shared" si="559"/>
        <v>0</v>
      </c>
      <c r="L2439" s="63">
        <f t="shared" si="560"/>
        <v>0</v>
      </c>
      <c r="N2439" s="10" t="str">
        <f t="shared" si="562"/>
        <v>00</v>
      </c>
      <c r="O2439" s="10">
        <f t="shared" si="563"/>
        <v>0</v>
      </c>
      <c r="P2439" s="10">
        <f t="shared" si="564"/>
        <v>0</v>
      </c>
      <c r="Q2439" s="10">
        <f t="shared" si="565"/>
        <v>0</v>
      </c>
    </row>
    <row r="2440" spans="1:17">
      <c r="A2440" s="15">
        <f t="shared" si="561"/>
        <v>0</v>
      </c>
      <c r="B2440" s="15"/>
      <c r="C2440" s="14">
        <f>Fixture!C444</f>
        <v>0</v>
      </c>
      <c r="D2440" s="15">
        <f>IF(E2440=0,0,IF(Fixture!D444&lt;Fixture!F444,0,IF(Fixture!F444&lt;Fixture!D444,3,1)))</f>
        <v>0</v>
      </c>
      <c r="E2440" s="16">
        <f>IF(OR(ISBLANK(Fixture!D444),ISBLANK(Fixture!F444),ISTEXT(Fixture!D444),ISTEXT(Fixture!F444)),0,1)</f>
        <v>0</v>
      </c>
      <c r="F2440" s="16">
        <f t="shared" si="556"/>
        <v>0</v>
      </c>
      <c r="G2440" s="16">
        <f t="shared" si="557"/>
        <v>0</v>
      </c>
      <c r="H2440" s="16">
        <f t="shared" si="558"/>
        <v>0</v>
      </c>
      <c r="I2440" s="63">
        <f>IF(E2440=0,0,Fixture!D444)</f>
        <v>0</v>
      </c>
      <c r="J2440" s="63">
        <f>IF(E2440=0,0,Fixture!F444)</f>
        <v>0</v>
      </c>
      <c r="K2440" s="63">
        <f t="shared" si="559"/>
        <v>0</v>
      </c>
      <c r="L2440" s="63">
        <f t="shared" si="560"/>
        <v>0</v>
      </c>
      <c r="N2440" s="10" t="str">
        <f t="shared" si="562"/>
        <v>00</v>
      </c>
      <c r="O2440" s="10">
        <f t="shared" si="563"/>
        <v>0</v>
      </c>
      <c r="P2440" s="10">
        <f t="shared" si="564"/>
        <v>0</v>
      </c>
      <c r="Q2440" s="10">
        <f t="shared" si="565"/>
        <v>0</v>
      </c>
    </row>
    <row r="2441" spans="1:17">
      <c r="A2441" s="15">
        <f t="shared" si="561"/>
        <v>0</v>
      </c>
      <c r="B2441" s="15"/>
      <c r="C2441" s="14">
        <f>Fixture!C445</f>
        <v>0</v>
      </c>
      <c r="D2441" s="15">
        <f>IF(E2441=0,0,IF(Fixture!D445&lt;Fixture!F445,0,IF(Fixture!F445&lt;Fixture!D445,3,1)))</f>
        <v>0</v>
      </c>
      <c r="E2441" s="16">
        <f>IF(OR(ISBLANK(Fixture!D445),ISBLANK(Fixture!F445),ISTEXT(Fixture!D445),ISTEXT(Fixture!F445)),0,1)</f>
        <v>0</v>
      </c>
      <c r="F2441" s="16">
        <f t="shared" si="556"/>
        <v>0</v>
      </c>
      <c r="G2441" s="16">
        <f t="shared" si="557"/>
        <v>0</v>
      </c>
      <c r="H2441" s="16">
        <f t="shared" si="558"/>
        <v>0</v>
      </c>
      <c r="I2441" s="63">
        <f>IF(E2441=0,0,Fixture!D445)</f>
        <v>0</v>
      </c>
      <c r="J2441" s="63">
        <f>IF(E2441=0,0,Fixture!F445)</f>
        <v>0</v>
      </c>
      <c r="K2441" s="63">
        <f t="shared" si="559"/>
        <v>0</v>
      </c>
      <c r="L2441" s="63">
        <f t="shared" si="560"/>
        <v>0</v>
      </c>
      <c r="N2441" s="10" t="str">
        <f t="shared" si="562"/>
        <v>00</v>
      </c>
      <c r="O2441" s="10">
        <f t="shared" si="563"/>
        <v>0</v>
      </c>
      <c r="P2441" s="10">
        <f t="shared" si="564"/>
        <v>0</v>
      </c>
      <c r="Q2441" s="10">
        <f t="shared" si="565"/>
        <v>0</v>
      </c>
    </row>
    <row r="2442" spans="1:17">
      <c r="A2442" s="15">
        <f t="shared" si="561"/>
        <v>0</v>
      </c>
      <c r="B2442" s="15"/>
      <c r="C2442" s="14">
        <f>Fixture!C446</f>
        <v>0</v>
      </c>
      <c r="D2442" s="15">
        <f>IF(E2442=0,0,IF(Fixture!D446&lt;Fixture!F446,0,IF(Fixture!F446&lt;Fixture!D446,3,1)))</f>
        <v>0</v>
      </c>
      <c r="E2442" s="16">
        <f>IF(OR(ISBLANK(Fixture!D446),ISBLANK(Fixture!F446),ISTEXT(Fixture!D446),ISTEXT(Fixture!F446)),0,1)</f>
        <v>0</v>
      </c>
      <c r="F2442" s="16">
        <f t="shared" si="556"/>
        <v>0</v>
      </c>
      <c r="G2442" s="16">
        <f t="shared" si="557"/>
        <v>0</v>
      </c>
      <c r="H2442" s="16">
        <f t="shared" si="558"/>
        <v>0</v>
      </c>
      <c r="I2442" s="63">
        <f>IF(E2442=0,0,Fixture!D446)</f>
        <v>0</v>
      </c>
      <c r="J2442" s="63">
        <f>IF(E2442=0,0,Fixture!F446)</f>
        <v>0</v>
      </c>
      <c r="K2442" s="63">
        <f t="shared" si="559"/>
        <v>0</v>
      </c>
      <c r="L2442" s="63">
        <f t="shared" si="560"/>
        <v>0</v>
      </c>
      <c r="N2442" s="10" t="str">
        <f t="shared" si="562"/>
        <v>00</v>
      </c>
      <c r="O2442" s="10">
        <f t="shared" si="563"/>
        <v>0</v>
      </c>
      <c r="P2442" s="10">
        <f t="shared" si="564"/>
        <v>0</v>
      </c>
      <c r="Q2442" s="10">
        <f t="shared" si="565"/>
        <v>0</v>
      </c>
    </row>
    <row r="2443" spans="1:17">
      <c r="A2443" s="15">
        <f t="shared" si="561"/>
        <v>0</v>
      </c>
      <c r="B2443" s="15"/>
      <c r="C2443" s="14">
        <f>Fixture!C447</f>
        <v>0</v>
      </c>
      <c r="D2443" s="15">
        <f>IF(E2443=0,0,IF(Fixture!D447&lt;Fixture!F447,0,IF(Fixture!F447&lt;Fixture!D447,3,1)))</f>
        <v>0</v>
      </c>
      <c r="E2443" s="16">
        <f>IF(OR(ISBLANK(Fixture!D447),ISBLANK(Fixture!F447),ISTEXT(Fixture!D447),ISTEXT(Fixture!F447)),0,1)</f>
        <v>0</v>
      </c>
      <c r="F2443" s="16">
        <f t="shared" si="556"/>
        <v>0</v>
      </c>
      <c r="G2443" s="16">
        <f t="shared" si="557"/>
        <v>0</v>
      </c>
      <c r="H2443" s="16">
        <f t="shared" si="558"/>
        <v>0</v>
      </c>
      <c r="I2443" s="63">
        <f>IF(E2443=0,0,Fixture!D447)</f>
        <v>0</v>
      </c>
      <c r="J2443" s="63">
        <f>IF(E2443=0,0,Fixture!F447)</f>
        <v>0</v>
      </c>
      <c r="K2443" s="63">
        <f t="shared" si="559"/>
        <v>0</v>
      </c>
      <c r="L2443" s="63">
        <f t="shared" si="560"/>
        <v>0</v>
      </c>
      <c r="N2443" s="10" t="str">
        <f t="shared" si="562"/>
        <v>00</v>
      </c>
      <c r="O2443" s="10">
        <f t="shared" si="563"/>
        <v>0</v>
      </c>
      <c r="P2443" s="10">
        <f t="shared" si="564"/>
        <v>0</v>
      </c>
      <c r="Q2443" s="10">
        <f t="shared" si="565"/>
        <v>0</v>
      </c>
    </row>
    <row r="2444" spans="1:17">
      <c r="A2444" s="15">
        <f t="shared" si="561"/>
        <v>0</v>
      </c>
      <c r="B2444" s="15"/>
      <c r="C2444" s="14">
        <f>Fixture!C448</f>
        <v>0</v>
      </c>
      <c r="D2444" s="15">
        <f>IF(E2444=0,0,IF(Fixture!D448&lt;Fixture!F448,0,IF(Fixture!F448&lt;Fixture!D448,3,1)))</f>
        <v>0</v>
      </c>
      <c r="E2444" s="16">
        <f>IF(OR(ISBLANK(Fixture!D448),ISBLANK(Fixture!F448),ISTEXT(Fixture!D448),ISTEXT(Fixture!F448)),0,1)</f>
        <v>0</v>
      </c>
      <c r="F2444" s="16">
        <f t="shared" si="556"/>
        <v>0</v>
      </c>
      <c r="G2444" s="16">
        <f t="shared" si="557"/>
        <v>0</v>
      </c>
      <c r="H2444" s="16">
        <f t="shared" si="558"/>
        <v>0</v>
      </c>
      <c r="I2444" s="63">
        <f>IF(E2444=0,0,Fixture!D448)</f>
        <v>0</v>
      </c>
      <c r="J2444" s="63">
        <f>IF(E2444=0,0,Fixture!F448)</f>
        <v>0</v>
      </c>
      <c r="K2444" s="63">
        <f t="shared" si="559"/>
        <v>0</v>
      </c>
      <c r="L2444" s="63">
        <f t="shared" si="560"/>
        <v>0</v>
      </c>
      <c r="N2444" s="10" t="str">
        <f t="shared" si="562"/>
        <v>00</v>
      </c>
      <c r="O2444" s="10">
        <f t="shared" si="563"/>
        <v>0</v>
      </c>
      <c r="P2444" s="10">
        <f t="shared" si="564"/>
        <v>0</v>
      </c>
      <c r="Q2444" s="10">
        <f t="shared" si="565"/>
        <v>0</v>
      </c>
    </row>
    <row r="2445" spans="1:17">
      <c r="A2445" s="15">
        <f t="shared" si="561"/>
        <v>0</v>
      </c>
      <c r="B2445" s="15"/>
      <c r="C2445" s="14">
        <f>Fixture!C449</f>
        <v>0</v>
      </c>
      <c r="D2445" s="15">
        <f>IF(E2445=0,0,IF(Fixture!D449&lt;Fixture!F449,0,IF(Fixture!F449&lt;Fixture!D449,3,1)))</f>
        <v>0</v>
      </c>
      <c r="E2445" s="16">
        <f>IF(OR(ISBLANK(Fixture!D449),ISBLANK(Fixture!F449),ISTEXT(Fixture!D449),ISTEXT(Fixture!F449)),0,1)</f>
        <v>0</v>
      </c>
      <c r="F2445" s="16">
        <f t="shared" si="556"/>
        <v>0</v>
      </c>
      <c r="G2445" s="16">
        <f t="shared" si="557"/>
        <v>0</v>
      </c>
      <c r="H2445" s="16">
        <f t="shared" si="558"/>
        <v>0</v>
      </c>
      <c r="I2445" s="63">
        <f>IF(E2445=0,0,Fixture!D449)</f>
        <v>0</v>
      </c>
      <c r="J2445" s="63">
        <f>IF(E2445=0,0,Fixture!F449)</f>
        <v>0</v>
      </c>
      <c r="K2445" s="63">
        <f t="shared" si="559"/>
        <v>0</v>
      </c>
      <c r="L2445" s="63">
        <f t="shared" si="560"/>
        <v>0</v>
      </c>
      <c r="N2445" s="10" t="str">
        <f t="shared" si="562"/>
        <v>00</v>
      </c>
      <c r="O2445" s="10">
        <f t="shared" si="563"/>
        <v>0</v>
      </c>
      <c r="P2445" s="10">
        <f t="shared" si="564"/>
        <v>0</v>
      </c>
      <c r="Q2445" s="10">
        <f t="shared" si="565"/>
        <v>0</v>
      </c>
    </row>
    <row r="2446" spans="1:17">
      <c r="A2446" s="15">
        <f t="shared" si="561"/>
        <v>0</v>
      </c>
      <c r="B2446" s="15"/>
      <c r="C2446" s="14">
        <f>Fixture!C450</f>
        <v>0</v>
      </c>
      <c r="D2446" s="15">
        <f>IF(E2446=0,0,IF(Fixture!D450&lt;Fixture!F450,0,IF(Fixture!F450&lt;Fixture!D450,3,1)))</f>
        <v>0</v>
      </c>
      <c r="E2446" s="16">
        <f>IF(OR(ISBLANK(Fixture!D450),ISBLANK(Fixture!F450),ISTEXT(Fixture!D450),ISTEXT(Fixture!F450)),0,1)</f>
        <v>0</v>
      </c>
      <c r="F2446" s="16">
        <f t="shared" si="556"/>
        <v>0</v>
      </c>
      <c r="G2446" s="16">
        <f t="shared" si="557"/>
        <v>0</v>
      </c>
      <c r="H2446" s="16">
        <f t="shared" si="558"/>
        <v>0</v>
      </c>
      <c r="I2446" s="63">
        <f>IF(E2446=0,0,Fixture!D450)</f>
        <v>0</v>
      </c>
      <c r="J2446" s="63">
        <f>IF(E2446=0,0,Fixture!F450)</f>
        <v>0</v>
      </c>
      <c r="K2446" s="63">
        <f t="shared" si="559"/>
        <v>0</v>
      </c>
      <c r="L2446" s="63">
        <f t="shared" si="560"/>
        <v>0</v>
      </c>
      <c r="N2446" s="10" t="str">
        <f t="shared" si="562"/>
        <v>00</v>
      </c>
      <c r="O2446" s="10">
        <f t="shared" si="563"/>
        <v>0</v>
      </c>
      <c r="P2446" s="10">
        <f t="shared" si="564"/>
        <v>0</v>
      </c>
      <c r="Q2446" s="10">
        <f t="shared" si="565"/>
        <v>0</v>
      </c>
    </row>
    <row r="2447" spans="1:17">
      <c r="A2447" s="15">
        <f t="shared" si="561"/>
        <v>0</v>
      </c>
      <c r="B2447" s="15"/>
      <c r="C2447" s="14">
        <f>Fixture!C451</f>
        <v>0</v>
      </c>
      <c r="D2447" s="15">
        <f>IF(E2447=0,0,IF(Fixture!D451&lt;Fixture!F451,0,IF(Fixture!F451&lt;Fixture!D451,3,1)))</f>
        <v>0</v>
      </c>
      <c r="E2447" s="16">
        <f>IF(OR(ISBLANK(Fixture!D451),ISBLANK(Fixture!F451),ISTEXT(Fixture!D451),ISTEXT(Fixture!F451)),0,1)</f>
        <v>0</v>
      </c>
      <c r="F2447" s="16">
        <f t="shared" si="556"/>
        <v>0</v>
      </c>
      <c r="G2447" s="16">
        <f t="shared" si="557"/>
        <v>0</v>
      </c>
      <c r="H2447" s="16">
        <f t="shared" si="558"/>
        <v>0</v>
      </c>
      <c r="I2447" s="63">
        <f>IF(E2447=0,0,Fixture!D451)</f>
        <v>0</v>
      </c>
      <c r="J2447" s="63">
        <f>IF(E2447=0,0,Fixture!F451)</f>
        <v>0</v>
      </c>
      <c r="K2447" s="63">
        <f t="shared" si="559"/>
        <v>0</v>
      </c>
      <c r="L2447" s="63">
        <f t="shared" si="560"/>
        <v>0</v>
      </c>
      <c r="N2447" s="10" t="str">
        <f t="shared" si="562"/>
        <v>00</v>
      </c>
      <c r="O2447" s="10">
        <f t="shared" si="563"/>
        <v>0</v>
      </c>
      <c r="P2447" s="10">
        <f t="shared" si="564"/>
        <v>0</v>
      </c>
      <c r="Q2447" s="10">
        <f t="shared" si="565"/>
        <v>0</v>
      </c>
    </row>
    <row r="2448" spans="1:17">
      <c r="A2448" s="15">
        <f t="shared" si="561"/>
        <v>0</v>
      </c>
      <c r="B2448" s="15"/>
      <c r="C2448" s="14">
        <f>Fixture!C452</f>
        <v>0</v>
      </c>
      <c r="D2448" s="15">
        <f>IF(E2448=0,0,IF(Fixture!D452&lt;Fixture!F452,0,IF(Fixture!F452&lt;Fixture!D452,3,1)))</f>
        <v>0</v>
      </c>
      <c r="E2448" s="16">
        <f>IF(OR(ISBLANK(Fixture!D452),ISBLANK(Fixture!F452),ISTEXT(Fixture!D452),ISTEXT(Fixture!F452)),0,1)</f>
        <v>0</v>
      </c>
      <c r="F2448" s="16">
        <f t="shared" si="556"/>
        <v>0</v>
      </c>
      <c r="G2448" s="16">
        <f t="shared" si="557"/>
        <v>0</v>
      </c>
      <c r="H2448" s="16">
        <f t="shared" si="558"/>
        <v>0</v>
      </c>
      <c r="I2448" s="63">
        <f>IF(E2448=0,0,Fixture!D452)</f>
        <v>0</v>
      </c>
      <c r="J2448" s="63">
        <f>IF(E2448=0,0,Fixture!F452)</f>
        <v>0</v>
      </c>
      <c r="K2448" s="63">
        <f t="shared" si="559"/>
        <v>0</v>
      </c>
      <c r="L2448" s="63">
        <f t="shared" si="560"/>
        <v>0</v>
      </c>
      <c r="N2448" s="10" t="str">
        <f t="shared" si="562"/>
        <v>00</v>
      </c>
      <c r="O2448" s="10">
        <f t="shared" si="563"/>
        <v>0</v>
      </c>
      <c r="P2448" s="10">
        <f t="shared" si="564"/>
        <v>0</v>
      </c>
      <c r="Q2448" s="10">
        <f t="shared" si="565"/>
        <v>0</v>
      </c>
    </row>
    <row r="2449" spans="1:17">
      <c r="A2449" s="15">
        <f t="shared" si="561"/>
        <v>0</v>
      </c>
      <c r="B2449" s="15"/>
      <c r="C2449" s="14">
        <f>Fixture!C453</f>
        <v>0</v>
      </c>
      <c r="D2449" s="15">
        <f>IF(E2449=0,0,IF(Fixture!D453&lt;Fixture!F453,0,IF(Fixture!F453&lt;Fixture!D453,3,1)))</f>
        <v>0</v>
      </c>
      <c r="E2449" s="16">
        <f>IF(OR(ISBLANK(Fixture!D453),ISBLANK(Fixture!F453),ISTEXT(Fixture!D453),ISTEXT(Fixture!F453)),0,1)</f>
        <v>0</v>
      </c>
      <c r="F2449" s="16">
        <f t="shared" ref="F2449:F2512" si="566">IF(E2449=0,0,IF(D2449&lt;&gt;3,0,1))</f>
        <v>0</v>
      </c>
      <c r="G2449" s="16">
        <f t="shared" ref="G2449:G2512" si="567">IF(E2449=0,0,IF(D2449&lt;&gt;1,0,1))</f>
        <v>0</v>
      </c>
      <c r="H2449" s="16">
        <f t="shared" ref="H2449:H2512" si="568">IF(E2449=0,0,IF(D2449&lt;&gt;0,0,1))</f>
        <v>0</v>
      </c>
      <c r="I2449" s="63">
        <f>IF(E2449=0,0,Fixture!D453)</f>
        <v>0</v>
      </c>
      <c r="J2449" s="63">
        <f>IF(E2449=0,0,Fixture!F453)</f>
        <v>0</v>
      </c>
      <c r="K2449" s="63">
        <f t="shared" ref="K2449:K2512" si="569">IF(E2449=0,0,IF(I2449&gt;0,0,1))</f>
        <v>0</v>
      </c>
      <c r="L2449" s="63">
        <f t="shared" ref="L2449:L2512" si="570">IF(E2449=0,0,IF(J2449&gt;0,0,1))</f>
        <v>0</v>
      </c>
      <c r="N2449" s="10" t="str">
        <f t="shared" si="562"/>
        <v>00</v>
      </c>
      <c r="O2449" s="10">
        <f t="shared" si="563"/>
        <v>0</v>
      </c>
      <c r="P2449" s="10">
        <f t="shared" si="564"/>
        <v>0</v>
      </c>
      <c r="Q2449" s="10">
        <f t="shared" si="565"/>
        <v>0</v>
      </c>
    </row>
    <row r="2450" spans="1:17">
      <c r="A2450" s="15">
        <f t="shared" ref="A2450:A2513" si="571">A493</f>
        <v>0</v>
      </c>
      <c r="B2450" s="15"/>
      <c r="C2450" s="14">
        <f>Fixture!C454</f>
        <v>0</v>
      </c>
      <c r="D2450" s="15">
        <f>IF(E2450=0,0,IF(Fixture!D454&lt;Fixture!F454,0,IF(Fixture!F454&lt;Fixture!D454,3,1)))</f>
        <v>0</v>
      </c>
      <c r="E2450" s="16">
        <f>IF(OR(ISBLANK(Fixture!D454),ISBLANK(Fixture!F454),ISTEXT(Fixture!D454),ISTEXT(Fixture!F454)),0,1)</f>
        <v>0</v>
      </c>
      <c r="F2450" s="16">
        <f t="shared" si="566"/>
        <v>0</v>
      </c>
      <c r="G2450" s="16">
        <f t="shared" si="567"/>
        <v>0</v>
      </c>
      <c r="H2450" s="16">
        <f t="shared" si="568"/>
        <v>0</v>
      </c>
      <c r="I2450" s="63">
        <f>IF(E2450=0,0,Fixture!D454)</f>
        <v>0</v>
      </c>
      <c r="J2450" s="63">
        <f>IF(E2450=0,0,Fixture!F454)</f>
        <v>0</v>
      </c>
      <c r="K2450" s="63">
        <f t="shared" si="569"/>
        <v>0</v>
      </c>
      <c r="L2450" s="63">
        <f t="shared" si="570"/>
        <v>0</v>
      </c>
      <c r="N2450" s="10" t="str">
        <f t="shared" ref="N2450:N2513" si="572">CONCATENATE(C2450,A2450)</f>
        <v>00</v>
      </c>
      <c r="O2450" s="10">
        <f t="shared" ref="O2450:O2513" si="573">D2450</f>
        <v>0</v>
      </c>
      <c r="P2450" s="10">
        <f t="shared" ref="P2450:P2513" si="574">I2450</f>
        <v>0</v>
      </c>
      <c r="Q2450" s="10">
        <f t="shared" ref="Q2450:Q2513" si="575">J2450</f>
        <v>0</v>
      </c>
    </row>
    <row r="2451" spans="1:17">
      <c r="A2451" s="15">
        <f t="shared" si="571"/>
        <v>0</v>
      </c>
      <c r="B2451" s="15"/>
      <c r="C2451" s="14">
        <f>Fixture!C455</f>
        <v>0</v>
      </c>
      <c r="D2451" s="15">
        <f>IF(E2451=0,0,IF(Fixture!D455&lt;Fixture!F455,0,IF(Fixture!F455&lt;Fixture!D455,3,1)))</f>
        <v>0</v>
      </c>
      <c r="E2451" s="16">
        <f>IF(OR(ISBLANK(Fixture!D455),ISBLANK(Fixture!F455),ISTEXT(Fixture!D455),ISTEXT(Fixture!F455)),0,1)</f>
        <v>0</v>
      </c>
      <c r="F2451" s="16">
        <f t="shared" si="566"/>
        <v>0</v>
      </c>
      <c r="G2451" s="16">
        <f t="shared" si="567"/>
        <v>0</v>
      </c>
      <c r="H2451" s="16">
        <f t="shared" si="568"/>
        <v>0</v>
      </c>
      <c r="I2451" s="63">
        <f>IF(E2451=0,0,Fixture!D455)</f>
        <v>0</v>
      </c>
      <c r="J2451" s="63">
        <f>IF(E2451=0,0,Fixture!F455)</f>
        <v>0</v>
      </c>
      <c r="K2451" s="63">
        <f t="shared" si="569"/>
        <v>0</v>
      </c>
      <c r="L2451" s="63">
        <f t="shared" si="570"/>
        <v>0</v>
      </c>
      <c r="N2451" s="10" t="str">
        <f t="shared" si="572"/>
        <v>00</v>
      </c>
      <c r="O2451" s="10">
        <f t="shared" si="573"/>
        <v>0</v>
      </c>
      <c r="P2451" s="10">
        <f t="shared" si="574"/>
        <v>0</v>
      </c>
      <c r="Q2451" s="10">
        <f t="shared" si="575"/>
        <v>0</v>
      </c>
    </row>
    <row r="2452" spans="1:17">
      <c r="A2452" s="15">
        <f t="shared" si="571"/>
        <v>0</v>
      </c>
      <c r="B2452" s="15"/>
      <c r="C2452" s="14">
        <f>Fixture!C456</f>
        <v>0</v>
      </c>
      <c r="D2452" s="15">
        <f>IF(E2452=0,0,IF(Fixture!D456&lt;Fixture!F456,0,IF(Fixture!F456&lt;Fixture!D456,3,1)))</f>
        <v>0</v>
      </c>
      <c r="E2452" s="16">
        <f>IF(OR(ISBLANK(Fixture!D456),ISBLANK(Fixture!F456),ISTEXT(Fixture!D456),ISTEXT(Fixture!F456)),0,1)</f>
        <v>0</v>
      </c>
      <c r="F2452" s="16">
        <f t="shared" si="566"/>
        <v>0</v>
      </c>
      <c r="G2452" s="16">
        <f t="shared" si="567"/>
        <v>0</v>
      </c>
      <c r="H2452" s="16">
        <f t="shared" si="568"/>
        <v>0</v>
      </c>
      <c r="I2452" s="63">
        <f>IF(E2452=0,0,Fixture!D456)</f>
        <v>0</v>
      </c>
      <c r="J2452" s="63">
        <f>IF(E2452=0,0,Fixture!F456)</f>
        <v>0</v>
      </c>
      <c r="K2452" s="63">
        <f t="shared" si="569"/>
        <v>0</v>
      </c>
      <c r="L2452" s="63">
        <f t="shared" si="570"/>
        <v>0</v>
      </c>
      <c r="N2452" s="10" t="str">
        <f t="shared" si="572"/>
        <v>00</v>
      </c>
      <c r="O2452" s="10">
        <f t="shared" si="573"/>
        <v>0</v>
      </c>
      <c r="P2452" s="10">
        <f t="shared" si="574"/>
        <v>0</v>
      </c>
      <c r="Q2452" s="10">
        <f t="shared" si="575"/>
        <v>0</v>
      </c>
    </row>
    <row r="2453" spans="1:17">
      <c r="A2453" s="15">
        <f t="shared" si="571"/>
        <v>0</v>
      </c>
      <c r="B2453" s="15"/>
      <c r="C2453" s="14">
        <f>Fixture!C457</f>
        <v>0</v>
      </c>
      <c r="D2453" s="15">
        <f>IF(E2453=0,0,IF(Fixture!D457&lt;Fixture!F457,0,IF(Fixture!F457&lt;Fixture!D457,3,1)))</f>
        <v>0</v>
      </c>
      <c r="E2453" s="16">
        <f>IF(OR(ISBLANK(Fixture!D457),ISBLANK(Fixture!F457),ISTEXT(Fixture!D457),ISTEXT(Fixture!F457)),0,1)</f>
        <v>0</v>
      </c>
      <c r="F2453" s="16">
        <f t="shared" si="566"/>
        <v>0</v>
      </c>
      <c r="G2453" s="16">
        <f t="shared" si="567"/>
        <v>0</v>
      </c>
      <c r="H2453" s="16">
        <f t="shared" si="568"/>
        <v>0</v>
      </c>
      <c r="I2453" s="63">
        <f>IF(E2453=0,0,Fixture!D457)</f>
        <v>0</v>
      </c>
      <c r="J2453" s="63">
        <f>IF(E2453=0,0,Fixture!F457)</f>
        <v>0</v>
      </c>
      <c r="K2453" s="63">
        <f t="shared" si="569"/>
        <v>0</v>
      </c>
      <c r="L2453" s="63">
        <f t="shared" si="570"/>
        <v>0</v>
      </c>
      <c r="N2453" s="10" t="str">
        <f t="shared" si="572"/>
        <v>00</v>
      </c>
      <c r="O2453" s="10">
        <f t="shared" si="573"/>
        <v>0</v>
      </c>
      <c r="P2453" s="10">
        <f t="shared" si="574"/>
        <v>0</v>
      </c>
      <c r="Q2453" s="10">
        <f t="shared" si="575"/>
        <v>0</v>
      </c>
    </row>
    <row r="2454" spans="1:17">
      <c r="A2454" s="15">
        <f t="shared" si="571"/>
        <v>0</v>
      </c>
      <c r="B2454" s="15"/>
      <c r="C2454" s="14">
        <f>Fixture!C458</f>
        <v>0</v>
      </c>
      <c r="D2454" s="15">
        <f>IF(E2454=0,0,IF(Fixture!D458&lt;Fixture!F458,0,IF(Fixture!F458&lt;Fixture!D458,3,1)))</f>
        <v>0</v>
      </c>
      <c r="E2454" s="16">
        <f>IF(OR(ISBLANK(Fixture!D458),ISBLANK(Fixture!F458),ISTEXT(Fixture!D458),ISTEXT(Fixture!F458)),0,1)</f>
        <v>0</v>
      </c>
      <c r="F2454" s="16">
        <f t="shared" si="566"/>
        <v>0</v>
      </c>
      <c r="G2454" s="16">
        <f t="shared" si="567"/>
        <v>0</v>
      </c>
      <c r="H2454" s="16">
        <f t="shared" si="568"/>
        <v>0</v>
      </c>
      <c r="I2454" s="63">
        <f>IF(E2454=0,0,Fixture!D458)</f>
        <v>0</v>
      </c>
      <c r="J2454" s="63">
        <f>IF(E2454=0,0,Fixture!F458)</f>
        <v>0</v>
      </c>
      <c r="K2454" s="63">
        <f t="shared" si="569"/>
        <v>0</v>
      </c>
      <c r="L2454" s="63">
        <f t="shared" si="570"/>
        <v>0</v>
      </c>
      <c r="N2454" s="10" t="str">
        <f t="shared" si="572"/>
        <v>00</v>
      </c>
      <c r="O2454" s="10">
        <f t="shared" si="573"/>
        <v>0</v>
      </c>
      <c r="P2454" s="10">
        <f t="shared" si="574"/>
        <v>0</v>
      </c>
      <c r="Q2454" s="10">
        <f t="shared" si="575"/>
        <v>0</v>
      </c>
    </row>
    <row r="2455" spans="1:17">
      <c r="A2455" s="15">
        <f t="shared" si="571"/>
        <v>0</v>
      </c>
      <c r="B2455" s="15"/>
      <c r="C2455" s="14">
        <f>Fixture!C459</f>
        <v>0</v>
      </c>
      <c r="D2455" s="15">
        <f>IF(E2455=0,0,IF(Fixture!D459&lt;Fixture!F459,0,IF(Fixture!F459&lt;Fixture!D459,3,1)))</f>
        <v>0</v>
      </c>
      <c r="E2455" s="16">
        <f>IF(OR(ISBLANK(Fixture!D459),ISBLANK(Fixture!F459),ISTEXT(Fixture!D459),ISTEXT(Fixture!F459)),0,1)</f>
        <v>0</v>
      </c>
      <c r="F2455" s="16">
        <f t="shared" si="566"/>
        <v>0</v>
      </c>
      <c r="G2455" s="16">
        <f t="shared" si="567"/>
        <v>0</v>
      </c>
      <c r="H2455" s="16">
        <f t="shared" si="568"/>
        <v>0</v>
      </c>
      <c r="I2455" s="63">
        <f>IF(E2455=0,0,Fixture!D459)</f>
        <v>0</v>
      </c>
      <c r="J2455" s="63">
        <f>IF(E2455=0,0,Fixture!F459)</f>
        <v>0</v>
      </c>
      <c r="K2455" s="63">
        <f t="shared" si="569"/>
        <v>0</v>
      </c>
      <c r="L2455" s="63">
        <f t="shared" si="570"/>
        <v>0</v>
      </c>
      <c r="N2455" s="10" t="str">
        <f t="shared" si="572"/>
        <v>00</v>
      </c>
      <c r="O2455" s="10">
        <f t="shared" si="573"/>
        <v>0</v>
      </c>
      <c r="P2455" s="10">
        <f t="shared" si="574"/>
        <v>0</v>
      </c>
      <c r="Q2455" s="10">
        <f t="shared" si="575"/>
        <v>0</v>
      </c>
    </row>
    <row r="2456" spans="1:17">
      <c r="A2456" s="15">
        <f t="shared" si="571"/>
        <v>0</v>
      </c>
      <c r="B2456" s="15"/>
      <c r="C2456" s="14">
        <f>Fixture!C460</f>
        <v>0</v>
      </c>
      <c r="D2456" s="15">
        <f>IF(E2456=0,0,IF(Fixture!D460&lt;Fixture!F460,0,IF(Fixture!F460&lt;Fixture!D460,3,1)))</f>
        <v>0</v>
      </c>
      <c r="E2456" s="16">
        <f>IF(OR(ISBLANK(Fixture!D460),ISBLANK(Fixture!F460),ISTEXT(Fixture!D460),ISTEXT(Fixture!F460)),0,1)</f>
        <v>0</v>
      </c>
      <c r="F2456" s="16">
        <f t="shared" si="566"/>
        <v>0</v>
      </c>
      <c r="G2456" s="16">
        <f t="shared" si="567"/>
        <v>0</v>
      </c>
      <c r="H2456" s="16">
        <f t="shared" si="568"/>
        <v>0</v>
      </c>
      <c r="I2456" s="63">
        <f>IF(E2456=0,0,Fixture!D460)</f>
        <v>0</v>
      </c>
      <c r="J2456" s="63">
        <f>IF(E2456=0,0,Fixture!F460)</f>
        <v>0</v>
      </c>
      <c r="K2456" s="63">
        <f t="shared" si="569"/>
        <v>0</v>
      </c>
      <c r="L2456" s="63">
        <f t="shared" si="570"/>
        <v>0</v>
      </c>
      <c r="N2456" s="10" t="str">
        <f t="shared" si="572"/>
        <v>00</v>
      </c>
      <c r="O2456" s="10">
        <f t="shared" si="573"/>
        <v>0</v>
      </c>
      <c r="P2456" s="10">
        <f t="shared" si="574"/>
        <v>0</v>
      </c>
      <c r="Q2456" s="10">
        <f t="shared" si="575"/>
        <v>0</v>
      </c>
    </row>
    <row r="2457" spans="1:17">
      <c r="A2457" s="15">
        <f t="shared" si="571"/>
        <v>0</v>
      </c>
      <c r="B2457" s="15"/>
      <c r="C2457" s="14">
        <f>Fixture!C461</f>
        <v>0</v>
      </c>
      <c r="D2457" s="15">
        <f>IF(E2457=0,0,IF(Fixture!D461&lt;Fixture!F461,0,IF(Fixture!F461&lt;Fixture!D461,3,1)))</f>
        <v>0</v>
      </c>
      <c r="E2457" s="16">
        <f>IF(OR(ISBLANK(Fixture!D461),ISBLANK(Fixture!F461),ISTEXT(Fixture!D461),ISTEXT(Fixture!F461)),0,1)</f>
        <v>0</v>
      </c>
      <c r="F2457" s="16">
        <f t="shared" si="566"/>
        <v>0</v>
      </c>
      <c r="G2457" s="16">
        <f t="shared" si="567"/>
        <v>0</v>
      </c>
      <c r="H2457" s="16">
        <f t="shared" si="568"/>
        <v>0</v>
      </c>
      <c r="I2457" s="63">
        <f>IF(E2457=0,0,Fixture!D461)</f>
        <v>0</v>
      </c>
      <c r="J2457" s="63">
        <f>IF(E2457=0,0,Fixture!F461)</f>
        <v>0</v>
      </c>
      <c r="K2457" s="63">
        <f t="shared" si="569"/>
        <v>0</v>
      </c>
      <c r="L2457" s="63">
        <f t="shared" si="570"/>
        <v>0</v>
      </c>
      <c r="N2457" s="10" t="str">
        <f t="shared" si="572"/>
        <v>00</v>
      </c>
      <c r="O2457" s="10">
        <f t="shared" si="573"/>
        <v>0</v>
      </c>
      <c r="P2457" s="10">
        <f t="shared" si="574"/>
        <v>0</v>
      </c>
      <c r="Q2457" s="10">
        <f t="shared" si="575"/>
        <v>0</v>
      </c>
    </row>
    <row r="2458" spans="1:17">
      <c r="A2458" s="15">
        <f t="shared" si="571"/>
        <v>0</v>
      </c>
      <c r="B2458" s="15"/>
      <c r="C2458" s="14">
        <f>Fixture!C462</f>
        <v>0</v>
      </c>
      <c r="D2458" s="15">
        <f>IF(E2458=0,0,IF(Fixture!D462&lt;Fixture!F462,0,IF(Fixture!F462&lt;Fixture!D462,3,1)))</f>
        <v>0</v>
      </c>
      <c r="E2458" s="16">
        <f>IF(OR(ISBLANK(Fixture!D462),ISBLANK(Fixture!F462),ISTEXT(Fixture!D462),ISTEXT(Fixture!F462)),0,1)</f>
        <v>0</v>
      </c>
      <c r="F2458" s="16">
        <f t="shared" si="566"/>
        <v>0</v>
      </c>
      <c r="G2458" s="16">
        <f t="shared" si="567"/>
        <v>0</v>
      </c>
      <c r="H2458" s="16">
        <f t="shared" si="568"/>
        <v>0</v>
      </c>
      <c r="I2458" s="63">
        <f>IF(E2458=0,0,Fixture!D462)</f>
        <v>0</v>
      </c>
      <c r="J2458" s="63">
        <f>IF(E2458=0,0,Fixture!F462)</f>
        <v>0</v>
      </c>
      <c r="K2458" s="63">
        <f t="shared" si="569"/>
        <v>0</v>
      </c>
      <c r="L2458" s="63">
        <f t="shared" si="570"/>
        <v>0</v>
      </c>
      <c r="N2458" s="10" t="str">
        <f t="shared" si="572"/>
        <v>00</v>
      </c>
      <c r="O2458" s="10">
        <f t="shared" si="573"/>
        <v>0</v>
      </c>
      <c r="P2458" s="10">
        <f t="shared" si="574"/>
        <v>0</v>
      </c>
      <c r="Q2458" s="10">
        <f t="shared" si="575"/>
        <v>0</v>
      </c>
    </row>
    <row r="2459" spans="1:17">
      <c r="A2459" s="15">
        <f t="shared" si="571"/>
        <v>0</v>
      </c>
      <c r="B2459" s="15"/>
      <c r="C2459" s="14">
        <f>Fixture!C463</f>
        <v>0</v>
      </c>
      <c r="D2459" s="15">
        <f>IF(E2459=0,0,IF(Fixture!D463&lt;Fixture!F463,0,IF(Fixture!F463&lt;Fixture!D463,3,1)))</f>
        <v>0</v>
      </c>
      <c r="E2459" s="16">
        <f>IF(OR(ISBLANK(Fixture!D463),ISBLANK(Fixture!F463),ISTEXT(Fixture!D463),ISTEXT(Fixture!F463)),0,1)</f>
        <v>0</v>
      </c>
      <c r="F2459" s="16">
        <f t="shared" si="566"/>
        <v>0</v>
      </c>
      <c r="G2459" s="16">
        <f t="shared" si="567"/>
        <v>0</v>
      </c>
      <c r="H2459" s="16">
        <f t="shared" si="568"/>
        <v>0</v>
      </c>
      <c r="I2459" s="63">
        <f>IF(E2459=0,0,Fixture!D463)</f>
        <v>0</v>
      </c>
      <c r="J2459" s="63">
        <f>IF(E2459=0,0,Fixture!F463)</f>
        <v>0</v>
      </c>
      <c r="K2459" s="63">
        <f t="shared" si="569"/>
        <v>0</v>
      </c>
      <c r="L2459" s="63">
        <f t="shared" si="570"/>
        <v>0</v>
      </c>
      <c r="N2459" s="10" t="str">
        <f t="shared" si="572"/>
        <v>00</v>
      </c>
      <c r="O2459" s="10">
        <f t="shared" si="573"/>
        <v>0</v>
      </c>
      <c r="P2459" s="10">
        <f t="shared" si="574"/>
        <v>0</v>
      </c>
      <c r="Q2459" s="10">
        <f t="shared" si="575"/>
        <v>0</v>
      </c>
    </row>
    <row r="2460" spans="1:17">
      <c r="A2460" s="15">
        <f t="shared" si="571"/>
        <v>0</v>
      </c>
      <c r="B2460" s="15"/>
      <c r="C2460" s="14">
        <f>Fixture!C464</f>
        <v>0</v>
      </c>
      <c r="D2460" s="15">
        <f>IF(E2460=0,0,IF(Fixture!D464&lt;Fixture!F464,0,IF(Fixture!F464&lt;Fixture!D464,3,1)))</f>
        <v>0</v>
      </c>
      <c r="E2460" s="16">
        <f>IF(OR(ISBLANK(Fixture!D464),ISBLANK(Fixture!F464),ISTEXT(Fixture!D464),ISTEXT(Fixture!F464)),0,1)</f>
        <v>0</v>
      </c>
      <c r="F2460" s="16">
        <f t="shared" si="566"/>
        <v>0</v>
      </c>
      <c r="G2460" s="16">
        <f t="shared" si="567"/>
        <v>0</v>
      </c>
      <c r="H2460" s="16">
        <f t="shared" si="568"/>
        <v>0</v>
      </c>
      <c r="I2460" s="63">
        <f>IF(E2460=0,0,Fixture!D464)</f>
        <v>0</v>
      </c>
      <c r="J2460" s="63">
        <f>IF(E2460=0,0,Fixture!F464)</f>
        <v>0</v>
      </c>
      <c r="K2460" s="63">
        <f t="shared" si="569"/>
        <v>0</v>
      </c>
      <c r="L2460" s="63">
        <f t="shared" si="570"/>
        <v>0</v>
      </c>
      <c r="N2460" s="10" t="str">
        <f t="shared" si="572"/>
        <v>00</v>
      </c>
      <c r="O2460" s="10">
        <f t="shared" si="573"/>
        <v>0</v>
      </c>
      <c r="P2460" s="10">
        <f t="shared" si="574"/>
        <v>0</v>
      </c>
      <c r="Q2460" s="10">
        <f t="shared" si="575"/>
        <v>0</v>
      </c>
    </row>
    <row r="2461" spans="1:17">
      <c r="A2461" s="15">
        <f t="shared" si="571"/>
        <v>0</v>
      </c>
      <c r="B2461" s="15"/>
      <c r="C2461" s="14">
        <f>Fixture!C465</f>
        <v>0</v>
      </c>
      <c r="D2461" s="15">
        <f>IF(E2461=0,0,IF(Fixture!D465&lt;Fixture!F465,0,IF(Fixture!F465&lt;Fixture!D465,3,1)))</f>
        <v>0</v>
      </c>
      <c r="E2461" s="16">
        <f>IF(OR(ISBLANK(Fixture!D465),ISBLANK(Fixture!F465),ISTEXT(Fixture!D465),ISTEXT(Fixture!F465)),0,1)</f>
        <v>0</v>
      </c>
      <c r="F2461" s="16">
        <f t="shared" si="566"/>
        <v>0</v>
      </c>
      <c r="G2461" s="16">
        <f t="shared" si="567"/>
        <v>0</v>
      </c>
      <c r="H2461" s="16">
        <f t="shared" si="568"/>
        <v>0</v>
      </c>
      <c r="I2461" s="63">
        <f>IF(E2461=0,0,Fixture!D465)</f>
        <v>0</v>
      </c>
      <c r="J2461" s="63">
        <f>IF(E2461=0,0,Fixture!F465)</f>
        <v>0</v>
      </c>
      <c r="K2461" s="63">
        <f t="shared" si="569"/>
        <v>0</v>
      </c>
      <c r="L2461" s="63">
        <f t="shared" si="570"/>
        <v>0</v>
      </c>
      <c r="N2461" s="10" t="str">
        <f t="shared" si="572"/>
        <v>00</v>
      </c>
      <c r="O2461" s="10">
        <f t="shared" si="573"/>
        <v>0</v>
      </c>
      <c r="P2461" s="10">
        <f t="shared" si="574"/>
        <v>0</v>
      </c>
      <c r="Q2461" s="10">
        <f t="shared" si="575"/>
        <v>0</v>
      </c>
    </row>
    <row r="2462" spans="1:17">
      <c r="A2462" s="15">
        <f t="shared" si="571"/>
        <v>0</v>
      </c>
      <c r="B2462" s="15"/>
      <c r="C2462" s="14">
        <f>Fixture!C466</f>
        <v>0</v>
      </c>
      <c r="D2462" s="15">
        <f>IF(E2462=0,0,IF(Fixture!D466&lt;Fixture!F466,0,IF(Fixture!F466&lt;Fixture!D466,3,1)))</f>
        <v>0</v>
      </c>
      <c r="E2462" s="16">
        <f>IF(OR(ISBLANK(Fixture!D466),ISBLANK(Fixture!F466),ISTEXT(Fixture!D466),ISTEXT(Fixture!F466)),0,1)</f>
        <v>0</v>
      </c>
      <c r="F2462" s="16">
        <f t="shared" si="566"/>
        <v>0</v>
      </c>
      <c r="G2462" s="16">
        <f t="shared" si="567"/>
        <v>0</v>
      </c>
      <c r="H2462" s="16">
        <f t="shared" si="568"/>
        <v>0</v>
      </c>
      <c r="I2462" s="63">
        <f>IF(E2462=0,0,Fixture!D466)</f>
        <v>0</v>
      </c>
      <c r="J2462" s="63">
        <f>IF(E2462=0,0,Fixture!F466)</f>
        <v>0</v>
      </c>
      <c r="K2462" s="63">
        <f t="shared" si="569"/>
        <v>0</v>
      </c>
      <c r="L2462" s="63">
        <f t="shared" si="570"/>
        <v>0</v>
      </c>
      <c r="N2462" s="10" t="str">
        <f t="shared" si="572"/>
        <v>00</v>
      </c>
      <c r="O2462" s="10">
        <f t="shared" si="573"/>
        <v>0</v>
      </c>
      <c r="P2462" s="10">
        <f t="shared" si="574"/>
        <v>0</v>
      </c>
      <c r="Q2462" s="10">
        <f t="shared" si="575"/>
        <v>0</v>
      </c>
    </row>
    <row r="2463" spans="1:17">
      <c r="A2463" s="15">
        <f t="shared" si="571"/>
        <v>0</v>
      </c>
      <c r="B2463" s="15"/>
      <c r="C2463" s="14">
        <f>Fixture!C467</f>
        <v>0</v>
      </c>
      <c r="D2463" s="15">
        <f>IF(E2463=0,0,IF(Fixture!D467&lt;Fixture!F467,0,IF(Fixture!F467&lt;Fixture!D467,3,1)))</f>
        <v>0</v>
      </c>
      <c r="E2463" s="16">
        <f>IF(OR(ISBLANK(Fixture!D467),ISBLANK(Fixture!F467),ISTEXT(Fixture!D467),ISTEXT(Fixture!F467)),0,1)</f>
        <v>0</v>
      </c>
      <c r="F2463" s="16">
        <f t="shared" si="566"/>
        <v>0</v>
      </c>
      <c r="G2463" s="16">
        <f t="shared" si="567"/>
        <v>0</v>
      </c>
      <c r="H2463" s="16">
        <f t="shared" si="568"/>
        <v>0</v>
      </c>
      <c r="I2463" s="63">
        <f>IF(E2463=0,0,Fixture!D467)</f>
        <v>0</v>
      </c>
      <c r="J2463" s="63">
        <f>IF(E2463=0,0,Fixture!F467)</f>
        <v>0</v>
      </c>
      <c r="K2463" s="63">
        <f t="shared" si="569"/>
        <v>0</v>
      </c>
      <c r="L2463" s="63">
        <f t="shared" si="570"/>
        <v>0</v>
      </c>
      <c r="N2463" s="10" t="str">
        <f t="shared" si="572"/>
        <v>00</v>
      </c>
      <c r="O2463" s="10">
        <f t="shared" si="573"/>
        <v>0</v>
      </c>
      <c r="P2463" s="10">
        <f t="shared" si="574"/>
        <v>0</v>
      </c>
      <c r="Q2463" s="10">
        <f t="shared" si="575"/>
        <v>0</v>
      </c>
    </row>
    <row r="2464" spans="1:17">
      <c r="A2464" s="15">
        <f t="shared" si="571"/>
        <v>0</v>
      </c>
      <c r="B2464" s="15"/>
      <c r="C2464" s="14">
        <f>Fixture!C468</f>
        <v>0</v>
      </c>
      <c r="D2464" s="15">
        <f>IF(E2464=0,0,IF(Fixture!D468&lt;Fixture!F468,0,IF(Fixture!F468&lt;Fixture!D468,3,1)))</f>
        <v>0</v>
      </c>
      <c r="E2464" s="16">
        <f>IF(OR(ISBLANK(Fixture!D468),ISBLANK(Fixture!F468),ISTEXT(Fixture!D468),ISTEXT(Fixture!F468)),0,1)</f>
        <v>0</v>
      </c>
      <c r="F2464" s="16">
        <f t="shared" si="566"/>
        <v>0</v>
      </c>
      <c r="G2464" s="16">
        <f t="shared" si="567"/>
        <v>0</v>
      </c>
      <c r="H2464" s="16">
        <f t="shared" si="568"/>
        <v>0</v>
      </c>
      <c r="I2464" s="63">
        <f>IF(E2464=0,0,Fixture!D468)</f>
        <v>0</v>
      </c>
      <c r="J2464" s="63">
        <f>IF(E2464=0,0,Fixture!F468)</f>
        <v>0</v>
      </c>
      <c r="K2464" s="63">
        <f t="shared" si="569"/>
        <v>0</v>
      </c>
      <c r="L2464" s="63">
        <f t="shared" si="570"/>
        <v>0</v>
      </c>
      <c r="N2464" s="10" t="str">
        <f t="shared" si="572"/>
        <v>00</v>
      </c>
      <c r="O2464" s="10">
        <f t="shared" si="573"/>
        <v>0</v>
      </c>
      <c r="P2464" s="10">
        <f t="shared" si="574"/>
        <v>0</v>
      </c>
      <c r="Q2464" s="10">
        <f t="shared" si="575"/>
        <v>0</v>
      </c>
    </row>
    <row r="2465" spans="1:17">
      <c r="A2465" s="15">
        <f t="shared" si="571"/>
        <v>0</v>
      </c>
      <c r="B2465" s="15"/>
      <c r="C2465" s="14">
        <f>Fixture!C469</f>
        <v>0</v>
      </c>
      <c r="D2465" s="15">
        <f>IF(E2465=0,0,IF(Fixture!D469&lt;Fixture!F469,0,IF(Fixture!F469&lt;Fixture!D469,3,1)))</f>
        <v>0</v>
      </c>
      <c r="E2465" s="16">
        <f>IF(OR(ISBLANK(Fixture!D469),ISBLANK(Fixture!F469),ISTEXT(Fixture!D469),ISTEXT(Fixture!F469)),0,1)</f>
        <v>0</v>
      </c>
      <c r="F2465" s="16">
        <f t="shared" si="566"/>
        <v>0</v>
      </c>
      <c r="G2465" s="16">
        <f t="shared" si="567"/>
        <v>0</v>
      </c>
      <c r="H2465" s="16">
        <f t="shared" si="568"/>
        <v>0</v>
      </c>
      <c r="I2465" s="63">
        <f>IF(E2465=0,0,Fixture!D469)</f>
        <v>0</v>
      </c>
      <c r="J2465" s="63">
        <f>IF(E2465=0,0,Fixture!F469)</f>
        <v>0</v>
      </c>
      <c r="K2465" s="63">
        <f t="shared" si="569"/>
        <v>0</v>
      </c>
      <c r="L2465" s="63">
        <f t="shared" si="570"/>
        <v>0</v>
      </c>
      <c r="N2465" s="10" t="str">
        <f t="shared" si="572"/>
        <v>00</v>
      </c>
      <c r="O2465" s="10">
        <f t="shared" si="573"/>
        <v>0</v>
      </c>
      <c r="P2465" s="10">
        <f t="shared" si="574"/>
        <v>0</v>
      </c>
      <c r="Q2465" s="10">
        <f t="shared" si="575"/>
        <v>0</v>
      </c>
    </row>
    <row r="2466" spans="1:17">
      <c r="A2466" s="15">
        <f t="shared" si="571"/>
        <v>0</v>
      </c>
      <c r="B2466" s="15"/>
      <c r="C2466" s="14">
        <f>Fixture!C470</f>
        <v>0</v>
      </c>
      <c r="D2466" s="15">
        <f>IF(E2466=0,0,IF(Fixture!D470&lt;Fixture!F470,0,IF(Fixture!F470&lt;Fixture!D470,3,1)))</f>
        <v>0</v>
      </c>
      <c r="E2466" s="16">
        <f>IF(OR(ISBLANK(Fixture!D470),ISBLANK(Fixture!F470),ISTEXT(Fixture!D470),ISTEXT(Fixture!F470)),0,1)</f>
        <v>0</v>
      </c>
      <c r="F2466" s="16">
        <f t="shared" si="566"/>
        <v>0</v>
      </c>
      <c r="G2466" s="16">
        <f t="shared" si="567"/>
        <v>0</v>
      </c>
      <c r="H2466" s="16">
        <f t="shared" si="568"/>
        <v>0</v>
      </c>
      <c r="I2466" s="63">
        <f>IF(E2466=0,0,Fixture!D470)</f>
        <v>0</v>
      </c>
      <c r="J2466" s="63">
        <f>IF(E2466=0,0,Fixture!F470)</f>
        <v>0</v>
      </c>
      <c r="K2466" s="63">
        <f t="shared" si="569"/>
        <v>0</v>
      </c>
      <c r="L2466" s="63">
        <f t="shared" si="570"/>
        <v>0</v>
      </c>
      <c r="N2466" s="10" t="str">
        <f t="shared" si="572"/>
        <v>00</v>
      </c>
      <c r="O2466" s="10">
        <f t="shared" si="573"/>
        <v>0</v>
      </c>
      <c r="P2466" s="10">
        <f t="shared" si="574"/>
        <v>0</v>
      </c>
      <c r="Q2466" s="10">
        <f t="shared" si="575"/>
        <v>0</v>
      </c>
    </row>
    <row r="2467" spans="1:17">
      <c r="A2467" s="15">
        <f t="shared" si="571"/>
        <v>0</v>
      </c>
      <c r="B2467" s="15"/>
      <c r="C2467" s="14">
        <f>Fixture!C471</f>
        <v>0</v>
      </c>
      <c r="D2467" s="15">
        <f>IF(E2467=0,0,IF(Fixture!D471&lt;Fixture!F471,0,IF(Fixture!F471&lt;Fixture!D471,3,1)))</f>
        <v>0</v>
      </c>
      <c r="E2467" s="16">
        <f>IF(OR(ISBLANK(Fixture!D471),ISBLANK(Fixture!F471),ISTEXT(Fixture!D471),ISTEXT(Fixture!F471)),0,1)</f>
        <v>0</v>
      </c>
      <c r="F2467" s="16">
        <f t="shared" si="566"/>
        <v>0</v>
      </c>
      <c r="G2467" s="16">
        <f t="shared" si="567"/>
        <v>0</v>
      </c>
      <c r="H2467" s="16">
        <f t="shared" si="568"/>
        <v>0</v>
      </c>
      <c r="I2467" s="63">
        <f>IF(E2467=0,0,Fixture!D471)</f>
        <v>0</v>
      </c>
      <c r="J2467" s="63">
        <f>IF(E2467=0,0,Fixture!F471)</f>
        <v>0</v>
      </c>
      <c r="K2467" s="63">
        <f t="shared" si="569"/>
        <v>0</v>
      </c>
      <c r="L2467" s="63">
        <f t="shared" si="570"/>
        <v>0</v>
      </c>
      <c r="N2467" s="10" t="str">
        <f t="shared" si="572"/>
        <v>00</v>
      </c>
      <c r="O2467" s="10">
        <f t="shared" si="573"/>
        <v>0</v>
      </c>
      <c r="P2467" s="10">
        <f t="shared" si="574"/>
        <v>0</v>
      </c>
      <c r="Q2467" s="10">
        <f t="shared" si="575"/>
        <v>0</v>
      </c>
    </row>
    <row r="2468" spans="1:17">
      <c r="A2468" s="15">
        <f t="shared" si="571"/>
        <v>0</v>
      </c>
      <c r="B2468" s="15"/>
      <c r="C2468" s="14">
        <f>Fixture!C472</f>
        <v>0</v>
      </c>
      <c r="D2468" s="15">
        <f>IF(E2468=0,0,IF(Fixture!D472&lt;Fixture!F472,0,IF(Fixture!F472&lt;Fixture!D472,3,1)))</f>
        <v>0</v>
      </c>
      <c r="E2468" s="16">
        <f>IF(OR(ISBLANK(Fixture!D472),ISBLANK(Fixture!F472),ISTEXT(Fixture!D472),ISTEXT(Fixture!F472)),0,1)</f>
        <v>0</v>
      </c>
      <c r="F2468" s="16">
        <f t="shared" si="566"/>
        <v>0</v>
      </c>
      <c r="G2468" s="16">
        <f t="shared" si="567"/>
        <v>0</v>
      </c>
      <c r="H2468" s="16">
        <f t="shared" si="568"/>
        <v>0</v>
      </c>
      <c r="I2468" s="63">
        <f>IF(E2468=0,0,Fixture!D472)</f>
        <v>0</v>
      </c>
      <c r="J2468" s="63">
        <f>IF(E2468=0,0,Fixture!F472)</f>
        <v>0</v>
      </c>
      <c r="K2468" s="63">
        <f t="shared" si="569"/>
        <v>0</v>
      </c>
      <c r="L2468" s="63">
        <f t="shared" si="570"/>
        <v>0</v>
      </c>
      <c r="N2468" s="10" t="str">
        <f t="shared" si="572"/>
        <v>00</v>
      </c>
      <c r="O2468" s="10">
        <f t="shared" si="573"/>
        <v>0</v>
      </c>
      <c r="P2468" s="10">
        <f t="shared" si="574"/>
        <v>0</v>
      </c>
      <c r="Q2468" s="10">
        <f t="shared" si="575"/>
        <v>0</v>
      </c>
    </row>
    <row r="2469" spans="1:17">
      <c r="A2469" s="15">
        <f t="shared" si="571"/>
        <v>0</v>
      </c>
      <c r="B2469" s="15"/>
      <c r="C2469" s="14">
        <f>Fixture!C473</f>
        <v>0</v>
      </c>
      <c r="D2469" s="15">
        <f>IF(E2469=0,0,IF(Fixture!D473&lt;Fixture!F473,0,IF(Fixture!F473&lt;Fixture!D473,3,1)))</f>
        <v>0</v>
      </c>
      <c r="E2469" s="16">
        <f>IF(OR(ISBLANK(Fixture!D473),ISBLANK(Fixture!F473),ISTEXT(Fixture!D473),ISTEXT(Fixture!F473)),0,1)</f>
        <v>0</v>
      </c>
      <c r="F2469" s="16">
        <f t="shared" si="566"/>
        <v>0</v>
      </c>
      <c r="G2469" s="16">
        <f t="shared" si="567"/>
        <v>0</v>
      </c>
      <c r="H2469" s="16">
        <f t="shared" si="568"/>
        <v>0</v>
      </c>
      <c r="I2469" s="63">
        <f>IF(E2469=0,0,Fixture!D473)</f>
        <v>0</v>
      </c>
      <c r="J2469" s="63">
        <f>IF(E2469=0,0,Fixture!F473)</f>
        <v>0</v>
      </c>
      <c r="K2469" s="63">
        <f t="shared" si="569"/>
        <v>0</v>
      </c>
      <c r="L2469" s="63">
        <f t="shared" si="570"/>
        <v>0</v>
      </c>
      <c r="N2469" s="10" t="str">
        <f t="shared" si="572"/>
        <v>00</v>
      </c>
      <c r="O2469" s="10">
        <f t="shared" si="573"/>
        <v>0</v>
      </c>
      <c r="P2469" s="10">
        <f t="shared" si="574"/>
        <v>0</v>
      </c>
      <c r="Q2469" s="10">
        <f t="shared" si="575"/>
        <v>0</v>
      </c>
    </row>
    <row r="2470" spans="1:17">
      <c r="A2470" s="15">
        <f t="shared" si="571"/>
        <v>0</v>
      </c>
      <c r="B2470" s="15"/>
      <c r="C2470" s="14">
        <f>Fixture!C474</f>
        <v>0</v>
      </c>
      <c r="D2470" s="15">
        <f>IF(E2470=0,0,IF(Fixture!D474&lt;Fixture!F474,0,IF(Fixture!F474&lt;Fixture!D474,3,1)))</f>
        <v>0</v>
      </c>
      <c r="E2470" s="16">
        <f>IF(OR(ISBLANK(Fixture!D474),ISBLANK(Fixture!F474),ISTEXT(Fixture!D474),ISTEXT(Fixture!F474)),0,1)</f>
        <v>0</v>
      </c>
      <c r="F2470" s="16">
        <f t="shared" si="566"/>
        <v>0</v>
      </c>
      <c r="G2470" s="16">
        <f t="shared" si="567"/>
        <v>0</v>
      </c>
      <c r="H2470" s="16">
        <f t="shared" si="568"/>
        <v>0</v>
      </c>
      <c r="I2470" s="63">
        <f>IF(E2470=0,0,Fixture!D474)</f>
        <v>0</v>
      </c>
      <c r="J2470" s="63">
        <f>IF(E2470=0,0,Fixture!F474)</f>
        <v>0</v>
      </c>
      <c r="K2470" s="63">
        <f t="shared" si="569"/>
        <v>0</v>
      </c>
      <c r="L2470" s="63">
        <f t="shared" si="570"/>
        <v>0</v>
      </c>
      <c r="N2470" s="10" t="str">
        <f t="shared" si="572"/>
        <v>00</v>
      </c>
      <c r="O2470" s="10">
        <f t="shared" si="573"/>
        <v>0</v>
      </c>
      <c r="P2470" s="10">
        <f t="shared" si="574"/>
        <v>0</v>
      </c>
      <c r="Q2470" s="10">
        <f t="shared" si="575"/>
        <v>0</v>
      </c>
    </row>
    <row r="2471" spans="1:17">
      <c r="A2471" s="15">
        <f t="shared" si="571"/>
        <v>0</v>
      </c>
      <c r="B2471" s="15"/>
      <c r="C2471" s="14">
        <f>Fixture!C475</f>
        <v>0</v>
      </c>
      <c r="D2471" s="15">
        <f>IF(E2471=0,0,IF(Fixture!D475&lt;Fixture!F475,0,IF(Fixture!F475&lt;Fixture!D475,3,1)))</f>
        <v>0</v>
      </c>
      <c r="E2471" s="16">
        <f>IF(OR(ISBLANK(Fixture!D475),ISBLANK(Fixture!F475),ISTEXT(Fixture!D475),ISTEXT(Fixture!F475)),0,1)</f>
        <v>0</v>
      </c>
      <c r="F2471" s="16">
        <f t="shared" si="566"/>
        <v>0</v>
      </c>
      <c r="G2471" s="16">
        <f t="shared" si="567"/>
        <v>0</v>
      </c>
      <c r="H2471" s="16">
        <f t="shared" si="568"/>
        <v>0</v>
      </c>
      <c r="I2471" s="63">
        <f>IF(E2471=0,0,Fixture!D475)</f>
        <v>0</v>
      </c>
      <c r="J2471" s="63">
        <f>IF(E2471=0,0,Fixture!F475)</f>
        <v>0</v>
      </c>
      <c r="K2471" s="63">
        <f t="shared" si="569"/>
        <v>0</v>
      </c>
      <c r="L2471" s="63">
        <f t="shared" si="570"/>
        <v>0</v>
      </c>
      <c r="N2471" s="10" t="str">
        <f t="shared" si="572"/>
        <v>00</v>
      </c>
      <c r="O2471" s="10">
        <f t="shared" si="573"/>
        <v>0</v>
      </c>
      <c r="P2471" s="10">
        <f t="shared" si="574"/>
        <v>0</v>
      </c>
      <c r="Q2471" s="10">
        <f t="shared" si="575"/>
        <v>0</v>
      </c>
    </row>
    <row r="2472" spans="1:17">
      <c r="A2472" s="15">
        <f t="shared" si="571"/>
        <v>0</v>
      </c>
      <c r="B2472" s="15"/>
      <c r="C2472" s="14">
        <f>Fixture!C476</f>
        <v>0</v>
      </c>
      <c r="D2472" s="15">
        <f>IF(E2472=0,0,IF(Fixture!D476&lt;Fixture!F476,0,IF(Fixture!F476&lt;Fixture!D476,3,1)))</f>
        <v>0</v>
      </c>
      <c r="E2472" s="16">
        <f>IF(OR(ISBLANK(Fixture!D476),ISBLANK(Fixture!F476),ISTEXT(Fixture!D476),ISTEXT(Fixture!F476)),0,1)</f>
        <v>0</v>
      </c>
      <c r="F2472" s="16">
        <f t="shared" si="566"/>
        <v>0</v>
      </c>
      <c r="G2472" s="16">
        <f t="shared" si="567"/>
        <v>0</v>
      </c>
      <c r="H2472" s="16">
        <f t="shared" si="568"/>
        <v>0</v>
      </c>
      <c r="I2472" s="63">
        <f>IF(E2472=0,0,Fixture!D476)</f>
        <v>0</v>
      </c>
      <c r="J2472" s="63">
        <f>IF(E2472=0,0,Fixture!F476)</f>
        <v>0</v>
      </c>
      <c r="K2472" s="63">
        <f t="shared" si="569"/>
        <v>0</v>
      </c>
      <c r="L2472" s="63">
        <f t="shared" si="570"/>
        <v>0</v>
      </c>
      <c r="N2472" s="10" t="str">
        <f t="shared" si="572"/>
        <v>00</v>
      </c>
      <c r="O2472" s="10">
        <f t="shared" si="573"/>
        <v>0</v>
      </c>
      <c r="P2472" s="10">
        <f t="shared" si="574"/>
        <v>0</v>
      </c>
      <c r="Q2472" s="10">
        <f t="shared" si="575"/>
        <v>0</v>
      </c>
    </row>
    <row r="2473" spans="1:17">
      <c r="A2473" s="15">
        <f t="shared" si="571"/>
        <v>0</v>
      </c>
      <c r="B2473" s="15"/>
      <c r="C2473" s="14">
        <f>Fixture!C477</f>
        <v>0</v>
      </c>
      <c r="D2473" s="15">
        <f>IF(E2473=0,0,IF(Fixture!D477&lt;Fixture!F477,0,IF(Fixture!F477&lt;Fixture!D477,3,1)))</f>
        <v>0</v>
      </c>
      <c r="E2473" s="16">
        <f>IF(OR(ISBLANK(Fixture!D477),ISBLANK(Fixture!F477),ISTEXT(Fixture!D477),ISTEXT(Fixture!F477)),0,1)</f>
        <v>0</v>
      </c>
      <c r="F2473" s="16">
        <f t="shared" si="566"/>
        <v>0</v>
      </c>
      <c r="G2473" s="16">
        <f t="shared" si="567"/>
        <v>0</v>
      </c>
      <c r="H2473" s="16">
        <f t="shared" si="568"/>
        <v>0</v>
      </c>
      <c r="I2473" s="63">
        <f>IF(E2473=0,0,Fixture!D477)</f>
        <v>0</v>
      </c>
      <c r="J2473" s="63">
        <f>IF(E2473=0,0,Fixture!F477)</f>
        <v>0</v>
      </c>
      <c r="K2473" s="63">
        <f t="shared" si="569"/>
        <v>0</v>
      </c>
      <c r="L2473" s="63">
        <f t="shared" si="570"/>
        <v>0</v>
      </c>
      <c r="N2473" s="10" t="str">
        <f t="shared" si="572"/>
        <v>00</v>
      </c>
      <c r="O2473" s="10">
        <f t="shared" si="573"/>
        <v>0</v>
      </c>
      <c r="P2473" s="10">
        <f t="shared" si="574"/>
        <v>0</v>
      </c>
      <c r="Q2473" s="10">
        <f t="shared" si="575"/>
        <v>0</v>
      </c>
    </row>
    <row r="2474" spans="1:17">
      <c r="A2474" s="15">
        <f t="shared" si="571"/>
        <v>0</v>
      </c>
      <c r="B2474" s="15"/>
      <c r="C2474" s="14">
        <f>Fixture!C478</f>
        <v>0</v>
      </c>
      <c r="D2474" s="15">
        <f>IF(E2474=0,0,IF(Fixture!D478&lt;Fixture!F478,0,IF(Fixture!F478&lt;Fixture!D478,3,1)))</f>
        <v>0</v>
      </c>
      <c r="E2474" s="16">
        <f>IF(OR(ISBLANK(Fixture!D478),ISBLANK(Fixture!F478),ISTEXT(Fixture!D478),ISTEXT(Fixture!F478)),0,1)</f>
        <v>0</v>
      </c>
      <c r="F2474" s="16">
        <f t="shared" si="566"/>
        <v>0</v>
      </c>
      <c r="G2474" s="16">
        <f t="shared" si="567"/>
        <v>0</v>
      </c>
      <c r="H2474" s="16">
        <f t="shared" si="568"/>
        <v>0</v>
      </c>
      <c r="I2474" s="63">
        <f>IF(E2474=0,0,Fixture!D478)</f>
        <v>0</v>
      </c>
      <c r="J2474" s="63">
        <f>IF(E2474=0,0,Fixture!F478)</f>
        <v>0</v>
      </c>
      <c r="K2474" s="63">
        <f t="shared" si="569"/>
        <v>0</v>
      </c>
      <c r="L2474" s="63">
        <f t="shared" si="570"/>
        <v>0</v>
      </c>
      <c r="N2474" s="10" t="str">
        <f t="shared" si="572"/>
        <v>00</v>
      </c>
      <c r="O2474" s="10">
        <f t="shared" si="573"/>
        <v>0</v>
      </c>
      <c r="P2474" s="10">
        <f t="shared" si="574"/>
        <v>0</v>
      </c>
      <c r="Q2474" s="10">
        <f t="shared" si="575"/>
        <v>0</v>
      </c>
    </row>
    <row r="2475" spans="1:17">
      <c r="A2475" s="15">
        <f t="shared" si="571"/>
        <v>0</v>
      </c>
      <c r="B2475" s="15"/>
      <c r="C2475" s="14">
        <f>Fixture!C479</f>
        <v>0</v>
      </c>
      <c r="D2475" s="15">
        <f>IF(E2475=0,0,IF(Fixture!D479&lt;Fixture!F479,0,IF(Fixture!F479&lt;Fixture!D479,3,1)))</f>
        <v>0</v>
      </c>
      <c r="E2475" s="16">
        <f>IF(OR(ISBLANK(Fixture!D479),ISBLANK(Fixture!F479),ISTEXT(Fixture!D479),ISTEXT(Fixture!F479)),0,1)</f>
        <v>0</v>
      </c>
      <c r="F2475" s="16">
        <f t="shared" si="566"/>
        <v>0</v>
      </c>
      <c r="G2475" s="16">
        <f t="shared" si="567"/>
        <v>0</v>
      </c>
      <c r="H2475" s="16">
        <f t="shared" si="568"/>
        <v>0</v>
      </c>
      <c r="I2475" s="63">
        <f>IF(E2475=0,0,Fixture!D479)</f>
        <v>0</v>
      </c>
      <c r="J2475" s="63">
        <f>IF(E2475=0,0,Fixture!F479)</f>
        <v>0</v>
      </c>
      <c r="K2475" s="63">
        <f t="shared" si="569"/>
        <v>0</v>
      </c>
      <c r="L2475" s="63">
        <f t="shared" si="570"/>
        <v>0</v>
      </c>
      <c r="N2475" s="10" t="str">
        <f t="shared" si="572"/>
        <v>00</v>
      </c>
      <c r="O2475" s="10">
        <f t="shared" si="573"/>
        <v>0</v>
      </c>
      <c r="P2475" s="10">
        <f t="shared" si="574"/>
        <v>0</v>
      </c>
      <c r="Q2475" s="10">
        <f t="shared" si="575"/>
        <v>0</v>
      </c>
    </row>
    <row r="2476" spans="1:17">
      <c r="A2476" s="15">
        <f t="shared" si="571"/>
        <v>0</v>
      </c>
      <c r="B2476" s="15"/>
      <c r="C2476" s="14">
        <f>Fixture!C480</f>
        <v>0</v>
      </c>
      <c r="D2476" s="15">
        <f>IF(E2476=0,0,IF(Fixture!D480&lt;Fixture!F480,0,IF(Fixture!F480&lt;Fixture!D480,3,1)))</f>
        <v>0</v>
      </c>
      <c r="E2476" s="16">
        <f>IF(OR(ISBLANK(Fixture!D480),ISBLANK(Fixture!F480),ISTEXT(Fixture!D480),ISTEXT(Fixture!F480)),0,1)</f>
        <v>0</v>
      </c>
      <c r="F2476" s="16">
        <f t="shared" si="566"/>
        <v>0</v>
      </c>
      <c r="G2476" s="16">
        <f t="shared" si="567"/>
        <v>0</v>
      </c>
      <c r="H2476" s="16">
        <f t="shared" si="568"/>
        <v>0</v>
      </c>
      <c r="I2476" s="63">
        <f>IF(E2476=0,0,Fixture!D480)</f>
        <v>0</v>
      </c>
      <c r="J2476" s="63">
        <f>IF(E2476=0,0,Fixture!F480)</f>
        <v>0</v>
      </c>
      <c r="K2476" s="63">
        <f t="shared" si="569"/>
        <v>0</v>
      </c>
      <c r="L2476" s="63">
        <f t="shared" si="570"/>
        <v>0</v>
      </c>
      <c r="N2476" s="10" t="str">
        <f t="shared" si="572"/>
        <v>00</v>
      </c>
      <c r="O2476" s="10">
        <f t="shared" si="573"/>
        <v>0</v>
      </c>
      <c r="P2476" s="10">
        <f t="shared" si="574"/>
        <v>0</v>
      </c>
      <c r="Q2476" s="10">
        <f t="shared" si="575"/>
        <v>0</v>
      </c>
    </row>
    <row r="2477" spans="1:17">
      <c r="A2477" s="15">
        <f t="shared" si="571"/>
        <v>0</v>
      </c>
      <c r="B2477" s="15"/>
      <c r="C2477" s="14">
        <f>Fixture!C481</f>
        <v>0</v>
      </c>
      <c r="D2477" s="15">
        <f>IF(E2477=0,0,IF(Fixture!D481&lt;Fixture!F481,0,IF(Fixture!F481&lt;Fixture!D481,3,1)))</f>
        <v>0</v>
      </c>
      <c r="E2477" s="16">
        <f>IF(OR(ISBLANK(Fixture!D481),ISBLANK(Fixture!F481),ISTEXT(Fixture!D481),ISTEXT(Fixture!F481)),0,1)</f>
        <v>0</v>
      </c>
      <c r="F2477" s="16">
        <f t="shared" si="566"/>
        <v>0</v>
      </c>
      <c r="G2477" s="16">
        <f t="shared" si="567"/>
        <v>0</v>
      </c>
      <c r="H2477" s="16">
        <f t="shared" si="568"/>
        <v>0</v>
      </c>
      <c r="I2477" s="63">
        <f>IF(E2477=0,0,Fixture!D481)</f>
        <v>0</v>
      </c>
      <c r="J2477" s="63">
        <f>IF(E2477=0,0,Fixture!F481)</f>
        <v>0</v>
      </c>
      <c r="K2477" s="63">
        <f t="shared" si="569"/>
        <v>0</v>
      </c>
      <c r="L2477" s="63">
        <f t="shared" si="570"/>
        <v>0</v>
      </c>
      <c r="N2477" s="10" t="str">
        <f t="shared" si="572"/>
        <v>00</v>
      </c>
      <c r="O2477" s="10">
        <f t="shared" si="573"/>
        <v>0</v>
      </c>
      <c r="P2477" s="10">
        <f t="shared" si="574"/>
        <v>0</v>
      </c>
      <c r="Q2477" s="10">
        <f t="shared" si="575"/>
        <v>0</v>
      </c>
    </row>
    <row r="2478" spans="1:17">
      <c r="A2478" s="15">
        <f t="shared" si="571"/>
        <v>0</v>
      </c>
      <c r="B2478" s="15"/>
      <c r="C2478" s="14">
        <f>Fixture!C482</f>
        <v>0</v>
      </c>
      <c r="D2478" s="15">
        <f>IF(E2478=0,0,IF(Fixture!D482&lt;Fixture!F482,0,IF(Fixture!F482&lt;Fixture!D482,3,1)))</f>
        <v>0</v>
      </c>
      <c r="E2478" s="16">
        <f>IF(OR(ISBLANK(Fixture!D482),ISBLANK(Fixture!F482),ISTEXT(Fixture!D482),ISTEXT(Fixture!F482)),0,1)</f>
        <v>0</v>
      </c>
      <c r="F2478" s="16">
        <f t="shared" si="566"/>
        <v>0</v>
      </c>
      <c r="G2478" s="16">
        <f t="shared" si="567"/>
        <v>0</v>
      </c>
      <c r="H2478" s="16">
        <f t="shared" si="568"/>
        <v>0</v>
      </c>
      <c r="I2478" s="63">
        <f>IF(E2478=0,0,Fixture!D482)</f>
        <v>0</v>
      </c>
      <c r="J2478" s="63">
        <f>IF(E2478=0,0,Fixture!F482)</f>
        <v>0</v>
      </c>
      <c r="K2478" s="63">
        <f t="shared" si="569"/>
        <v>0</v>
      </c>
      <c r="L2478" s="63">
        <f t="shared" si="570"/>
        <v>0</v>
      </c>
      <c r="N2478" s="10" t="str">
        <f t="shared" si="572"/>
        <v>00</v>
      </c>
      <c r="O2478" s="10">
        <f t="shared" si="573"/>
        <v>0</v>
      </c>
      <c r="P2478" s="10">
        <f t="shared" si="574"/>
        <v>0</v>
      </c>
      <c r="Q2478" s="10">
        <f t="shared" si="575"/>
        <v>0</v>
      </c>
    </row>
    <row r="2479" spans="1:17">
      <c r="A2479" s="15">
        <f t="shared" si="571"/>
        <v>0</v>
      </c>
      <c r="B2479" s="15"/>
      <c r="C2479" s="14">
        <f>Fixture!C483</f>
        <v>0</v>
      </c>
      <c r="D2479" s="15">
        <f>IF(E2479=0,0,IF(Fixture!D483&lt;Fixture!F483,0,IF(Fixture!F483&lt;Fixture!D483,3,1)))</f>
        <v>0</v>
      </c>
      <c r="E2479" s="16">
        <f>IF(OR(ISBLANK(Fixture!D483),ISBLANK(Fixture!F483),ISTEXT(Fixture!D483),ISTEXT(Fixture!F483)),0,1)</f>
        <v>0</v>
      </c>
      <c r="F2479" s="16">
        <f t="shared" si="566"/>
        <v>0</v>
      </c>
      <c r="G2479" s="16">
        <f t="shared" si="567"/>
        <v>0</v>
      </c>
      <c r="H2479" s="16">
        <f t="shared" si="568"/>
        <v>0</v>
      </c>
      <c r="I2479" s="63">
        <f>IF(E2479=0,0,Fixture!D483)</f>
        <v>0</v>
      </c>
      <c r="J2479" s="63">
        <f>IF(E2479=0,0,Fixture!F483)</f>
        <v>0</v>
      </c>
      <c r="K2479" s="63">
        <f t="shared" si="569"/>
        <v>0</v>
      </c>
      <c r="L2479" s="63">
        <f t="shared" si="570"/>
        <v>0</v>
      </c>
      <c r="N2479" s="10" t="str">
        <f t="shared" si="572"/>
        <v>00</v>
      </c>
      <c r="O2479" s="10">
        <f t="shared" si="573"/>
        <v>0</v>
      </c>
      <c r="P2479" s="10">
        <f t="shared" si="574"/>
        <v>0</v>
      </c>
      <c r="Q2479" s="10">
        <f t="shared" si="575"/>
        <v>0</v>
      </c>
    </row>
    <row r="2480" spans="1:17">
      <c r="A2480" s="15">
        <f t="shared" si="571"/>
        <v>0</v>
      </c>
      <c r="B2480" s="15"/>
      <c r="C2480" s="14">
        <f>Fixture!C484</f>
        <v>0</v>
      </c>
      <c r="D2480" s="15">
        <f>IF(E2480=0,0,IF(Fixture!D484&lt;Fixture!F484,0,IF(Fixture!F484&lt;Fixture!D484,3,1)))</f>
        <v>0</v>
      </c>
      <c r="E2480" s="16">
        <f>IF(OR(ISBLANK(Fixture!D484),ISBLANK(Fixture!F484),ISTEXT(Fixture!D484),ISTEXT(Fixture!F484)),0,1)</f>
        <v>0</v>
      </c>
      <c r="F2480" s="16">
        <f t="shared" si="566"/>
        <v>0</v>
      </c>
      <c r="G2480" s="16">
        <f t="shared" si="567"/>
        <v>0</v>
      </c>
      <c r="H2480" s="16">
        <f t="shared" si="568"/>
        <v>0</v>
      </c>
      <c r="I2480" s="63">
        <f>IF(E2480=0,0,Fixture!D484)</f>
        <v>0</v>
      </c>
      <c r="J2480" s="63">
        <f>IF(E2480=0,0,Fixture!F484)</f>
        <v>0</v>
      </c>
      <c r="K2480" s="63">
        <f t="shared" si="569"/>
        <v>0</v>
      </c>
      <c r="L2480" s="63">
        <f t="shared" si="570"/>
        <v>0</v>
      </c>
      <c r="N2480" s="10" t="str">
        <f t="shared" si="572"/>
        <v>00</v>
      </c>
      <c r="O2480" s="10">
        <f t="shared" si="573"/>
        <v>0</v>
      </c>
      <c r="P2480" s="10">
        <f t="shared" si="574"/>
        <v>0</v>
      </c>
      <c r="Q2480" s="10">
        <f t="shared" si="575"/>
        <v>0</v>
      </c>
    </row>
    <row r="2481" spans="1:17">
      <c r="A2481" s="15">
        <f t="shared" si="571"/>
        <v>0</v>
      </c>
      <c r="B2481" s="15"/>
      <c r="C2481" s="14">
        <f>Fixture!C485</f>
        <v>0</v>
      </c>
      <c r="D2481" s="15">
        <f>IF(E2481=0,0,IF(Fixture!D485&lt;Fixture!F485,0,IF(Fixture!F485&lt;Fixture!D485,3,1)))</f>
        <v>0</v>
      </c>
      <c r="E2481" s="16">
        <f>IF(OR(ISBLANK(Fixture!D485),ISBLANK(Fixture!F485),ISTEXT(Fixture!D485),ISTEXT(Fixture!F485)),0,1)</f>
        <v>0</v>
      </c>
      <c r="F2481" s="16">
        <f t="shared" si="566"/>
        <v>0</v>
      </c>
      <c r="G2481" s="16">
        <f t="shared" si="567"/>
        <v>0</v>
      </c>
      <c r="H2481" s="16">
        <f t="shared" si="568"/>
        <v>0</v>
      </c>
      <c r="I2481" s="63">
        <f>IF(E2481=0,0,Fixture!D485)</f>
        <v>0</v>
      </c>
      <c r="J2481" s="63">
        <f>IF(E2481=0,0,Fixture!F485)</f>
        <v>0</v>
      </c>
      <c r="K2481" s="63">
        <f t="shared" si="569"/>
        <v>0</v>
      </c>
      <c r="L2481" s="63">
        <f t="shared" si="570"/>
        <v>0</v>
      </c>
      <c r="N2481" s="10" t="str">
        <f t="shared" si="572"/>
        <v>00</v>
      </c>
      <c r="O2481" s="10">
        <f t="shared" si="573"/>
        <v>0</v>
      </c>
      <c r="P2481" s="10">
        <f t="shared" si="574"/>
        <v>0</v>
      </c>
      <c r="Q2481" s="10">
        <f t="shared" si="575"/>
        <v>0</v>
      </c>
    </row>
    <row r="2482" spans="1:17">
      <c r="A2482" s="15">
        <f t="shared" si="571"/>
        <v>0</v>
      </c>
      <c r="B2482" s="15"/>
      <c r="C2482" s="14">
        <f>Fixture!C486</f>
        <v>0</v>
      </c>
      <c r="D2482" s="15">
        <f>IF(E2482=0,0,IF(Fixture!D486&lt;Fixture!F486,0,IF(Fixture!F486&lt;Fixture!D486,3,1)))</f>
        <v>0</v>
      </c>
      <c r="E2482" s="16">
        <f>IF(OR(ISBLANK(Fixture!D486),ISBLANK(Fixture!F486),ISTEXT(Fixture!D486),ISTEXT(Fixture!F486)),0,1)</f>
        <v>0</v>
      </c>
      <c r="F2482" s="16">
        <f t="shared" si="566"/>
        <v>0</v>
      </c>
      <c r="G2482" s="16">
        <f t="shared" si="567"/>
        <v>0</v>
      </c>
      <c r="H2482" s="16">
        <f t="shared" si="568"/>
        <v>0</v>
      </c>
      <c r="I2482" s="63">
        <f>IF(E2482=0,0,Fixture!D486)</f>
        <v>0</v>
      </c>
      <c r="J2482" s="63">
        <f>IF(E2482=0,0,Fixture!F486)</f>
        <v>0</v>
      </c>
      <c r="K2482" s="63">
        <f t="shared" si="569"/>
        <v>0</v>
      </c>
      <c r="L2482" s="63">
        <f t="shared" si="570"/>
        <v>0</v>
      </c>
      <c r="N2482" s="10" t="str">
        <f t="shared" si="572"/>
        <v>00</v>
      </c>
      <c r="O2482" s="10">
        <f t="shared" si="573"/>
        <v>0</v>
      </c>
      <c r="P2482" s="10">
        <f t="shared" si="574"/>
        <v>0</v>
      </c>
      <c r="Q2482" s="10">
        <f t="shared" si="575"/>
        <v>0</v>
      </c>
    </row>
    <row r="2483" spans="1:17">
      <c r="A2483" s="15">
        <f t="shared" si="571"/>
        <v>0</v>
      </c>
      <c r="B2483" s="15"/>
      <c r="C2483" s="14">
        <f>Fixture!C487</f>
        <v>0</v>
      </c>
      <c r="D2483" s="15">
        <f>IF(E2483=0,0,IF(Fixture!D487&lt;Fixture!F487,0,IF(Fixture!F487&lt;Fixture!D487,3,1)))</f>
        <v>0</v>
      </c>
      <c r="E2483" s="16">
        <f>IF(OR(ISBLANK(Fixture!D487),ISBLANK(Fixture!F487),ISTEXT(Fixture!D487),ISTEXT(Fixture!F487)),0,1)</f>
        <v>0</v>
      </c>
      <c r="F2483" s="16">
        <f t="shared" si="566"/>
        <v>0</v>
      </c>
      <c r="G2483" s="16">
        <f t="shared" si="567"/>
        <v>0</v>
      </c>
      <c r="H2483" s="16">
        <f t="shared" si="568"/>
        <v>0</v>
      </c>
      <c r="I2483" s="63">
        <f>IF(E2483=0,0,Fixture!D487)</f>
        <v>0</v>
      </c>
      <c r="J2483" s="63">
        <f>IF(E2483=0,0,Fixture!F487)</f>
        <v>0</v>
      </c>
      <c r="K2483" s="63">
        <f t="shared" si="569"/>
        <v>0</v>
      </c>
      <c r="L2483" s="63">
        <f t="shared" si="570"/>
        <v>0</v>
      </c>
      <c r="N2483" s="10" t="str">
        <f t="shared" si="572"/>
        <v>00</v>
      </c>
      <c r="O2483" s="10">
        <f t="shared" si="573"/>
        <v>0</v>
      </c>
      <c r="P2483" s="10">
        <f t="shared" si="574"/>
        <v>0</v>
      </c>
      <c r="Q2483" s="10">
        <f t="shared" si="575"/>
        <v>0</v>
      </c>
    </row>
    <row r="2484" spans="1:17">
      <c r="A2484" s="15">
        <f t="shared" si="571"/>
        <v>0</v>
      </c>
      <c r="B2484" s="15"/>
      <c r="C2484" s="14">
        <f>Fixture!C488</f>
        <v>0</v>
      </c>
      <c r="D2484" s="15">
        <f>IF(E2484=0,0,IF(Fixture!D488&lt;Fixture!F488,0,IF(Fixture!F488&lt;Fixture!D488,3,1)))</f>
        <v>0</v>
      </c>
      <c r="E2484" s="16">
        <f>IF(OR(ISBLANK(Fixture!D488),ISBLANK(Fixture!F488),ISTEXT(Fixture!D488),ISTEXT(Fixture!F488)),0,1)</f>
        <v>0</v>
      </c>
      <c r="F2484" s="16">
        <f t="shared" si="566"/>
        <v>0</v>
      </c>
      <c r="G2484" s="16">
        <f t="shared" si="567"/>
        <v>0</v>
      </c>
      <c r="H2484" s="16">
        <f t="shared" si="568"/>
        <v>0</v>
      </c>
      <c r="I2484" s="63">
        <f>IF(E2484=0,0,Fixture!D488)</f>
        <v>0</v>
      </c>
      <c r="J2484" s="63">
        <f>IF(E2484=0,0,Fixture!F488)</f>
        <v>0</v>
      </c>
      <c r="K2484" s="63">
        <f t="shared" si="569"/>
        <v>0</v>
      </c>
      <c r="L2484" s="63">
        <f t="shared" si="570"/>
        <v>0</v>
      </c>
      <c r="N2484" s="10" t="str">
        <f t="shared" si="572"/>
        <v>00</v>
      </c>
      <c r="O2484" s="10">
        <f t="shared" si="573"/>
        <v>0</v>
      </c>
      <c r="P2484" s="10">
        <f t="shared" si="574"/>
        <v>0</v>
      </c>
      <c r="Q2484" s="10">
        <f t="shared" si="575"/>
        <v>0</v>
      </c>
    </row>
    <row r="2485" spans="1:17">
      <c r="A2485" s="15">
        <f t="shared" si="571"/>
        <v>0</v>
      </c>
      <c r="B2485" s="15"/>
      <c r="C2485" s="14">
        <f>Fixture!C489</f>
        <v>0</v>
      </c>
      <c r="D2485" s="15">
        <f>IF(E2485=0,0,IF(Fixture!D489&lt;Fixture!F489,0,IF(Fixture!F489&lt;Fixture!D489,3,1)))</f>
        <v>0</v>
      </c>
      <c r="E2485" s="16">
        <f>IF(OR(ISBLANK(Fixture!D489),ISBLANK(Fixture!F489),ISTEXT(Fixture!D489),ISTEXT(Fixture!F489)),0,1)</f>
        <v>0</v>
      </c>
      <c r="F2485" s="16">
        <f t="shared" si="566"/>
        <v>0</v>
      </c>
      <c r="G2485" s="16">
        <f t="shared" si="567"/>
        <v>0</v>
      </c>
      <c r="H2485" s="16">
        <f t="shared" si="568"/>
        <v>0</v>
      </c>
      <c r="I2485" s="63">
        <f>IF(E2485=0,0,Fixture!D489)</f>
        <v>0</v>
      </c>
      <c r="J2485" s="63">
        <f>IF(E2485=0,0,Fixture!F489)</f>
        <v>0</v>
      </c>
      <c r="K2485" s="63">
        <f t="shared" si="569"/>
        <v>0</v>
      </c>
      <c r="L2485" s="63">
        <f t="shared" si="570"/>
        <v>0</v>
      </c>
      <c r="N2485" s="10" t="str">
        <f t="shared" si="572"/>
        <v>00</v>
      </c>
      <c r="O2485" s="10">
        <f t="shared" si="573"/>
        <v>0</v>
      </c>
      <c r="P2485" s="10">
        <f t="shared" si="574"/>
        <v>0</v>
      </c>
      <c r="Q2485" s="10">
        <f t="shared" si="575"/>
        <v>0</v>
      </c>
    </row>
    <row r="2486" spans="1:17">
      <c r="A2486" s="15">
        <f t="shared" si="571"/>
        <v>0</v>
      </c>
      <c r="B2486" s="15"/>
      <c r="C2486" s="14">
        <f>Fixture!C490</f>
        <v>0</v>
      </c>
      <c r="D2486" s="15">
        <f>IF(E2486=0,0,IF(Fixture!D490&lt;Fixture!F490,0,IF(Fixture!F490&lt;Fixture!D490,3,1)))</f>
        <v>0</v>
      </c>
      <c r="E2486" s="16">
        <f>IF(OR(ISBLANK(Fixture!D490),ISBLANK(Fixture!F490),ISTEXT(Fixture!D490),ISTEXT(Fixture!F490)),0,1)</f>
        <v>0</v>
      </c>
      <c r="F2486" s="16">
        <f t="shared" si="566"/>
        <v>0</v>
      </c>
      <c r="G2486" s="16">
        <f t="shared" si="567"/>
        <v>0</v>
      </c>
      <c r="H2486" s="16">
        <f t="shared" si="568"/>
        <v>0</v>
      </c>
      <c r="I2486" s="63">
        <f>IF(E2486=0,0,Fixture!D490)</f>
        <v>0</v>
      </c>
      <c r="J2486" s="63">
        <f>IF(E2486=0,0,Fixture!F490)</f>
        <v>0</v>
      </c>
      <c r="K2486" s="63">
        <f t="shared" si="569"/>
        <v>0</v>
      </c>
      <c r="L2486" s="63">
        <f t="shared" si="570"/>
        <v>0</v>
      </c>
      <c r="N2486" s="10" t="str">
        <f t="shared" si="572"/>
        <v>00</v>
      </c>
      <c r="O2486" s="10">
        <f t="shared" si="573"/>
        <v>0</v>
      </c>
      <c r="P2486" s="10">
        <f t="shared" si="574"/>
        <v>0</v>
      </c>
      <c r="Q2486" s="10">
        <f t="shared" si="575"/>
        <v>0</v>
      </c>
    </row>
    <row r="2487" spans="1:17">
      <c r="A2487" s="15">
        <f t="shared" si="571"/>
        <v>0</v>
      </c>
      <c r="B2487" s="15"/>
      <c r="C2487" s="14">
        <f>Fixture!C491</f>
        <v>0</v>
      </c>
      <c r="D2487" s="15">
        <f>IF(E2487=0,0,IF(Fixture!D491&lt;Fixture!F491,0,IF(Fixture!F491&lt;Fixture!D491,3,1)))</f>
        <v>0</v>
      </c>
      <c r="E2487" s="16">
        <f>IF(OR(ISBLANK(Fixture!D491),ISBLANK(Fixture!F491),ISTEXT(Fixture!D491),ISTEXT(Fixture!F491)),0,1)</f>
        <v>0</v>
      </c>
      <c r="F2487" s="16">
        <f t="shared" si="566"/>
        <v>0</v>
      </c>
      <c r="G2487" s="16">
        <f t="shared" si="567"/>
        <v>0</v>
      </c>
      <c r="H2487" s="16">
        <f t="shared" si="568"/>
        <v>0</v>
      </c>
      <c r="I2487" s="63">
        <f>IF(E2487=0,0,Fixture!D491)</f>
        <v>0</v>
      </c>
      <c r="J2487" s="63">
        <f>IF(E2487=0,0,Fixture!F491)</f>
        <v>0</v>
      </c>
      <c r="K2487" s="63">
        <f t="shared" si="569"/>
        <v>0</v>
      </c>
      <c r="L2487" s="63">
        <f t="shared" si="570"/>
        <v>0</v>
      </c>
      <c r="N2487" s="10" t="str">
        <f t="shared" si="572"/>
        <v>00</v>
      </c>
      <c r="O2487" s="10">
        <f t="shared" si="573"/>
        <v>0</v>
      </c>
      <c r="P2487" s="10">
        <f t="shared" si="574"/>
        <v>0</v>
      </c>
      <c r="Q2487" s="10">
        <f t="shared" si="575"/>
        <v>0</v>
      </c>
    </row>
    <row r="2488" spans="1:17">
      <c r="A2488" s="15">
        <f t="shared" si="571"/>
        <v>0</v>
      </c>
      <c r="B2488" s="15"/>
      <c r="C2488" s="14">
        <f>Fixture!C492</f>
        <v>0</v>
      </c>
      <c r="D2488" s="15">
        <f>IF(E2488=0,0,IF(Fixture!D492&lt;Fixture!F492,0,IF(Fixture!F492&lt;Fixture!D492,3,1)))</f>
        <v>0</v>
      </c>
      <c r="E2488" s="16">
        <f>IF(OR(ISBLANK(Fixture!D492),ISBLANK(Fixture!F492),ISTEXT(Fixture!D492),ISTEXT(Fixture!F492)),0,1)</f>
        <v>0</v>
      </c>
      <c r="F2488" s="16">
        <f t="shared" si="566"/>
        <v>0</v>
      </c>
      <c r="G2488" s="16">
        <f t="shared" si="567"/>
        <v>0</v>
      </c>
      <c r="H2488" s="16">
        <f t="shared" si="568"/>
        <v>0</v>
      </c>
      <c r="I2488" s="63">
        <f>IF(E2488=0,0,Fixture!D492)</f>
        <v>0</v>
      </c>
      <c r="J2488" s="63">
        <f>IF(E2488=0,0,Fixture!F492)</f>
        <v>0</v>
      </c>
      <c r="K2488" s="63">
        <f t="shared" si="569"/>
        <v>0</v>
      </c>
      <c r="L2488" s="63">
        <f t="shared" si="570"/>
        <v>0</v>
      </c>
      <c r="N2488" s="10" t="str">
        <f t="shared" si="572"/>
        <v>00</v>
      </c>
      <c r="O2488" s="10">
        <f t="shared" si="573"/>
        <v>0</v>
      </c>
      <c r="P2488" s="10">
        <f t="shared" si="574"/>
        <v>0</v>
      </c>
      <c r="Q2488" s="10">
        <f t="shared" si="575"/>
        <v>0</v>
      </c>
    </row>
    <row r="2489" spans="1:17">
      <c r="A2489" s="15">
        <f t="shared" si="571"/>
        <v>0</v>
      </c>
      <c r="B2489" s="15"/>
      <c r="C2489" s="14">
        <f>Fixture!C493</f>
        <v>0</v>
      </c>
      <c r="D2489" s="15">
        <f>IF(E2489=0,0,IF(Fixture!D493&lt;Fixture!F493,0,IF(Fixture!F493&lt;Fixture!D493,3,1)))</f>
        <v>0</v>
      </c>
      <c r="E2489" s="16">
        <f>IF(OR(ISBLANK(Fixture!D493),ISBLANK(Fixture!F493),ISTEXT(Fixture!D493),ISTEXT(Fixture!F493)),0,1)</f>
        <v>0</v>
      </c>
      <c r="F2489" s="16">
        <f t="shared" si="566"/>
        <v>0</v>
      </c>
      <c r="G2489" s="16">
        <f t="shared" si="567"/>
        <v>0</v>
      </c>
      <c r="H2489" s="16">
        <f t="shared" si="568"/>
        <v>0</v>
      </c>
      <c r="I2489" s="63">
        <f>IF(E2489=0,0,Fixture!D493)</f>
        <v>0</v>
      </c>
      <c r="J2489" s="63">
        <f>IF(E2489=0,0,Fixture!F493)</f>
        <v>0</v>
      </c>
      <c r="K2489" s="63">
        <f t="shared" si="569"/>
        <v>0</v>
      </c>
      <c r="L2489" s="63">
        <f t="shared" si="570"/>
        <v>0</v>
      </c>
      <c r="N2489" s="10" t="str">
        <f t="shared" si="572"/>
        <v>00</v>
      </c>
      <c r="O2489" s="10">
        <f t="shared" si="573"/>
        <v>0</v>
      </c>
      <c r="P2489" s="10">
        <f t="shared" si="574"/>
        <v>0</v>
      </c>
      <c r="Q2489" s="10">
        <f t="shared" si="575"/>
        <v>0</v>
      </c>
    </row>
    <row r="2490" spans="1:17">
      <c r="A2490" s="15">
        <f t="shared" si="571"/>
        <v>0</v>
      </c>
      <c r="B2490" s="15"/>
      <c r="C2490" s="14">
        <f>Fixture!C494</f>
        <v>0</v>
      </c>
      <c r="D2490" s="15">
        <f>IF(E2490=0,0,IF(Fixture!D494&lt;Fixture!F494,0,IF(Fixture!F494&lt;Fixture!D494,3,1)))</f>
        <v>0</v>
      </c>
      <c r="E2490" s="16">
        <f>IF(OR(ISBLANK(Fixture!D494),ISBLANK(Fixture!F494),ISTEXT(Fixture!D494),ISTEXT(Fixture!F494)),0,1)</f>
        <v>0</v>
      </c>
      <c r="F2490" s="16">
        <f t="shared" si="566"/>
        <v>0</v>
      </c>
      <c r="G2490" s="16">
        <f t="shared" si="567"/>
        <v>0</v>
      </c>
      <c r="H2490" s="16">
        <f t="shared" si="568"/>
        <v>0</v>
      </c>
      <c r="I2490" s="63">
        <f>IF(E2490=0,0,Fixture!D494)</f>
        <v>0</v>
      </c>
      <c r="J2490" s="63">
        <f>IF(E2490=0,0,Fixture!F494)</f>
        <v>0</v>
      </c>
      <c r="K2490" s="63">
        <f t="shared" si="569"/>
        <v>0</v>
      </c>
      <c r="L2490" s="63">
        <f t="shared" si="570"/>
        <v>0</v>
      </c>
      <c r="N2490" s="10" t="str">
        <f t="shared" si="572"/>
        <v>00</v>
      </c>
      <c r="O2490" s="10">
        <f t="shared" si="573"/>
        <v>0</v>
      </c>
      <c r="P2490" s="10">
        <f t="shared" si="574"/>
        <v>0</v>
      </c>
      <c r="Q2490" s="10">
        <f t="shared" si="575"/>
        <v>0</v>
      </c>
    </row>
    <row r="2491" spans="1:17">
      <c r="A2491" s="15">
        <f t="shared" si="571"/>
        <v>0</v>
      </c>
      <c r="B2491" s="15"/>
      <c r="C2491" s="14">
        <f>Fixture!C495</f>
        <v>0</v>
      </c>
      <c r="D2491" s="15">
        <f>IF(E2491=0,0,IF(Fixture!D495&lt;Fixture!F495,0,IF(Fixture!F495&lt;Fixture!D495,3,1)))</f>
        <v>0</v>
      </c>
      <c r="E2491" s="16">
        <f>IF(OR(ISBLANK(Fixture!D495),ISBLANK(Fixture!F495),ISTEXT(Fixture!D495),ISTEXT(Fixture!F495)),0,1)</f>
        <v>0</v>
      </c>
      <c r="F2491" s="16">
        <f t="shared" si="566"/>
        <v>0</v>
      </c>
      <c r="G2491" s="16">
        <f t="shared" si="567"/>
        <v>0</v>
      </c>
      <c r="H2491" s="16">
        <f t="shared" si="568"/>
        <v>0</v>
      </c>
      <c r="I2491" s="63">
        <f>IF(E2491=0,0,Fixture!D495)</f>
        <v>0</v>
      </c>
      <c r="J2491" s="63">
        <f>IF(E2491=0,0,Fixture!F495)</f>
        <v>0</v>
      </c>
      <c r="K2491" s="63">
        <f t="shared" si="569"/>
        <v>0</v>
      </c>
      <c r="L2491" s="63">
        <f t="shared" si="570"/>
        <v>0</v>
      </c>
      <c r="N2491" s="10" t="str">
        <f t="shared" si="572"/>
        <v>00</v>
      </c>
      <c r="O2491" s="10">
        <f t="shared" si="573"/>
        <v>0</v>
      </c>
      <c r="P2491" s="10">
        <f t="shared" si="574"/>
        <v>0</v>
      </c>
      <c r="Q2491" s="10">
        <f t="shared" si="575"/>
        <v>0</v>
      </c>
    </row>
    <row r="2492" spans="1:17">
      <c r="A2492" s="15">
        <f t="shared" si="571"/>
        <v>0</v>
      </c>
      <c r="B2492" s="15"/>
      <c r="C2492" s="14">
        <f>Fixture!C496</f>
        <v>0</v>
      </c>
      <c r="D2492" s="15">
        <f>IF(E2492=0,0,IF(Fixture!D496&lt;Fixture!F496,0,IF(Fixture!F496&lt;Fixture!D496,3,1)))</f>
        <v>0</v>
      </c>
      <c r="E2492" s="16">
        <f>IF(OR(ISBLANK(Fixture!D496),ISBLANK(Fixture!F496),ISTEXT(Fixture!D496),ISTEXT(Fixture!F496)),0,1)</f>
        <v>0</v>
      </c>
      <c r="F2492" s="16">
        <f t="shared" si="566"/>
        <v>0</v>
      </c>
      <c r="G2492" s="16">
        <f t="shared" si="567"/>
        <v>0</v>
      </c>
      <c r="H2492" s="16">
        <f t="shared" si="568"/>
        <v>0</v>
      </c>
      <c r="I2492" s="63">
        <f>IF(E2492=0,0,Fixture!D496)</f>
        <v>0</v>
      </c>
      <c r="J2492" s="63">
        <f>IF(E2492=0,0,Fixture!F496)</f>
        <v>0</v>
      </c>
      <c r="K2492" s="63">
        <f t="shared" si="569"/>
        <v>0</v>
      </c>
      <c r="L2492" s="63">
        <f t="shared" si="570"/>
        <v>0</v>
      </c>
      <c r="N2492" s="10" t="str">
        <f t="shared" si="572"/>
        <v>00</v>
      </c>
      <c r="O2492" s="10">
        <f t="shared" si="573"/>
        <v>0</v>
      </c>
      <c r="P2492" s="10">
        <f t="shared" si="574"/>
        <v>0</v>
      </c>
      <c r="Q2492" s="10">
        <f t="shared" si="575"/>
        <v>0</v>
      </c>
    </row>
    <row r="2493" spans="1:17">
      <c r="A2493" s="15">
        <f t="shared" si="571"/>
        <v>0</v>
      </c>
      <c r="B2493" s="15"/>
      <c r="C2493" s="14">
        <f>Fixture!C497</f>
        <v>0</v>
      </c>
      <c r="D2493" s="15">
        <f>IF(E2493=0,0,IF(Fixture!D497&lt;Fixture!F497,0,IF(Fixture!F497&lt;Fixture!D497,3,1)))</f>
        <v>0</v>
      </c>
      <c r="E2493" s="16">
        <f>IF(OR(ISBLANK(Fixture!D497),ISBLANK(Fixture!F497),ISTEXT(Fixture!D497),ISTEXT(Fixture!F497)),0,1)</f>
        <v>0</v>
      </c>
      <c r="F2493" s="16">
        <f t="shared" si="566"/>
        <v>0</v>
      </c>
      <c r="G2493" s="16">
        <f t="shared" si="567"/>
        <v>0</v>
      </c>
      <c r="H2493" s="16">
        <f t="shared" si="568"/>
        <v>0</v>
      </c>
      <c r="I2493" s="63">
        <f>IF(E2493=0,0,Fixture!D497)</f>
        <v>0</v>
      </c>
      <c r="J2493" s="63">
        <f>IF(E2493=0,0,Fixture!F497)</f>
        <v>0</v>
      </c>
      <c r="K2493" s="63">
        <f t="shared" si="569"/>
        <v>0</v>
      </c>
      <c r="L2493" s="63">
        <f t="shared" si="570"/>
        <v>0</v>
      </c>
      <c r="N2493" s="10" t="str">
        <f t="shared" si="572"/>
        <v>00</v>
      </c>
      <c r="O2493" s="10">
        <f t="shared" si="573"/>
        <v>0</v>
      </c>
      <c r="P2493" s="10">
        <f t="shared" si="574"/>
        <v>0</v>
      </c>
      <c r="Q2493" s="10">
        <f t="shared" si="575"/>
        <v>0</v>
      </c>
    </row>
    <row r="2494" spans="1:17">
      <c r="A2494" s="15">
        <f t="shared" si="571"/>
        <v>0</v>
      </c>
      <c r="B2494" s="15"/>
      <c r="C2494" s="14">
        <f>Fixture!C498</f>
        <v>0</v>
      </c>
      <c r="D2494" s="15">
        <f>IF(E2494=0,0,IF(Fixture!D498&lt;Fixture!F498,0,IF(Fixture!F498&lt;Fixture!D498,3,1)))</f>
        <v>0</v>
      </c>
      <c r="E2494" s="16">
        <f>IF(OR(ISBLANK(Fixture!D498),ISBLANK(Fixture!F498),ISTEXT(Fixture!D498),ISTEXT(Fixture!F498)),0,1)</f>
        <v>0</v>
      </c>
      <c r="F2494" s="16">
        <f t="shared" si="566"/>
        <v>0</v>
      </c>
      <c r="G2494" s="16">
        <f t="shared" si="567"/>
        <v>0</v>
      </c>
      <c r="H2494" s="16">
        <f t="shared" si="568"/>
        <v>0</v>
      </c>
      <c r="I2494" s="63">
        <f>IF(E2494=0,0,Fixture!D498)</f>
        <v>0</v>
      </c>
      <c r="J2494" s="63">
        <f>IF(E2494=0,0,Fixture!F498)</f>
        <v>0</v>
      </c>
      <c r="K2494" s="63">
        <f t="shared" si="569"/>
        <v>0</v>
      </c>
      <c r="L2494" s="63">
        <f t="shared" si="570"/>
        <v>0</v>
      </c>
      <c r="N2494" s="10" t="str">
        <f t="shared" si="572"/>
        <v>00</v>
      </c>
      <c r="O2494" s="10">
        <f t="shared" si="573"/>
        <v>0</v>
      </c>
      <c r="P2494" s="10">
        <f t="shared" si="574"/>
        <v>0</v>
      </c>
      <c r="Q2494" s="10">
        <f t="shared" si="575"/>
        <v>0</v>
      </c>
    </row>
    <row r="2495" spans="1:17">
      <c r="A2495" s="15">
        <f t="shared" si="571"/>
        <v>0</v>
      </c>
      <c r="B2495" s="15"/>
      <c r="C2495" s="14">
        <f>Fixture!C499</f>
        <v>0</v>
      </c>
      <c r="D2495" s="15">
        <f>IF(E2495=0,0,IF(Fixture!D499&lt;Fixture!F499,0,IF(Fixture!F499&lt;Fixture!D499,3,1)))</f>
        <v>0</v>
      </c>
      <c r="E2495" s="16">
        <f>IF(OR(ISBLANK(Fixture!D499),ISBLANK(Fixture!F499),ISTEXT(Fixture!D499),ISTEXT(Fixture!F499)),0,1)</f>
        <v>0</v>
      </c>
      <c r="F2495" s="16">
        <f t="shared" si="566"/>
        <v>0</v>
      </c>
      <c r="G2495" s="16">
        <f t="shared" si="567"/>
        <v>0</v>
      </c>
      <c r="H2495" s="16">
        <f t="shared" si="568"/>
        <v>0</v>
      </c>
      <c r="I2495" s="63">
        <f>IF(E2495=0,0,Fixture!D499)</f>
        <v>0</v>
      </c>
      <c r="J2495" s="63">
        <f>IF(E2495=0,0,Fixture!F499)</f>
        <v>0</v>
      </c>
      <c r="K2495" s="63">
        <f t="shared" si="569"/>
        <v>0</v>
      </c>
      <c r="L2495" s="63">
        <f t="shared" si="570"/>
        <v>0</v>
      </c>
      <c r="N2495" s="10" t="str">
        <f t="shared" si="572"/>
        <v>00</v>
      </c>
      <c r="O2495" s="10">
        <f t="shared" si="573"/>
        <v>0</v>
      </c>
      <c r="P2495" s="10">
        <f t="shared" si="574"/>
        <v>0</v>
      </c>
      <c r="Q2495" s="10">
        <f t="shared" si="575"/>
        <v>0</v>
      </c>
    </row>
    <row r="2496" spans="1:17">
      <c r="A2496" s="15">
        <f t="shared" si="571"/>
        <v>0</v>
      </c>
      <c r="B2496" s="15"/>
      <c r="C2496" s="14">
        <f>Fixture!C500</f>
        <v>0</v>
      </c>
      <c r="D2496" s="15">
        <f>IF(E2496=0,0,IF(Fixture!D500&lt;Fixture!F500,0,IF(Fixture!F500&lt;Fixture!D500,3,1)))</f>
        <v>0</v>
      </c>
      <c r="E2496" s="16">
        <f>IF(OR(ISBLANK(Fixture!D500),ISBLANK(Fixture!F500),ISTEXT(Fixture!D500),ISTEXT(Fixture!F500)),0,1)</f>
        <v>0</v>
      </c>
      <c r="F2496" s="16">
        <f t="shared" si="566"/>
        <v>0</v>
      </c>
      <c r="G2496" s="16">
        <f t="shared" si="567"/>
        <v>0</v>
      </c>
      <c r="H2496" s="16">
        <f t="shared" si="568"/>
        <v>0</v>
      </c>
      <c r="I2496" s="63">
        <f>IF(E2496=0,0,Fixture!D500)</f>
        <v>0</v>
      </c>
      <c r="J2496" s="63">
        <f>IF(E2496=0,0,Fixture!F500)</f>
        <v>0</v>
      </c>
      <c r="K2496" s="63">
        <f t="shared" si="569"/>
        <v>0</v>
      </c>
      <c r="L2496" s="63">
        <f t="shared" si="570"/>
        <v>0</v>
      </c>
      <c r="N2496" s="10" t="str">
        <f t="shared" si="572"/>
        <v>00</v>
      </c>
      <c r="O2496" s="10">
        <f t="shared" si="573"/>
        <v>0</v>
      </c>
      <c r="P2496" s="10">
        <f t="shared" si="574"/>
        <v>0</v>
      </c>
      <c r="Q2496" s="10">
        <f t="shared" si="575"/>
        <v>0</v>
      </c>
    </row>
    <row r="2497" spans="1:17">
      <c r="A2497" s="15">
        <f t="shared" si="571"/>
        <v>0</v>
      </c>
      <c r="B2497" s="15"/>
      <c r="C2497" s="14">
        <f>Fixture!C501</f>
        <v>0</v>
      </c>
      <c r="D2497" s="15">
        <f>IF(E2497=0,0,IF(Fixture!D501&lt;Fixture!F501,0,IF(Fixture!F501&lt;Fixture!D501,3,1)))</f>
        <v>0</v>
      </c>
      <c r="E2497" s="16">
        <f>IF(OR(ISBLANK(Fixture!D501),ISBLANK(Fixture!F501),ISTEXT(Fixture!D501),ISTEXT(Fixture!F501)),0,1)</f>
        <v>0</v>
      </c>
      <c r="F2497" s="16">
        <f t="shared" si="566"/>
        <v>0</v>
      </c>
      <c r="G2497" s="16">
        <f t="shared" si="567"/>
        <v>0</v>
      </c>
      <c r="H2497" s="16">
        <f t="shared" si="568"/>
        <v>0</v>
      </c>
      <c r="I2497" s="63">
        <f>IF(E2497=0,0,Fixture!D501)</f>
        <v>0</v>
      </c>
      <c r="J2497" s="63">
        <f>IF(E2497=0,0,Fixture!F501)</f>
        <v>0</v>
      </c>
      <c r="K2497" s="63">
        <f t="shared" si="569"/>
        <v>0</v>
      </c>
      <c r="L2497" s="63">
        <f t="shared" si="570"/>
        <v>0</v>
      </c>
      <c r="N2497" s="10" t="str">
        <f t="shared" si="572"/>
        <v>00</v>
      </c>
      <c r="O2497" s="10">
        <f t="shared" si="573"/>
        <v>0</v>
      </c>
      <c r="P2497" s="10">
        <f t="shared" si="574"/>
        <v>0</v>
      </c>
      <c r="Q2497" s="10">
        <f t="shared" si="575"/>
        <v>0</v>
      </c>
    </row>
    <row r="2498" spans="1:17">
      <c r="A2498" s="15">
        <f t="shared" si="571"/>
        <v>0</v>
      </c>
      <c r="B2498" s="15"/>
      <c r="C2498" s="14">
        <f>Fixture!C502</f>
        <v>0</v>
      </c>
      <c r="D2498" s="15">
        <f>IF(E2498=0,0,IF(Fixture!D502&lt;Fixture!F502,0,IF(Fixture!F502&lt;Fixture!D502,3,1)))</f>
        <v>0</v>
      </c>
      <c r="E2498" s="16">
        <f>IF(OR(ISBLANK(Fixture!D502),ISBLANK(Fixture!F502),ISTEXT(Fixture!D502),ISTEXT(Fixture!F502)),0,1)</f>
        <v>0</v>
      </c>
      <c r="F2498" s="16">
        <f t="shared" si="566"/>
        <v>0</v>
      </c>
      <c r="G2498" s="16">
        <f t="shared" si="567"/>
        <v>0</v>
      </c>
      <c r="H2498" s="16">
        <f t="shared" si="568"/>
        <v>0</v>
      </c>
      <c r="I2498" s="63">
        <f>IF(E2498=0,0,Fixture!D502)</f>
        <v>0</v>
      </c>
      <c r="J2498" s="63">
        <f>IF(E2498=0,0,Fixture!F502)</f>
        <v>0</v>
      </c>
      <c r="K2498" s="63">
        <f t="shared" si="569"/>
        <v>0</v>
      </c>
      <c r="L2498" s="63">
        <f t="shared" si="570"/>
        <v>0</v>
      </c>
      <c r="N2498" s="10" t="str">
        <f t="shared" si="572"/>
        <v>00</v>
      </c>
      <c r="O2498" s="10">
        <f t="shared" si="573"/>
        <v>0</v>
      </c>
      <c r="P2498" s="10">
        <f t="shared" si="574"/>
        <v>0</v>
      </c>
      <c r="Q2498" s="10">
        <f t="shared" si="575"/>
        <v>0</v>
      </c>
    </row>
    <row r="2499" spans="1:17">
      <c r="A2499" s="15">
        <f t="shared" si="571"/>
        <v>0</v>
      </c>
      <c r="B2499" s="15"/>
      <c r="C2499" s="14">
        <f>Fixture!C503</f>
        <v>0</v>
      </c>
      <c r="D2499" s="15">
        <f>IF(E2499=0,0,IF(Fixture!D503&lt;Fixture!F503,0,IF(Fixture!F503&lt;Fixture!D503,3,1)))</f>
        <v>0</v>
      </c>
      <c r="E2499" s="16">
        <f>IF(OR(ISBLANK(Fixture!D503),ISBLANK(Fixture!F503),ISTEXT(Fixture!D503),ISTEXT(Fixture!F503)),0,1)</f>
        <v>0</v>
      </c>
      <c r="F2499" s="16">
        <f t="shared" si="566"/>
        <v>0</v>
      </c>
      <c r="G2499" s="16">
        <f t="shared" si="567"/>
        <v>0</v>
      </c>
      <c r="H2499" s="16">
        <f t="shared" si="568"/>
        <v>0</v>
      </c>
      <c r="I2499" s="63">
        <f>IF(E2499=0,0,Fixture!D503)</f>
        <v>0</v>
      </c>
      <c r="J2499" s="63">
        <f>IF(E2499=0,0,Fixture!F503)</f>
        <v>0</v>
      </c>
      <c r="K2499" s="63">
        <f t="shared" si="569"/>
        <v>0</v>
      </c>
      <c r="L2499" s="63">
        <f t="shared" si="570"/>
        <v>0</v>
      </c>
      <c r="N2499" s="10" t="str">
        <f t="shared" si="572"/>
        <v>00</v>
      </c>
      <c r="O2499" s="10">
        <f t="shared" si="573"/>
        <v>0</v>
      </c>
      <c r="P2499" s="10">
        <f t="shared" si="574"/>
        <v>0</v>
      </c>
      <c r="Q2499" s="10">
        <f t="shared" si="575"/>
        <v>0</v>
      </c>
    </row>
    <row r="2500" spans="1:17">
      <c r="A2500" s="15">
        <f t="shared" si="571"/>
        <v>0</v>
      </c>
      <c r="B2500" s="15"/>
      <c r="C2500" s="14">
        <f>Fixture!C504</f>
        <v>0</v>
      </c>
      <c r="D2500" s="15">
        <f>IF(E2500=0,0,IF(Fixture!D504&lt;Fixture!F504,0,IF(Fixture!F504&lt;Fixture!D504,3,1)))</f>
        <v>0</v>
      </c>
      <c r="E2500" s="16">
        <f>IF(OR(ISBLANK(Fixture!D504),ISBLANK(Fixture!F504),ISTEXT(Fixture!D504),ISTEXT(Fixture!F504)),0,1)</f>
        <v>0</v>
      </c>
      <c r="F2500" s="16">
        <f t="shared" si="566"/>
        <v>0</v>
      </c>
      <c r="G2500" s="16">
        <f t="shared" si="567"/>
        <v>0</v>
      </c>
      <c r="H2500" s="16">
        <f t="shared" si="568"/>
        <v>0</v>
      </c>
      <c r="I2500" s="63">
        <f>IF(E2500=0,0,Fixture!D504)</f>
        <v>0</v>
      </c>
      <c r="J2500" s="63">
        <f>IF(E2500=0,0,Fixture!F504)</f>
        <v>0</v>
      </c>
      <c r="K2500" s="63">
        <f t="shared" si="569"/>
        <v>0</v>
      </c>
      <c r="L2500" s="63">
        <f t="shared" si="570"/>
        <v>0</v>
      </c>
      <c r="N2500" s="10" t="str">
        <f t="shared" si="572"/>
        <v>00</v>
      </c>
      <c r="O2500" s="10">
        <f t="shared" si="573"/>
        <v>0</v>
      </c>
      <c r="P2500" s="10">
        <f t="shared" si="574"/>
        <v>0</v>
      </c>
      <c r="Q2500" s="10">
        <f t="shared" si="575"/>
        <v>0</v>
      </c>
    </row>
    <row r="2501" spans="1:17">
      <c r="A2501" s="15">
        <f t="shared" si="571"/>
        <v>0</v>
      </c>
      <c r="B2501" s="15"/>
      <c r="C2501" s="14">
        <f>Fixture!C505</f>
        <v>0</v>
      </c>
      <c r="D2501" s="15">
        <f>IF(E2501=0,0,IF(Fixture!D505&lt;Fixture!F505,0,IF(Fixture!F505&lt;Fixture!D505,3,1)))</f>
        <v>0</v>
      </c>
      <c r="E2501" s="16">
        <f>IF(OR(ISBLANK(Fixture!D505),ISBLANK(Fixture!F505),ISTEXT(Fixture!D505),ISTEXT(Fixture!F505)),0,1)</f>
        <v>0</v>
      </c>
      <c r="F2501" s="16">
        <f t="shared" si="566"/>
        <v>0</v>
      </c>
      <c r="G2501" s="16">
        <f t="shared" si="567"/>
        <v>0</v>
      </c>
      <c r="H2501" s="16">
        <f t="shared" si="568"/>
        <v>0</v>
      </c>
      <c r="I2501" s="63">
        <f>IF(E2501=0,0,Fixture!D505)</f>
        <v>0</v>
      </c>
      <c r="J2501" s="63">
        <f>IF(E2501=0,0,Fixture!F505)</f>
        <v>0</v>
      </c>
      <c r="K2501" s="63">
        <f t="shared" si="569"/>
        <v>0</v>
      </c>
      <c r="L2501" s="63">
        <f t="shared" si="570"/>
        <v>0</v>
      </c>
      <c r="N2501" s="10" t="str">
        <f t="shared" si="572"/>
        <v>00</v>
      </c>
      <c r="O2501" s="10">
        <f t="shared" si="573"/>
        <v>0</v>
      </c>
      <c r="P2501" s="10">
        <f t="shared" si="574"/>
        <v>0</v>
      </c>
      <c r="Q2501" s="10">
        <f t="shared" si="575"/>
        <v>0</v>
      </c>
    </row>
    <row r="2502" spans="1:17">
      <c r="A2502" s="15">
        <f t="shared" si="571"/>
        <v>0</v>
      </c>
      <c r="B2502" s="15"/>
      <c r="C2502" s="14">
        <f>Fixture!C506</f>
        <v>0</v>
      </c>
      <c r="D2502" s="15">
        <f>IF(E2502=0,0,IF(Fixture!D506&lt;Fixture!F506,0,IF(Fixture!F506&lt;Fixture!D506,3,1)))</f>
        <v>0</v>
      </c>
      <c r="E2502" s="16">
        <f>IF(OR(ISBLANK(Fixture!D506),ISBLANK(Fixture!F506),ISTEXT(Fixture!D506),ISTEXT(Fixture!F506)),0,1)</f>
        <v>0</v>
      </c>
      <c r="F2502" s="16">
        <f t="shared" si="566"/>
        <v>0</v>
      </c>
      <c r="G2502" s="16">
        <f t="shared" si="567"/>
        <v>0</v>
      </c>
      <c r="H2502" s="16">
        <f t="shared" si="568"/>
        <v>0</v>
      </c>
      <c r="I2502" s="63">
        <f>IF(E2502=0,0,Fixture!D506)</f>
        <v>0</v>
      </c>
      <c r="J2502" s="63">
        <f>IF(E2502=0,0,Fixture!F506)</f>
        <v>0</v>
      </c>
      <c r="K2502" s="63">
        <f t="shared" si="569"/>
        <v>0</v>
      </c>
      <c r="L2502" s="63">
        <f t="shared" si="570"/>
        <v>0</v>
      </c>
      <c r="N2502" s="10" t="str">
        <f t="shared" si="572"/>
        <v>00</v>
      </c>
      <c r="O2502" s="10">
        <f t="shared" si="573"/>
        <v>0</v>
      </c>
      <c r="P2502" s="10">
        <f t="shared" si="574"/>
        <v>0</v>
      </c>
      <c r="Q2502" s="10">
        <f t="shared" si="575"/>
        <v>0</v>
      </c>
    </row>
    <row r="2503" spans="1:17">
      <c r="A2503" s="15">
        <f t="shared" si="571"/>
        <v>0</v>
      </c>
      <c r="B2503" s="15"/>
      <c r="C2503" s="14">
        <f>Fixture!C507</f>
        <v>0</v>
      </c>
      <c r="D2503" s="15">
        <f>IF(E2503=0,0,IF(Fixture!D507&lt;Fixture!F507,0,IF(Fixture!F507&lt;Fixture!D507,3,1)))</f>
        <v>0</v>
      </c>
      <c r="E2503" s="16">
        <f>IF(OR(ISBLANK(Fixture!D507),ISBLANK(Fixture!F507),ISTEXT(Fixture!D507),ISTEXT(Fixture!F507)),0,1)</f>
        <v>0</v>
      </c>
      <c r="F2503" s="16">
        <f t="shared" si="566"/>
        <v>0</v>
      </c>
      <c r="G2503" s="16">
        <f t="shared" si="567"/>
        <v>0</v>
      </c>
      <c r="H2503" s="16">
        <f t="shared" si="568"/>
        <v>0</v>
      </c>
      <c r="I2503" s="63">
        <f>IF(E2503=0,0,Fixture!D507)</f>
        <v>0</v>
      </c>
      <c r="J2503" s="63">
        <f>IF(E2503=0,0,Fixture!F507)</f>
        <v>0</v>
      </c>
      <c r="K2503" s="63">
        <f t="shared" si="569"/>
        <v>0</v>
      </c>
      <c r="L2503" s="63">
        <f t="shared" si="570"/>
        <v>0</v>
      </c>
      <c r="N2503" s="10" t="str">
        <f t="shared" si="572"/>
        <v>00</v>
      </c>
      <c r="O2503" s="10">
        <f t="shared" si="573"/>
        <v>0</v>
      </c>
      <c r="P2503" s="10">
        <f t="shared" si="574"/>
        <v>0</v>
      </c>
      <c r="Q2503" s="10">
        <f t="shared" si="575"/>
        <v>0</v>
      </c>
    </row>
    <row r="2504" spans="1:17">
      <c r="A2504" s="15">
        <f t="shared" si="571"/>
        <v>0</v>
      </c>
      <c r="B2504" s="15"/>
      <c r="C2504" s="14">
        <f>Fixture!C508</f>
        <v>0</v>
      </c>
      <c r="D2504" s="15">
        <f>IF(E2504=0,0,IF(Fixture!D508&lt;Fixture!F508,0,IF(Fixture!F508&lt;Fixture!D508,3,1)))</f>
        <v>0</v>
      </c>
      <c r="E2504" s="16">
        <f>IF(OR(ISBLANK(Fixture!D508),ISBLANK(Fixture!F508),ISTEXT(Fixture!D508),ISTEXT(Fixture!F508)),0,1)</f>
        <v>0</v>
      </c>
      <c r="F2504" s="16">
        <f t="shared" si="566"/>
        <v>0</v>
      </c>
      <c r="G2504" s="16">
        <f t="shared" si="567"/>
        <v>0</v>
      </c>
      <c r="H2504" s="16">
        <f t="shared" si="568"/>
        <v>0</v>
      </c>
      <c r="I2504" s="63">
        <f>IF(E2504=0,0,Fixture!D508)</f>
        <v>0</v>
      </c>
      <c r="J2504" s="63">
        <f>IF(E2504=0,0,Fixture!F508)</f>
        <v>0</v>
      </c>
      <c r="K2504" s="63">
        <f t="shared" si="569"/>
        <v>0</v>
      </c>
      <c r="L2504" s="63">
        <f t="shared" si="570"/>
        <v>0</v>
      </c>
      <c r="N2504" s="10" t="str">
        <f t="shared" si="572"/>
        <v>00</v>
      </c>
      <c r="O2504" s="10">
        <f t="shared" si="573"/>
        <v>0</v>
      </c>
      <c r="P2504" s="10">
        <f t="shared" si="574"/>
        <v>0</v>
      </c>
      <c r="Q2504" s="10">
        <f t="shared" si="575"/>
        <v>0</v>
      </c>
    </row>
    <row r="2505" spans="1:17">
      <c r="A2505" s="15">
        <f t="shared" si="571"/>
        <v>0</v>
      </c>
      <c r="B2505" s="15"/>
      <c r="C2505" s="14">
        <f>Fixture!C509</f>
        <v>0</v>
      </c>
      <c r="D2505" s="15">
        <f>IF(E2505=0,0,IF(Fixture!D509&lt;Fixture!F509,0,IF(Fixture!F509&lt;Fixture!D509,3,1)))</f>
        <v>0</v>
      </c>
      <c r="E2505" s="16">
        <f>IF(OR(ISBLANK(Fixture!D509),ISBLANK(Fixture!F509),ISTEXT(Fixture!D509),ISTEXT(Fixture!F509)),0,1)</f>
        <v>0</v>
      </c>
      <c r="F2505" s="16">
        <f t="shared" si="566"/>
        <v>0</v>
      </c>
      <c r="G2505" s="16">
        <f t="shared" si="567"/>
        <v>0</v>
      </c>
      <c r="H2505" s="16">
        <f t="shared" si="568"/>
        <v>0</v>
      </c>
      <c r="I2505" s="63">
        <f>IF(E2505=0,0,Fixture!D509)</f>
        <v>0</v>
      </c>
      <c r="J2505" s="63">
        <f>IF(E2505=0,0,Fixture!F509)</f>
        <v>0</v>
      </c>
      <c r="K2505" s="63">
        <f t="shared" si="569"/>
        <v>0</v>
      </c>
      <c r="L2505" s="63">
        <f t="shared" si="570"/>
        <v>0</v>
      </c>
      <c r="N2505" s="10" t="str">
        <f t="shared" si="572"/>
        <v>00</v>
      </c>
      <c r="O2505" s="10">
        <f t="shared" si="573"/>
        <v>0</v>
      </c>
      <c r="P2505" s="10">
        <f t="shared" si="574"/>
        <v>0</v>
      </c>
      <c r="Q2505" s="10">
        <f t="shared" si="575"/>
        <v>0</v>
      </c>
    </row>
    <row r="2506" spans="1:17">
      <c r="A2506" s="15">
        <f t="shared" si="571"/>
        <v>0</v>
      </c>
      <c r="B2506" s="15"/>
      <c r="C2506" s="14">
        <f>Fixture!C510</f>
        <v>0</v>
      </c>
      <c r="D2506" s="15">
        <f>IF(E2506=0,0,IF(Fixture!D510&lt;Fixture!F510,0,IF(Fixture!F510&lt;Fixture!D510,3,1)))</f>
        <v>0</v>
      </c>
      <c r="E2506" s="16">
        <f>IF(OR(ISBLANK(Fixture!D510),ISBLANK(Fixture!F510),ISTEXT(Fixture!D510),ISTEXT(Fixture!F510)),0,1)</f>
        <v>0</v>
      </c>
      <c r="F2506" s="16">
        <f t="shared" si="566"/>
        <v>0</v>
      </c>
      <c r="G2506" s="16">
        <f t="shared" si="567"/>
        <v>0</v>
      </c>
      <c r="H2506" s="16">
        <f t="shared" si="568"/>
        <v>0</v>
      </c>
      <c r="I2506" s="63">
        <f>IF(E2506=0,0,Fixture!D510)</f>
        <v>0</v>
      </c>
      <c r="J2506" s="63">
        <f>IF(E2506=0,0,Fixture!F510)</f>
        <v>0</v>
      </c>
      <c r="K2506" s="63">
        <f t="shared" si="569"/>
        <v>0</v>
      </c>
      <c r="L2506" s="63">
        <f t="shared" si="570"/>
        <v>0</v>
      </c>
      <c r="N2506" s="10" t="str">
        <f t="shared" si="572"/>
        <v>00</v>
      </c>
      <c r="O2506" s="10">
        <f t="shared" si="573"/>
        <v>0</v>
      </c>
      <c r="P2506" s="10">
        <f t="shared" si="574"/>
        <v>0</v>
      </c>
      <c r="Q2506" s="10">
        <f t="shared" si="575"/>
        <v>0</v>
      </c>
    </row>
    <row r="2507" spans="1:17">
      <c r="A2507" s="15">
        <f t="shared" si="571"/>
        <v>0</v>
      </c>
      <c r="B2507" s="15"/>
      <c r="C2507" s="14">
        <f>Fixture!C511</f>
        <v>0</v>
      </c>
      <c r="D2507" s="15">
        <f>IF(E2507=0,0,IF(Fixture!D511&lt;Fixture!F511,0,IF(Fixture!F511&lt;Fixture!D511,3,1)))</f>
        <v>0</v>
      </c>
      <c r="E2507" s="16">
        <f>IF(OR(ISBLANK(Fixture!D511),ISBLANK(Fixture!F511),ISTEXT(Fixture!D511),ISTEXT(Fixture!F511)),0,1)</f>
        <v>0</v>
      </c>
      <c r="F2507" s="16">
        <f t="shared" si="566"/>
        <v>0</v>
      </c>
      <c r="G2507" s="16">
        <f t="shared" si="567"/>
        <v>0</v>
      </c>
      <c r="H2507" s="16">
        <f t="shared" si="568"/>
        <v>0</v>
      </c>
      <c r="I2507" s="63">
        <f>IF(E2507=0,0,Fixture!D511)</f>
        <v>0</v>
      </c>
      <c r="J2507" s="63">
        <f>IF(E2507=0,0,Fixture!F511)</f>
        <v>0</v>
      </c>
      <c r="K2507" s="63">
        <f t="shared" si="569"/>
        <v>0</v>
      </c>
      <c r="L2507" s="63">
        <f t="shared" si="570"/>
        <v>0</v>
      </c>
      <c r="N2507" s="10" t="str">
        <f t="shared" si="572"/>
        <v>00</v>
      </c>
      <c r="O2507" s="10">
        <f t="shared" si="573"/>
        <v>0</v>
      </c>
      <c r="P2507" s="10">
        <f t="shared" si="574"/>
        <v>0</v>
      </c>
      <c r="Q2507" s="10">
        <f t="shared" si="575"/>
        <v>0</v>
      </c>
    </row>
    <row r="2508" spans="1:17">
      <c r="A2508" s="15">
        <f t="shared" si="571"/>
        <v>0</v>
      </c>
      <c r="B2508" s="15"/>
      <c r="C2508" s="14">
        <f>Fixture!C512</f>
        <v>0</v>
      </c>
      <c r="D2508" s="15">
        <f>IF(E2508=0,0,IF(Fixture!D512&lt;Fixture!F512,0,IF(Fixture!F512&lt;Fixture!D512,3,1)))</f>
        <v>0</v>
      </c>
      <c r="E2508" s="16">
        <f>IF(OR(ISBLANK(Fixture!D512),ISBLANK(Fixture!F512),ISTEXT(Fixture!D512),ISTEXT(Fixture!F512)),0,1)</f>
        <v>0</v>
      </c>
      <c r="F2508" s="16">
        <f t="shared" si="566"/>
        <v>0</v>
      </c>
      <c r="G2508" s="16">
        <f t="shared" si="567"/>
        <v>0</v>
      </c>
      <c r="H2508" s="16">
        <f t="shared" si="568"/>
        <v>0</v>
      </c>
      <c r="I2508" s="63">
        <f>IF(E2508=0,0,Fixture!D512)</f>
        <v>0</v>
      </c>
      <c r="J2508" s="63">
        <f>IF(E2508=0,0,Fixture!F512)</f>
        <v>0</v>
      </c>
      <c r="K2508" s="63">
        <f t="shared" si="569"/>
        <v>0</v>
      </c>
      <c r="L2508" s="63">
        <f t="shared" si="570"/>
        <v>0</v>
      </c>
      <c r="N2508" s="10" t="str">
        <f t="shared" si="572"/>
        <v>00</v>
      </c>
      <c r="O2508" s="10">
        <f t="shared" si="573"/>
        <v>0</v>
      </c>
      <c r="P2508" s="10">
        <f t="shared" si="574"/>
        <v>0</v>
      </c>
      <c r="Q2508" s="10">
        <f t="shared" si="575"/>
        <v>0</v>
      </c>
    </row>
    <row r="2509" spans="1:17">
      <c r="A2509" s="15">
        <f t="shared" si="571"/>
        <v>0</v>
      </c>
      <c r="B2509" s="15"/>
      <c r="C2509" s="14">
        <f>Fixture!C513</f>
        <v>0</v>
      </c>
      <c r="D2509" s="15">
        <f>IF(E2509=0,0,IF(Fixture!D513&lt;Fixture!F513,0,IF(Fixture!F513&lt;Fixture!D513,3,1)))</f>
        <v>0</v>
      </c>
      <c r="E2509" s="16">
        <f>IF(OR(ISBLANK(Fixture!D513),ISBLANK(Fixture!F513),ISTEXT(Fixture!D513),ISTEXT(Fixture!F513)),0,1)</f>
        <v>0</v>
      </c>
      <c r="F2509" s="16">
        <f t="shared" si="566"/>
        <v>0</v>
      </c>
      <c r="G2509" s="16">
        <f t="shared" si="567"/>
        <v>0</v>
      </c>
      <c r="H2509" s="16">
        <f t="shared" si="568"/>
        <v>0</v>
      </c>
      <c r="I2509" s="63">
        <f>IF(E2509=0,0,Fixture!D513)</f>
        <v>0</v>
      </c>
      <c r="J2509" s="63">
        <f>IF(E2509=0,0,Fixture!F513)</f>
        <v>0</v>
      </c>
      <c r="K2509" s="63">
        <f t="shared" si="569"/>
        <v>0</v>
      </c>
      <c r="L2509" s="63">
        <f t="shared" si="570"/>
        <v>0</v>
      </c>
      <c r="N2509" s="10" t="str">
        <f t="shared" si="572"/>
        <v>00</v>
      </c>
      <c r="O2509" s="10">
        <f t="shared" si="573"/>
        <v>0</v>
      </c>
      <c r="P2509" s="10">
        <f t="shared" si="574"/>
        <v>0</v>
      </c>
      <c r="Q2509" s="10">
        <f t="shared" si="575"/>
        <v>0</v>
      </c>
    </row>
    <row r="2510" spans="1:17">
      <c r="A2510" s="15">
        <f t="shared" si="571"/>
        <v>0</v>
      </c>
      <c r="B2510" s="15"/>
      <c r="C2510" s="14">
        <f>Fixture!C514</f>
        <v>0</v>
      </c>
      <c r="D2510" s="15">
        <f>IF(E2510=0,0,IF(Fixture!D514&lt;Fixture!F514,0,IF(Fixture!F514&lt;Fixture!D514,3,1)))</f>
        <v>0</v>
      </c>
      <c r="E2510" s="16">
        <f>IF(OR(ISBLANK(Fixture!D514),ISBLANK(Fixture!F514),ISTEXT(Fixture!D514),ISTEXT(Fixture!F514)),0,1)</f>
        <v>0</v>
      </c>
      <c r="F2510" s="16">
        <f t="shared" si="566"/>
        <v>0</v>
      </c>
      <c r="G2510" s="16">
        <f t="shared" si="567"/>
        <v>0</v>
      </c>
      <c r="H2510" s="16">
        <f t="shared" si="568"/>
        <v>0</v>
      </c>
      <c r="I2510" s="63">
        <f>IF(E2510=0,0,Fixture!D514)</f>
        <v>0</v>
      </c>
      <c r="J2510" s="63">
        <f>IF(E2510=0,0,Fixture!F514)</f>
        <v>0</v>
      </c>
      <c r="K2510" s="63">
        <f t="shared" si="569"/>
        <v>0</v>
      </c>
      <c r="L2510" s="63">
        <f t="shared" si="570"/>
        <v>0</v>
      </c>
      <c r="N2510" s="10" t="str">
        <f t="shared" si="572"/>
        <v>00</v>
      </c>
      <c r="O2510" s="10">
        <f t="shared" si="573"/>
        <v>0</v>
      </c>
      <c r="P2510" s="10">
        <f t="shared" si="574"/>
        <v>0</v>
      </c>
      <c r="Q2510" s="10">
        <f t="shared" si="575"/>
        <v>0</v>
      </c>
    </row>
    <row r="2511" spans="1:17">
      <c r="A2511" s="15">
        <f t="shared" si="571"/>
        <v>0</v>
      </c>
      <c r="B2511" s="15"/>
      <c r="C2511" s="14">
        <f>Fixture!C515</f>
        <v>0</v>
      </c>
      <c r="D2511" s="15">
        <f>IF(E2511=0,0,IF(Fixture!D515&lt;Fixture!F515,0,IF(Fixture!F515&lt;Fixture!D515,3,1)))</f>
        <v>0</v>
      </c>
      <c r="E2511" s="16">
        <f>IF(OR(ISBLANK(Fixture!D515),ISBLANK(Fixture!F515),ISTEXT(Fixture!D515),ISTEXT(Fixture!F515)),0,1)</f>
        <v>0</v>
      </c>
      <c r="F2511" s="16">
        <f t="shared" si="566"/>
        <v>0</v>
      </c>
      <c r="G2511" s="16">
        <f t="shared" si="567"/>
        <v>0</v>
      </c>
      <c r="H2511" s="16">
        <f t="shared" si="568"/>
        <v>0</v>
      </c>
      <c r="I2511" s="63">
        <f>IF(E2511=0,0,Fixture!D515)</f>
        <v>0</v>
      </c>
      <c r="J2511" s="63">
        <f>IF(E2511=0,0,Fixture!F515)</f>
        <v>0</v>
      </c>
      <c r="K2511" s="63">
        <f t="shared" si="569"/>
        <v>0</v>
      </c>
      <c r="L2511" s="63">
        <f t="shared" si="570"/>
        <v>0</v>
      </c>
      <c r="N2511" s="10" t="str">
        <f t="shared" si="572"/>
        <v>00</v>
      </c>
      <c r="O2511" s="10">
        <f t="shared" si="573"/>
        <v>0</v>
      </c>
      <c r="P2511" s="10">
        <f t="shared" si="574"/>
        <v>0</v>
      </c>
      <c r="Q2511" s="10">
        <f t="shared" si="575"/>
        <v>0</v>
      </c>
    </row>
    <row r="2512" spans="1:17">
      <c r="A2512" s="15">
        <f t="shared" si="571"/>
        <v>0</v>
      </c>
      <c r="B2512" s="15"/>
      <c r="C2512" s="14">
        <f>Fixture!C516</f>
        <v>0</v>
      </c>
      <c r="D2512" s="15">
        <f>IF(E2512=0,0,IF(Fixture!D516&lt;Fixture!F516,0,IF(Fixture!F516&lt;Fixture!D516,3,1)))</f>
        <v>0</v>
      </c>
      <c r="E2512" s="16">
        <f>IF(OR(ISBLANK(Fixture!D516),ISBLANK(Fixture!F516),ISTEXT(Fixture!D516),ISTEXT(Fixture!F516)),0,1)</f>
        <v>0</v>
      </c>
      <c r="F2512" s="16">
        <f t="shared" si="566"/>
        <v>0</v>
      </c>
      <c r="G2512" s="16">
        <f t="shared" si="567"/>
        <v>0</v>
      </c>
      <c r="H2512" s="16">
        <f t="shared" si="568"/>
        <v>0</v>
      </c>
      <c r="I2512" s="63">
        <f>IF(E2512=0,0,Fixture!D516)</f>
        <v>0</v>
      </c>
      <c r="J2512" s="63">
        <f>IF(E2512=0,0,Fixture!F516)</f>
        <v>0</v>
      </c>
      <c r="K2512" s="63">
        <f t="shared" si="569"/>
        <v>0</v>
      </c>
      <c r="L2512" s="63">
        <f t="shared" si="570"/>
        <v>0</v>
      </c>
      <c r="N2512" s="10" t="str">
        <f t="shared" si="572"/>
        <v>00</v>
      </c>
      <c r="O2512" s="10">
        <f t="shared" si="573"/>
        <v>0</v>
      </c>
      <c r="P2512" s="10">
        <f t="shared" si="574"/>
        <v>0</v>
      </c>
      <c r="Q2512" s="10">
        <f t="shared" si="575"/>
        <v>0</v>
      </c>
    </row>
    <row r="2513" spans="1:17">
      <c r="A2513" s="15">
        <f t="shared" si="571"/>
        <v>0</v>
      </c>
      <c r="B2513" s="15"/>
      <c r="C2513" s="14">
        <f>Fixture!C517</f>
        <v>0</v>
      </c>
      <c r="D2513" s="15">
        <f>IF(E2513=0,0,IF(Fixture!D517&lt;Fixture!F517,0,IF(Fixture!F517&lt;Fixture!D517,3,1)))</f>
        <v>0</v>
      </c>
      <c r="E2513" s="16">
        <f>IF(OR(ISBLANK(Fixture!D517),ISBLANK(Fixture!F517),ISTEXT(Fixture!D517),ISTEXT(Fixture!F517)),0,1)</f>
        <v>0</v>
      </c>
      <c r="F2513" s="16">
        <f t="shared" ref="F2513:F2576" si="576">IF(E2513=0,0,IF(D2513&lt;&gt;3,0,1))</f>
        <v>0</v>
      </c>
      <c r="G2513" s="16">
        <f t="shared" ref="G2513:G2576" si="577">IF(E2513=0,0,IF(D2513&lt;&gt;1,0,1))</f>
        <v>0</v>
      </c>
      <c r="H2513" s="16">
        <f t="shared" ref="H2513:H2576" si="578">IF(E2513=0,0,IF(D2513&lt;&gt;0,0,1))</f>
        <v>0</v>
      </c>
      <c r="I2513" s="63">
        <f>IF(E2513=0,0,Fixture!D517)</f>
        <v>0</v>
      </c>
      <c r="J2513" s="63">
        <f>IF(E2513=0,0,Fixture!F517)</f>
        <v>0</v>
      </c>
      <c r="K2513" s="63">
        <f t="shared" ref="K2513:K2576" si="579">IF(E2513=0,0,IF(I2513&gt;0,0,1))</f>
        <v>0</v>
      </c>
      <c r="L2513" s="63">
        <f t="shared" ref="L2513:L2576" si="580">IF(E2513=0,0,IF(J2513&gt;0,0,1))</f>
        <v>0</v>
      </c>
      <c r="N2513" s="10" t="str">
        <f t="shared" si="572"/>
        <v>00</v>
      </c>
      <c r="O2513" s="10">
        <f t="shared" si="573"/>
        <v>0</v>
      </c>
      <c r="P2513" s="10">
        <f t="shared" si="574"/>
        <v>0</v>
      </c>
      <c r="Q2513" s="10">
        <f t="shared" si="575"/>
        <v>0</v>
      </c>
    </row>
    <row r="2514" spans="1:17">
      <c r="A2514" s="15">
        <f t="shared" ref="A2514:A2577" si="581">A557</f>
        <v>0</v>
      </c>
      <c r="B2514" s="15"/>
      <c r="C2514" s="14">
        <f>Fixture!C518</f>
        <v>0</v>
      </c>
      <c r="D2514" s="15">
        <f>IF(E2514=0,0,IF(Fixture!D518&lt;Fixture!F518,0,IF(Fixture!F518&lt;Fixture!D518,3,1)))</f>
        <v>0</v>
      </c>
      <c r="E2514" s="16">
        <f>IF(OR(ISBLANK(Fixture!D518),ISBLANK(Fixture!F518),ISTEXT(Fixture!D518),ISTEXT(Fixture!F518)),0,1)</f>
        <v>0</v>
      </c>
      <c r="F2514" s="16">
        <f t="shared" si="576"/>
        <v>0</v>
      </c>
      <c r="G2514" s="16">
        <f t="shared" si="577"/>
        <v>0</v>
      </c>
      <c r="H2514" s="16">
        <f t="shared" si="578"/>
        <v>0</v>
      </c>
      <c r="I2514" s="63">
        <f>IF(E2514=0,0,Fixture!D518)</f>
        <v>0</v>
      </c>
      <c r="J2514" s="63">
        <f>IF(E2514=0,0,Fixture!F518)</f>
        <v>0</v>
      </c>
      <c r="K2514" s="63">
        <f t="shared" si="579"/>
        <v>0</v>
      </c>
      <c r="L2514" s="63">
        <f t="shared" si="580"/>
        <v>0</v>
      </c>
      <c r="N2514" s="10" t="str">
        <f t="shared" ref="N2514:N2577" si="582">CONCATENATE(C2514,A2514)</f>
        <v>00</v>
      </c>
      <c r="O2514" s="10">
        <f t="shared" ref="O2514:O2577" si="583">D2514</f>
        <v>0</v>
      </c>
      <c r="P2514" s="10">
        <f t="shared" ref="P2514:P2577" si="584">I2514</f>
        <v>0</v>
      </c>
      <c r="Q2514" s="10">
        <f t="shared" ref="Q2514:Q2577" si="585">J2514</f>
        <v>0</v>
      </c>
    </row>
    <row r="2515" spans="1:17">
      <c r="A2515" s="15">
        <f t="shared" si="581"/>
        <v>0</v>
      </c>
      <c r="B2515" s="15"/>
      <c r="C2515" s="14">
        <f>Fixture!C519</f>
        <v>0</v>
      </c>
      <c r="D2515" s="15">
        <f>IF(E2515=0,0,IF(Fixture!D519&lt;Fixture!F519,0,IF(Fixture!F519&lt;Fixture!D519,3,1)))</f>
        <v>0</v>
      </c>
      <c r="E2515" s="16">
        <f>IF(OR(ISBLANK(Fixture!D519),ISBLANK(Fixture!F519),ISTEXT(Fixture!D519),ISTEXT(Fixture!F519)),0,1)</f>
        <v>0</v>
      </c>
      <c r="F2515" s="16">
        <f t="shared" si="576"/>
        <v>0</v>
      </c>
      <c r="G2515" s="16">
        <f t="shared" si="577"/>
        <v>0</v>
      </c>
      <c r="H2515" s="16">
        <f t="shared" si="578"/>
        <v>0</v>
      </c>
      <c r="I2515" s="63">
        <f>IF(E2515=0,0,Fixture!D519)</f>
        <v>0</v>
      </c>
      <c r="J2515" s="63">
        <f>IF(E2515=0,0,Fixture!F519)</f>
        <v>0</v>
      </c>
      <c r="K2515" s="63">
        <f t="shared" si="579"/>
        <v>0</v>
      </c>
      <c r="L2515" s="63">
        <f t="shared" si="580"/>
        <v>0</v>
      </c>
      <c r="N2515" s="10" t="str">
        <f t="shared" si="582"/>
        <v>00</v>
      </c>
      <c r="O2515" s="10">
        <f t="shared" si="583"/>
        <v>0</v>
      </c>
      <c r="P2515" s="10">
        <f t="shared" si="584"/>
        <v>0</v>
      </c>
      <c r="Q2515" s="10">
        <f t="shared" si="585"/>
        <v>0</v>
      </c>
    </row>
    <row r="2516" spans="1:17">
      <c r="A2516" s="15">
        <f t="shared" si="581"/>
        <v>0</v>
      </c>
      <c r="B2516" s="15"/>
      <c r="C2516" s="14">
        <f>Fixture!C520</f>
        <v>0</v>
      </c>
      <c r="D2516" s="15">
        <f>IF(E2516=0,0,IF(Fixture!D520&lt;Fixture!F520,0,IF(Fixture!F520&lt;Fixture!D520,3,1)))</f>
        <v>0</v>
      </c>
      <c r="E2516" s="16">
        <f>IF(OR(ISBLANK(Fixture!D520),ISBLANK(Fixture!F520),ISTEXT(Fixture!D520),ISTEXT(Fixture!F520)),0,1)</f>
        <v>0</v>
      </c>
      <c r="F2516" s="16">
        <f t="shared" si="576"/>
        <v>0</v>
      </c>
      <c r="G2516" s="16">
        <f t="shared" si="577"/>
        <v>0</v>
      </c>
      <c r="H2516" s="16">
        <f t="shared" si="578"/>
        <v>0</v>
      </c>
      <c r="I2516" s="63">
        <f>IF(E2516=0,0,Fixture!D520)</f>
        <v>0</v>
      </c>
      <c r="J2516" s="63">
        <f>IF(E2516=0,0,Fixture!F520)</f>
        <v>0</v>
      </c>
      <c r="K2516" s="63">
        <f t="shared" si="579"/>
        <v>0</v>
      </c>
      <c r="L2516" s="63">
        <f t="shared" si="580"/>
        <v>0</v>
      </c>
      <c r="N2516" s="10" t="str">
        <f t="shared" si="582"/>
        <v>00</v>
      </c>
      <c r="O2516" s="10">
        <f t="shared" si="583"/>
        <v>0</v>
      </c>
      <c r="P2516" s="10">
        <f t="shared" si="584"/>
        <v>0</v>
      </c>
      <c r="Q2516" s="10">
        <f t="shared" si="585"/>
        <v>0</v>
      </c>
    </row>
    <row r="2517" spans="1:17">
      <c r="A2517" s="15">
        <f t="shared" si="581"/>
        <v>0</v>
      </c>
      <c r="B2517" s="15"/>
      <c r="C2517" s="14">
        <f>Fixture!C521</f>
        <v>0</v>
      </c>
      <c r="D2517" s="15">
        <f>IF(E2517=0,0,IF(Fixture!D521&lt;Fixture!F521,0,IF(Fixture!F521&lt;Fixture!D521,3,1)))</f>
        <v>0</v>
      </c>
      <c r="E2517" s="16">
        <f>IF(OR(ISBLANK(Fixture!D521),ISBLANK(Fixture!F521),ISTEXT(Fixture!D521),ISTEXT(Fixture!F521)),0,1)</f>
        <v>0</v>
      </c>
      <c r="F2517" s="16">
        <f t="shared" si="576"/>
        <v>0</v>
      </c>
      <c r="G2517" s="16">
        <f t="shared" si="577"/>
        <v>0</v>
      </c>
      <c r="H2517" s="16">
        <f t="shared" si="578"/>
        <v>0</v>
      </c>
      <c r="I2517" s="63">
        <f>IF(E2517=0,0,Fixture!D521)</f>
        <v>0</v>
      </c>
      <c r="J2517" s="63">
        <f>IF(E2517=0,0,Fixture!F521)</f>
        <v>0</v>
      </c>
      <c r="K2517" s="63">
        <f t="shared" si="579"/>
        <v>0</v>
      </c>
      <c r="L2517" s="63">
        <f t="shared" si="580"/>
        <v>0</v>
      </c>
      <c r="N2517" s="10" t="str">
        <f t="shared" si="582"/>
        <v>00</v>
      </c>
      <c r="O2517" s="10">
        <f t="shared" si="583"/>
        <v>0</v>
      </c>
      <c r="P2517" s="10">
        <f t="shared" si="584"/>
        <v>0</v>
      </c>
      <c r="Q2517" s="10">
        <f t="shared" si="585"/>
        <v>0</v>
      </c>
    </row>
    <row r="2518" spans="1:17">
      <c r="A2518" s="15">
        <f t="shared" si="581"/>
        <v>0</v>
      </c>
      <c r="B2518" s="15"/>
      <c r="C2518" s="14">
        <f>Fixture!C522</f>
        <v>0</v>
      </c>
      <c r="D2518" s="15">
        <f>IF(E2518=0,0,IF(Fixture!D522&lt;Fixture!F522,0,IF(Fixture!F522&lt;Fixture!D522,3,1)))</f>
        <v>0</v>
      </c>
      <c r="E2518" s="16">
        <f>IF(OR(ISBLANK(Fixture!D522),ISBLANK(Fixture!F522),ISTEXT(Fixture!D522),ISTEXT(Fixture!F522)),0,1)</f>
        <v>0</v>
      </c>
      <c r="F2518" s="16">
        <f t="shared" si="576"/>
        <v>0</v>
      </c>
      <c r="G2518" s="16">
        <f t="shared" si="577"/>
        <v>0</v>
      </c>
      <c r="H2518" s="16">
        <f t="shared" si="578"/>
        <v>0</v>
      </c>
      <c r="I2518" s="63">
        <f>IF(E2518=0,0,Fixture!D522)</f>
        <v>0</v>
      </c>
      <c r="J2518" s="63">
        <f>IF(E2518=0,0,Fixture!F522)</f>
        <v>0</v>
      </c>
      <c r="K2518" s="63">
        <f t="shared" si="579"/>
        <v>0</v>
      </c>
      <c r="L2518" s="63">
        <f t="shared" si="580"/>
        <v>0</v>
      </c>
      <c r="N2518" s="10" t="str">
        <f t="shared" si="582"/>
        <v>00</v>
      </c>
      <c r="O2518" s="10">
        <f t="shared" si="583"/>
        <v>0</v>
      </c>
      <c r="P2518" s="10">
        <f t="shared" si="584"/>
        <v>0</v>
      </c>
      <c r="Q2518" s="10">
        <f t="shared" si="585"/>
        <v>0</v>
      </c>
    </row>
    <row r="2519" spans="1:17">
      <c r="A2519" s="15">
        <f t="shared" si="581"/>
        <v>0</v>
      </c>
      <c r="B2519" s="15"/>
      <c r="C2519" s="14">
        <f>Fixture!C523</f>
        <v>0</v>
      </c>
      <c r="D2519" s="15">
        <f>IF(E2519=0,0,IF(Fixture!D523&lt;Fixture!F523,0,IF(Fixture!F523&lt;Fixture!D523,3,1)))</f>
        <v>0</v>
      </c>
      <c r="E2519" s="16">
        <f>IF(OR(ISBLANK(Fixture!D523),ISBLANK(Fixture!F523),ISTEXT(Fixture!D523),ISTEXT(Fixture!F523)),0,1)</f>
        <v>0</v>
      </c>
      <c r="F2519" s="16">
        <f t="shared" si="576"/>
        <v>0</v>
      </c>
      <c r="G2519" s="16">
        <f t="shared" si="577"/>
        <v>0</v>
      </c>
      <c r="H2519" s="16">
        <f t="shared" si="578"/>
        <v>0</v>
      </c>
      <c r="I2519" s="63">
        <f>IF(E2519=0,0,Fixture!D523)</f>
        <v>0</v>
      </c>
      <c r="J2519" s="63">
        <f>IF(E2519=0,0,Fixture!F523)</f>
        <v>0</v>
      </c>
      <c r="K2519" s="63">
        <f t="shared" si="579"/>
        <v>0</v>
      </c>
      <c r="L2519" s="63">
        <f t="shared" si="580"/>
        <v>0</v>
      </c>
      <c r="N2519" s="10" t="str">
        <f t="shared" si="582"/>
        <v>00</v>
      </c>
      <c r="O2519" s="10">
        <f t="shared" si="583"/>
        <v>0</v>
      </c>
      <c r="P2519" s="10">
        <f t="shared" si="584"/>
        <v>0</v>
      </c>
      <c r="Q2519" s="10">
        <f t="shared" si="585"/>
        <v>0</v>
      </c>
    </row>
    <row r="2520" spans="1:17">
      <c r="A2520" s="15">
        <f t="shared" si="581"/>
        <v>0</v>
      </c>
      <c r="B2520" s="15"/>
      <c r="C2520" s="14">
        <f>Fixture!C524</f>
        <v>0</v>
      </c>
      <c r="D2520" s="15">
        <f>IF(E2520=0,0,IF(Fixture!D524&lt;Fixture!F524,0,IF(Fixture!F524&lt;Fixture!D524,3,1)))</f>
        <v>0</v>
      </c>
      <c r="E2520" s="16">
        <f>IF(OR(ISBLANK(Fixture!D524),ISBLANK(Fixture!F524),ISTEXT(Fixture!D524),ISTEXT(Fixture!F524)),0,1)</f>
        <v>0</v>
      </c>
      <c r="F2520" s="16">
        <f t="shared" si="576"/>
        <v>0</v>
      </c>
      <c r="G2520" s="16">
        <f t="shared" si="577"/>
        <v>0</v>
      </c>
      <c r="H2520" s="16">
        <f t="shared" si="578"/>
        <v>0</v>
      </c>
      <c r="I2520" s="63">
        <f>IF(E2520=0,0,Fixture!D524)</f>
        <v>0</v>
      </c>
      <c r="J2520" s="63">
        <f>IF(E2520=0,0,Fixture!F524)</f>
        <v>0</v>
      </c>
      <c r="K2520" s="63">
        <f t="shared" si="579"/>
        <v>0</v>
      </c>
      <c r="L2520" s="63">
        <f t="shared" si="580"/>
        <v>0</v>
      </c>
      <c r="N2520" s="10" t="str">
        <f t="shared" si="582"/>
        <v>00</v>
      </c>
      <c r="O2520" s="10">
        <f t="shared" si="583"/>
        <v>0</v>
      </c>
      <c r="P2520" s="10">
        <f t="shared" si="584"/>
        <v>0</v>
      </c>
      <c r="Q2520" s="10">
        <f t="shared" si="585"/>
        <v>0</v>
      </c>
    </row>
    <row r="2521" spans="1:17">
      <c r="A2521" s="15">
        <f t="shared" si="581"/>
        <v>0</v>
      </c>
      <c r="B2521" s="15"/>
      <c r="C2521" s="14">
        <f>Fixture!C525</f>
        <v>0</v>
      </c>
      <c r="D2521" s="15">
        <f>IF(E2521=0,0,IF(Fixture!D525&lt;Fixture!F525,0,IF(Fixture!F525&lt;Fixture!D525,3,1)))</f>
        <v>0</v>
      </c>
      <c r="E2521" s="16">
        <f>IF(OR(ISBLANK(Fixture!D525),ISBLANK(Fixture!F525),ISTEXT(Fixture!D525),ISTEXT(Fixture!F525)),0,1)</f>
        <v>0</v>
      </c>
      <c r="F2521" s="16">
        <f t="shared" si="576"/>
        <v>0</v>
      </c>
      <c r="G2521" s="16">
        <f t="shared" si="577"/>
        <v>0</v>
      </c>
      <c r="H2521" s="16">
        <f t="shared" si="578"/>
        <v>0</v>
      </c>
      <c r="I2521" s="63">
        <f>IF(E2521=0,0,Fixture!D525)</f>
        <v>0</v>
      </c>
      <c r="J2521" s="63">
        <f>IF(E2521=0,0,Fixture!F525)</f>
        <v>0</v>
      </c>
      <c r="K2521" s="63">
        <f t="shared" si="579"/>
        <v>0</v>
      </c>
      <c r="L2521" s="63">
        <f t="shared" si="580"/>
        <v>0</v>
      </c>
      <c r="N2521" s="10" t="str">
        <f t="shared" si="582"/>
        <v>00</v>
      </c>
      <c r="O2521" s="10">
        <f t="shared" si="583"/>
        <v>0</v>
      </c>
      <c r="P2521" s="10">
        <f t="shared" si="584"/>
        <v>0</v>
      </c>
      <c r="Q2521" s="10">
        <f t="shared" si="585"/>
        <v>0</v>
      </c>
    </row>
    <row r="2522" spans="1:17">
      <c r="A2522" s="15">
        <f t="shared" si="581"/>
        <v>0</v>
      </c>
      <c r="B2522" s="15"/>
      <c r="C2522" s="14">
        <f>Fixture!C526</f>
        <v>0</v>
      </c>
      <c r="D2522" s="15">
        <f>IF(E2522=0,0,IF(Fixture!D526&lt;Fixture!F526,0,IF(Fixture!F526&lt;Fixture!D526,3,1)))</f>
        <v>0</v>
      </c>
      <c r="E2522" s="16">
        <f>IF(OR(ISBLANK(Fixture!D526),ISBLANK(Fixture!F526),ISTEXT(Fixture!D526),ISTEXT(Fixture!F526)),0,1)</f>
        <v>0</v>
      </c>
      <c r="F2522" s="16">
        <f t="shared" si="576"/>
        <v>0</v>
      </c>
      <c r="G2522" s="16">
        <f t="shared" si="577"/>
        <v>0</v>
      </c>
      <c r="H2522" s="16">
        <f t="shared" si="578"/>
        <v>0</v>
      </c>
      <c r="I2522" s="63">
        <f>IF(E2522=0,0,Fixture!D526)</f>
        <v>0</v>
      </c>
      <c r="J2522" s="63">
        <f>IF(E2522=0,0,Fixture!F526)</f>
        <v>0</v>
      </c>
      <c r="K2522" s="63">
        <f t="shared" si="579"/>
        <v>0</v>
      </c>
      <c r="L2522" s="63">
        <f t="shared" si="580"/>
        <v>0</v>
      </c>
      <c r="N2522" s="10" t="str">
        <f t="shared" si="582"/>
        <v>00</v>
      </c>
      <c r="O2522" s="10">
        <f t="shared" si="583"/>
        <v>0</v>
      </c>
      <c r="P2522" s="10">
        <f t="shared" si="584"/>
        <v>0</v>
      </c>
      <c r="Q2522" s="10">
        <f t="shared" si="585"/>
        <v>0</v>
      </c>
    </row>
    <row r="2523" spans="1:17">
      <c r="A2523" s="15">
        <f t="shared" si="581"/>
        <v>0</v>
      </c>
      <c r="B2523" s="15"/>
      <c r="C2523" s="14">
        <f>Fixture!C527</f>
        <v>0</v>
      </c>
      <c r="D2523" s="15">
        <f>IF(E2523=0,0,IF(Fixture!D527&lt;Fixture!F527,0,IF(Fixture!F527&lt;Fixture!D527,3,1)))</f>
        <v>0</v>
      </c>
      <c r="E2523" s="16">
        <f>IF(OR(ISBLANK(Fixture!D527),ISBLANK(Fixture!F527),ISTEXT(Fixture!D527),ISTEXT(Fixture!F527)),0,1)</f>
        <v>0</v>
      </c>
      <c r="F2523" s="16">
        <f t="shared" si="576"/>
        <v>0</v>
      </c>
      <c r="G2523" s="16">
        <f t="shared" si="577"/>
        <v>0</v>
      </c>
      <c r="H2523" s="16">
        <f t="shared" si="578"/>
        <v>0</v>
      </c>
      <c r="I2523" s="63">
        <f>IF(E2523=0,0,Fixture!D527)</f>
        <v>0</v>
      </c>
      <c r="J2523" s="63">
        <f>IF(E2523=0,0,Fixture!F527)</f>
        <v>0</v>
      </c>
      <c r="K2523" s="63">
        <f t="shared" si="579"/>
        <v>0</v>
      </c>
      <c r="L2523" s="63">
        <f t="shared" si="580"/>
        <v>0</v>
      </c>
      <c r="N2523" s="10" t="str">
        <f t="shared" si="582"/>
        <v>00</v>
      </c>
      <c r="O2523" s="10">
        <f t="shared" si="583"/>
        <v>0</v>
      </c>
      <c r="P2523" s="10">
        <f t="shared" si="584"/>
        <v>0</v>
      </c>
      <c r="Q2523" s="10">
        <f t="shared" si="585"/>
        <v>0</v>
      </c>
    </row>
    <row r="2524" spans="1:17">
      <c r="A2524" s="15">
        <f t="shared" si="581"/>
        <v>0</v>
      </c>
      <c r="B2524" s="15"/>
      <c r="C2524" s="14">
        <f>Fixture!C528</f>
        <v>0</v>
      </c>
      <c r="D2524" s="15">
        <f>IF(E2524=0,0,IF(Fixture!D528&lt;Fixture!F528,0,IF(Fixture!F528&lt;Fixture!D528,3,1)))</f>
        <v>0</v>
      </c>
      <c r="E2524" s="16">
        <f>IF(OR(ISBLANK(Fixture!D528),ISBLANK(Fixture!F528),ISTEXT(Fixture!D528),ISTEXT(Fixture!F528)),0,1)</f>
        <v>0</v>
      </c>
      <c r="F2524" s="16">
        <f t="shared" si="576"/>
        <v>0</v>
      </c>
      <c r="G2524" s="16">
        <f t="shared" si="577"/>
        <v>0</v>
      </c>
      <c r="H2524" s="16">
        <f t="shared" si="578"/>
        <v>0</v>
      </c>
      <c r="I2524" s="63">
        <f>IF(E2524=0,0,Fixture!D528)</f>
        <v>0</v>
      </c>
      <c r="J2524" s="63">
        <f>IF(E2524=0,0,Fixture!F528)</f>
        <v>0</v>
      </c>
      <c r="K2524" s="63">
        <f t="shared" si="579"/>
        <v>0</v>
      </c>
      <c r="L2524" s="63">
        <f t="shared" si="580"/>
        <v>0</v>
      </c>
      <c r="N2524" s="10" t="str">
        <f t="shared" si="582"/>
        <v>00</v>
      </c>
      <c r="O2524" s="10">
        <f t="shared" si="583"/>
        <v>0</v>
      </c>
      <c r="P2524" s="10">
        <f t="shared" si="584"/>
        <v>0</v>
      </c>
      <c r="Q2524" s="10">
        <f t="shared" si="585"/>
        <v>0</v>
      </c>
    </row>
    <row r="2525" spans="1:17">
      <c r="A2525" s="15">
        <f t="shared" si="581"/>
        <v>0</v>
      </c>
      <c r="B2525" s="15"/>
      <c r="C2525" s="14">
        <f>Fixture!C529</f>
        <v>0</v>
      </c>
      <c r="D2525" s="15">
        <f>IF(E2525=0,0,IF(Fixture!D529&lt;Fixture!F529,0,IF(Fixture!F529&lt;Fixture!D529,3,1)))</f>
        <v>0</v>
      </c>
      <c r="E2525" s="16">
        <f>IF(OR(ISBLANK(Fixture!D529),ISBLANK(Fixture!F529),ISTEXT(Fixture!D529),ISTEXT(Fixture!F529)),0,1)</f>
        <v>0</v>
      </c>
      <c r="F2525" s="16">
        <f t="shared" si="576"/>
        <v>0</v>
      </c>
      <c r="G2525" s="16">
        <f t="shared" si="577"/>
        <v>0</v>
      </c>
      <c r="H2525" s="16">
        <f t="shared" si="578"/>
        <v>0</v>
      </c>
      <c r="I2525" s="63">
        <f>IF(E2525=0,0,Fixture!D529)</f>
        <v>0</v>
      </c>
      <c r="J2525" s="63">
        <f>IF(E2525=0,0,Fixture!F529)</f>
        <v>0</v>
      </c>
      <c r="K2525" s="63">
        <f t="shared" si="579"/>
        <v>0</v>
      </c>
      <c r="L2525" s="63">
        <f t="shared" si="580"/>
        <v>0</v>
      </c>
      <c r="N2525" s="10" t="str">
        <f t="shared" si="582"/>
        <v>00</v>
      </c>
      <c r="O2525" s="10">
        <f t="shared" si="583"/>
        <v>0</v>
      </c>
      <c r="P2525" s="10">
        <f t="shared" si="584"/>
        <v>0</v>
      </c>
      <c r="Q2525" s="10">
        <f t="shared" si="585"/>
        <v>0</v>
      </c>
    </row>
    <row r="2526" spans="1:17">
      <c r="A2526" s="15">
        <f t="shared" si="581"/>
        <v>0</v>
      </c>
      <c r="B2526" s="15"/>
      <c r="C2526" s="14">
        <f>Fixture!C530</f>
        <v>0</v>
      </c>
      <c r="D2526" s="15">
        <f>IF(E2526=0,0,IF(Fixture!D530&lt;Fixture!F530,0,IF(Fixture!F530&lt;Fixture!D530,3,1)))</f>
        <v>0</v>
      </c>
      <c r="E2526" s="16">
        <f>IF(OR(ISBLANK(Fixture!D530),ISBLANK(Fixture!F530),ISTEXT(Fixture!D530),ISTEXT(Fixture!F530)),0,1)</f>
        <v>0</v>
      </c>
      <c r="F2526" s="16">
        <f t="shared" si="576"/>
        <v>0</v>
      </c>
      <c r="G2526" s="16">
        <f t="shared" si="577"/>
        <v>0</v>
      </c>
      <c r="H2526" s="16">
        <f t="shared" si="578"/>
        <v>0</v>
      </c>
      <c r="I2526" s="63">
        <f>IF(E2526=0,0,Fixture!D530)</f>
        <v>0</v>
      </c>
      <c r="J2526" s="63">
        <f>IF(E2526=0,0,Fixture!F530)</f>
        <v>0</v>
      </c>
      <c r="K2526" s="63">
        <f t="shared" si="579"/>
        <v>0</v>
      </c>
      <c r="L2526" s="63">
        <f t="shared" si="580"/>
        <v>0</v>
      </c>
      <c r="N2526" s="10" t="str">
        <f t="shared" si="582"/>
        <v>00</v>
      </c>
      <c r="O2526" s="10">
        <f t="shared" si="583"/>
        <v>0</v>
      </c>
      <c r="P2526" s="10">
        <f t="shared" si="584"/>
        <v>0</v>
      </c>
      <c r="Q2526" s="10">
        <f t="shared" si="585"/>
        <v>0</v>
      </c>
    </row>
    <row r="2527" spans="1:17">
      <c r="A2527" s="15">
        <f t="shared" si="581"/>
        <v>0</v>
      </c>
      <c r="B2527" s="15"/>
      <c r="C2527" s="14">
        <f>Fixture!C531</f>
        <v>0</v>
      </c>
      <c r="D2527" s="15">
        <f>IF(E2527=0,0,IF(Fixture!D531&lt;Fixture!F531,0,IF(Fixture!F531&lt;Fixture!D531,3,1)))</f>
        <v>0</v>
      </c>
      <c r="E2527" s="16">
        <f>IF(OR(ISBLANK(Fixture!D531),ISBLANK(Fixture!F531),ISTEXT(Fixture!D531),ISTEXT(Fixture!F531)),0,1)</f>
        <v>0</v>
      </c>
      <c r="F2527" s="16">
        <f t="shared" si="576"/>
        <v>0</v>
      </c>
      <c r="G2527" s="16">
        <f t="shared" si="577"/>
        <v>0</v>
      </c>
      <c r="H2527" s="16">
        <f t="shared" si="578"/>
        <v>0</v>
      </c>
      <c r="I2527" s="63">
        <f>IF(E2527=0,0,Fixture!D531)</f>
        <v>0</v>
      </c>
      <c r="J2527" s="63">
        <f>IF(E2527=0,0,Fixture!F531)</f>
        <v>0</v>
      </c>
      <c r="K2527" s="63">
        <f t="shared" si="579"/>
        <v>0</v>
      </c>
      <c r="L2527" s="63">
        <f t="shared" si="580"/>
        <v>0</v>
      </c>
      <c r="N2527" s="10" t="str">
        <f t="shared" si="582"/>
        <v>00</v>
      </c>
      <c r="O2527" s="10">
        <f t="shared" si="583"/>
        <v>0</v>
      </c>
      <c r="P2527" s="10">
        <f t="shared" si="584"/>
        <v>0</v>
      </c>
      <c r="Q2527" s="10">
        <f t="shared" si="585"/>
        <v>0</v>
      </c>
    </row>
    <row r="2528" spans="1:17">
      <c r="A2528" s="15">
        <f t="shared" si="581"/>
        <v>0</v>
      </c>
      <c r="B2528" s="15"/>
      <c r="C2528" s="14">
        <f>Fixture!C532</f>
        <v>0</v>
      </c>
      <c r="D2528" s="15">
        <f>IF(E2528=0,0,IF(Fixture!D532&lt;Fixture!F532,0,IF(Fixture!F532&lt;Fixture!D532,3,1)))</f>
        <v>0</v>
      </c>
      <c r="E2528" s="16">
        <f>IF(OR(ISBLANK(Fixture!D532),ISBLANK(Fixture!F532),ISTEXT(Fixture!D532),ISTEXT(Fixture!F532)),0,1)</f>
        <v>0</v>
      </c>
      <c r="F2528" s="16">
        <f t="shared" si="576"/>
        <v>0</v>
      </c>
      <c r="G2528" s="16">
        <f t="shared" si="577"/>
        <v>0</v>
      </c>
      <c r="H2528" s="16">
        <f t="shared" si="578"/>
        <v>0</v>
      </c>
      <c r="I2528" s="63">
        <f>IF(E2528=0,0,Fixture!D532)</f>
        <v>0</v>
      </c>
      <c r="J2528" s="63">
        <f>IF(E2528=0,0,Fixture!F532)</f>
        <v>0</v>
      </c>
      <c r="K2528" s="63">
        <f t="shared" si="579"/>
        <v>0</v>
      </c>
      <c r="L2528" s="63">
        <f t="shared" si="580"/>
        <v>0</v>
      </c>
      <c r="N2528" s="10" t="str">
        <f t="shared" si="582"/>
        <v>00</v>
      </c>
      <c r="O2528" s="10">
        <f t="shared" si="583"/>
        <v>0</v>
      </c>
      <c r="P2528" s="10">
        <f t="shared" si="584"/>
        <v>0</v>
      </c>
      <c r="Q2528" s="10">
        <f t="shared" si="585"/>
        <v>0</v>
      </c>
    </row>
    <row r="2529" spans="1:17">
      <c r="A2529" s="15">
        <f t="shared" si="581"/>
        <v>0</v>
      </c>
      <c r="B2529" s="15"/>
      <c r="C2529" s="14">
        <f>Fixture!C533</f>
        <v>0</v>
      </c>
      <c r="D2529" s="15">
        <f>IF(E2529=0,0,IF(Fixture!D533&lt;Fixture!F533,0,IF(Fixture!F533&lt;Fixture!D533,3,1)))</f>
        <v>0</v>
      </c>
      <c r="E2529" s="16">
        <f>IF(OR(ISBLANK(Fixture!D533),ISBLANK(Fixture!F533),ISTEXT(Fixture!D533),ISTEXT(Fixture!F533)),0,1)</f>
        <v>0</v>
      </c>
      <c r="F2529" s="16">
        <f t="shared" si="576"/>
        <v>0</v>
      </c>
      <c r="G2529" s="16">
        <f t="shared" si="577"/>
        <v>0</v>
      </c>
      <c r="H2529" s="16">
        <f t="shared" si="578"/>
        <v>0</v>
      </c>
      <c r="I2529" s="63">
        <f>IF(E2529=0,0,Fixture!D533)</f>
        <v>0</v>
      </c>
      <c r="J2529" s="63">
        <f>IF(E2529=0,0,Fixture!F533)</f>
        <v>0</v>
      </c>
      <c r="K2529" s="63">
        <f t="shared" si="579"/>
        <v>0</v>
      </c>
      <c r="L2529" s="63">
        <f t="shared" si="580"/>
        <v>0</v>
      </c>
      <c r="N2529" s="10" t="str">
        <f t="shared" si="582"/>
        <v>00</v>
      </c>
      <c r="O2529" s="10">
        <f t="shared" si="583"/>
        <v>0</v>
      </c>
      <c r="P2529" s="10">
        <f t="shared" si="584"/>
        <v>0</v>
      </c>
      <c r="Q2529" s="10">
        <f t="shared" si="585"/>
        <v>0</v>
      </c>
    </row>
    <row r="2530" spans="1:17">
      <c r="A2530" s="15">
        <f t="shared" si="581"/>
        <v>0</v>
      </c>
      <c r="B2530" s="15"/>
      <c r="C2530" s="14">
        <f>Fixture!C534</f>
        <v>0</v>
      </c>
      <c r="D2530" s="15">
        <f>IF(E2530=0,0,IF(Fixture!D534&lt;Fixture!F534,0,IF(Fixture!F534&lt;Fixture!D534,3,1)))</f>
        <v>0</v>
      </c>
      <c r="E2530" s="16">
        <f>IF(OR(ISBLANK(Fixture!D534),ISBLANK(Fixture!F534),ISTEXT(Fixture!D534),ISTEXT(Fixture!F534)),0,1)</f>
        <v>0</v>
      </c>
      <c r="F2530" s="16">
        <f t="shared" si="576"/>
        <v>0</v>
      </c>
      <c r="G2530" s="16">
        <f t="shared" si="577"/>
        <v>0</v>
      </c>
      <c r="H2530" s="16">
        <f t="shared" si="578"/>
        <v>0</v>
      </c>
      <c r="I2530" s="63">
        <f>IF(E2530=0,0,Fixture!D534)</f>
        <v>0</v>
      </c>
      <c r="J2530" s="63">
        <f>IF(E2530=0,0,Fixture!F534)</f>
        <v>0</v>
      </c>
      <c r="K2530" s="63">
        <f t="shared" si="579"/>
        <v>0</v>
      </c>
      <c r="L2530" s="63">
        <f t="shared" si="580"/>
        <v>0</v>
      </c>
      <c r="N2530" s="10" t="str">
        <f t="shared" si="582"/>
        <v>00</v>
      </c>
      <c r="O2530" s="10">
        <f t="shared" si="583"/>
        <v>0</v>
      </c>
      <c r="P2530" s="10">
        <f t="shared" si="584"/>
        <v>0</v>
      </c>
      <c r="Q2530" s="10">
        <f t="shared" si="585"/>
        <v>0</v>
      </c>
    </row>
    <row r="2531" spans="1:17">
      <c r="A2531" s="15">
        <f t="shared" si="581"/>
        <v>0</v>
      </c>
      <c r="B2531" s="15"/>
      <c r="C2531" s="14">
        <f>Fixture!C535</f>
        <v>0</v>
      </c>
      <c r="D2531" s="15">
        <f>IF(E2531=0,0,IF(Fixture!D535&lt;Fixture!F535,0,IF(Fixture!F535&lt;Fixture!D535,3,1)))</f>
        <v>0</v>
      </c>
      <c r="E2531" s="16">
        <f>IF(OR(ISBLANK(Fixture!D535),ISBLANK(Fixture!F535),ISTEXT(Fixture!D535),ISTEXT(Fixture!F535)),0,1)</f>
        <v>0</v>
      </c>
      <c r="F2531" s="16">
        <f t="shared" si="576"/>
        <v>0</v>
      </c>
      <c r="G2531" s="16">
        <f t="shared" si="577"/>
        <v>0</v>
      </c>
      <c r="H2531" s="16">
        <f t="shared" si="578"/>
        <v>0</v>
      </c>
      <c r="I2531" s="63">
        <f>IF(E2531=0,0,Fixture!D535)</f>
        <v>0</v>
      </c>
      <c r="J2531" s="63">
        <f>IF(E2531=0,0,Fixture!F535)</f>
        <v>0</v>
      </c>
      <c r="K2531" s="63">
        <f t="shared" si="579"/>
        <v>0</v>
      </c>
      <c r="L2531" s="63">
        <f t="shared" si="580"/>
        <v>0</v>
      </c>
      <c r="N2531" s="10" t="str">
        <f t="shared" si="582"/>
        <v>00</v>
      </c>
      <c r="O2531" s="10">
        <f t="shared" si="583"/>
        <v>0</v>
      </c>
      <c r="P2531" s="10">
        <f t="shared" si="584"/>
        <v>0</v>
      </c>
      <c r="Q2531" s="10">
        <f t="shared" si="585"/>
        <v>0</v>
      </c>
    </row>
    <row r="2532" spans="1:17">
      <c r="A2532" s="15">
        <f t="shared" si="581"/>
        <v>0</v>
      </c>
      <c r="B2532" s="15"/>
      <c r="C2532" s="14">
        <f>Fixture!C536</f>
        <v>0</v>
      </c>
      <c r="D2532" s="15">
        <f>IF(E2532=0,0,IF(Fixture!D536&lt;Fixture!F536,0,IF(Fixture!F536&lt;Fixture!D536,3,1)))</f>
        <v>0</v>
      </c>
      <c r="E2532" s="16">
        <f>IF(OR(ISBLANK(Fixture!D536),ISBLANK(Fixture!F536),ISTEXT(Fixture!D536),ISTEXT(Fixture!F536)),0,1)</f>
        <v>0</v>
      </c>
      <c r="F2532" s="16">
        <f t="shared" si="576"/>
        <v>0</v>
      </c>
      <c r="G2532" s="16">
        <f t="shared" si="577"/>
        <v>0</v>
      </c>
      <c r="H2532" s="16">
        <f t="shared" si="578"/>
        <v>0</v>
      </c>
      <c r="I2532" s="63">
        <f>IF(E2532=0,0,Fixture!D536)</f>
        <v>0</v>
      </c>
      <c r="J2532" s="63">
        <f>IF(E2532=0,0,Fixture!F536)</f>
        <v>0</v>
      </c>
      <c r="K2532" s="63">
        <f t="shared" si="579"/>
        <v>0</v>
      </c>
      <c r="L2532" s="63">
        <f t="shared" si="580"/>
        <v>0</v>
      </c>
      <c r="N2532" s="10" t="str">
        <f t="shared" si="582"/>
        <v>00</v>
      </c>
      <c r="O2532" s="10">
        <f t="shared" si="583"/>
        <v>0</v>
      </c>
      <c r="P2532" s="10">
        <f t="shared" si="584"/>
        <v>0</v>
      </c>
      <c r="Q2532" s="10">
        <f t="shared" si="585"/>
        <v>0</v>
      </c>
    </row>
    <row r="2533" spans="1:17">
      <c r="A2533" s="15">
        <f t="shared" si="581"/>
        <v>0</v>
      </c>
      <c r="B2533" s="15"/>
      <c r="C2533" s="14">
        <f>Fixture!C537</f>
        <v>0</v>
      </c>
      <c r="D2533" s="15">
        <f>IF(E2533=0,0,IF(Fixture!D537&lt;Fixture!F537,0,IF(Fixture!F537&lt;Fixture!D537,3,1)))</f>
        <v>0</v>
      </c>
      <c r="E2533" s="16">
        <f>IF(OR(ISBLANK(Fixture!D537),ISBLANK(Fixture!F537),ISTEXT(Fixture!D537),ISTEXT(Fixture!F537)),0,1)</f>
        <v>0</v>
      </c>
      <c r="F2533" s="16">
        <f t="shared" si="576"/>
        <v>0</v>
      </c>
      <c r="G2533" s="16">
        <f t="shared" si="577"/>
        <v>0</v>
      </c>
      <c r="H2533" s="16">
        <f t="shared" si="578"/>
        <v>0</v>
      </c>
      <c r="I2533" s="63">
        <f>IF(E2533=0,0,Fixture!D537)</f>
        <v>0</v>
      </c>
      <c r="J2533" s="63">
        <f>IF(E2533=0,0,Fixture!F537)</f>
        <v>0</v>
      </c>
      <c r="K2533" s="63">
        <f t="shared" si="579"/>
        <v>0</v>
      </c>
      <c r="L2533" s="63">
        <f t="shared" si="580"/>
        <v>0</v>
      </c>
      <c r="N2533" s="10" t="str">
        <f t="shared" si="582"/>
        <v>00</v>
      </c>
      <c r="O2533" s="10">
        <f t="shared" si="583"/>
        <v>0</v>
      </c>
      <c r="P2533" s="10">
        <f t="shared" si="584"/>
        <v>0</v>
      </c>
      <c r="Q2533" s="10">
        <f t="shared" si="585"/>
        <v>0</v>
      </c>
    </row>
    <row r="2534" spans="1:17">
      <c r="A2534" s="15">
        <f t="shared" si="581"/>
        <v>0</v>
      </c>
      <c r="B2534" s="15"/>
      <c r="C2534" s="14">
        <f>Fixture!C538</f>
        <v>0</v>
      </c>
      <c r="D2534" s="15">
        <f>IF(E2534=0,0,IF(Fixture!D538&lt;Fixture!F538,0,IF(Fixture!F538&lt;Fixture!D538,3,1)))</f>
        <v>0</v>
      </c>
      <c r="E2534" s="16">
        <f>IF(OR(ISBLANK(Fixture!D538),ISBLANK(Fixture!F538),ISTEXT(Fixture!D538),ISTEXT(Fixture!F538)),0,1)</f>
        <v>0</v>
      </c>
      <c r="F2534" s="16">
        <f t="shared" si="576"/>
        <v>0</v>
      </c>
      <c r="G2534" s="16">
        <f t="shared" si="577"/>
        <v>0</v>
      </c>
      <c r="H2534" s="16">
        <f t="shared" si="578"/>
        <v>0</v>
      </c>
      <c r="I2534" s="63">
        <f>IF(E2534=0,0,Fixture!D538)</f>
        <v>0</v>
      </c>
      <c r="J2534" s="63">
        <f>IF(E2534=0,0,Fixture!F538)</f>
        <v>0</v>
      </c>
      <c r="K2534" s="63">
        <f t="shared" si="579"/>
        <v>0</v>
      </c>
      <c r="L2534" s="63">
        <f t="shared" si="580"/>
        <v>0</v>
      </c>
      <c r="N2534" s="10" t="str">
        <f t="shared" si="582"/>
        <v>00</v>
      </c>
      <c r="O2534" s="10">
        <f t="shared" si="583"/>
        <v>0</v>
      </c>
      <c r="P2534" s="10">
        <f t="shared" si="584"/>
        <v>0</v>
      </c>
      <c r="Q2534" s="10">
        <f t="shared" si="585"/>
        <v>0</v>
      </c>
    </row>
    <row r="2535" spans="1:17">
      <c r="A2535" s="15">
        <f t="shared" si="581"/>
        <v>0</v>
      </c>
      <c r="B2535" s="15"/>
      <c r="C2535" s="14">
        <f>Fixture!C539</f>
        <v>0</v>
      </c>
      <c r="D2535" s="15">
        <f>IF(E2535=0,0,IF(Fixture!D539&lt;Fixture!F539,0,IF(Fixture!F539&lt;Fixture!D539,3,1)))</f>
        <v>0</v>
      </c>
      <c r="E2535" s="16">
        <f>IF(OR(ISBLANK(Fixture!D539),ISBLANK(Fixture!F539),ISTEXT(Fixture!D539),ISTEXT(Fixture!F539)),0,1)</f>
        <v>0</v>
      </c>
      <c r="F2535" s="16">
        <f t="shared" si="576"/>
        <v>0</v>
      </c>
      <c r="G2535" s="16">
        <f t="shared" si="577"/>
        <v>0</v>
      </c>
      <c r="H2535" s="16">
        <f t="shared" si="578"/>
        <v>0</v>
      </c>
      <c r="I2535" s="63">
        <f>IF(E2535=0,0,Fixture!D539)</f>
        <v>0</v>
      </c>
      <c r="J2535" s="63">
        <f>IF(E2535=0,0,Fixture!F539)</f>
        <v>0</v>
      </c>
      <c r="K2535" s="63">
        <f t="shared" si="579"/>
        <v>0</v>
      </c>
      <c r="L2535" s="63">
        <f t="shared" si="580"/>
        <v>0</v>
      </c>
      <c r="N2535" s="10" t="str">
        <f t="shared" si="582"/>
        <v>00</v>
      </c>
      <c r="O2535" s="10">
        <f t="shared" si="583"/>
        <v>0</v>
      </c>
      <c r="P2535" s="10">
        <f t="shared" si="584"/>
        <v>0</v>
      </c>
      <c r="Q2535" s="10">
        <f t="shared" si="585"/>
        <v>0</v>
      </c>
    </row>
    <row r="2536" spans="1:17">
      <c r="A2536" s="15">
        <f t="shared" si="581"/>
        <v>0</v>
      </c>
      <c r="B2536" s="15"/>
      <c r="C2536" s="14">
        <f>Fixture!C540</f>
        <v>0</v>
      </c>
      <c r="D2536" s="15">
        <f>IF(E2536=0,0,IF(Fixture!D540&lt;Fixture!F540,0,IF(Fixture!F540&lt;Fixture!D540,3,1)))</f>
        <v>0</v>
      </c>
      <c r="E2536" s="16">
        <f>IF(OR(ISBLANK(Fixture!D540),ISBLANK(Fixture!F540),ISTEXT(Fixture!D540),ISTEXT(Fixture!F540)),0,1)</f>
        <v>0</v>
      </c>
      <c r="F2536" s="16">
        <f t="shared" si="576"/>
        <v>0</v>
      </c>
      <c r="G2536" s="16">
        <f t="shared" si="577"/>
        <v>0</v>
      </c>
      <c r="H2536" s="16">
        <f t="shared" si="578"/>
        <v>0</v>
      </c>
      <c r="I2536" s="63">
        <f>IF(E2536=0,0,Fixture!D540)</f>
        <v>0</v>
      </c>
      <c r="J2536" s="63">
        <f>IF(E2536=0,0,Fixture!F540)</f>
        <v>0</v>
      </c>
      <c r="K2536" s="63">
        <f t="shared" si="579"/>
        <v>0</v>
      </c>
      <c r="L2536" s="63">
        <f t="shared" si="580"/>
        <v>0</v>
      </c>
      <c r="N2536" s="10" t="str">
        <f t="shared" si="582"/>
        <v>00</v>
      </c>
      <c r="O2536" s="10">
        <f t="shared" si="583"/>
        <v>0</v>
      </c>
      <c r="P2536" s="10">
        <f t="shared" si="584"/>
        <v>0</v>
      </c>
      <c r="Q2536" s="10">
        <f t="shared" si="585"/>
        <v>0</v>
      </c>
    </row>
    <row r="2537" spans="1:17">
      <c r="A2537" s="15">
        <f t="shared" si="581"/>
        <v>0</v>
      </c>
      <c r="B2537" s="15"/>
      <c r="C2537" s="14">
        <f>Fixture!C541</f>
        <v>0</v>
      </c>
      <c r="D2537" s="15">
        <f>IF(E2537=0,0,IF(Fixture!D541&lt;Fixture!F541,0,IF(Fixture!F541&lt;Fixture!D541,3,1)))</f>
        <v>0</v>
      </c>
      <c r="E2537" s="16">
        <f>IF(OR(ISBLANK(Fixture!D541),ISBLANK(Fixture!F541),ISTEXT(Fixture!D541),ISTEXT(Fixture!F541)),0,1)</f>
        <v>0</v>
      </c>
      <c r="F2537" s="16">
        <f t="shared" si="576"/>
        <v>0</v>
      </c>
      <c r="G2537" s="16">
        <f t="shared" si="577"/>
        <v>0</v>
      </c>
      <c r="H2537" s="16">
        <f t="shared" si="578"/>
        <v>0</v>
      </c>
      <c r="I2537" s="63">
        <f>IF(E2537=0,0,Fixture!D541)</f>
        <v>0</v>
      </c>
      <c r="J2537" s="63">
        <f>IF(E2537=0,0,Fixture!F541)</f>
        <v>0</v>
      </c>
      <c r="K2537" s="63">
        <f t="shared" si="579"/>
        <v>0</v>
      </c>
      <c r="L2537" s="63">
        <f t="shared" si="580"/>
        <v>0</v>
      </c>
      <c r="N2537" s="10" t="str">
        <f t="shared" si="582"/>
        <v>00</v>
      </c>
      <c r="O2537" s="10">
        <f t="shared" si="583"/>
        <v>0</v>
      </c>
      <c r="P2537" s="10">
        <f t="shared" si="584"/>
        <v>0</v>
      </c>
      <c r="Q2537" s="10">
        <f t="shared" si="585"/>
        <v>0</v>
      </c>
    </row>
    <row r="2538" spans="1:17">
      <c r="A2538" s="15">
        <f t="shared" si="581"/>
        <v>0</v>
      </c>
      <c r="B2538" s="15"/>
      <c r="C2538" s="14">
        <f>Fixture!C542</f>
        <v>0</v>
      </c>
      <c r="D2538" s="15">
        <f>IF(E2538=0,0,IF(Fixture!D542&lt;Fixture!F542,0,IF(Fixture!F542&lt;Fixture!D542,3,1)))</f>
        <v>0</v>
      </c>
      <c r="E2538" s="16">
        <f>IF(OR(ISBLANK(Fixture!D542),ISBLANK(Fixture!F542),ISTEXT(Fixture!D542),ISTEXT(Fixture!F542)),0,1)</f>
        <v>0</v>
      </c>
      <c r="F2538" s="16">
        <f t="shared" si="576"/>
        <v>0</v>
      </c>
      <c r="G2538" s="16">
        <f t="shared" si="577"/>
        <v>0</v>
      </c>
      <c r="H2538" s="16">
        <f t="shared" si="578"/>
        <v>0</v>
      </c>
      <c r="I2538" s="63">
        <f>IF(E2538=0,0,Fixture!D542)</f>
        <v>0</v>
      </c>
      <c r="J2538" s="63">
        <f>IF(E2538=0,0,Fixture!F542)</f>
        <v>0</v>
      </c>
      <c r="K2538" s="63">
        <f t="shared" si="579"/>
        <v>0</v>
      </c>
      <c r="L2538" s="63">
        <f t="shared" si="580"/>
        <v>0</v>
      </c>
      <c r="N2538" s="10" t="str">
        <f t="shared" si="582"/>
        <v>00</v>
      </c>
      <c r="O2538" s="10">
        <f t="shared" si="583"/>
        <v>0</v>
      </c>
      <c r="P2538" s="10">
        <f t="shared" si="584"/>
        <v>0</v>
      </c>
      <c r="Q2538" s="10">
        <f t="shared" si="585"/>
        <v>0</v>
      </c>
    </row>
    <row r="2539" spans="1:17">
      <c r="A2539" s="15">
        <f t="shared" si="581"/>
        <v>0</v>
      </c>
      <c r="B2539" s="15"/>
      <c r="C2539" s="14">
        <f>Fixture!C543</f>
        <v>0</v>
      </c>
      <c r="D2539" s="15">
        <f>IF(E2539=0,0,IF(Fixture!D543&lt;Fixture!F543,0,IF(Fixture!F543&lt;Fixture!D543,3,1)))</f>
        <v>0</v>
      </c>
      <c r="E2539" s="16">
        <f>IF(OR(ISBLANK(Fixture!D543),ISBLANK(Fixture!F543),ISTEXT(Fixture!D543),ISTEXT(Fixture!F543)),0,1)</f>
        <v>0</v>
      </c>
      <c r="F2539" s="16">
        <f t="shared" si="576"/>
        <v>0</v>
      </c>
      <c r="G2539" s="16">
        <f t="shared" si="577"/>
        <v>0</v>
      </c>
      <c r="H2539" s="16">
        <f t="shared" si="578"/>
        <v>0</v>
      </c>
      <c r="I2539" s="63">
        <f>IF(E2539=0,0,Fixture!D543)</f>
        <v>0</v>
      </c>
      <c r="J2539" s="63">
        <f>IF(E2539=0,0,Fixture!F543)</f>
        <v>0</v>
      </c>
      <c r="K2539" s="63">
        <f t="shared" si="579"/>
        <v>0</v>
      </c>
      <c r="L2539" s="63">
        <f t="shared" si="580"/>
        <v>0</v>
      </c>
      <c r="N2539" s="10" t="str">
        <f t="shared" si="582"/>
        <v>00</v>
      </c>
      <c r="O2539" s="10">
        <f t="shared" si="583"/>
        <v>0</v>
      </c>
      <c r="P2539" s="10">
        <f t="shared" si="584"/>
        <v>0</v>
      </c>
      <c r="Q2539" s="10">
        <f t="shared" si="585"/>
        <v>0</v>
      </c>
    </row>
    <row r="2540" spans="1:17">
      <c r="A2540" s="15">
        <f t="shared" si="581"/>
        <v>0</v>
      </c>
      <c r="B2540" s="15"/>
      <c r="C2540" s="14">
        <f>Fixture!C544</f>
        <v>0</v>
      </c>
      <c r="D2540" s="15">
        <f>IF(E2540=0,0,IF(Fixture!D544&lt;Fixture!F544,0,IF(Fixture!F544&lt;Fixture!D544,3,1)))</f>
        <v>0</v>
      </c>
      <c r="E2540" s="16">
        <f>IF(OR(ISBLANK(Fixture!D544),ISBLANK(Fixture!F544),ISTEXT(Fixture!D544),ISTEXT(Fixture!F544)),0,1)</f>
        <v>0</v>
      </c>
      <c r="F2540" s="16">
        <f t="shared" si="576"/>
        <v>0</v>
      </c>
      <c r="G2540" s="16">
        <f t="shared" si="577"/>
        <v>0</v>
      </c>
      <c r="H2540" s="16">
        <f t="shared" si="578"/>
        <v>0</v>
      </c>
      <c r="I2540" s="63">
        <f>IF(E2540=0,0,Fixture!D544)</f>
        <v>0</v>
      </c>
      <c r="J2540" s="63">
        <f>IF(E2540=0,0,Fixture!F544)</f>
        <v>0</v>
      </c>
      <c r="K2540" s="63">
        <f t="shared" si="579"/>
        <v>0</v>
      </c>
      <c r="L2540" s="63">
        <f t="shared" si="580"/>
        <v>0</v>
      </c>
      <c r="N2540" s="10" t="str">
        <f t="shared" si="582"/>
        <v>00</v>
      </c>
      <c r="O2540" s="10">
        <f t="shared" si="583"/>
        <v>0</v>
      </c>
      <c r="P2540" s="10">
        <f t="shared" si="584"/>
        <v>0</v>
      </c>
      <c r="Q2540" s="10">
        <f t="shared" si="585"/>
        <v>0</v>
      </c>
    </row>
    <row r="2541" spans="1:17">
      <c r="A2541" s="15">
        <f t="shared" si="581"/>
        <v>0</v>
      </c>
      <c r="B2541" s="15"/>
      <c r="C2541" s="14">
        <f>Fixture!C545</f>
        <v>0</v>
      </c>
      <c r="D2541" s="15">
        <f>IF(E2541=0,0,IF(Fixture!D545&lt;Fixture!F545,0,IF(Fixture!F545&lt;Fixture!D545,3,1)))</f>
        <v>0</v>
      </c>
      <c r="E2541" s="16">
        <f>IF(OR(ISBLANK(Fixture!D545),ISBLANK(Fixture!F545),ISTEXT(Fixture!D545),ISTEXT(Fixture!F545)),0,1)</f>
        <v>0</v>
      </c>
      <c r="F2541" s="16">
        <f t="shared" si="576"/>
        <v>0</v>
      </c>
      <c r="G2541" s="16">
        <f t="shared" si="577"/>
        <v>0</v>
      </c>
      <c r="H2541" s="16">
        <f t="shared" si="578"/>
        <v>0</v>
      </c>
      <c r="I2541" s="63">
        <f>IF(E2541=0,0,Fixture!D545)</f>
        <v>0</v>
      </c>
      <c r="J2541" s="63">
        <f>IF(E2541=0,0,Fixture!F545)</f>
        <v>0</v>
      </c>
      <c r="K2541" s="63">
        <f t="shared" si="579"/>
        <v>0</v>
      </c>
      <c r="L2541" s="63">
        <f t="shared" si="580"/>
        <v>0</v>
      </c>
      <c r="N2541" s="10" t="str">
        <f t="shared" si="582"/>
        <v>00</v>
      </c>
      <c r="O2541" s="10">
        <f t="shared" si="583"/>
        <v>0</v>
      </c>
      <c r="P2541" s="10">
        <f t="shared" si="584"/>
        <v>0</v>
      </c>
      <c r="Q2541" s="10">
        <f t="shared" si="585"/>
        <v>0</v>
      </c>
    </row>
    <row r="2542" spans="1:17">
      <c r="A2542" s="15">
        <f t="shared" si="581"/>
        <v>0</v>
      </c>
      <c r="B2542" s="15"/>
      <c r="C2542" s="14">
        <f>Fixture!C546</f>
        <v>0</v>
      </c>
      <c r="D2542" s="15">
        <f>IF(E2542=0,0,IF(Fixture!D546&lt;Fixture!F546,0,IF(Fixture!F546&lt;Fixture!D546,3,1)))</f>
        <v>0</v>
      </c>
      <c r="E2542" s="16">
        <f>IF(OR(ISBLANK(Fixture!D546),ISBLANK(Fixture!F546),ISTEXT(Fixture!D546),ISTEXT(Fixture!F546)),0,1)</f>
        <v>0</v>
      </c>
      <c r="F2542" s="16">
        <f t="shared" si="576"/>
        <v>0</v>
      </c>
      <c r="G2542" s="16">
        <f t="shared" si="577"/>
        <v>0</v>
      </c>
      <c r="H2542" s="16">
        <f t="shared" si="578"/>
        <v>0</v>
      </c>
      <c r="I2542" s="63">
        <f>IF(E2542=0,0,Fixture!D546)</f>
        <v>0</v>
      </c>
      <c r="J2542" s="63">
        <f>IF(E2542=0,0,Fixture!F546)</f>
        <v>0</v>
      </c>
      <c r="K2542" s="63">
        <f t="shared" si="579"/>
        <v>0</v>
      </c>
      <c r="L2542" s="63">
        <f t="shared" si="580"/>
        <v>0</v>
      </c>
      <c r="N2542" s="10" t="str">
        <f t="shared" si="582"/>
        <v>00</v>
      </c>
      <c r="O2542" s="10">
        <f t="shared" si="583"/>
        <v>0</v>
      </c>
      <c r="P2542" s="10">
        <f t="shared" si="584"/>
        <v>0</v>
      </c>
      <c r="Q2542" s="10">
        <f t="shared" si="585"/>
        <v>0</v>
      </c>
    </row>
    <row r="2543" spans="1:17">
      <c r="A2543" s="15">
        <f t="shared" si="581"/>
        <v>0</v>
      </c>
      <c r="B2543" s="15"/>
      <c r="C2543" s="14">
        <f>Fixture!C547</f>
        <v>0</v>
      </c>
      <c r="D2543" s="15">
        <f>IF(E2543=0,0,IF(Fixture!D547&lt;Fixture!F547,0,IF(Fixture!F547&lt;Fixture!D547,3,1)))</f>
        <v>0</v>
      </c>
      <c r="E2543" s="16">
        <f>IF(OR(ISBLANK(Fixture!D547),ISBLANK(Fixture!F547),ISTEXT(Fixture!D547),ISTEXT(Fixture!F547)),0,1)</f>
        <v>0</v>
      </c>
      <c r="F2543" s="16">
        <f t="shared" si="576"/>
        <v>0</v>
      </c>
      <c r="G2543" s="16">
        <f t="shared" si="577"/>
        <v>0</v>
      </c>
      <c r="H2543" s="16">
        <f t="shared" si="578"/>
        <v>0</v>
      </c>
      <c r="I2543" s="63">
        <f>IF(E2543=0,0,Fixture!D547)</f>
        <v>0</v>
      </c>
      <c r="J2543" s="63">
        <f>IF(E2543=0,0,Fixture!F547)</f>
        <v>0</v>
      </c>
      <c r="K2543" s="63">
        <f t="shared" si="579"/>
        <v>0</v>
      </c>
      <c r="L2543" s="63">
        <f t="shared" si="580"/>
        <v>0</v>
      </c>
      <c r="N2543" s="10" t="str">
        <f t="shared" si="582"/>
        <v>00</v>
      </c>
      <c r="O2543" s="10">
        <f t="shared" si="583"/>
        <v>0</v>
      </c>
      <c r="P2543" s="10">
        <f t="shared" si="584"/>
        <v>0</v>
      </c>
      <c r="Q2543" s="10">
        <f t="shared" si="585"/>
        <v>0</v>
      </c>
    </row>
    <row r="2544" spans="1:17">
      <c r="A2544" s="15">
        <f t="shared" si="581"/>
        <v>0</v>
      </c>
      <c r="B2544" s="15"/>
      <c r="C2544" s="14">
        <f>Fixture!C548</f>
        <v>0</v>
      </c>
      <c r="D2544" s="15">
        <f>IF(E2544=0,0,IF(Fixture!D548&lt;Fixture!F548,0,IF(Fixture!F548&lt;Fixture!D548,3,1)))</f>
        <v>0</v>
      </c>
      <c r="E2544" s="16">
        <f>IF(OR(ISBLANK(Fixture!D548),ISBLANK(Fixture!F548),ISTEXT(Fixture!D548),ISTEXT(Fixture!F548)),0,1)</f>
        <v>0</v>
      </c>
      <c r="F2544" s="16">
        <f t="shared" si="576"/>
        <v>0</v>
      </c>
      <c r="G2544" s="16">
        <f t="shared" si="577"/>
        <v>0</v>
      </c>
      <c r="H2544" s="16">
        <f t="shared" si="578"/>
        <v>0</v>
      </c>
      <c r="I2544" s="63">
        <f>IF(E2544=0,0,Fixture!D548)</f>
        <v>0</v>
      </c>
      <c r="J2544" s="63">
        <f>IF(E2544=0,0,Fixture!F548)</f>
        <v>0</v>
      </c>
      <c r="K2544" s="63">
        <f t="shared" si="579"/>
        <v>0</v>
      </c>
      <c r="L2544" s="63">
        <f t="shared" si="580"/>
        <v>0</v>
      </c>
      <c r="N2544" s="10" t="str">
        <f t="shared" si="582"/>
        <v>00</v>
      </c>
      <c r="O2544" s="10">
        <f t="shared" si="583"/>
        <v>0</v>
      </c>
      <c r="P2544" s="10">
        <f t="shared" si="584"/>
        <v>0</v>
      </c>
      <c r="Q2544" s="10">
        <f t="shared" si="585"/>
        <v>0</v>
      </c>
    </row>
    <row r="2545" spans="1:17">
      <c r="A2545" s="15">
        <f t="shared" si="581"/>
        <v>0</v>
      </c>
      <c r="B2545" s="15"/>
      <c r="C2545" s="14">
        <f>Fixture!C549</f>
        <v>0</v>
      </c>
      <c r="D2545" s="15">
        <f>IF(E2545=0,0,IF(Fixture!D549&lt;Fixture!F549,0,IF(Fixture!F549&lt;Fixture!D549,3,1)))</f>
        <v>0</v>
      </c>
      <c r="E2545" s="16">
        <f>IF(OR(ISBLANK(Fixture!D549),ISBLANK(Fixture!F549),ISTEXT(Fixture!D549),ISTEXT(Fixture!F549)),0,1)</f>
        <v>0</v>
      </c>
      <c r="F2545" s="16">
        <f t="shared" si="576"/>
        <v>0</v>
      </c>
      <c r="G2545" s="16">
        <f t="shared" si="577"/>
        <v>0</v>
      </c>
      <c r="H2545" s="16">
        <f t="shared" si="578"/>
        <v>0</v>
      </c>
      <c r="I2545" s="63">
        <f>IF(E2545=0,0,Fixture!D549)</f>
        <v>0</v>
      </c>
      <c r="J2545" s="63">
        <f>IF(E2545=0,0,Fixture!F549)</f>
        <v>0</v>
      </c>
      <c r="K2545" s="63">
        <f t="shared" si="579"/>
        <v>0</v>
      </c>
      <c r="L2545" s="63">
        <f t="shared" si="580"/>
        <v>0</v>
      </c>
      <c r="N2545" s="10" t="str">
        <f t="shared" si="582"/>
        <v>00</v>
      </c>
      <c r="O2545" s="10">
        <f t="shared" si="583"/>
        <v>0</v>
      </c>
      <c r="P2545" s="10">
        <f t="shared" si="584"/>
        <v>0</v>
      </c>
      <c r="Q2545" s="10">
        <f t="shared" si="585"/>
        <v>0</v>
      </c>
    </row>
    <row r="2546" spans="1:17">
      <c r="A2546" s="15">
        <f t="shared" si="581"/>
        <v>0</v>
      </c>
      <c r="B2546" s="15"/>
      <c r="C2546" s="14">
        <f>Fixture!C550</f>
        <v>0</v>
      </c>
      <c r="D2546" s="15">
        <f>IF(E2546=0,0,IF(Fixture!D550&lt;Fixture!F550,0,IF(Fixture!F550&lt;Fixture!D550,3,1)))</f>
        <v>0</v>
      </c>
      <c r="E2546" s="16">
        <f>IF(OR(ISBLANK(Fixture!D550),ISBLANK(Fixture!F550),ISTEXT(Fixture!D550),ISTEXT(Fixture!F550)),0,1)</f>
        <v>0</v>
      </c>
      <c r="F2546" s="16">
        <f t="shared" si="576"/>
        <v>0</v>
      </c>
      <c r="G2546" s="16">
        <f t="shared" si="577"/>
        <v>0</v>
      </c>
      <c r="H2546" s="16">
        <f t="shared" si="578"/>
        <v>0</v>
      </c>
      <c r="I2546" s="63">
        <f>IF(E2546=0,0,Fixture!D550)</f>
        <v>0</v>
      </c>
      <c r="J2546" s="63">
        <f>IF(E2546=0,0,Fixture!F550)</f>
        <v>0</v>
      </c>
      <c r="K2546" s="63">
        <f t="shared" si="579"/>
        <v>0</v>
      </c>
      <c r="L2546" s="63">
        <f t="shared" si="580"/>
        <v>0</v>
      </c>
      <c r="N2546" s="10" t="str">
        <f t="shared" si="582"/>
        <v>00</v>
      </c>
      <c r="O2546" s="10">
        <f t="shared" si="583"/>
        <v>0</v>
      </c>
      <c r="P2546" s="10">
        <f t="shared" si="584"/>
        <v>0</v>
      </c>
      <c r="Q2546" s="10">
        <f t="shared" si="585"/>
        <v>0</v>
      </c>
    </row>
    <row r="2547" spans="1:17">
      <c r="A2547" s="15">
        <f t="shared" si="581"/>
        <v>0</v>
      </c>
      <c r="B2547" s="15"/>
      <c r="C2547" s="14">
        <f>Fixture!C551</f>
        <v>0</v>
      </c>
      <c r="D2547" s="15">
        <f>IF(E2547=0,0,IF(Fixture!D551&lt;Fixture!F551,0,IF(Fixture!F551&lt;Fixture!D551,3,1)))</f>
        <v>0</v>
      </c>
      <c r="E2547" s="16">
        <f>IF(OR(ISBLANK(Fixture!D551),ISBLANK(Fixture!F551),ISTEXT(Fixture!D551),ISTEXT(Fixture!F551)),0,1)</f>
        <v>0</v>
      </c>
      <c r="F2547" s="16">
        <f t="shared" si="576"/>
        <v>0</v>
      </c>
      <c r="G2547" s="16">
        <f t="shared" si="577"/>
        <v>0</v>
      </c>
      <c r="H2547" s="16">
        <f t="shared" si="578"/>
        <v>0</v>
      </c>
      <c r="I2547" s="63">
        <f>IF(E2547=0,0,Fixture!D551)</f>
        <v>0</v>
      </c>
      <c r="J2547" s="63">
        <f>IF(E2547=0,0,Fixture!F551)</f>
        <v>0</v>
      </c>
      <c r="K2547" s="63">
        <f t="shared" si="579"/>
        <v>0</v>
      </c>
      <c r="L2547" s="63">
        <f t="shared" si="580"/>
        <v>0</v>
      </c>
      <c r="N2547" s="10" t="str">
        <f t="shared" si="582"/>
        <v>00</v>
      </c>
      <c r="O2547" s="10">
        <f t="shared" si="583"/>
        <v>0</v>
      </c>
      <c r="P2547" s="10">
        <f t="shared" si="584"/>
        <v>0</v>
      </c>
      <c r="Q2547" s="10">
        <f t="shared" si="585"/>
        <v>0</v>
      </c>
    </row>
    <row r="2548" spans="1:17">
      <c r="A2548" s="15">
        <f t="shared" si="581"/>
        <v>0</v>
      </c>
      <c r="B2548" s="15"/>
      <c r="C2548" s="14">
        <f>Fixture!C552</f>
        <v>0</v>
      </c>
      <c r="D2548" s="15">
        <f>IF(E2548=0,0,IF(Fixture!D552&lt;Fixture!F552,0,IF(Fixture!F552&lt;Fixture!D552,3,1)))</f>
        <v>0</v>
      </c>
      <c r="E2548" s="16">
        <f>IF(OR(ISBLANK(Fixture!D552),ISBLANK(Fixture!F552),ISTEXT(Fixture!D552),ISTEXT(Fixture!F552)),0,1)</f>
        <v>0</v>
      </c>
      <c r="F2548" s="16">
        <f t="shared" si="576"/>
        <v>0</v>
      </c>
      <c r="G2548" s="16">
        <f t="shared" si="577"/>
        <v>0</v>
      </c>
      <c r="H2548" s="16">
        <f t="shared" si="578"/>
        <v>0</v>
      </c>
      <c r="I2548" s="63">
        <f>IF(E2548=0,0,Fixture!D552)</f>
        <v>0</v>
      </c>
      <c r="J2548" s="63">
        <f>IF(E2548=0,0,Fixture!F552)</f>
        <v>0</v>
      </c>
      <c r="K2548" s="63">
        <f t="shared" si="579"/>
        <v>0</v>
      </c>
      <c r="L2548" s="63">
        <f t="shared" si="580"/>
        <v>0</v>
      </c>
      <c r="N2548" s="10" t="str">
        <f t="shared" si="582"/>
        <v>00</v>
      </c>
      <c r="O2548" s="10">
        <f t="shared" si="583"/>
        <v>0</v>
      </c>
      <c r="P2548" s="10">
        <f t="shared" si="584"/>
        <v>0</v>
      </c>
      <c r="Q2548" s="10">
        <f t="shared" si="585"/>
        <v>0</v>
      </c>
    </row>
    <row r="2549" spans="1:17">
      <c r="A2549" s="15">
        <f t="shared" si="581"/>
        <v>0</v>
      </c>
      <c r="B2549" s="15"/>
      <c r="C2549" s="14">
        <f>Fixture!C553</f>
        <v>0</v>
      </c>
      <c r="D2549" s="15">
        <f>IF(E2549=0,0,IF(Fixture!D553&lt;Fixture!F553,0,IF(Fixture!F553&lt;Fixture!D553,3,1)))</f>
        <v>0</v>
      </c>
      <c r="E2549" s="16">
        <f>IF(OR(ISBLANK(Fixture!D553),ISBLANK(Fixture!F553),ISTEXT(Fixture!D553),ISTEXT(Fixture!F553)),0,1)</f>
        <v>0</v>
      </c>
      <c r="F2549" s="16">
        <f t="shared" si="576"/>
        <v>0</v>
      </c>
      <c r="G2549" s="16">
        <f t="shared" si="577"/>
        <v>0</v>
      </c>
      <c r="H2549" s="16">
        <f t="shared" si="578"/>
        <v>0</v>
      </c>
      <c r="I2549" s="63">
        <f>IF(E2549=0,0,Fixture!D553)</f>
        <v>0</v>
      </c>
      <c r="J2549" s="63">
        <f>IF(E2549=0,0,Fixture!F553)</f>
        <v>0</v>
      </c>
      <c r="K2549" s="63">
        <f t="shared" si="579"/>
        <v>0</v>
      </c>
      <c r="L2549" s="63">
        <f t="shared" si="580"/>
        <v>0</v>
      </c>
      <c r="N2549" s="10" t="str">
        <f t="shared" si="582"/>
        <v>00</v>
      </c>
      <c r="O2549" s="10">
        <f t="shared" si="583"/>
        <v>0</v>
      </c>
      <c r="P2549" s="10">
        <f t="shared" si="584"/>
        <v>0</v>
      </c>
      <c r="Q2549" s="10">
        <f t="shared" si="585"/>
        <v>0</v>
      </c>
    </row>
    <row r="2550" spans="1:17">
      <c r="A2550" s="15">
        <f t="shared" si="581"/>
        <v>0</v>
      </c>
      <c r="B2550" s="15"/>
      <c r="C2550" s="14">
        <f>Fixture!C554</f>
        <v>0</v>
      </c>
      <c r="D2550" s="15">
        <f>IF(E2550=0,0,IF(Fixture!D554&lt;Fixture!F554,0,IF(Fixture!F554&lt;Fixture!D554,3,1)))</f>
        <v>0</v>
      </c>
      <c r="E2550" s="16">
        <f>IF(OR(ISBLANK(Fixture!D554),ISBLANK(Fixture!F554),ISTEXT(Fixture!D554),ISTEXT(Fixture!F554)),0,1)</f>
        <v>0</v>
      </c>
      <c r="F2550" s="16">
        <f t="shared" si="576"/>
        <v>0</v>
      </c>
      <c r="G2550" s="16">
        <f t="shared" si="577"/>
        <v>0</v>
      </c>
      <c r="H2550" s="16">
        <f t="shared" si="578"/>
        <v>0</v>
      </c>
      <c r="I2550" s="63">
        <f>IF(E2550=0,0,Fixture!D554)</f>
        <v>0</v>
      </c>
      <c r="J2550" s="63">
        <f>IF(E2550=0,0,Fixture!F554)</f>
        <v>0</v>
      </c>
      <c r="K2550" s="63">
        <f t="shared" si="579"/>
        <v>0</v>
      </c>
      <c r="L2550" s="63">
        <f t="shared" si="580"/>
        <v>0</v>
      </c>
      <c r="N2550" s="10" t="str">
        <f t="shared" si="582"/>
        <v>00</v>
      </c>
      <c r="O2550" s="10">
        <f t="shared" si="583"/>
        <v>0</v>
      </c>
      <c r="P2550" s="10">
        <f t="shared" si="584"/>
        <v>0</v>
      </c>
      <c r="Q2550" s="10">
        <f t="shared" si="585"/>
        <v>0</v>
      </c>
    </row>
    <row r="2551" spans="1:17">
      <c r="A2551" s="15">
        <f t="shared" si="581"/>
        <v>0</v>
      </c>
      <c r="B2551" s="15"/>
      <c r="C2551" s="14">
        <f>Fixture!C555</f>
        <v>0</v>
      </c>
      <c r="D2551" s="15">
        <f>IF(E2551=0,0,IF(Fixture!D555&lt;Fixture!F555,0,IF(Fixture!F555&lt;Fixture!D555,3,1)))</f>
        <v>0</v>
      </c>
      <c r="E2551" s="16">
        <f>IF(OR(ISBLANK(Fixture!D555),ISBLANK(Fixture!F555),ISTEXT(Fixture!D555),ISTEXT(Fixture!F555)),0,1)</f>
        <v>0</v>
      </c>
      <c r="F2551" s="16">
        <f t="shared" si="576"/>
        <v>0</v>
      </c>
      <c r="G2551" s="16">
        <f t="shared" si="577"/>
        <v>0</v>
      </c>
      <c r="H2551" s="16">
        <f t="shared" si="578"/>
        <v>0</v>
      </c>
      <c r="I2551" s="63">
        <f>IF(E2551=0,0,Fixture!D555)</f>
        <v>0</v>
      </c>
      <c r="J2551" s="63">
        <f>IF(E2551=0,0,Fixture!F555)</f>
        <v>0</v>
      </c>
      <c r="K2551" s="63">
        <f t="shared" si="579"/>
        <v>0</v>
      </c>
      <c r="L2551" s="63">
        <f t="shared" si="580"/>
        <v>0</v>
      </c>
      <c r="N2551" s="10" t="str">
        <f t="shared" si="582"/>
        <v>00</v>
      </c>
      <c r="O2551" s="10">
        <f t="shared" si="583"/>
        <v>0</v>
      </c>
      <c r="P2551" s="10">
        <f t="shared" si="584"/>
        <v>0</v>
      </c>
      <c r="Q2551" s="10">
        <f t="shared" si="585"/>
        <v>0</v>
      </c>
    </row>
    <row r="2552" spans="1:17">
      <c r="A2552" s="15">
        <f t="shared" si="581"/>
        <v>0</v>
      </c>
      <c r="B2552" s="15"/>
      <c r="C2552" s="14">
        <f>Fixture!C556</f>
        <v>0</v>
      </c>
      <c r="D2552" s="15">
        <f>IF(E2552=0,0,IF(Fixture!D556&lt;Fixture!F556,0,IF(Fixture!F556&lt;Fixture!D556,3,1)))</f>
        <v>0</v>
      </c>
      <c r="E2552" s="16">
        <f>IF(OR(ISBLANK(Fixture!D556),ISBLANK(Fixture!F556),ISTEXT(Fixture!D556),ISTEXT(Fixture!F556)),0,1)</f>
        <v>0</v>
      </c>
      <c r="F2552" s="16">
        <f t="shared" si="576"/>
        <v>0</v>
      </c>
      <c r="G2552" s="16">
        <f t="shared" si="577"/>
        <v>0</v>
      </c>
      <c r="H2552" s="16">
        <f t="shared" si="578"/>
        <v>0</v>
      </c>
      <c r="I2552" s="63">
        <f>IF(E2552=0,0,Fixture!D556)</f>
        <v>0</v>
      </c>
      <c r="J2552" s="63">
        <f>IF(E2552=0,0,Fixture!F556)</f>
        <v>0</v>
      </c>
      <c r="K2552" s="63">
        <f t="shared" si="579"/>
        <v>0</v>
      </c>
      <c r="L2552" s="63">
        <f t="shared" si="580"/>
        <v>0</v>
      </c>
      <c r="N2552" s="10" t="str">
        <f t="shared" si="582"/>
        <v>00</v>
      </c>
      <c r="O2552" s="10">
        <f t="shared" si="583"/>
        <v>0</v>
      </c>
      <c r="P2552" s="10">
        <f t="shared" si="584"/>
        <v>0</v>
      </c>
      <c r="Q2552" s="10">
        <f t="shared" si="585"/>
        <v>0</v>
      </c>
    </row>
    <row r="2553" spans="1:17">
      <c r="A2553" s="15">
        <f t="shared" si="581"/>
        <v>0</v>
      </c>
      <c r="B2553" s="15"/>
      <c r="C2553" s="14">
        <f>Fixture!C557</f>
        <v>0</v>
      </c>
      <c r="D2553" s="15">
        <f>IF(E2553=0,0,IF(Fixture!D557&lt;Fixture!F557,0,IF(Fixture!F557&lt;Fixture!D557,3,1)))</f>
        <v>0</v>
      </c>
      <c r="E2553" s="16">
        <f>IF(OR(ISBLANK(Fixture!D557),ISBLANK(Fixture!F557),ISTEXT(Fixture!D557),ISTEXT(Fixture!F557)),0,1)</f>
        <v>0</v>
      </c>
      <c r="F2553" s="16">
        <f t="shared" si="576"/>
        <v>0</v>
      </c>
      <c r="G2553" s="16">
        <f t="shared" si="577"/>
        <v>0</v>
      </c>
      <c r="H2553" s="16">
        <f t="shared" si="578"/>
        <v>0</v>
      </c>
      <c r="I2553" s="63">
        <f>IF(E2553=0,0,Fixture!D557)</f>
        <v>0</v>
      </c>
      <c r="J2553" s="63">
        <f>IF(E2553=0,0,Fixture!F557)</f>
        <v>0</v>
      </c>
      <c r="K2553" s="63">
        <f t="shared" si="579"/>
        <v>0</v>
      </c>
      <c r="L2553" s="63">
        <f t="shared" si="580"/>
        <v>0</v>
      </c>
      <c r="N2553" s="10" t="str">
        <f t="shared" si="582"/>
        <v>00</v>
      </c>
      <c r="O2553" s="10">
        <f t="shared" si="583"/>
        <v>0</v>
      </c>
      <c r="P2553" s="10">
        <f t="shared" si="584"/>
        <v>0</v>
      </c>
      <c r="Q2553" s="10">
        <f t="shared" si="585"/>
        <v>0</v>
      </c>
    </row>
    <row r="2554" spans="1:17">
      <c r="A2554" s="15">
        <f t="shared" si="581"/>
        <v>0</v>
      </c>
      <c r="B2554" s="15"/>
      <c r="C2554" s="14">
        <f>Fixture!C558</f>
        <v>0</v>
      </c>
      <c r="D2554" s="15">
        <f>IF(E2554=0,0,IF(Fixture!D558&lt;Fixture!F558,0,IF(Fixture!F558&lt;Fixture!D558,3,1)))</f>
        <v>0</v>
      </c>
      <c r="E2554" s="16">
        <f>IF(OR(ISBLANK(Fixture!D558),ISBLANK(Fixture!F558),ISTEXT(Fixture!D558),ISTEXT(Fixture!F558)),0,1)</f>
        <v>0</v>
      </c>
      <c r="F2554" s="16">
        <f t="shared" si="576"/>
        <v>0</v>
      </c>
      <c r="G2554" s="16">
        <f t="shared" si="577"/>
        <v>0</v>
      </c>
      <c r="H2554" s="16">
        <f t="shared" si="578"/>
        <v>0</v>
      </c>
      <c r="I2554" s="63">
        <f>IF(E2554=0,0,Fixture!D558)</f>
        <v>0</v>
      </c>
      <c r="J2554" s="63">
        <f>IF(E2554=0,0,Fixture!F558)</f>
        <v>0</v>
      </c>
      <c r="K2554" s="63">
        <f t="shared" si="579"/>
        <v>0</v>
      </c>
      <c r="L2554" s="63">
        <f t="shared" si="580"/>
        <v>0</v>
      </c>
      <c r="N2554" s="10" t="str">
        <f t="shared" si="582"/>
        <v>00</v>
      </c>
      <c r="O2554" s="10">
        <f t="shared" si="583"/>
        <v>0</v>
      </c>
      <c r="P2554" s="10">
        <f t="shared" si="584"/>
        <v>0</v>
      </c>
      <c r="Q2554" s="10">
        <f t="shared" si="585"/>
        <v>0</v>
      </c>
    </row>
    <row r="2555" spans="1:17">
      <c r="A2555" s="15">
        <f t="shared" si="581"/>
        <v>0</v>
      </c>
      <c r="B2555" s="15"/>
      <c r="C2555" s="14">
        <f>Fixture!C559</f>
        <v>0</v>
      </c>
      <c r="D2555" s="15">
        <f>IF(E2555=0,0,IF(Fixture!D559&lt;Fixture!F559,0,IF(Fixture!F559&lt;Fixture!D559,3,1)))</f>
        <v>0</v>
      </c>
      <c r="E2555" s="16">
        <f>IF(OR(ISBLANK(Fixture!D559),ISBLANK(Fixture!F559),ISTEXT(Fixture!D559),ISTEXT(Fixture!F559)),0,1)</f>
        <v>0</v>
      </c>
      <c r="F2555" s="16">
        <f t="shared" si="576"/>
        <v>0</v>
      </c>
      <c r="G2555" s="16">
        <f t="shared" si="577"/>
        <v>0</v>
      </c>
      <c r="H2555" s="16">
        <f t="shared" si="578"/>
        <v>0</v>
      </c>
      <c r="I2555" s="63">
        <f>IF(E2555=0,0,Fixture!D559)</f>
        <v>0</v>
      </c>
      <c r="J2555" s="63">
        <f>IF(E2555=0,0,Fixture!F559)</f>
        <v>0</v>
      </c>
      <c r="K2555" s="63">
        <f t="shared" si="579"/>
        <v>0</v>
      </c>
      <c r="L2555" s="63">
        <f t="shared" si="580"/>
        <v>0</v>
      </c>
      <c r="N2555" s="10" t="str">
        <f t="shared" si="582"/>
        <v>00</v>
      </c>
      <c r="O2555" s="10">
        <f t="shared" si="583"/>
        <v>0</v>
      </c>
      <c r="P2555" s="10">
        <f t="shared" si="584"/>
        <v>0</v>
      </c>
      <c r="Q2555" s="10">
        <f t="shared" si="585"/>
        <v>0</v>
      </c>
    </row>
    <row r="2556" spans="1:17">
      <c r="A2556" s="15">
        <f t="shared" si="581"/>
        <v>0</v>
      </c>
      <c r="B2556" s="15"/>
      <c r="C2556" s="14">
        <f>Fixture!C560</f>
        <v>0</v>
      </c>
      <c r="D2556" s="15">
        <f>IF(E2556=0,0,IF(Fixture!D560&lt;Fixture!F560,0,IF(Fixture!F560&lt;Fixture!D560,3,1)))</f>
        <v>0</v>
      </c>
      <c r="E2556" s="16">
        <f>IF(OR(ISBLANK(Fixture!D560),ISBLANK(Fixture!F560),ISTEXT(Fixture!D560),ISTEXT(Fixture!F560)),0,1)</f>
        <v>0</v>
      </c>
      <c r="F2556" s="16">
        <f t="shared" si="576"/>
        <v>0</v>
      </c>
      <c r="G2556" s="16">
        <f t="shared" si="577"/>
        <v>0</v>
      </c>
      <c r="H2556" s="16">
        <f t="shared" si="578"/>
        <v>0</v>
      </c>
      <c r="I2556" s="63">
        <f>IF(E2556=0,0,Fixture!D560)</f>
        <v>0</v>
      </c>
      <c r="J2556" s="63">
        <f>IF(E2556=0,0,Fixture!F560)</f>
        <v>0</v>
      </c>
      <c r="K2556" s="63">
        <f t="shared" si="579"/>
        <v>0</v>
      </c>
      <c r="L2556" s="63">
        <f t="shared" si="580"/>
        <v>0</v>
      </c>
      <c r="N2556" s="10" t="str">
        <f t="shared" si="582"/>
        <v>00</v>
      </c>
      <c r="O2556" s="10">
        <f t="shared" si="583"/>
        <v>0</v>
      </c>
      <c r="P2556" s="10">
        <f t="shared" si="584"/>
        <v>0</v>
      </c>
      <c r="Q2556" s="10">
        <f t="shared" si="585"/>
        <v>0</v>
      </c>
    </row>
    <row r="2557" spans="1:17">
      <c r="A2557" s="15">
        <f t="shared" si="581"/>
        <v>0</v>
      </c>
      <c r="B2557" s="15"/>
      <c r="C2557" s="14">
        <f>Fixture!C561</f>
        <v>0</v>
      </c>
      <c r="D2557" s="15">
        <f>IF(E2557=0,0,IF(Fixture!D561&lt;Fixture!F561,0,IF(Fixture!F561&lt;Fixture!D561,3,1)))</f>
        <v>0</v>
      </c>
      <c r="E2557" s="16">
        <f>IF(OR(ISBLANK(Fixture!D561),ISBLANK(Fixture!F561),ISTEXT(Fixture!D561),ISTEXT(Fixture!F561)),0,1)</f>
        <v>0</v>
      </c>
      <c r="F2557" s="16">
        <f t="shared" si="576"/>
        <v>0</v>
      </c>
      <c r="G2557" s="16">
        <f t="shared" si="577"/>
        <v>0</v>
      </c>
      <c r="H2557" s="16">
        <f t="shared" si="578"/>
        <v>0</v>
      </c>
      <c r="I2557" s="63">
        <f>IF(E2557=0,0,Fixture!D561)</f>
        <v>0</v>
      </c>
      <c r="J2557" s="63">
        <f>IF(E2557=0,0,Fixture!F561)</f>
        <v>0</v>
      </c>
      <c r="K2557" s="63">
        <f t="shared" si="579"/>
        <v>0</v>
      </c>
      <c r="L2557" s="63">
        <f t="shared" si="580"/>
        <v>0</v>
      </c>
      <c r="N2557" s="10" t="str">
        <f t="shared" si="582"/>
        <v>00</v>
      </c>
      <c r="O2557" s="10">
        <f t="shared" si="583"/>
        <v>0</v>
      </c>
      <c r="P2557" s="10">
        <f t="shared" si="584"/>
        <v>0</v>
      </c>
      <c r="Q2557" s="10">
        <f t="shared" si="585"/>
        <v>0</v>
      </c>
    </row>
    <row r="2558" spans="1:17">
      <c r="A2558" s="15">
        <f t="shared" si="581"/>
        <v>0</v>
      </c>
      <c r="B2558" s="15"/>
      <c r="C2558" s="14">
        <f>Fixture!C562</f>
        <v>0</v>
      </c>
      <c r="D2558" s="15">
        <f>IF(E2558=0,0,IF(Fixture!D562&lt;Fixture!F562,0,IF(Fixture!F562&lt;Fixture!D562,3,1)))</f>
        <v>0</v>
      </c>
      <c r="E2558" s="16">
        <f>IF(OR(ISBLANK(Fixture!D562),ISBLANK(Fixture!F562),ISTEXT(Fixture!D562),ISTEXT(Fixture!F562)),0,1)</f>
        <v>0</v>
      </c>
      <c r="F2558" s="16">
        <f t="shared" si="576"/>
        <v>0</v>
      </c>
      <c r="G2558" s="16">
        <f t="shared" si="577"/>
        <v>0</v>
      </c>
      <c r="H2558" s="16">
        <f t="shared" si="578"/>
        <v>0</v>
      </c>
      <c r="I2558" s="63">
        <f>IF(E2558=0,0,Fixture!D562)</f>
        <v>0</v>
      </c>
      <c r="J2558" s="63">
        <f>IF(E2558=0,0,Fixture!F562)</f>
        <v>0</v>
      </c>
      <c r="K2558" s="63">
        <f t="shared" si="579"/>
        <v>0</v>
      </c>
      <c r="L2558" s="63">
        <f t="shared" si="580"/>
        <v>0</v>
      </c>
      <c r="N2558" s="10" t="str">
        <f t="shared" si="582"/>
        <v>00</v>
      </c>
      <c r="O2558" s="10">
        <f t="shared" si="583"/>
        <v>0</v>
      </c>
      <c r="P2558" s="10">
        <f t="shared" si="584"/>
        <v>0</v>
      </c>
      <c r="Q2558" s="10">
        <f t="shared" si="585"/>
        <v>0</v>
      </c>
    </row>
    <row r="2559" spans="1:17">
      <c r="A2559" s="15">
        <f t="shared" si="581"/>
        <v>0</v>
      </c>
      <c r="B2559" s="15"/>
      <c r="C2559" s="14">
        <f>Fixture!C563</f>
        <v>0</v>
      </c>
      <c r="D2559" s="15">
        <f>IF(E2559=0,0,IF(Fixture!D563&lt;Fixture!F563,0,IF(Fixture!F563&lt;Fixture!D563,3,1)))</f>
        <v>0</v>
      </c>
      <c r="E2559" s="16">
        <f>IF(OR(ISBLANK(Fixture!D563),ISBLANK(Fixture!F563),ISTEXT(Fixture!D563),ISTEXT(Fixture!F563)),0,1)</f>
        <v>0</v>
      </c>
      <c r="F2559" s="16">
        <f t="shared" si="576"/>
        <v>0</v>
      </c>
      <c r="G2559" s="16">
        <f t="shared" si="577"/>
        <v>0</v>
      </c>
      <c r="H2559" s="16">
        <f t="shared" si="578"/>
        <v>0</v>
      </c>
      <c r="I2559" s="63">
        <f>IF(E2559=0,0,Fixture!D563)</f>
        <v>0</v>
      </c>
      <c r="J2559" s="63">
        <f>IF(E2559=0,0,Fixture!F563)</f>
        <v>0</v>
      </c>
      <c r="K2559" s="63">
        <f t="shared" si="579"/>
        <v>0</v>
      </c>
      <c r="L2559" s="63">
        <f t="shared" si="580"/>
        <v>0</v>
      </c>
      <c r="N2559" s="10" t="str">
        <f t="shared" si="582"/>
        <v>00</v>
      </c>
      <c r="O2559" s="10">
        <f t="shared" si="583"/>
        <v>0</v>
      </c>
      <c r="P2559" s="10">
        <f t="shared" si="584"/>
        <v>0</v>
      </c>
      <c r="Q2559" s="10">
        <f t="shared" si="585"/>
        <v>0</v>
      </c>
    </row>
    <row r="2560" spans="1:17">
      <c r="A2560" s="15">
        <f t="shared" si="581"/>
        <v>0</v>
      </c>
      <c r="B2560" s="15"/>
      <c r="C2560" s="14">
        <f>Fixture!C564</f>
        <v>0</v>
      </c>
      <c r="D2560" s="15">
        <f>IF(E2560=0,0,IF(Fixture!D564&lt;Fixture!F564,0,IF(Fixture!F564&lt;Fixture!D564,3,1)))</f>
        <v>0</v>
      </c>
      <c r="E2560" s="16">
        <f>IF(OR(ISBLANK(Fixture!D564),ISBLANK(Fixture!F564),ISTEXT(Fixture!D564),ISTEXT(Fixture!F564)),0,1)</f>
        <v>0</v>
      </c>
      <c r="F2560" s="16">
        <f t="shared" si="576"/>
        <v>0</v>
      </c>
      <c r="G2560" s="16">
        <f t="shared" si="577"/>
        <v>0</v>
      </c>
      <c r="H2560" s="16">
        <f t="shared" si="578"/>
        <v>0</v>
      </c>
      <c r="I2560" s="63">
        <f>IF(E2560=0,0,Fixture!D564)</f>
        <v>0</v>
      </c>
      <c r="J2560" s="63">
        <f>IF(E2560=0,0,Fixture!F564)</f>
        <v>0</v>
      </c>
      <c r="K2560" s="63">
        <f t="shared" si="579"/>
        <v>0</v>
      </c>
      <c r="L2560" s="63">
        <f t="shared" si="580"/>
        <v>0</v>
      </c>
      <c r="N2560" s="10" t="str">
        <f t="shared" si="582"/>
        <v>00</v>
      </c>
      <c r="O2560" s="10">
        <f t="shared" si="583"/>
        <v>0</v>
      </c>
      <c r="P2560" s="10">
        <f t="shared" si="584"/>
        <v>0</v>
      </c>
      <c r="Q2560" s="10">
        <f t="shared" si="585"/>
        <v>0</v>
      </c>
    </row>
    <row r="2561" spans="1:17">
      <c r="A2561" s="15">
        <f t="shared" si="581"/>
        <v>0</v>
      </c>
      <c r="B2561" s="15"/>
      <c r="C2561" s="14">
        <f>Fixture!C565</f>
        <v>0</v>
      </c>
      <c r="D2561" s="15">
        <f>IF(E2561=0,0,IF(Fixture!D565&lt;Fixture!F565,0,IF(Fixture!F565&lt;Fixture!D565,3,1)))</f>
        <v>0</v>
      </c>
      <c r="E2561" s="16">
        <f>IF(OR(ISBLANK(Fixture!D565),ISBLANK(Fixture!F565),ISTEXT(Fixture!D565),ISTEXT(Fixture!F565)),0,1)</f>
        <v>0</v>
      </c>
      <c r="F2561" s="16">
        <f t="shared" si="576"/>
        <v>0</v>
      </c>
      <c r="G2561" s="16">
        <f t="shared" si="577"/>
        <v>0</v>
      </c>
      <c r="H2561" s="16">
        <f t="shared" si="578"/>
        <v>0</v>
      </c>
      <c r="I2561" s="63">
        <f>IF(E2561=0,0,Fixture!D565)</f>
        <v>0</v>
      </c>
      <c r="J2561" s="63">
        <f>IF(E2561=0,0,Fixture!F565)</f>
        <v>0</v>
      </c>
      <c r="K2561" s="63">
        <f t="shared" si="579"/>
        <v>0</v>
      </c>
      <c r="L2561" s="63">
        <f t="shared" si="580"/>
        <v>0</v>
      </c>
      <c r="N2561" s="10" t="str">
        <f t="shared" si="582"/>
        <v>00</v>
      </c>
      <c r="O2561" s="10">
        <f t="shared" si="583"/>
        <v>0</v>
      </c>
      <c r="P2561" s="10">
        <f t="shared" si="584"/>
        <v>0</v>
      </c>
      <c r="Q2561" s="10">
        <f t="shared" si="585"/>
        <v>0</v>
      </c>
    </row>
    <row r="2562" spans="1:17">
      <c r="A2562" s="15">
        <f t="shared" si="581"/>
        <v>0</v>
      </c>
      <c r="B2562" s="15"/>
      <c r="C2562" s="14">
        <f>Fixture!C566</f>
        <v>0</v>
      </c>
      <c r="D2562" s="15">
        <f>IF(E2562=0,0,IF(Fixture!D566&lt;Fixture!F566,0,IF(Fixture!F566&lt;Fixture!D566,3,1)))</f>
        <v>0</v>
      </c>
      <c r="E2562" s="16">
        <f>IF(OR(ISBLANK(Fixture!D566),ISBLANK(Fixture!F566),ISTEXT(Fixture!D566),ISTEXT(Fixture!F566)),0,1)</f>
        <v>0</v>
      </c>
      <c r="F2562" s="16">
        <f t="shared" si="576"/>
        <v>0</v>
      </c>
      <c r="G2562" s="16">
        <f t="shared" si="577"/>
        <v>0</v>
      </c>
      <c r="H2562" s="16">
        <f t="shared" si="578"/>
        <v>0</v>
      </c>
      <c r="I2562" s="63">
        <f>IF(E2562=0,0,Fixture!D566)</f>
        <v>0</v>
      </c>
      <c r="J2562" s="63">
        <f>IF(E2562=0,0,Fixture!F566)</f>
        <v>0</v>
      </c>
      <c r="K2562" s="63">
        <f t="shared" si="579"/>
        <v>0</v>
      </c>
      <c r="L2562" s="63">
        <f t="shared" si="580"/>
        <v>0</v>
      </c>
      <c r="N2562" s="10" t="str">
        <f t="shared" si="582"/>
        <v>00</v>
      </c>
      <c r="O2562" s="10">
        <f t="shared" si="583"/>
        <v>0</v>
      </c>
      <c r="P2562" s="10">
        <f t="shared" si="584"/>
        <v>0</v>
      </c>
      <c r="Q2562" s="10">
        <f t="shared" si="585"/>
        <v>0</v>
      </c>
    </row>
    <row r="2563" spans="1:17">
      <c r="A2563" s="15">
        <f t="shared" si="581"/>
        <v>0</v>
      </c>
      <c r="B2563" s="15"/>
      <c r="C2563" s="14">
        <f>Fixture!C567</f>
        <v>0</v>
      </c>
      <c r="D2563" s="15">
        <f>IF(E2563=0,0,IF(Fixture!D567&lt;Fixture!F567,0,IF(Fixture!F567&lt;Fixture!D567,3,1)))</f>
        <v>0</v>
      </c>
      <c r="E2563" s="16">
        <f>IF(OR(ISBLANK(Fixture!D567),ISBLANK(Fixture!F567),ISTEXT(Fixture!D567),ISTEXT(Fixture!F567)),0,1)</f>
        <v>0</v>
      </c>
      <c r="F2563" s="16">
        <f t="shared" si="576"/>
        <v>0</v>
      </c>
      <c r="G2563" s="16">
        <f t="shared" si="577"/>
        <v>0</v>
      </c>
      <c r="H2563" s="16">
        <f t="shared" si="578"/>
        <v>0</v>
      </c>
      <c r="I2563" s="63">
        <f>IF(E2563=0,0,Fixture!D567)</f>
        <v>0</v>
      </c>
      <c r="J2563" s="63">
        <f>IF(E2563=0,0,Fixture!F567)</f>
        <v>0</v>
      </c>
      <c r="K2563" s="63">
        <f t="shared" si="579"/>
        <v>0</v>
      </c>
      <c r="L2563" s="63">
        <f t="shared" si="580"/>
        <v>0</v>
      </c>
      <c r="N2563" s="10" t="str">
        <f t="shared" si="582"/>
        <v>00</v>
      </c>
      <c r="O2563" s="10">
        <f t="shared" si="583"/>
        <v>0</v>
      </c>
      <c r="P2563" s="10">
        <f t="shared" si="584"/>
        <v>0</v>
      </c>
      <c r="Q2563" s="10">
        <f t="shared" si="585"/>
        <v>0</v>
      </c>
    </row>
    <row r="2564" spans="1:17">
      <c r="A2564" s="15">
        <f t="shared" si="581"/>
        <v>0</v>
      </c>
      <c r="B2564" s="15"/>
      <c r="C2564" s="14">
        <f>Fixture!C568</f>
        <v>0</v>
      </c>
      <c r="D2564" s="15">
        <f>IF(E2564=0,0,IF(Fixture!D568&lt;Fixture!F568,0,IF(Fixture!F568&lt;Fixture!D568,3,1)))</f>
        <v>0</v>
      </c>
      <c r="E2564" s="16">
        <f>IF(OR(ISBLANK(Fixture!D568),ISBLANK(Fixture!F568),ISTEXT(Fixture!D568),ISTEXT(Fixture!F568)),0,1)</f>
        <v>0</v>
      </c>
      <c r="F2564" s="16">
        <f t="shared" si="576"/>
        <v>0</v>
      </c>
      <c r="G2564" s="16">
        <f t="shared" si="577"/>
        <v>0</v>
      </c>
      <c r="H2564" s="16">
        <f t="shared" si="578"/>
        <v>0</v>
      </c>
      <c r="I2564" s="63">
        <f>IF(E2564=0,0,Fixture!D568)</f>
        <v>0</v>
      </c>
      <c r="J2564" s="63">
        <f>IF(E2564=0,0,Fixture!F568)</f>
        <v>0</v>
      </c>
      <c r="K2564" s="63">
        <f t="shared" si="579"/>
        <v>0</v>
      </c>
      <c r="L2564" s="63">
        <f t="shared" si="580"/>
        <v>0</v>
      </c>
      <c r="N2564" s="10" t="str">
        <f t="shared" si="582"/>
        <v>00</v>
      </c>
      <c r="O2564" s="10">
        <f t="shared" si="583"/>
        <v>0</v>
      </c>
      <c r="P2564" s="10">
        <f t="shared" si="584"/>
        <v>0</v>
      </c>
      <c r="Q2564" s="10">
        <f t="shared" si="585"/>
        <v>0</v>
      </c>
    </row>
    <row r="2565" spans="1:17">
      <c r="A2565" s="15">
        <f t="shared" si="581"/>
        <v>0</v>
      </c>
      <c r="B2565" s="15"/>
      <c r="C2565" s="14">
        <f>Fixture!C569</f>
        <v>0</v>
      </c>
      <c r="D2565" s="15">
        <f>IF(E2565=0,0,IF(Fixture!D569&lt;Fixture!F569,0,IF(Fixture!F569&lt;Fixture!D569,3,1)))</f>
        <v>0</v>
      </c>
      <c r="E2565" s="16">
        <f>IF(OR(ISBLANK(Fixture!D569),ISBLANK(Fixture!F569),ISTEXT(Fixture!D569),ISTEXT(Fixture!F569)),0,1)</f>
        <v>0</v>
      </c>
      <c r="F2565" s="16">
        <f t="shared" si="576"/>
        <v>0</v>
      </c>
      <c r="G2565" s="16">
        <f t="shared" si="577"/>
        <v>0</v>
      </c>
      <c r="H2565" s="16">
        <f t="shared" si="578"/>
        <v>0</v>
      </c>
      <c r="I2565" s="63">
        <f>IF(E2565=0,0,Fixture!D569)</f>
        <v>0</v>
      </c>
      <c r="J2565" s="63">
        <f>IF(E2565=0,0,Fixture!F569)</f>
        <v>0</v>
      </c>
      <c r="K2565" s="63">
        <f t="shared" si="579"/>
        <v>0</v>
      </c>
      <c r="L2565" s="63">
        <f t="shared" si="580"/>
        <v>0</v>
      </c>
      <c r="N2565" s="10" t="str">
        <f t="shared" si="582"/>
        <v>00</v>
      </c>
      <c r="O2565" s="10">
        <f t="shared" si="583"/>
        <v>0</v>
      </c>
      <c r="P2565" s="10">
        <f t="shared" si="584"/>
        <v>0</v>
      </c>
      <c r="Q2565" s="10">
        <f t="shared" si="585"/>
        <v>0</v>
      </c>
    </row>
    <row r="2566" spans="1:17">
      <c r="A2566" s="15">
        <f t="shared" si="581"/>
        <v>0</v>
      </c>
      <c r="B2566" s="15"/>
      <c r="C2566" s="14">
        <f>Fixture!C570</f>
        <v>0</v>
      </c>
      <c r="D2566" s="15">
        <f>IF(E2566=0,0,IF(Fixture!D570&lt;Fixture!F570,0,IF(Fixture!F570&lt;Fixture!D570,3,1)))</f>
        <v>0</v>
      </c>
      <c r="E2566" s="16">
        <f>IF(OR(ISBLANK(Fixture!D570),ISBLANK(Fixture!F570),ISTEXT(Fixture!D570),ISTEXT(Fixture!F570)),0,1)</f>
        <v>0</v>
      </c>
      <c r="F2566" s="16">
        <f t="shared" si="576"/>
        <v>0</v>
      </c>
      <c r="G2566" s="16">
        <f t="shared" si="577"/>
        <v>0</v>
      </c>
      <c r="H2566" s="16">
        <f t="shared" si="578"/>
        <v>0</v>
      </c>
      <c r="I2566" s="63">
        <f>IF(E2566=0,0,Fixture!D570)</f>
        <v>0</v>
      </c>
      <c r="J2566" s="63">
        <f>IF(E2566=0,0,Fixture!F570)</f>
        <v>0</v>
      </c>
      <c r="K2566" s="63">
        <f t="shared" si="579"/>
        <v>0</v>
      </c>
      <c r="L2566" s="63">
        <f t="shared" si="580"/>
        <v>0</v>
      </c>
      <c r="N2566" s="10" t="str">
        <f t="shared" si="582"/>
        <v>00</v>
      </c>
      <c r="O2566" s="10">
        <f t="shared" si="583"/>
        <v>0</v>
      </c>
      <c r="P2566" s="10">
        <f t="shared" si="584"/>
        <v>0</v>
      </c>
      <c r="Q2566" s="10">
        <f t="shared" si="585"/>
        <v>0</v>
      </c>
    </row>
    <row r="2567" spans="1:17">
      <c r="A2567" s="15">
        <f t="shared" si="581"/>
        <v>0</v>
      </c>
      <c r="B2567" s="15"/>
      <c r="C2567" s="14">
        <f>Fixture!C571</f>
        <v>0</v>
      </c>
      <c r="D2567" s="15">
        <f>IF(E2567=0,0,IF(Fixture!D571&lt;Fixture!F571,0,IF(Fixture!F571&lt;Fixture!D571,3,1)))</f>
        <v>0</v>
      </c>
      <c r="E2567" s="16">
        <f>IF(OR(ISBLANK(Fixture!D571),ISBLANK(Fixture!F571),ISTEXT(Fixture!D571),ISTEXT(Fixture!F571)),0,1)</f>
        <v>0</v>
      </c>
      <c r="F2567" s="16">
        <f t="shared" si="576"/>
        <v>0</v>
      </c>
      <c r="G2567" s="16">
        <f t="shared" si="577"/>
        <v>0</v>
      </c>
      <c r="H2567" s="16">
        <f t="shared" si="578"/>
        <v>0</v>
      </c>
      <c r="I2567" s="63">
        <f>IF(E2567=0,0,Fixture!D571)</f>
        <v>0</v>
      </c>
      <c r="J2567" s="63">
        <f>IF(E2567=0,0,Fixture!F571)</f>
        <v>0</v>
      </c>
      <c r="K2567" s="63">
        <f t="shared" si="579"/>
        <v>0</v>
      </c>
      <c r="L2567" s="63">
        <f t="shared" si="580"/>
        <v>0</v>
      </c>
      <c r="N2567" s="10" t="str">
        <f t="shared" si="582"/>
        <v>00</v>
      </c>
      <c r="O2567" s="10">
        <f t="shared" si="583"/>
        <v>0</v>
      </c>
      <c r="P2567" s="10">
        <f t="shared" si="584"/>
        <v>0</v>
      </c>
      <c r="Q2567" s="10">
        <f t="shared" si="585"/>
        <v>0</v>
      </c>
    </row>
    <row r="2568" spans="1:17">
      <c r="A2568" s="15">
        <f t="shared" si="581"/>
        <v>0</v>
      </c>
      <c r="B2568" s="15"/>
      <c r="C2568" s="14">
        <f>Fixture!C572</f>
        <v>0</v>
      </c>
      <c r="D2568" s="15">
        <f>IF(E2568=0,0,IF(Fixture!D572&lt;Fixture!F572,0,IF(Fixture!F572&lt;Fixture!D572,3,1)))</f>
        <v>0</v>
      </c>
      <c r="E2568" s="16">
        <f>IF(OR(ISBLANK(Fixture!D572),ISBLANK(Fixture!F572),ISTEXT(Fixture!D572),ISTEXT(Fixture!F572)),0,1)</f>
        <v>0</v>
      </c>
      <c r="F2568" s="16">
        <f t="shared" si="576"/>
        <v>0</v>
      </c>
      <c r="G2568" s="16">
        <f t="shared" si="577"/>
        <v>0</v>
      </c>
      <c r="H2568" s="16">
        <f t="shared" si="578"/>
        <v>0</v>
      </c>
      <c r="I2568" s="63">
        <f>IF(E2568=0,0,Fixture!D572)</f>
        <v>0</v>
      </c>
      <c r="J2568" s="63">
        <f>IF(E2568=0,0,Fixture!F572)</f>
        <v>0</v>
      </c>
      <c r="K2568" s="63">
        <f t="shared" si="579"/>
        <v>0</v>
      </c>
      <c r="L2568" s="63">
        <f t="shared" si="580"/>
        <v>0</v>
      </c>
      <c r="N2568" s="10" t="str">
        <f t="shared" si="582"/>
        <v>00</v>
      </c>
      <c r="O2568" s="10">
        <f t="shared" si="583"/>
        <v>0</v>
      </c>
      <c r="P2568" s="10">
        <f t="shared" si="584"/>
        <v>0</v>
      </c>
      <c r="Q2568" s="10">
        <f t="shared" si="585"/>
        <v>0</v>
      </c>
    </row>
    <row r="2569" spans="1:17">
      <c r="A2569" s="15">
        <f t="shared" si="581"/>
        <v>0</v>
      </c>
      <c r="B2569" s="15"/>
      <c r="C2569" s="14">
        <f>Fixture!C573</f>
        <v>0</v>
      </c>
      <c r="D2569" s="15">
        <f>IF(E2569=0,0,IF(Fixture!D573&lt;Fixture!F573,0,IF(Fixture!F573&lt;Fixture!D573,3,1)))</f>
        <v>0</v>
      </c>
      <c r="E2569" s="16">
        <f>IF(OR(ISBLANK(Fixture!D573),ISBLANK(Fixture!F573),ISTEXT(Fixture!D573),ISTEXT(Fixture!F573)),0,1)</f>
        <v>0</v>
      </c>
      <c r="F2569" s="16">
        <f t="shared" si="576"/>
        <v>0</v>
      </c>
      <c r="G2569" s="16">
        <f t="shared" si="577"/>
        <v>0</v>
      </c>
      <c r="H2569" s="16">
        <f t="shared" si="578"/>
        <v>0</v>
      </c>
      <c r="I2569" s="63">
        <f>IF(E2569=0,0,Fixture!D573)</f>
        <v>0</v>
      </c>
      <c r="J2569" s="63">
        <f>IF(E2569=0,0,Fixture!F573)</f>
        <v>0</v>
      </c>
      <c r="K2569" s="63">
        <f t="shared" si="579"/>
        <v>0</v>
      </c>
      <c r="L2569" s="63">
        <f t="shared" si="580"/>
        <v>0</v>
      </c>
      <c r="N2569" s="10" t="str">
        <f t="shared" si="582"/>
        <v>00</v>
      </c>
      <c r="O2569" s="10">
        <f t="shared" si="583"/>
        <v>0</v>
      </c>
      <c r="P2569" s="10">
        <f t="shared" si="584"/>
        <v>0</v>
      </c>
      <c r="Q2569" s="10">
        <f t="shared" si="585"/>
        <v>0</v>
      </c>
    </row>
    <row r="2570" spans="1:17">
      <c r="A2570" s="15">
        <f t="shared" si="581"/>
        <v>0</v>
      </c>
      <c r="B2570" s="15"/>
      <c r="C2570" s="14">
        <f>Fixture!C574</f>
        <v>0</v>
      </c>
      <c r="D2570" s="15">
        <f>IF(E2570=0,0,IF(Fixture!D574&lt;Fixture!F574,0,IF(Fixture!F574&lt;Fixture!D574,3,1)))</f>
        <v>0</v>
      </c>
      <c r="E2570" s="16">
        <f>IF(OR(ISBLANK(Fixture!D574),ISBLANK(Fixture!F574),ISTEXT(Fixture!D574),ISTEXT(Fixture!F574)),0,1)</f>
        <v>0</v>
      </c>
      <c r="F2570" s="16">
        <f t="shared" si="576"/>
        <v>0</v>
      </c>
      <c r="G2570" s="16">
        <f t="shared" si="577"/>
        <v>0</v>
      </c>
      <c r="H2570" s="16">
        <f t="shared" si="578"/>
        <v>0</v>
      </c>
      <c r="I2570" s="63">
        <f>IF(E2570=0,0,Fixture!D574)</f>
        <v>0</v>
      </c>
      <c r="J2570" s="63">
        <f>IF(E2570=0,0,Fixture!F574)</f>
        <v>0</v>
      </c>
      <c r="K2570" s="63">
        <f t="shared" si="579"/>
        <v>0</v>
      </c>
      <c r="L2570" s="63">
        <f t="shared" si="580"/>
        <v>0</v>
      </c>
      <c r="N2570" s="10" t="str">
        <f t="shared" si="582"/>
        <v>00</v>
      </c>
      <c r="O2570" s="10">
        <f t="shared" si="583"/>
        <v>0</v>
      </c>
      <c r="P2570" s="10">
        <f t="shared" si="584"/>
        <v>0</v>
      </c>
      <c r="Q2570" s="10">
        <f t="shared" si="585"/>
        <v>0</v>
      </c>
    </row>
    <row r="2571" spans="1:17">
      <c r="A2571" s="15">
        <f t="shared" si="581"/>
        <v>0</v>
      </c>
      <c r="B2571" s="15"/>
      <c r="C2571" s="14">
        <f>Fixture!C575</f>
        <v>0</v>
      </c>
      <c r="D2571" s="15">
        <f>IF(E2571=0,0,IF(Fixture!D575&lt;Fixture!F575,0,IF(Fixture!F575&lt;Fixture!D575,3,1)))</f>
        <v>0</v>
      </c>
      <c r="E2571" s="16">
        <f>IF(OR(ISBLANK(Fixture!D575),ISBLANK(Fixture!F575),ISTEXT(Fixture!D575),ISTEXT(Fixture!F575)),0,1)</f>
        <v>0</v>
      </c>
      <c r="F2571" s="16">
        <f t="shared" si="576"/>
        <v>0</v>
      </c>
      <c r="G2571" s="16">
        <f t="shared" si="577"/>
        <v>0</v>
      </c>
      <c r="H2571" s="16">
        <f t="shared" si="578"/>
        <v>0</v>
      </c>
      <c r="I2571" s="63">
        <f>IF(E2571=0,0,Fixture!D575)</f>
        <v>0</v>
      </c>
      <c r="J2571" s="63">
        <f>IF(E2571=0,0,Fixture!F575)</f>
        <v>0</v>
      </c>
      <c r="K2571" s="63">
        <f t="shared" si="579"/>
        <v>0</v>
      </c>
      <c r="L2571" s="63">
        <f t="shared" si="580"/>
        <v>0</v>
      </c>
      <c r="N2571" s="10" t="str">
        <f t="shared" si="582"/>
        <v>00</v>
      </c>
      <c r="O2571" s="10">
        <f t="shared" si="583"/>
        <v>0</v>
      </c>
      <c r="P2571" s="10">
        <f t="shared" si="584"/>
        <v>0</v>
      </c>
      <c r="Q2571" s="10">
        <f t="shared" si="585"/>
        <v>0</v>
      </c>
    </row>
    <row r="2572" spans="1:17">
      <c r="A2572" s="15">
        <f t="shared" si="581"/>
        <v>0</v>
      </c>
      <c r="B2572" s="15"/>
      <c r="C2572" s="14">
        <f>Fixture!C576</f>
        <v>0</v>
      </c>
      <c r="D2572" s="15">
        <f>IF(E2572=0,0,IF(Fixture!D576&lt;Fixture!F576,0,IF(Fixture!F576&lt;Fixture!D576,3,1)))</f>
        <v>0</v>
      </c>
      <c r="E2572" s="16">
        <f>IF(OR(ISBLANK(Fixture!D576),ISBLANK(Fixture!F576),ISTEXT(Fixture!D576),ISTEXT(Fixture!F576)),0,1)</f>
        <v>0</v>
      </c>
      <c r="F2572" s="16">
        <f t="shared" si="576"/>
        <v>0</v>
      </c>
      <c r="G2572" s="16">
        <f t="shared" si="577"/>
        <v>0</v>
      </c>
      <c r="H2572" s="16">
        <f t="shared" si="578"/>
        <v>0</v>
      </c>
      <c r="I2572" s="63">
        <f>IF(E2572=0,0,Fixture!D576)</f>
        <v>0</v>
      </c>
      <c r="J2572" s="63">
        <f>IF(E2572=0,0,Fixture!F576)</f>
        <v>0</v>
      </c>
      <c r="K2572" s="63">
        <f t="shared" si="579"/>
        <v>0</v>
      </c>
      <c r="L2572" s="63">
        <f t="shared" si="580"/>
        <v>0</v>
      </c>
      <c r="N2572" s="10" t="str">
        <f t="shared" si="582"/>
        <v>00</v>
      </c>
      <c r="O2572" s="10">
        <f t="shared" si="583"/>
        <v>0</v>
      </c>
      <c r="P2572" s="10">
        <f t="shared" si="584"/>
        <v>0</v>
      </c>
      <c r="Q2572" s="10">
        <f t="shared" si="585"/>
        <v>0</v>
      </c>
    </row>
    <row r="2573" spans="1:17">
      <c r="A2573" s="15">
        <f t="shared" si="581"/>
        <v>0</v>
      </c>
      <c r="B2573" s="15"/>
      <c r="C2573" s="14">
        <f>Fixture!C577</f>
        <v>0</v>
      </c>
      <c r="D2573" s="15">
        <f>IF(E2573=0,0,IF(Fixture!D577&lt;Fixture!F577,0,IF(Fixture!F577&lt;Fixture!D577,3,1)))</f>
        <v>0</v>
      </c>
      <c r="E2573" s="16">
        <f>IF(OR(ISBLANK(Fixture!D577),ISBLANK(Fixture!F577),ISTEXT(Fixture!D577),ISTEXT(Fixture!F577)),0,1)</f>
        <v>0</v>
      </c>
      <c r="F2573" s="16">
        <f t="shared" si="576"/>
        <v>0</v>
      </c>
      <c r="G2573" s="16">
        <f t="shared" si="577"/>
        <v>0</v>
      </c>
      <c r="H2573" s="16">
        <f t="shared" si="578"/>
        <v>0</v>
      </c>
      <c r="I2573" s="63">
        <f>IF(E2573=0,0,Fixture!D577)</f>
        <v>0</v>
      </c>
      <c r="J2573" s="63">
        <f>IF(E2573=0,0,Fixture!F577)</f>
        <v>0</v>
      </c>
      <c r="K2573" s="63">
        <f t="shared" si="579"/>
        <v>0</v>
      </c>
      <c r="L2573" s="63">
        <f t="shared" si="580"/>
        <v>0</v>
      </c>
      <c r="N2573" s="10" t="str">
        <f t="shared" si="582"/>
        <v>00</v>
      </c>
      <c r="O2573" s="10">
        <f t="shared" si="583"/>
        <v>0</v>
      </c>
      <c r="P2573" s="10">
        <f t="shared" si="584"/>
        <v>0</v>
      </c>
      <c r="Q2573" s="10">
        <f t="shared" si="585"/>
        <v>0</v>
      </c>
    </row>
    <row r="2574" spans="1:17">
      <c r="A2574" s="15">
        <f t="shared" si="581"/>
        <v>0</v>
      </c>
      <c r="B2574" s="15"/>
      <c r="C2574" s="14">
        <f>Fixture!C578</f>
        <v>0</v>
      </c>
      <c r="D2574" s="15">
        <f>IF(E2574=0,0,IF(Fixture!D578&lt;Fixture!F578,0,IF(Fixture!F578&lt;Fixture!D578,3,1)))</f>
        <v>0</v>
      </c>
      <c r="E2574" s="16">
        <f>IF(OR(ISBLANK(Fixture!D578),ISBLANK(Fixture!F578),ISTEXT(Fixture!D578),ISTEXT(Fixture!F578)),0,1)</f>
        <v>0</v>
      </c>
      <c r="F2574" s="16">
        <f t="shared" si="576"/>
        <v>0</v>
      </c>
      <c r="G2574" s="16">
        <f t="shared" si="577"/>
        <v>0</v>
      </c>
      <c r="H2574" s="16">
        <f t="shared" si="578"/>
        <v>0</v>
      </c>
      <c r="I2574" s="63">
        <f>IF(E2574=0,0,Fixture!D578)</f>
        <v>0</v>
      </c>
      <c r="J2574" s="63">
        <f>IF(E2574=0,0,Fixture!F578)</f>
        <v>0</v>
      </c>
      <c r="K2574" s="63">
        <f t="shared" si="579"/>
        <v>0</v>
      </c>
      <c r="L2574" s="63">
        <f t="shared" si="580"/>
        <v>0</v>
      </c>
      <c r="N2574" s="10" t="str">
        <f t="shared" si="582"/>
        <v>00</v>
      </c>
      <c r="O2574" s="10">
        <f t="shared" si="583"/>
        <v>0</v>
      </c>
      <c r="P2574" s="10">
        <f t="shared" si="584"/>
        <v>0</v>
      </c>
      <c r="Q2574" s="10">
        <f t="shared" si="585"/>
        <v>0</v>
      </c>
    </row>
    <row r="2575" spans="1:17">
      <c r="A2575" s="15">
        <f t="shared" si="581"/>
        <v>0</v>
      </c>
      <c r="B2575" s="15"/>
      <c r="C2575" s="14">
        <f>Fixture!C579</f>
        <v>0</v>
      </c>
      <c r="D2575" s="15">
        <f>IF(E2575=0,0,IF(Fixture!D579&lt;Fixture!F579,0,IF(Fixture!F579&lt;Fixture!D579,3,1)))</f>
        <v>0</v>
      </c>
      <c r="E2575" s="16">
        <f>IF(OR(ISBLANK(Fixture!D579),ISBLANK(Fixture!F579),ISTEXT(Fixture!D579),ISTEXT(Fixture!F579)),0,1)</f>
        <v>0</v>
      </c>
      <c r="F2575" s="16">
        <f t="shared" si="576"/>
        <v>0</v>
      </c>
      <c r="G2575" s="16">
        <f t="shared" si="577"/>
        <v>0</v>
      </c>
      <c r="H2575" s="16">
        <f t="shared" si="578"/>
        <v>0</v>
      </c>
      <c r="I2575" s="63">
        <f>IF(E2575=0,0,Fixture!D579)</f>
        <v>0</v>
      </c>
      <c r="J2575" s="63">
        <f>IF(E2575=0,0,Fixture!F579)</f>
        <v>0</v>
      </c>
      <c r="K2575" s="63">
        <f t="shared" si="579"/>
        <v>0</v>
      </c>
      <c r="L2575" s="63">
        <f t="shared" si="580"/>
        <v>0</v>
      </c>
      <c r="N2575" s="10" t="str">
        <f t="shared" si="582"/>
        <v>00</v>
      </c>
      <c r="O2575" s="10">
        <f t="shared" si="583"/>
        <v>0</v>
      </c>
      <c r="P2575" s="10">
        <f t="shared" si="584"/>
        <v>0</v>
      </c>
      <c r="Q2575" s="10">
        <f t="shared" si="585"/>
        <v>0</v>
      </c>
    </row>
    <row r="2576" spans="1:17">
      <c r="A2576" s="15">
        <f t="shared" si="581"/>
        <v>0</v>
      </c>
      <c r="B2576" s="15"/>
      <c r="C2576" s="14">
        <f>Fixture!C580</f>
        <v>0</v>
      </c>
      <c r="D2576" s="15">
        <f>IF(E2576=0,0,IF(Fixture!D580&lt;Fixture!F580,0,IF(Fixture!F580&lt;Fixture!D580,3,1)))</f>
        <v>0</v>
      </c>
      <c r="E2576" s="16">
        <f>IF(OR(ISBLANK(Fixture!D580),ISBLANK(Fixture!F580),ISTEXT(Fixture!D580),ISTEXT(Fixture!F580)),0,1)</f>
        <v>0</v>
      </c>
      <c r="F2576" s="16">
        <f t="shared" si="576"/>
        <v>0</v>
      </c>
      <c r="G2576" s="16">
        <f t="shared" si="577"/>
        <v>0</v>
      </c>
      <c r="H2576" s="16">
        <f t="shared" si="578"/>
        <v>0</v>
      </c>
      <c r="I2576" s="63">
        <f>IF(E2576=0,0,Fixture!D580)</f>
        <v>0</v>
      </c>
      <c r="J2576" s="63">
        <f>IF(E2576=0,0,Fixture!F580)</f>
        <v>0</v>
      </c>
      <c r="K2576" s="63">
        <f t="shared" si="579"/>
        <v>0</v>
      </c>
      <c r="L2576" s="63">
        <f t="shared" si="580"/>
        <v>0</v>
      </c>
      <c r="N2576" s="10" t="str">
        <f t="shared" si="582"/>
        <v>00</v>
      </c>
      <c r="O2576" s="10">
        <f t="shared" si="583"/>
        <v>0</v>
      </c>
      <c r="P2576" s="10">
        <f t="shared" si="584"/>
        <v>0</v>
      </c>
      <c r="Q2576" s="10">
        <f t="shared" si="585"/>
        <v>0</v>
      </c>
    </row>
    <row r="2577" spans="1:17">
      <c r="A2577" s="15">
        <f t="shared" si="581"/>
        <v>0</v>
      </c>
      <c r="B2577" s="15"/>
      <c r="C2577" s="14">
        <f>Fixture!C581</f>
        <v>0</v>
      </c>
      <c r="D2577" s="15">
        <f>IF(E2577=0,0,IF(Fixture!D581&lt;Fixture!F581,0,IF(Fixture!F581&lt;Fixture!D581,3,1)))</f>
        <v>0</v>
      </c>
      <c r="E2577" s="16">
        <f>IF(OR(ISBLANK(Fixture!D581),ISBLANK(Fixture!F581),ISTEXT(Fixture!D581),ISTEXT(Fixture!F581)),0,1)</f>
        <v>0</v>
      </c>
      <c r="F2577" s="16">
        <f t="shared" ref="F2577:F2640" si="586">IF(E2577=0,0,IF(D2577&lt;&gt;3,0,1))</f>
        <v>0</v>
      </c>
      <c r="G2577" s="16">
        <f t="shared" ref="G2577:G2640" si="587">IF(E2577=0,0,IF(D2577&lt;&gt;1,0,1))</f>
        <v>0</v>
      </c>
      <c r="H2577" s="16">
        <f t="shared" ref="H2577:H2640" si="588">IF(E2577=0,0,IF(D2577&lt;&gt;0,0,1))</f>
        <v>0</v>
      </c>
      <c r="I2577" s="63">
        <f>IF(E2577=0,0,Fixture!D581)</f>
        <v>0</v>
      </c>
      <c r="J2577" s="63">
        <f>IF(E2577=0,0,Fixture!F581)</f>
        <v>0</v>
      </c>
      <c r="K2577" s="63">
        <f t="shared" ref="K2577:K2640" si="589">IF(E2577=0,0,IF(I2577&gt;0,0,1))</f>
        <v>0</v>
      </c>
      <c r="L2577" s="63">
        <f t="shared" ref="L2577:L2640" si="590">IF(E2577=0,0,IF(J2577&gt;0,0,1))</f>
        <v>0</v>
      </c>
      <c r="N2577" s="10" t="str">
        <f t="shared" si="582"/>
        <v>00</v>
      </c>
      <c r="O2577" s="10">
        <f t="shared" si="583"/>
        <v>0</v>
      </c>
      <c r="P2577" s="10">
        <f t="shared" si="584"/>
        <v>0</v>
      </c>
      <c r="Q2577" s="10">
        <f t="shared" si="585"/>
        <v>0</v>
      </c>
    </row>
    <row r="2578" spans="1:17">
      <c r="A2578" s="15">
        <f t="shared" ref="A2578:A2641" si="591">A621</f>
        <v>0</v>
      </c>
      <c r="B2578" s="15"/>
      <c r="C2578" s="14">
        <f>Fixture!C582</f>
        <v>0</v>
      </c>
      <c r="D2578" s="15">
        <f>IF(E2578=0,0,IF(Fixture!D582&lt;Fixture!F582,0,IF(Fixture!F582&lt;Fixture!D582,3,1)))</f>
        <v>0</v>
      </c>
      <c r="E2578" s="16">
        <f>IF(OR(ISBLANK(Fixture!D582),ISBLANK(Fixture!F582),ISTEXT(Fixture!D582),ISTEXT(Fixture!F582)),0,1)</f>
        <v>0</v>
      </c>
      <c r="F2578" s="16">
        <f t="shared" si="586"/>
        <v>0</v>
      </c>
      <c r="G2578" s="16">
        <f t="shared" si="587"/>
        <v>0</v>
      </c>
      <c r="H2578" s="16">
        <f t="shared" si="588"/>
        <v>0</v>
      </c>
      <c r="I2578" s="63">
        <f>IF(E2578=0,0,Fixture!D582)</f>
        <v>0</v>
      </c>
      <c r="J2578" s="63">
        <f>IF(E2578=0,0,Fixture!F582)</f>
        <v>0</v>
      </c>
      <c r="K2578" s="63">
        <f t="shared" si="589"/>
        <v>0</v>
      </c>
      <c r="L2578" s="63">
        <f t="shared" si="590"/>
        <v>0</v>
      </c>
      <c r="N2578" s="10" t="str">
        <f t="shared" ref="N2578:N2641" si="592">CONCATENATE(C2578,A2578)</f>
        <v>00</v>
      </c>
      <c r="O2578" s="10">
        <f t="shared" ref="O2578:O2641" si="593">D2578</f>
        <v>0</v>
      </c>
      <c r="P2578" s="10">
        <f t="shared" ref="P2578:P2641" si="594">I2578</f>
        <v>0</v>
      </c>
      <c r="Q2578" s="10">
        <f t="shared" ref="Q2578:Q2641" si="595">J2578</f>
        <v>0</v>
      </c>
    </row>
    <row r="2579" spans="1:17">
      <c r="A2579" s="15">
        <f t="shared" si="591"/>
        <v>0</v>
      </c>
      <c r="B2579" s="15"/>
      <c r="C2579" s="14">
        <f>Fixture!C583</f>
        <v>0</v>
      </c>
      <c r="D2579" s="15">
        <f>IF(E2579=0,0,IF(Fixture!D583&lt;Fixture!F583,0,IF(Fixture!F583&lt;Fixture!D583,3,1)))</f>
        <v>0</v>
      </c>
      <c r="E2579" s="16">
        <f>IF(OR(ISBLANK(Fixture!D583),ISBLANK(Fixture!F583),ISTEXT(Fixture!D583),ISTEXT(Fixture!F583)),0,1)</f>
        <v>0</v>
      </c>
      <c r="F2579" s="16">
        <f t="shared" si="586"/>
        <v>0</v>
      </c>
      <c r="G2579" s="16">
        <f t="shared" si="587"/>
        <v>0</v>
      </c>
      <c r="H2579" s="16">
        <f t="shared" si="588"/>
        <v>0</v>
      </c>
      <c r="I2579" s="63">
        <f>IF(E2579=0,0,Fixture!D583)</f>
        <v>0</v>
      </c>
      <c r="J2579" s="63">
        <f>IF(E2579=0,0,Fixture!F583)</f>
        <v>0</v>
      </c>
      <c r="K2579" s="63">
        <f t="shared" si="589"/>
        <v>0</v>
      </c>
      <c r="L2579" s="63">
        <f t="shared" si="590"/>
        <v>0</v>
      </c>
      <c r="N2579" s="10" t="str">
        <f t="shared" si="592"/>
        <v>00</v>
      </c>
      <c r="O2579" s="10">
        <f t="shared" si="593"/>
        <v>0</v>
      </c>
      <c r="P2579" s="10">
        <f t="shared" si="594"/>
        <v>0</v>
      </c>
      <c r="Q2579" s="10">
        <f t="shared" si="595"/>
        <v>0</v>
      </c>
    </row>
    <row r="2580" spans="1:17">
      <c r="A2580" s="15">
        <f t="shared" si="591"/>
        <v>0</v>
      </c>
      <c r="B2580" s="15"/>
      <c r="C2580" s="14">
        <f>Fixture!C584</f>
        <v>0</v>
      </c>
      <c r="D2580" s="15">
        <f>IF(E2580=0,0,IF(Fixture!D584&lt;Fixture!F584,0,IF(Fixture!F584&lt;Fixture!D584,3,1)))</f>
        <v>0</v>
      </c>
      <c r="E2580" s="16">
        <f>IF(OR(ISBLANK(Fixture!D584),ISBLANK(Fixture!F584),ISTEXT(Fixture!D584),ISTEXT(Fixture!F584)),0,1)</f>
        <v>0</v>
      </c>
      <c r="F2580" s="16">
        <f t="shared" si="586"/>
        <v>0</v>
      </c>
      <c r="G2580" s="16">
        <f t="shared" si="587"/>
        <v>0</v>
      </c>
      <c r="H2580" s="16">
        <f t="shared" si="588"/>
        <v>0</v>
      </c>
      <c r="I2580" s="63">
        <f>IF(E2580=0,0,Fixture!D584)</f>
        <v>0</v>
      </c>
      <c r="J2580" s="63">
        <f>IF(E2580=0,0,Fixture!F584)</f>
        <v>0</v>
      </c>
      <c r="K2580" s="63">
        <f t="shared" si="589"/>
        <v>0</v>
      </c>
      <c r="L2580" s="63">
        <f t="shared" si="590"/>
        <v>0</v>
      </c>
      <c r="N2580" s="10" t="str">
        <f t="shared" si="592"/>
        <v>00</v>
      </c>
      <c r="O2580" s="10">
        <f t="shared" si="593"/>
        <v>0</v>
      </c>
      <c r="P2580" s="10">
        <f t="shared" si="594"/>
        <v>0</v>
      </c>
      <c r="Q2580" s="10">
        <f t="shared" si="595"/>
        <v>0</v>
      </c>
    </row>
    <row r="2581" spans="1:17">
      <c r="A2581" s="15">
        <f t="shared" si="591"/>
        <v>0</v>
      </c>
      <c r="B2581" s="15"/>
      <c r="C2581" s="14">
        <f>Fixture!C585</f>
        <v>0</v>
      </c>
      <c r="D2581" s="15">
        <f>IF(E2581=0,0,IF(Fixture!D585&lt;Fixture!F585,0,IF(Fixture!F585&lt;Fixture!D585,3,1)))</f>
        <v>0</v>
      </c>
      <c r="E2581" s="16">
        <f>IF(OR(ISBLANK(Fixture!D585),ISBLANK(Fixture!F585),ISTEXT(Fixture!D585),ISTEXT(Fixture!F585)),0,1)</f>
        <v>0</v>
      </c>
      <c r="F2581" s="16">
        <f t="shared" si="586"/>
        <v>0</v>
      </c>
      <c r="G2581" s="16">
        <f t="shared" si="587"/>
        <v>0</v>
      </c>
      <c r="H2581" s="16">
        <f t="shared" si="588"/>
        <v>0</v>
      </c>
      <c r="I2581" s="63">
        <f>IF(E2581=0,0,Fixture!D585)</f>
        <v>0</v>
      </c>
      <c r="J2581" s="63">
        <f>IF(E2581=0,0,Fixture!F585)</f>
        <v>0</v>
      </c>
      <c r="K2581" s="63">
        <f t="shared" si="589"/>
        <v>0</v>
      </c>
      <c r="L2581" s="63">
        <f t="shared" si="590"/>
        <v>0</v>
      </c>
      <c r="N2581" s="10" t="str">
        <f t="shared" si="592"/>
        <v>00</v>
      </c>
      <c r="O2581" s="10">
        <f t="shared" si="593"/>
        <v>0</v>
      </c>
      <c r="P2581" s="10">
        <f t="shared" si="594"/>
        <v>0</v>
      </c>
      <c r="Q2581" s="10">
        <f t="shared" si="595"/>
        <v>0</v>
      </c>
    </row>
    <row r="2582" spans="1:17">
      <c r="A2582" s="15">
        <f t="shared" si="591"/>
        <v>0</v>
      </c>
      <c r="B2582" s="15"/>
      <c r="C2582" s="14">
        <f>Fixture!C586</f>
        <v>0</v>
      </c>
      <c r="D2582" s="15">
        <f>IF(E2582=0,0,IF(Fixture!D586&lt;Fixture!F586,0,IF(Fixture!F586&lt;Fixture!D586,3,1)))</f>
        <v>0</v>
      </c>
      <c r="E2582" s="16">
        <f>IF(OR(ISBLANK(Fixture!D586),ISBLANK(Fixture!F586),ISTEXT(Fixture!D586),ISTEXT(Fixture!F586)),0,1)</f>
        <v>0</v>
      </c>
      <c r="F2582" s="16">
        <f t="shared" si="586"/>
        <v>0</v>
      </c>
      <c r="G2582" s="16">
        <f t="shared" si="587"/>
        <v>0</v>
      </c>
      <c r="H2582" s="16">
        <f t="shared" si="588"/>
        <v>0</v>
      </c>
      <c r="I2582" s="63">
        <f>IF(E2582=0,0,Fixture!D586)</f>
        <v>0</v>
      </c>
      <c r="J2582" s="63">
        <f>IF(E2582=0,0,Fixture!F586)</f>
        <v>0</v>
      </c>
      <c r="K2582" s="63">
        <f t="shared" si="589"/>
        <v>0</v>
      </c>
      <c r="L2582" s="63">
        <f t="shared" si="590"/>
        <v>0</v>
      </c>
      <c r="N2582" s="10" t="str">
        <f t="shared" si="592"/>
        <v>00</v>
      </c>
      <c r="O2582" s="10">
        <f t="shared" si="593"/>
        <v>0</v>
      </c>
      <c r="P2582" s="10">
        <f t="shared" si="594"/>
        <v>0</v>
      </c>
      <c r="Q2582" s="10">
        <f t="shared" si="595"/>
        <v>0</v>
      </c>
    </row>
    <row r="2583" spans="1:17">
      <c r="A2583" s="15">
        <f t="shared" si="591"/>
        <v>0</v>
      </c>
      <c r="B2583" s="15"/>
      <c r="C2583" s="14">
        <f>Fixture!C587</f>
        <v>0</v>
      </c>
      <c r="D2583" s="15">
        <f>IF(E2583=0,0,IF(Fixture!D587&lt;Fixture!F587,0,IF(Fixture!F587&lt;Fixture!D587,3,1)))</f>
        <v>0</v>
      </c>
      <c r="E2583" s="16">
        <f>IF(OR(ISBLANK(Fixture!D587),ISBLANK(Fixture!F587),ISTEXT(Fixture!D587),ISTEXT(Fixture!F587)),0,1)</f>
        <v>0</v>
      </c>
      <c r="F2583" s="16">
        <f t="shared" si="586"/>
        <v>0</v>
      </c>
      <c r="G2583" s="16">
        <f t="shared" si="587"/>
        <v>0</v>
      </c>
      <c r="H2583" s="16">
        <f t="shared" si="588"/>
        <v>0</v>
      </c>
      <c r="I2583" s="63">
        <f>IF(E2583=0,0,Fixture!D587)</f>
        <v>0</v>
      </c>
      <c r="J2583" s="63">
        <f>IF(E2583=0,0,Fixture!F587)</f>
        <v>0</v>
      </c>
      <c r="K2583" s="63">
        <f t="shared" si="589"/>
        <v>0</v>
      </c>
      <c r="L2583" s="63">
        <f t="shared" si="590"/>
        <v>0</v>
      </c>
      <c r="N2583" s="10" t="str">
        <f t="shared" si="592"/>
        <v>00</v>
      </c>
      <c r="O2583" s="10">
        <f t="shared" si="593"/>
        <v>0</v>
      </c>
      <c r="P2583" s="10">
        <f t="shared" si="594"/>
        <v>0</v>
      </c>
      <c r="Q2583" s="10">
        <f t="shared" si="595"/>
        <v>0</v>
      </c>
    </row>
    <row r="2584" spans="1:17">
      <c r="A2584" s="15">
        <f t="shared" si="591"/>
        <v>0</v>
      </c>
      <c r="B2584" s="15"/>
      <c r="C2584" s="14">
        <f>Fixture!C588</f>
        <v>0</v>
      </c>
      <c r="D2584" s="15">
        <f>IF(E2584=0,0,IF(Fixture!D588&lt;Fixture!F588,0,IF(Fixture!F588&lt;Fixture!D588,3,1)))</f>
        <v>0</v>
      </c>
      <c r="E2584" s="16">
        <f>IF(OR(ISBLANK(Fixture!D588),ISBLANK(Fixture!F588),ISTEXT(Fixture!D588),ISTEXT(Fixture!F588)),0,1)</f>
        <v>0</v>
      </c>
      <c r="F2584" s="16">
        <f t="shared" si="586"/>
        <v>0</v>
      </c>
      <c r="G2584" s="16">
        <f t="shared" si="587"/>
        <v>0</v>
      </c>
      <c r="H2584" s="16">
        <f t="shared" si="588"/>
        <v>0</v>
      </c>
      <c r="I2584" s="63">
        <f>IF(E2584=0,0,Fixture!D588)</f>
        <v>0</v>
      </c>
      <c r="J2584" s="63">
        <f>IF(E2584=0,0,Fixture!F588)</f>
        <v>0</v>
      </c>
      <c r="K2584" s="63">
        <f t="shared" si="589"/>
        <v>0</v>
      </c>
      <c r="L2584" s="63">
        <f t="shared" si="590"/>
        <v>0</v>
      </c>
      <c r="N2584" s="10" t="str">
        <f t="shared" si="592"/>
        <v>00</v>
      </c>
      <c r="O2584" s="10">
        <f t="shared" si="593"/>
        <v>0</v>
      </c>
      <c r="P2584" s="10">
        <f t="shared" si="594"/>
        <v>0</v>
      </c>
      <c r="Q2584" s="10">
        <f t="shared" si="595"/>
        <v>0</v>
      </c>
    </row>
    <row r="2585" spans="1:17">
      <c r="A2585" s="15">
        <f t="shared" si="591"/>
        <v>0</v>
      </c>
      <c r="B2585" s="15"/>
      <c r="C2585" s="14">
        <f>Fixture!C589</f>
        <v>0</v>
      </c>
      <c r="D2585" s="15">
        <f>IF(E2585=0,0,IF(Fixture!D589&lt;Fixture!F589,0,IF(Fixture!F589&lt;Fixture!D589,3,1)))</f>
        <v>0</v>
      </c>
      <c r="E2585" s="16">
        <f>IF(OR(ISBLANK(Fixture!D589),ISBLANK(Fixture!F589),ISTEXT(Fixture!D589),ISTEXT(Fixture!F589)),0,1)</f>
        <v>0</v>
      </c>
      <c r="F2585" s="16">
        <f t="shared" si="586"/>
        <v>0</v>
      </c>
      <c r="G2585" s="16">
        <f t="shared" si="587"/>
        <v>0</v>
      </c>
      <c r="H2585" s="16">
        <f t="shared" si="588"/>
        <v>0</v>
      </c>
      <c r="I2585" s="63">
        <f>IF(E2585=0,0,Fixture!D589)</f>
        <v>0</v>
      </c>
      <c r="J2585" s="63">
        <f>IF(E2585=0,0,Fixture!F589)</f>
        <v>0</v>
      </c>
      <c r="K2585" s="63">
        <f t="shared" si="589"/>
        <v>0</v>
      </c>
      <c r="L2585" s="63">
        <f t="shared" si="590"/>
        <v>0</v>
      </c>
      <c r="N2585" s="10" t="str">
        <f t="shared" si="592"/>
        <v>00</v>
      </c>
      <c r="O2585" s="10">
        <f t="shared" si="593"/>
        <v>0</v>
      </c>
      <c r="P2585" s="10">
        <f t="shared" si="594"/>
        <v>0</v>
      </c>
      <c r="Q2585" s="10">
        <f t="shared" si="595"/>
        <v>0</v>
      </c>
    </row>
    <row r="2586" spans="1:17">
      <c r="A2586" s="15">
        <f t="shared" si="591"/>
        <v>0</v>
      </c>
      <c r="B2586" s="15"/>
      <c r="C2586" s="14">
        <f>Fixture!C590</f>
        <v>0</v>
      </c>
      <c r="D2586" s="15">
        <f>IF(E2586=0,0,IF(Fixture!D590&lt;Fixture!F590,0,IF(Fixture!F590&lt;Fixture!D590,3,1)))</f>
        <v>0</v>
      </c>
      <c r="E2586" s="16">
        <f>IF(OR(ISBLANK(Fixture!D590),ISBLANK(Fixture!F590),ISTEXT(Fixture!D590),ISTEXT(Fixture!F590)),0,1)</f>
        <v>0</v>
      </c>
      <c r="F2586" s="16">
        <f t="shared" si="586"/>
        <v>0</v>
      </c>
      <c r="G2586" s="16">
        <f t="shared" si="587"/>
        <v>0</v>
      </c>
      <c r="H2586" s="16">
        <f t="shared" si="588"/>
        <v>0</v>
      </c>
      <c r="I2586" s="63">
        <f>IF(E2586=0,0,Fixture!D590)</f>
        <v>0</v>
      </c>
      <c r="J2586" s="63">
        <f>IF(E2586=0,0,Fixture!F590)</f>
        <v>0</v>
      </c>
      <c r="K2586" s="63">
        <f t="shared" si="589"/>
        <v>0</v>
      </c>
      <c r="L2586" s="63">
        <f t="shared" si="590"/>
        <v>0</v>
      </c>
      <c r="N2586" s="10" t="str">
        <f t="shared" si="592"/>
        <v>00</v>
      </c>
      <c r="O2586" s="10">
        <f t="shared" si="593"/>
        <v>0</v>
      </c>
      <c r="P2586" s="10">
        <f t="shared" si="594"/>
        <v>0</v>
      </c>
      <c r="Q2586" s="10">
        <f t="shared" si="595"/>
        <v>0</v>
      </c>
    </row>
    <row r="2587" spans="1:17">
      <c r="A2587" s="15">
        <f t="shared" si="591"/>
        <v>0</v>
      </c>
      <c r="B2587" s="15"/>
      <c r="C2587" s="14">
        <f>Fixture!C591</f>
        <v>0</v>
      </c>
      <c r="D2587" s="15">
        <f>IF(E2587=0,0,IF(Fixture!D591&lt;Fixture!F591,0,IF(Fixture!F591&lt;Fixture!D591,3,1)))</f>
        <v>0</v>
      </c>
      <c r="E2587" s="16">
        <f>IF(OR(ISBLANK(Fixture!D591),ISBLANK(Fixture!F591),ISTEXT(Fixture!D591),ISTEXT(Fixture!F591)),0,1)</f>
        <v>0</v>
      </c>
      <c r="F2587" s="16">
        <f t="shared" si="586"/>
        <v>0</v>
      </c>
      <c r="G2587" s="16">
        <f t="shared" si="587"/>
        <v>0</v>
      </c>
      <c r="H2587" s="16">
        <f t="shared" si="588"/>
        <v>0</v>
      </c>
      <c r="I2587" s="63">
        <f>IF(E2587=0,0,Fixture!D591)</f>
        <v>0</v>
      </c>
      <c r="J2587" s="63">
        <f>IF(E2587=0,0,Fixture!F591)</f>
        <v>0</v>
      </c>
      <c r="K2587" s="63">
        <f t="shared" si="589"/>
        <v>0</v>
      </c>
      <c r="L2587" s="63">
        <f t="shared" si="590"/>
        <v>0</v>
      </c>
      <c r="N2587" s="10" t="str">
        <f t="shared" si="592"/>
        <v>00</v>
      </c>
      <c r="O2587" s="10">
        <f t="shared" si="593"/>
        <v>0</v>
      </c>
      <c r="P2587" s="10">
        <f t="shared" si="594"/>
        <v>0</v>
      </c>
      <c r="Q2587" s="10">
        <f t="shared" si="595"/>
        <v>0</v>
      </c>
    </row>
    <row r="2588" spans="1:17">
      <c r="A2588" s="15">
        <f t="shared" si="591"/>
        <v>0</v>
      </c>
      <c r="B2588" s="15"/>
      <c r="C2588" s="14">
        <f>Fixture!C592</f>
        <v>0</v>
      </c>
      <c r="D2588" s="15">
        <f>IF(E2588=0,0,IF(Fixture!D592&lt;Fixture!F592,0,IF(Fixture!F592&lt;Fixture!D592,3,1)))</f>
        <v>0</v>
      </c>
      <c r="E2588" s="16">
        <f>IF(OR(ISBLANK(Fixture!D592),ISBLANK(Fixture!F592),ISTEXT(Fixture!D592),ISTEXT(Fixture!F592)),0,1)</f>
        <v>0</v>
      </c>
      <c r="F2588" s="16">
        <f t="shared" si="586"/>
        <v>0</v>
      </c>
      <c r="G2588" s="16">
        <f t="shared" si="587"/>
        <v>0</v>
      </c>
      <c r="H2588" s="16">
        <f t="shared" si="588"/>
        <v>0</v>
      </c>
      <c r="I2588" s="63">
        <f>IF(E2588=0,0,Fixture!D592)</f>
        <v>0</v>
      </c>
      <c r="J2588" s="63">
        <f>IF(E2588=0,0,Fixture!F592)</f>
        <v>0</v>
      </c>
      <c r="K2588" s="63">
        <f t="shared" si="589"/>
        <v>0</v>
      </c>
      <c r="L2588" s="63">
        <f t="shared" si="590"/>
        <v>0</v>
      </c>
      <c r="N2588" s="10" t="str">
        <f t="shared" si="592"/>
        <v>00</v>
      </c>
      <c r="O2588" s="10">
        <f t="shared" si="593"/>
        <v>0</v>
      </c>
      <c r="P2588" s="10">
        <f t="shared" si="594"/>
        <v>0</v>
      </c>
      <c r="Q2588" s="10">
        <f t="shared" si="595"/>
        <v>0</v>
      </c>
    </row>
    <row r="2589" spans="1:17">
      <c r="A2589" s="15">
        <f t="shared" si="591"/>
        <v>0</v>
      </c>
      <c r="B2589" s="15"/>
      <c r="C2589" s="14">
        <f>Fixture!C593</f>
        <v>0</v>
      </c>
      <c r="D2589" s="15">
        <f>IF(E2589=0,0,IF(Fixture!D593&lt;Fixture!F593,0,IF(Fixture!F593&lt;Fixture!D593,3,1)))</f>
        <v>0</v>
      </c>
      <c r="E2589" s="16">
        <f>IF(OR(ISBLANK(Fixture!D593),ISBLANK(Fixture!F593),ISTEXT(Fixture!D593),ISTEXT(Fixture!F593)),0,1)</f>
        <v>0</v>
      </c>
      <c r="F2589" s="16">
        <f t="shared" si="586"/>
        <v>0</v>
      </c>
      <c r="G2589" s="16">
        <f t="shared" si="587"/>
        <v>0</v>
      </c>
      <c r="H2589" s="16">
        <f t="shared" si="588"/>
        <v>0</v>
      </c>
      <c r="I2589" s="63">
        <f>IF(E2589=0,0,Fixture!D593)</f>
        <v>0</v>
      </c>
      <c r="J2589" s="63">
        <f>IF(E2589=0,0,Fixture!F593)</f>
        <v>0</v>
      </c>
      <c r="K2589" s="63">
        <f t="shared" si="589"/>
        <v>0</v>
      </c>
      <c r="L2589" s="63">
        <f t="shared" si="590"/>
        <v>0</v>
      </c>
      <c r="N2589" s="10" t="str">
        <f t="shared" si="592"/>
        <v>00</v>
      </c>
      <c r="O2589" s="10">
        <f t="shared" si="593"/>
        <v>0</v>
      </c>
      <c r="P2589" s="10">
        <f t="shared" si="594"/>
        <v>0</v>
      </c>
      <c r="Q2589" s="10">
        <f t="shared" si="595"/>
        <v>0</v>
      </c>
    </row>
    <row r="2590" spans="1:17">
      <c r="A2590" s="15">
        <f t="shared" si="591"/>
        <v>0</v>
      </c>
      <c r="B2590" s="15"/>
      <c r="C2590" s="14">
        <f>Fixture!C594</f>
        <v>0</v>
      </c>
      <c r="D2590" s="15">
        <f>IF(E2590=0,0,IF(Fixture!D594&lt;Fixture!F594,0,IF(Fixture!F594&lt;Fixture!D594,3,1)))</f>
        <v>0</v>
      </c>
      <c r="E2590" s="16">
        <f>IF(OR(ISBLANK(Fixture!D594),ISBLANK(Fixture!F594),ISTEXT(Fixture!D594),ISTEXT(Fixture!F594)),0,1)</f>
        <v>0</v>
      </c>
      <c r="F2590" s="16">
        <f t="shared" si="586"/>
        <v>0</v>
      </c>
      <c r="G2590" s="16">
        <f t="shared" si="587"/>
        <v>0</v>
      </c>
      <c r="H2590" s="16">
        <f t="shared" si="588"/>
        <v>0</v>
      </c>
      <c r="I2590" s="63">
        <f>IF(E2590=0,0,Fixture!D594)</f>
        <v>0</v>
      </c>
      <c r="J2590" s="63">
        <f>IF(E2590=0,0,Fixture!F594)</f>
        <v>0</v>
      </c>
      <c r="K2590" s="63">
        <f t="shared" si="589"/>
        <v>0</v>
      </c>
      <c r="L2590" s="63">
        <f t="shared" si="590"/>
        <v>0</v>
      </c>
      <c r="N2590" s="10" t="str">
        <f t="shared" si="592"/>
        <v>00</v>
      </c>
      <c r="O2590" s="10">
        <f t="shared" si="593"/>
        <v>0</v>
      </c>
      <c r="P2590" s="10">
        <f t="shared" si="594"/>
        <v>0</v>
      </c>
      <c r="Q2590" s="10">
        <f t="shared" si="595"/>
        <v>0</v>
      </c>
    </row>
    <row r="2591" spans="1:17">
      <c r="A2591" s="15">
        <f t="shared" si="591"/>
        <v>0</v>
      </c>
      <c r="B2591" s="15"/>
      <c r="C2591" s="14">
        <f>Fixture!C595</f>
        <v>0</v>
      </c>
      <c r="D2591" s="15">
        <f>IF(E2591=0,0,IF(Fixture!D595&lt;Fixture!F595,0,IF(Fixture!F595&lt;Fixture!D595,3,1)))</f>
        <v>0</v>
      </c>
      <c r="E2591" s="16">
        <f>IF(OR(ISBLANK(Fixture!D595),ISBLANK(Fixture!F595),ISTEXT(Fixture!D595),ISTEXT(Fixture!F595)),0,1)</f>
        <v>0</v>
      </c>
      <c r="F2591" s="16">
        <f t="shared" si="586"/>
        <v>0</v>
      </c>
      <c r="G2591" s="16">
        <f t="shared" si="587"/>
        <v>0</v>
      </c>
      <c r="H2591" s="16">
        <f t="shared" si="588"/>
        <v>0</v>
      </c>
      <c r="I2591" s="63">
        <f>IF(E2591=0,0,Fixture!D595)</f>
        <v>0</v>
      </c>
      <c r="J2591" s="63">
        <f>IF(E2591=0,0,Fixture!F595)</f>
        <v>0</v>
      </c>
      <c r="K2591" s="63">
        <f t="shared" si="589"/>
        <v>0</v>
      </c>
      <c r="L2591" s="63">
        <f t="shared" si="590"/>
        <v>0</v>
      </c>
      <c r="N2591" s="10" t="str">
        <f t="shared" si="592"/>
        <v>00</v>
      </c>
      <c r="O2591" s="10">
        <f t="shared" si="593"/>
        <v>0</v>
      </c>
      <c r="P2591" s="10">
        <f t="shared" si="594"/>
        <v>0</v>
      </c>
      <c r="Q2591" s="10">
        <f t="shared" si="595"/>
        <v>0</v>
      </c>
    </row>
    <row r="2592" spans="1:17">
      <c r="A2592" s="15">
        <f t="shared" si="591"/>
        <v>0</v>
      </c>
      <c r="B2592" s="15"/>
      <c r="C2592" s="14">
        <f>Fixture!C596</f>
        <v>0</v>
      </c>
      <c r="D2592" s="15">
        <f>IF(E2592=0,0,IF(Fixture!D596&lt;Fixture!F596,0,IF(Fixture!F596&lt;Fixture!D596,3,1)))</f>
        <v>0</v>
      </c>
      <c r="E2592" s="16">
        <f>IF(OR(ISBLANK(Fixture!D596),ISBLANK(Fixture!F596),ISTEXT(Fixture!D596),ISTEXT(Fixture!F596)),0,1)</f>
        <v>0</v>
      </c>
      <c r="F2592" s="16">
        <f t="shared" si="586"/>
        <v>0</v>
      </c>
      <c r="G2592" s="16">
        <f t="shared" si="587"/>
        <v>0</v>
      </c>
      <c r="H2592" s="16">
        <f t="shared" si="588"/>
        <v>0</v>
      </c>
      <c r="I2592" s="63">
        <f>IF(E2592=0,0,Fixture!D596)</f>
        <v>0</v>
      </c>
      <c r="J2592" s="63">
        <f>IF(E2592=0,0,Fixture!F596)</f>
        <v>0</v>
      </c>
      <c r="K2592" s="63">
        <f t="shared" si="589"/>
        <v>0</v>
      </c>
      <c r="L2592" s="63">
        <f t="shared" si="590"/>
        <v>0</v>
      </c>
      <c r="N2592" s="10" t="str">
        <f t="shared" si="592"/>
        <v>00</v>
      </c>
      <c r="O2592" s="10">
        <f t="shared" si="593"/>
        <v>0</v>
      </c>
      <c r="P2592" s="10">
        <f t="shared" si="594"/>
        <v>0</v>
      </c>
      <c r="Q2592" s="10">
        <f t="shared" si="595"/>
        <v>0</v>
      </c>
    </row>
    <row r="2593" spans="1:17">
      <c r="A2593" s="15">
        <f t="shared" si="591"/>
        <v>0</v>
      </c>
      <c r="B2593" s="15"/>
      <c r="C2593" s="14">
        <f>Fixture!C597</f>
        <v>0</v>
      </c>
      <c r="D2593" s="15">
        <f>IF(E2593=0,0,IF(Fixture!D597&lt;Fixture!F597,0,IF(Fixture!F597&lt;Fixture!D597,3,1)))</f>
        <v>0</v>
      </c>
      <c r="E2593" s="16">
        <f>IF(OR(ISBLANK(Fixture!D597),ISBLANK(Fixture!F597),ISTEXT(Fixture!D597),ISTEXT(Fixture!F597)),0,1)</f>
        <v>0</v>
      </c>
      <c r="F2593" s="16">
        <f t="shared" si="586"/>
        <v>0</v>
      </c>
      <c r="G2593" s="16">
        <f t="shared" si="587"/>
        <v>0</v>
      </c>
      <c r="H2593" s="16">
        <f t="shared" si="588"/>
        <v>0</v>
      </c>
      <c r="I2593" s="63">
        <f>IF(E2593=0,0,Fixture!D597)</f>
        <v>0</v>
      </c>
      <c r="J2593" s="63">
        <f>IF(E2593=0,0,Fixture!F597)</f>
        <v>0</v>
      </c>
      <c r="K2593" s="63">
        <f t="shared" si="589"/>
        <v>0</v>
      </c>
      <c r="L2593" s="63">
        <f t="shared" si="590"/>
        <v>0</v>
      </c>
      <c r="N2593" s="10" t="str">
        <f t="shared" si="592"/>
        <v>00</v>
      </c>
      <c r="O2593" s="10">
        <f t="shared" si="593"/>
        <v>0</v>
      </c>
      <c r="P2593" s="10">
        <f t="shared" si="594"/>
        <v>0</v>
      </c>
      <c r="Q2593" s="10">
        <f t="shared" si="595"/>
        <v>0</v>
      </c>
    </row>
    <row r="2594" spans="1:17">
      <c r="A2594" s="15">
        <f t="shared" si="591"/>
        <v>0</v>
      </c>
      <c r="B2594" s="15"/>
      <c r="C2594" s="14">
        <f>Fixture!C598</f>
        <v>0</v>
      </c>
      <c r="D2594" s="15">
        <f>IF(E2594=0,0,IF(Fixture!D598&lt;Fixture!F598,0,IF(Fixture!F598&lt;Fixture!D598,3,1)))</f>
        <v>0</v>
      </c>
      <c r="E2594" s="16">
        <f>IF(OR(ISBLANK(Fixture!D598),ISBLANK(Fixture!F598),ISTEXT(Fixture!D598),ISTEXT(Fixture!F598)),0,1)</f>
        <v>0</v>
      </c>
      <c r="F2594" s="16">
        <f t="shared" si="586"/>
        <v>0</v>
      </c>
      <c r="G2594" s="16">
        <f t="shared" si="587"/>
        <v>0</v>
      </c>
      <c r="H2594" s="16">
        <f t="shared" si="588"/>
        <v>0</v>
      </c>
      <c r="I2594" s="63">
        <f>IF(E2594=0,0,Fixture!D598)</f>
        <v>0</v>
      </c>
      <c r="J2594" s="63">
        <f>IF(E2594=0,0,Fixture!F598)</f>
        <v>0</v>
      </c>
      <c r="K2594" s="63">
        <f t="shared" si="589"/>
        <v>0</v>
      </c>
      <c r="L2594" s="63">
        <f t="shared" si="590"/>
        <v>0</v>
      </c>
      <c r="N2594" s="10" t="str">
        <f t="shared" si="592"/>
        <v>00</v>
      </c>
      <c r="O2594" s="10">
        <f t="shared" si="593"/>
        <v>0</v>
      </c>
      <c r="P2594" s="10">
        <f t="shared" si="594"/>
        <v>0</v>
      </c>
      <c r="Q2594" s="10">
        <f t="shared" si="595"/>
        <v>0</v>
      </c>
    </row>
    <row r="2595" spans="1:17">
      <c r="A2595" s="15">
        <f t="shared" si="591"/>
        <v>0</v>
      </c>
      <c r="B2595" s="15"/>
      <c r="C2595" s="14">
        <f>Fixture!C599</f>
        <v>0</v>
      </c>
      <c r="D2595" s="15">
        <f>IF(E2595=0,0,IF(Fixture!D599&lt;Fixture!F599,0,IF(Fixture!F599&lt;Fixture!D599,3,1)))</f>
        <v>0</v>
      </c>
      <c r="E2595" s="16">
        <f>IF(OR(ISBLANK(Fixture!D599),ISBLANK(Fixture!F599),ISTEXT(Fixture!D599),ISTEXT(Fixture!F599)),0,1)</f>
        <v>0</v>
      </c>
      <c r="F2595" s="16">
        <f t="shared" si="586"/>
        <v>0</v>
      </c>
      <c r="G2595" s="16">
        <f t="shared" si="587"/>
        <v>0</v>
      </c>
      <c r="H2595" s="16">
        <f t="shared" si="588"/>
        <v>0</v>
      </c>
      <c r="I2595" s="63">
        <f>IF(E2595=0,0,Fixture!D599)</f>
        <v>0</v>
      </c>
      <c r="J2595" s="63">
        <f>IF(E2595=0,0,Fixture!F599)</f>
        <v>0</v>
      </c>
      <c r="K2595" s="63">
        <f t="shared" si="589"/>
        <v>0</v>
      </c>
      <c r="L2595" s="63">
        <f t="shared" si="590"/>
        <v>0</v>
      </c>
      <c r="N2595" s="10" t="str">
        <f t="shared" si="592"/>
        <v>00</v>
      </c>
      <c r="O2595" s="10">
        <f t="shared" si="593"/>
        <v>0</v>
      </c>
      <c r="P2595" s="10">
        <f t="shared" si="594"/>
        <v>0</v>
      </c>
      <c r="Q2595" s="10">
        <f t="shared" si="595"/>
        <v>0</v>
      </c>
    </row>
    <row r="2596" spans="1:17">
      <c r="A2596" s="15">
        <f t="shared" si="591"/>
        <v>0</v>
      </c>
      <c r="B2596" s="15"/>
      <c r="C2596" s="14">
        <f>Fixture!C600</f>
        <v>0</v>
      </c>
      <c r="D2596" s="15">
        <f>IF(E2596=0,0,IF(Fixture!D600&lt;Fixture!F600,0,IF(Fixture!F600&lt;Fixture!D600,3,1)))</f>
        <v>0</v>
      </c>
      <c r="E2596" s="16">
        <f>IF(OR(ISBLANK(Fixture!D600),ISBLANK(Fixture!F600),ISTEXT(Fixture!D600),ISTEXT(Fixture!F600)),0,1)</f>
        <v>0</v>
      </c>
      <c r="F2596" s="16">
        <f t="shared" si="586"/>
        <v>0</v>
      </c>
      <c r="G2596" s="16">
        <f t="shared" si="587"/>
        <v>0</v>
      </c>
      <c r="H2596" s="16">
        <f t="shared" si="588"/>
        <v>0</v>
      </c>
      <c r="I2596" s="63">
        <f>IF(E2596=0,0,Fixture!D600)</f>
        <v>0</v>
      </c>
      <c r="J2596" s="63">
        <f>IF(E2596=0,0,Fixture!F600)</f>
        <v>0</v>
      </c>
      <c r="K2596" s="63">
        <f t="shared" si="589"/>
        <v>0</v>
      </c>
      <c r="L2596" s="63">
        <f t="shared" si="590"/>
        <v>0</v>
      </c>
      <c r="N2596" s="10" t="str">
        <f t="shared" si="592"/>
        <v>00</v>
      </c>
      <c r="O2596" s="10">
        <f t="shared" si="593"/>
        <v>0</v>
      </c>
      <c r="P2596" s="10">
        <f t="shared" si="594"/>
        <v>0</v>
      </c>
      <c r="Q2596" s="10">
        <f t="shared" si="595"/>
        <v>0</v>
      </c>
    </row>
    <row r="2597" spans="1:17">
      <c r="A2597" s="15">
        <f t="shared" si="591"/>
        <v>0</v>
      </c>
      <c r="B2597" s="15"/>
      <c r="C2597" s="14">
        <f>Fixture!C601</f>
        <v>0</v>
      </c>
      <c r="D2597" s="15">
        <f>IF(E2597=0,0,IF(Fixture!D601&lt;Fixture!F601,0,IF(Fixture!F601&lt;Fixture!D601,3,1)))</f>
        <v>0</v>
      </c>
      <c r="E2597" s="16">
        <f>IF(OR(ISBLANK(Fixture!D601),ISBLANK(Fixture!F601),ISTEXT(Fixture!D601),ISTEXT(Fixture!F601)),0,1)</f>
        <v>0</v>
      </c>
      <c r="F2597" s="16">
        <f t="shared" si="586"/>
        <v>0</v>
      </c>
      <c r="G2597" s="16">
        <f t="shared" si="587"/>
        <v>0</v>
      </c>
      <c r="H2597" s="16">
        <f t="shared" si="588"/>
        <v>0</v>
      </c>
      <c r="I2597" s="63">
        <f>IF(E2597=0,0,Fixture!D601)</f>
        <v>0</v>
      </c>
      <c r="J2597" s="63">
        <f>IF(E2597=0,0,Fixture!F601)</f>
        <v>0</v>
      </c>
      <c r="K2597" s="63">
        <f t="shared" si="589"/>
        <v>0</v>
      </c>
      <c r="L2597" s="63">
        <f t="shared" si="590"/>
        <v>0</v>
      </c>
      <c r="N2597" s="10" t="str">
        <f t="shared" si="592"/>
        <v>00</v>
      </c>
      <c r="O2597" s="10">
        <f t="shared" si="593"/>
        <v>0</v>
      </c>
      <c r="P2597" s="10">
        <f t="shared" si="594"/>
        <v>0</v>
      </c>
      <c r="Q2597" s="10">
        <f t="shared" si="595"/>
        <v>0</v>
      </c>
    </row>
    <row r="2598" spans="1:17">
      <c r="A2598" s="15">
        <f t="shared" si="591"/>
        <v>0</v>
      </c>
      <c r="B2598" s="15"/>
      <c r="C2598" s="14">
        <f>Fixture!C602</f>
        <v>0</v>
      </c>
      <c r="D2598" s="15">
        <f>IF(E2598=0,0,IF(Fixture!D602&lt;Fixture!F602,0,IF(Fixture!F602&lt;Fixture!D602,3,1)))</f>
        <v>0</v>
      </c>
      <c r="E2598" s="16">
        <f>IF(OR(ISBLANK(Fixture!D602),ISBLANK(Fixture!F602),ISTEXT(Fixture!D602),ISTEXT(Fixture!F602)),0,1)</f>
        <v>0</v>
      </c>
      <c r="F2598" s="16">
        <f t="shared" si="586"/>
        <v>0</v>
      </c>
      <c r="G2598" s="16">
        <f t="shared" si="587"/>
        <v>0</v>
      </c>
      <c r="H2598" s="16">
        <f t="shared" si="588"/>
        <v>0</v>
      </c>
      <c r="I2598" s="63">
        <f>IF(E2598=0,0,Fixture!D602)</f>
        <v>0</v>
      </c>
      <c r="J2598" s="63">
        <f>IF(E2598=0,0,Fixture!F602)</f>
        <v>0</v>
      </c>
      <c r="K2598" s="63">
        <f t="shared" si="589"/>
        <v>0</v>
      </c>
      <c r="L2598" s="63">
        <f t="shared" si="590"/>
        <v>0</v>
      </c>
      <c r="N2598" s="10" t="str">
        <f t="shared" si="592"/>
        <v>00</v>
      </c>
      <c r="O2598" s="10">
        <f t="shared" si="593"/>
        <v>0</v>
      </c>
      <c r="P2598" s="10">
        <f t="shared" si="594"/>
        <v>0</v>
      </c>
      <c r="Q2598" s="10">
        <f t="shared" si="595"/>
        <v>0</v>
      </c>
    </row>
    <row r="2599" spans="1:17">
      <c r="A2599" s="15">
        <f t="shared" si="591"/>
        <v>0</v>
      </c>
      <c r="B2599" s="15"/>
      <c r="C2599" s="14">
        <f>Fixture!C603</f>
        <v>0</v>
      </c>
      <c r="D2599" s="15">
        <f>IF(E2599=0,0,IF(Fixture!D603&lt;Fixture!F603,0,IF(Fixture!F603&lt;Fixture!D603,3,1)))</f>
        <v>0</v>
      </c>
      <c r="E2599" s="16">
        <f>IF(OR(ISBLANK(Fixture!D603),ISBLANK(Fixture!F603),ISTEXT(Fixture!D603),ISTEXT(Fixture!F603)),0,1)</f>
        <v>0</v>
      </c>
      <c r="F2599" s="16">
        <f t="shared" si="586"/>
        <v>0</v>
      </c>
      <c r="G2599" s="16">
        <f t="shared" si="587"/>
        <v>0</v>
      </c>
      <c r="H2599" s="16">
        <f t="shared" si="588"/>
        <v>0</v>
      </c>
      <c r="I2599" s="63">
        <f>IF(E2599=0,0,Fixture!D603)</f>
        <v>0</v>
      </c>
      <c r="J2599" s="63">
        <f>IF(E2599=0,0,Fixture!F603)</f>
        <v>0</v>
      </c>
      <c r="K2599" s="63">
        <f t="shared" si="589"/>
        <v>0</v>
      </c>
      <c r="L2599" s="63">
        <f t="shared" si="590"/>
        <v>0</v>
      </c>
      <c r="N2599" s="10" t="str">
        <f t="shared" si="592"/>
        <v>00</v>
      </c>
      <c r="O2599" s="10">
        <f t="shared" si="593"/>
        <v>0</v>
      </c>
      <c r="P2599" s="10">
        <f t="shared" si="594"/>
        <v>0</v>
      </c>
      <c r="Q2599" s="10">
        <f t="shared" si="595"/>
        <v>0</v>
      </c>
    </row>
    <row r="2600" spans="1:17">
      <c r="A2600" s="15">
        <f t="shared" si="591"/>
        <v>0</v>
      </c>
      <c r="B2600" s="15"/>
      <c r="C2600" s="14">
        <f>Fixture!C604</f>
        <v>0</v>
      </c>
      <c r="D2600" s="15">
        <f>IF(E2600=0,0,IF(Fixture!D604&lt;Fixture!F604,0,IF(Fixture!F604&lt;Fixture!D604,3,1)))</f>
        <v>0</v>
      </c>
      <c r="E2600" s="16">
        <f>IF(OR(ISBLANK(Fixture!D604),ISBLANK(Fixture!F604),ISTEXT(Fixture!D604),ISTEXT(Fixture!F604)),0,1)</f>
        <v>0</v>
      </c>
      <c r="F2600" s="16">
        <f t="shared" si="586"/>
        <v>0</v>
      </c>
      <c r="G2600" s="16">
        <f t="shared" si="587"/>
        <v>0</v>
      </c>
      <c r="H2600" s="16">
        <f t="shared" si="588"/>
        <v>0</v>
      </c>
      <c r="I2600" s="63">
        <f>IF(E2600=0,0,Fixture!D604)</f>
        <v>0</v>
      </c>
      <c r="J2600" s="63">
        <f>IF(E2600=0,0,Fixture!F604)</f>
        <v>0</v>
      </c>
      <c r="K2600" s="63">
        <f t="shared" si="589"/>
        <v>0</v>
      </c>
      <c r="L2600" s="63">
        <f t="shared" si="590"/>
        <v>0</v>
      </c>
      <c r="N2600" s="10" t="str">
        <f t="shared" si="592"/>
        <v>00</v>
      </c>
      <c r="O2600" s="10">
        <f t="shared" si="593"/>
        <v>0</v>
      </c>
      <c r="P2600" s="10">
        <f t="shared" si="594"/>
        <v>0</v>
      </c>
      <c r="Q2600" s="10">
        <f t="shared" si="595"/>
        <v>0</v>
      </c>
    </row>
    <row r="2601" spans="1:17">
      <c r="A2601" s="15">
        <f t="shared" si="591"/>
        <v>0</v>
      </c>
      <c r="B2601" s="15"/>
      <c r="C2601" s="14">
        <f>Fixture!C605</f>
        <v>0</v>
      </c>
      <c r="D2601" s="15">
        <f>IF(E2601=0,0,IF(Fixture!D605&lt;Fixture!F605,0,IF(Fixture!F605&lt;Fixture!D605,3,1)))</f>
        <v>0</v>
      </c>
      <c r="E2601" s="16">
        <f>IF(OR(ISBLANK(Fixture!D605),ISBLANK(Fixture!F605),ISTEXT(Fixture!D605),ISTEXT(Fixture!F605)),0,1)</f>
        <v>0</v>
      </c>
      <c r="F2601" s="16">
        <f t="shared" si="586"/>
        <v>0</v>
      </c>
      <c r="G2601" s="16">
        <f t="shared" si="587"/>
        <v>0</v>
      </c>
      <c r="H2601" s="16">
        <f t="shared" si="588"/>
        <v>0</v>
      </c>
      <c r="I2601" s="63">
        <f>IF(E2601=0,0,Fixture!D605)</f>
        <v>0</v>
      </c>
      <c r="J2601" s="63">
        <f>IF(E2601=0,0,Fixture!F605)</f>
        <v>0</v>
      </c>
      <c r="K2601" s="63">
        <f t="shared" si="589"/>
        <v>0</v>
      </c>
      <c r="L2601" s="63">
        <f t="shared" si="590"/>
        <v>0</v>
      </c>
      <c r="N2601" s="10" t="str">
        <f t="shared" si="592"/>
        <v>00</v>
      </c>
      <c r="O2601" s="10">
        <f t="shared" si="593"/>
        <v>0</v>
      </c>
      <c r="P2601" s="10">
        <f t="shared" si="594"/>
        <v>0</v>
      </c>
      <c r="Q2601" s="10">
        <f t="shared" si="595"/>
        <v>0</v>
      </c>
    </row>
    <row r="2602" spans="1:17">
      <c r="A2602" s="15">
        <f t="shared" si="591"/>
        <v>0</v>
      </c>
      <c r="B2602" s="15"/>
      <c r="C2602" s="14">
        <f>Fixture!C606</f>
        <v>0</v>
      </c>
      <c r="D2602" s="15">
        <f>IF(E2602=0,0,IF(Fixture!D606&lt;Fixture!F606,0,IF(Fixture!F606&lt;Fixture!D606,3,1)))</f>
        <v>0</v>
      </c>
      <c r="E2602" s="16">
        <f>IF(OR(ISBLANK(Fixture!D606),ISBLANK(Fixture!F606),ISTEXT(Fixture!D606),ISTEXT(Fixture!F606)),0,1)</f>
        <v>0</v>
      </c>
      <c r="F2602" s="16">
        <f t="shared" si="586"/>
        <v>0</v>
      </c>
      <c r="G2602" s="16">
        <f t="shared" si="587"/>
        <v>0</v>
      </c>
      <c r="H2602" s="16">
        <f t="shared" si="588"/>
        <v>0</v>
      </c>
      <c r="I2602" s="63">
        <f>IF(E2602=0,0,Fixture!D606)</f>
        <v>0</v>
      </c>
      <c r="J2602" s="63">
        <f>IF(E2602=0,0,Fixture!F606)</f>
        <v>0</v>
      </c>
      <c r="K2602" s="63">
        <f t="shared" si="589"/>
        <v>0</v>
      </c>
      <c r="L2602" s="63">
        <f t="shared" si="590"/>
        <v>0</v>
      </c>
      <c r="N2602" s="10" t="str">
        <f t="shared" si="592"/>
        <v>00</v>
      </c>
      <c r="O2602" s="10">
        <f t="shared" si="593"/>
        <v>0</v>
      </c>
      <c r="P2602" s="10">
        <f t="shared" si="594"/>
        <v>0</v>
      </c>
      <c r="Q2602" s="10">
        <f t="shared" si="595"/>
        <v>0</v>
      </c>
    </row>
    <row r="2603" spans="1:17">
      <c r="A2603" s="15">
        <f t="shared" si="591"/>
        <v>0</v>
      </c>
      <c r="B2603" s="15"/>
      <c r="C2603" s="14">
        <f>Fixture!C607</f>
        <v>0</v>
      </c>
      <c r="D2603" s="15">
        <f>IF(E2603=0,0,IF(Fixture!D607&lt;Fixture!F607,0,IF(Fixture!F607&lt;Fixture!D607,3,1)))</f>
        <v>0</v>
      </c>
      <c r="E2603" s="16">
        <f>IF(OR(ISBLANK(Fixture!D607),ISBLANK(Fixture!F607),ISTEXT(Fixture!D607),ISTEXT(Fixture!F607)),0,1)</f>
        <v>0</v>
      </c>
      <c r="F2603" s="16">
        <f t="shared" si="586"/>
        <v>0</v>
      </c>
      <c r="G2603" s="16">
        <f t="shared" si="587"/>
        <v>0</v>
      </c>
      <c r="H2603" s="16">
        <f t="shared" si="588"/>
        <v>0</v>
      </c>
      <c r="I2603" s="63">
        <f>IF(E2603=0,0,Fixture!D607)</f>
        <v>0</v>
      </c>
      <c r="J2603" s="63">
        <f>IF(E2603=0,0,Fixture!F607)</f>
        <v>0</v>
      </c>
      <c r="K2603" s="63">
        <f t="shared" si="589"/>
        <v>0</v>
      </c>
      <c r="L2603" s="63">
        <f t="shared" si="590"/>
        <v>0</v>
      </c>
      <c r="N2603" s="10" t="str">
        <f t="shared" si="592"/>
        <v>00</v>
      </c>
      <c r="O2603" s="10">
        <f t="shared" si="593"/>
        <v>0</v>
      </c>
      <c r="P2603" s="10">
        <f t="shared" si="594"/>
        <v>0</v>
      </c>
      <c r="Q2603" s="10">
        <f t="shared" si="595"/>
        <v>0</v>
      </c>
    </row>
    <row r="2604" spans="1:17">
      <c r="A2604" s="15">
        <f t="shared" si="591"/>
        <v>0</v>
      </c>
      <c r="B2604" s="15"/>
      <c r="C2604" s="14">
        <f>Fixture!C608</f>
        <v>0</v>
      </c>
      <c r="D2604" s="15">
        <f>IF(E2604=0,0,IF(Fixture!D608&lt;Fixture!F608,0,IF(Fixture!F608&lt;Fixture!D608,3,1)))</f>
        <v>0</v>
      </c>
      <c r="E2604" s="16">
        <f>IF(OR(ISBLANK(Fixture!D608),ISBLANK(Fixture!F608),ISTEXT(Fixture!D608),ISTEXT(Fixture!F608)),0,1)</f>
        <v>0</v>
      </c>
      <c r="F2604" s="16">
        <f t="shared" si="586"/>
        <v>0</v>
      </c>
      <c r="G2604" s="16">
        <f t="shared" si="587"/>
        <v>0</v>
      </c>
      <c r="H2604" s="16">
        <f t="shared" si="588"/>
        <v>0</v>
      </c>
      <c r="I2604" s="63">
        <f>IF(E2604=0,0,Fixture!D608)</f>
        <v>0</v>
      </c>
      <c r="J2604" s="63">
        <f>IF(E2604=0,0,Fixture!F608)</f>
        <v>0</v>
      </c>
      <c r="K2604" s="63">
        <f t="shared" si="589"/>
        <v>0</v>
      </c>
      <c r="L2604" s="63">
        <f t="shared" si="590"/>
        <v>0</v>
      </c>
      <c r="N2604" s="10" t="str">
        <f t="shared" si="592"/>
        <v>00</v>
      </c>
      <c r="O2604" s="10">
        <f t="shared" si="593"/>
        <v>0</v>
      </c>
      <c r="P2604" s="10">
        <f t="shared" si="594"/>
        <v>0</v>
      </c>
      <c r="Q2604" s="10">
        <f t="shared" si="595"/>
        <v>0</v>
      </c>
    </row>
    <row r="2605" spans="1:17">
      <c r="A2605" s="15">
        <f t="shared" si="591"/>
        <v>0</v>
      </c>
      <c r="B2605" s="15"/>
      <c r="C2605" s="14">
        <f>Fixture!C609</f>
        <v>0</v>
      </c>
      <c r="D2605" s="15">
        <f>IF(E2605=0,0,IF(Fixture!D609&lt;Fixture!F609,0,IF(Fixture!F609&lt;Fixture!D609,3,1)))</f>
        <v>0</v>
      </c>
      <c r="E2605" s="16">
        <f>IF(OR(ISBLANK(Fixture!D609),ISBLANK(Fixture!F609),ISTEXT(Fixture!D609),ISTEXT(Fixture!F609)),0,1)</f>
        <v>0</v>
      </c>
      <c r="F2605" s="16">
        <f t="shared" si="586"/>
        <v>0</v>
      </c>
      <c r="G2605" s="16">
        <f t="shared" si="587"/>
        <v>0</v>
      </c>
      <c r="H2605" s="16">
        <f t="shared" si="588"/>
        <v>0</v>
      </c>
      <c r="I2605" s="63">
        <f>IF(E2605=0,0,Fixture!D609)</f>
        <v>0</v>
      </c>
      <c r="J2605" s="63">
        <f>IF(E2605=0,0,Fixture!F609)</f>
        <v>0</v>
      </c>
      <c r="K2605" s="63">
        <f t="shared" si="589"/>
        <v>0</v>
      </c>
      <c r="L2605" s="63">
        <f t="shared" si="590"/>
        <v>0</v>
      </c>
      <c r="N2605" s="10" t="str">
        <f t="shared" si="592"/>
        <v>00</v>
      </c>
      <c r="O2605" s="10">
        <f t="shared" si="593"/>
        <v>0</v>
      </c>
      <c r="P2605" s="10">
        <f t="shared" si="594"/>
        <v>0</v>
      </c>
      <c r="Q2605" s="10">
        <f t="shared" si="595"/>
        <v>0</v>
      </c>
    </row>
    <row r="2606" spans="1:17">
      <c r="A2606" s="15">
        <f t="shared" si="591"/>
        <v>0</v>
      </c>
      <c r="B2606" s="15"/>
      <c r="C2606" s="14">
        <f>Fixture!C610</f>
        <v>0</v>
      </c>
      <c r="D2606" s="15">
        <f>IF(E2606=0,0,IF(Fixture!D610&lt;Fixture!F610,0,IF(Fixture!F610&lt;Fixture!D610,3,1)))</f>
        <v>0</v>
      </c>
      <c r="E2606" s="16">
        <f>IF(OR(ISBLANK(Fixture!D610),ISBLANK(Fixture!F610),ISTEXT(Fixture!D610),ISTEXT(Fixture!F610)),0,1)</f>
        <v>0</v>
      </c>
      <c r="F2606" s="16">
        <f t="shared" si="586"/>
        <v>0</v>
      </c>
      <c r="G2606" s="16">
        <f t="shared" si="587"/>
        <v>0</v>
      </c>
      <c r="H2606" s="16">
        <f t="shared" si="588"/>
        <v>0</v>
      </c>
      <c r="I2606" s="63">
        <f>IF(E2606=0,0,Fixture!D610)</f>
        <v>0</v>
      </c>
      <c r="J2606" s="63">
        <f>IF(E2606=0,0,Fixture!F610)</f>
        <v>0</v>
      </c>
      <c r="K2606" s="63">
        <f t="shared" si="589"/>
        <v>0</v>
      </c>
      <c r="L2606" s="63">
        <f t="shared" si="590"/>
        <v>0</v>
      </c>
      <c r="N2606" s="10" t="str">
        <f t="shared" si="592"/>
        <v>00</v>
      </c>
      <c r="O2606" s="10">
        <f t="shared" si="593"/>
        <v>0</v>
      </c>
      <c r="P2606" s="10">
        <f t="shared" si="594"/>
        <v>0</v>
      </c>
      <c r="Q2606" s="10">
        <f t="shared" si="595"/>
        <v>0</v>
      </c>
    </row>
    <row r="2607" spans="1:17">
      <c r="A2607" s="15">
        <f t="shared" si="591"/>
        <v>0</v>
      </c>
      <c r="B2607" s="15"/>
      <c r="C2607" s="14">
        <f>Fixture!C611</f>
        <v>0</v>
      </c>
      <c r="D2607" s="15">
        <f>IF(E2607=0,0,IF(Fixture!D611&lt;Fixture!F611,0,IF(Fixture!F611&lt;Fixture!D611,3,1)))</f>
        <v>0</v>
      </c>
      <c r="E2607" s="16">
        <f>IF(OR(ISBLANK(Fixture!D611),ISBLANK(Fixture!F611),ISTEXT(Fixture!D611),ISTEXT(Fixture!F611)),0,1)</f>
        <v>0</v>
      </c>
      <c r="F2607" s="16">
        <f t="shared" si="586"/>
        <v>0</v>
      </c>
      <c r="G2607" s="16">
        <f t="shared" si="587"/>
        <v>0</v>
      </c>
      <c r="H2607" s="16">
        <f t="shared" si="588"/>
        <v>0</v>
      </c>
      <c r="I2607" s="63">
        <f>IF(E2607=0,0,Fixture!D611)</f>
        <v>0</v>
      </c>
      <c r="J2607" s="63">
        <f>IF(E2607=0,0,Fixture!F611)</f>
        <v>0</v>
      </c>
      <c r="K2607" s="63">
        <f t="shared" si="589"/>
        <v>0</v>
      </c>
      <c r="L2607" s="63">
        <f t="shared" si="590"/>
        <v>0</v>
      </c>
      <c r="N2607" s="10" t="str">
        <f t="shared" si="592"/>
        <v>00</v>
      </c>
      <c r="O2607" s="10">
        <f t="shared" si="593"/>
        <v>0</v>
      </c>
      <c r="P2607" s="10">
        <f t="shared" si="594"/>
        <v>0</v>
      </c>
      <c r="Q2607" s="10">
        <f t="shared" si="595"/>
        <v>0</v>
      </c>
    </row>
    <row r="2608" spans="1:17">
      <c r="A2608" s="15">
        <f t="shared" si="591"/>
        <v>0</v>
      </c>
      <c r="B2608" s="15"/>
      <c r="C2608" s="14">
        <f>Fixture!C612</f>
        <v>0</v>
      </c>
      <c r="D2608" s="15">
        <f>IF(E2608=0,0,IF(Fixture!D612&lt;Fixture!F612,0,IF(Fixture!F612&lt;Fixture!D612,3,1)))</f>
        <v>0</v>
      </c>
      <c r="E2608" s="16">
        <f>IF(OR(ISBLANK(Fixture!D612),ISBLANK(Fixture!F612),ISTEXT(Fixture!D612),ISTEXT(Fixture!F612)),0,1)</f>
        <v>0</v>
      </c>
      <c r="F2608" s="16">
        <f t="shared" si="586"/>
        <v>0</v>
      </c>
      <c r="G2608" s="16">
        <f t="shared" si="587"/>
        <v>0</v>
      </c>
      <c r="H2608" s="16">
        <f t="shared" si="588"/>
        <v>0</v>
      </c>
      <c r="I2608" s="63">
        <f>IF(E2608=0,0,Fixture!D612)</f>
        <v>0</v>
      </c>
      <c r="J2608" s="63">
        <f>IF(E2608=0,0,Fixture!F612)</f>
        <v>0</v>
      </c>
      <c r="K2608" s="63">
        <f t="shared" si="589"/>
        <v>0</v>
      </c>
      <c r="L2608" s="63">
        <f t="shared" si="590"/>
        <v>0</v>
      </c>
      <c r="N2608" s="10" t="str">
        <f t="shared" si="592"/>
        <v>00</v>
      </c>
      <c r="O2608" s="10">
        <f t="shared" si="593"/>
        <v>0</v>
      </c>
      <c r="P2608" s="10">
        <f t="shared" si="594"/>
        <v>0</v>
      </c>
      <c r="Q2608" s="10">
        <f t="shared" si="595"/>
        <v>0</v>
      </c>
    </row>
    <row r="2609" spans="1:17">
      <c r="A2609" s="15">
        <f t="shared" si="591"/>
        <v>0</v>
      </c>
      <c r="B2609" s="15"/>
      <c r="C2609" s="14">
        <f>Fixture!C613</f>
        <v>0</v>
      </c>
      <c r="D2609" s="15">
        <f>IF(E2609=0,0,IF(Fixture!D613&lt;Fixture!F613,0,IF(Fixture!F613&lt;Fixture!D613,3,1)))</f>
        <v>0</v>
      </c>
      <c r="E2609" s="16">
        <f>IF(OR(ISBLANK(Fixture!D613),ISBLANK(Fixture!F613),ISTEXT(Fixture!D613),ISTEXT(Fixture!F613)),0,1)</f>
        <v>0</v>
      </c>
      <c r="F2609" s="16">
        <f t="shared" si="586"/>
        <v>0</v>
      </c>
      <c r="G2609" s="16">
        <f t="shared" si="587"/>
        <v>0</v>
      </c>
      <c r="H2609" s="16">
        <f t="shared" si="588"/>
        <v>0</v>
      </c>
      <c r="I2609" s="63">
        <f>IF(E2609=0,0,Fixture!D613)</f>
        <v>0</v>
      </c>
      <c r="J2609" s="63">
        <f>IF(E2609=0,0,Fixture!F613)</f>
        <v>0</v>
      </c>
      <c r="K2609" s="63">
        <f t="shared" si="589"/>
        <v>0</v>
      </c>
      <c r="L2609" s="63">
        <f t="shared" si="590"/>
        <v>0</v>
      </c>
      <c r="N2609" s="10" t="str">
        <f t="shared" si="592"/>
        <v>00</v>
      </c>
      <c r="O2609" s="10">
        <f t="shared" si="593"/>
        <v>0</v>
      </c>
      <c r="P2609" s="10">
        <f t="shared" si="594"/>
        <v>0</v>
      </c>
      <c r="Q2609" s="10">
        <f t="shared" si="595"/>
        <v>0</v>
      </c>
    </row>
    <row r="2610" spans="1:17">
      <c r="A2610" s="15">
        <f t="shared" si="591"/>
        <v>0</v>
      </c>
      <c r="B2610" s="15"/>
      <c r="C2610" s="14">
        <f>Fixture!C614</f>
        <v>0</v>
      </c>
      <c r="D2610" s="15">
        <f>IF(E2610=0,0,IF(Fixture!D614&lt;Fixture!F614,0,IF(Fixture!F614&lt;Fixture!D614,3,1)))</f>
        <v>0</v>
      </c>
      <c r="E2610" s="16">
        <f>IF(OR(ISBLANK(Fixture!D614),ISBLANK(Fixture!F614),ISTEXT(Fixture!D614),ISTEXT(Fixture!F614)),0,1)</f>
        <v>0</v>
      </c>
      <c r="F2610" s="16">
        <f t="shared" si="586"/>
        <v>0</v>
      </c>
      <c r="G2610" s="16">
        <f t="shared" si="587"/>
        <v>0</v>
      </c>
      <c r="H2610" s="16">
        <f t="shared" si="588"/>
        <v>0</v>
      </c>
      <c r="I2610" s="63">
        <f>IF(E2610=0,0,Fixture!D614)</f>
        <v>0</v>
      </c>
      <c r="J2610" s="63">
        <f>IF(E2610=0,0,Fixture!F614)</f>
        <v>0</v>
      </c>
      <c r="K2610" s="63">
        <f t="shared" si="589"/>
        <v>0</v>
      </c>
      <c r="L2610" s="63">
        <f t="shared" si="590"/>
        <v>0</v>
      </c>
      <c r="N2610" s="10" t="str">
        <f t="shared" si="592"/>
        <v>00</v>
      </c>
      <c r="O2610" s="10">
        <f t="shared" si="593"/>
        <v>0</v>
      </c>
      <c r="P2610" s="10">
        <f t="shared" si="594"/>
        <v>0</v>
      </c>
      <c r="Q2610" s="10">
        <f t="shared" si="595"/>
        <v>0</v>
      </c>
    </row>
    <row r="2611" spans="1:17">
      <c r="A2611" s="15">
        <f t="shared" si="591"/>
        <v>0</v>
      </c>
      <c r="B2611" s="15"/>
      <c r="C2611" s="14">
        <f>Fixture!C615</f>
        <v>0</v>
      </c>
      <c r="D2611" s="15">
        <f>IF(E2611=0,0,IF(Fixture!D615&lt;Fixture!F615,0,IF(Fixture!F615&lt;Fixture!D615,3,1)))</f>
        <v>0</v>
      </c>
      <c r="E2611" s="16">
        <f>IF(OR(ISBLANK(Fixture!D615),ISBLANK(Fixture!F615),ISTEXT(Fixture!D615),ISTEXT(Fixture!F615)),0,1)</f>
        <v>0</v>
      </c>
      <c r="F2611" s="16">
        <f t="shared" si="586"/>
        <v>0</v>
      </c>
      <c r="G2611" s="16">
        <f t="shared" si="587"/>
        <v>0</v>
      </c>
      <c r="H2611" s="16">
        <f t="shared" si="588"/>
        <v>0</v>
      </c>
      <c r="I2611" s="63">
        <f>IF(E2611=0,0,Fixture!D615)</f>
        <v>0</v>
      </c>
      <c r="J2611" s="63">
        <f>IF(E2611=0,0,Fixture!F615)</f>
        <v>0</v>
      </c>
      <c r="K2611" s="63">
        <f t="shared" si="589"/>
        <v>0</v>
      </c>
      <c r="L2611" s="63">
        <f t="shared" si="590"/>
        <v>0</v>
      </c>
      <c r="N2611" s="10" t="str">
        <f t="shared" si="592"/>
        <v>00</v>
      </c>
      <c r="O2611" s="10">
        <f t="shared" si="593"/>
        <v>0</v>
      </c>
      <c r="P2611" s="10">
        <f t="shared" si="594"/>
        <v>0</v>
      </c>
      <c r="Q2611" s="10">
        <f t="shared" si="595"/>
        <v>0</v>
      </c>
    </row>
    <row r="2612" spans="1:17">
      <c r="A2612" s="15">
        <f t="shared" si="591"/>
        <v>0</v>
      </c>
      <c r="B2612" s="15"/>
      <c r="C2612" s="14">
        <f>Fixture!C616</f>
        <v>0</v>
      </c>
      <c r="D2612" s="15">
        <f>IF(E2612=0,0,IF(Fixture!D616&lt;Fixture!F616,0,IF(Fixture!F616&lt;Fixture!D616,3,1)))</f>
        <v>0</v>
      </c>
      <c r="E2612" s="16">
        <f>IF(OR(ISBLANK(Fixture!D616),ISBLANK(Fixture!F616),ISTEXT(Fixture!D616),ISTEXT(Fixture!F616)),0,1)</f>
        <v>0</v>
      </c>
      <c r="F2612" s="16">
        <f t="shared" si="586"/>
        <v>0</v>
      </c>
      <c r="G2612" s="16">
        <f t="shared" si="587"/>
        <v>0</v>
      </c>
      <c r="H2612" s="16">
        <f t="shared" si="588"/>
        <v>0</v>
      </c>
      <c r="I2612" s="63">
        <f>IF(E2612=0,0,Fixture!D616)</f>
        <v>0</v>
      </c>
      <c r="J2612" s="63">
        <f>IF(E2612=0,0,Fixture!F616)</f>
        <v>0</v>
      </c>
      <c r="K2612" s="63">
        <f t="shared" si="589"/>
        <v>0</v>
      </c>
      <c r="L2612" s="63">
        <f t="shared" si="590"/>
        <v>0</v>
      </c>
      <c r="N2612" s="10" t="str">
        <f t="shared" si="592"/>
        <v>00</v>
      </c>
      <c r="O2612" s="10">
        <f t="shared" si="593"/>
        <v>0</v>
      </c>
      <c r="P2612" s="10">
        <f t="shared" si="594"/>
        <v>0</v>
      </c>
      <c r="Q2612" s="10">
        <f t="shared" si="595"/>
        <v>0</v>
      </c>
    </row>
    <row r="2613" spans="1:17">
      <c r="A2613" s="15">
        <f t="shared" si="591"/>
        <v>0</v>
      </c>
      <c r="B2613" s="15"/>
      <c r="C2613" s="14">
        <f>Fixture!C617</f>
        <v>0</v>
      </c>
      <c r="D2613" s="15">
        <f>IF(E2613=0,0,IF(Fixture!D617&lt;Fixture!F617,0,IF(Fixture!F617&lt;Fixture!D617,3,1)))</f>
        <v>0</v>
      </c>
      <c r="E2613" s="16">
        <f>IF(OR(ISBLANK(Fixture!D617),ISBLANK(Fixture!F617),ISTEXT(Fixture!D617),ISTEXT(Fixture!F617)),0,1)</f>
        <v>0</v>
      </c>
      <c r="F2613" s="16">
        <f t="shared" si="586"/>
        <v>0</v>
      </c>
      <c r="G2613" s="16">
        <f t="shared" si="587"/>
        <v>0</v>
      </c>
      <c r="H2613" s="16">
        <f t="shared" si="588"/>
        <v>0</v>
      </c>
      <c r="I2613" s="63">
        <f>IF(E2613=0,0,Fixture!D617)</f>
        <v>0</v>
      </c>
      <c r="J2613" s="63">
        <f>IF(E2613=0,0,Fixture!F617)</f>
        <v>0</v>
      </c>
      <c r="K2613" s="63">
        <f t="shared" si="589"/>
        <v>0</v>
      </c>
      <c r="L2613" s="63">
        <f t="shared" si="590"/>
        <v>0</v>
      </c>
      <c r="N2613" s="10" t="str">
        <f t="shared" si="592"/>
        <v>00</v>
      </c>
      <c r="O2613" s="10">
        <f t="shared" si="593"/>
        <v>0</v>
      </c>
      <c r="P2613" s="10">
        <f t="shared" si="594"/>
        <v>0</v>
      </c>
      <c r="Q2613" s="10">
        <f t="shared" si="595"/>
        <v>0</v>
      </c>
    </row>
    <row r="2614" spans="1:17">
      <c r="A2614" s="15">
        <f t="shared" si="591"/>
        <v>0</v>
      </c>
      <c r="B2614" s="15"/>
      <c r="C2614" s="14">
        <f>Fixture!C618</f>
        <v>0</v>
      </c>
      <c r="D2614" s="15">
        <f>IF(E2614=0,0,IF(Fixture!D618&lt;Fixture!F618,0,IF(Fixture!F618&lt;Fixture!D618,3,1)))</f>
        <v>0</v>
      </c>
      <c r="E2614" s="16">
        <f>IF(OR(ISBLANK(Fixture!D618),ISBLANK(Fixture!F618),ISTEXT(Fixture!D618),ISTEXT(Fixture!F618)),0,1)</f>
        <v>0</v>
      </c>
      <c r="F2614" s="16">
        <f t="shared" si="586"/>
        <v>0</v>
      </c>
      <c r="G2614" s="16">
        <f t="shared" si="587"/>
        <v>0</v>
      </c>
      <c r="H2614" s="16">
        <f t="shared" si="588"/>
        <v>0</v>
      </c>
      <c r="I2614" s="63">
        <f>IF(E2614=0,0,Fixture!D618)</f>
        <v>0</v>
      </c>
      <c r="J2614" s="63">
        <f>IF(E2614=0,0,Fixture!F618)</f>
        <v>0</v>
      </c>
      <c r="K2614" s="63">
        <f t="shared" si="589"/>
        <v>0</v>
      </c>
      <c r="L2614" s="63">
        <f t="shared" si="590"/>
        <v>0</v>
      </c>
      <c r="N2614" s="10" t="str">
        <f t="shared" si="592"/>
        <v>00</v>
      </c>
      <c r="O2614" s="10">
        <f t="shared" si="593"/>
        <v>0</v>
      </c>
      <c r="P2614" s="10">
        <f t="shared" si="594"/>
        <v>0</v>
      </c>
      <c r="Q2614" s="10">
        <f t="shared" si="595"/>
        <v>0</v>
      </c>
    </row>
    <row r="2615" spans="1:17">
      <c r="A2615" s="15">
        <f t="shared" si="591"/>
        <v>0</v>
      </c>
      <c r="B2615" s="15"/>
      <c r="C2615" s="14">
        <f>Fixture!C619</f>
        <v>0</v>
      </c>
      <c r="D2615" s="15">
        <f>IF(E2615=0,0,IF(Fixture!D619&lt;Fixture!F619,0,IF(Fixture!F619&lt;Fixture!D619,3,1)))</f>
        <v>0</v>
      </c>
      <c r="E2615" s="16">
        <f>IF(OR(ISBLANK(Fixture!D619),ISBLANK(Fixture!F619),ISTEXT(Fixture!D619),ISTEXT(Fixture!F619)),0,1)</f>
        <v>0</v>
      </c>
      <c r="F2615" s="16">
        <f t="shared" si="586"/>
        <v>0</v>
      </c>
      <c r="G2615" s="16">
        <f t="shared" si="587"/>
        <v>0</v>
      </c>
      <c r="H2615" s="16">
        <f t="shared" si="588"/>
        <v>0</v>
      </c>
      <c r="I2615" s="63">
        <f>IF(E2615=0,0,Fixture!D619)</f>
        <v>0</v>
      </c>
      <c r="J2615" s="63">
        <f>IF(E2615=0,0,Fixture!F619)</f>
        <v>0</v>
      </c>
      <c r="K2615" s="63">
        <f t="shared" si="589"/>
        <v>0</v>
      </c>
      <c r="L2615" s="63">
        <f t="shared" si="590"/>
        <v>0</v>
      </c>
      <c r="N2615" s="10" t="str">
        <f t="shared" si="592"/>
        <v>00</v>
      </c>
      <c r="O2615" s="10">
        <f t="shared" si="593"/>
        <v>0</v>
      </c>
      <c r="P2615" s="10">
        <f t="shared" si="594"/>
        <v>0</v>
      </c>
      <c r="Q2615" s="10">
        <f t="shared" si="595"/>
        <v>0</v>
      </c>
    </row>
    <row r="2616" spans="1:17">
      <c r="A2616" s="15">
        <f t="shared" si="591"/>
        <v>0</v>
      </c>
      <c r="B2616" s="15"/>
      <c r="C2616" s="14">
        <f>Fixture!C620</f>
        <v>0</v>
      </c>
      <c r="D2616" s="15">
        <f>IF(E2616=0,0,IF(Fixture!D620&lt;Fixture!F620,0,IF(Fixture!F620&lt;Fixture!D620,3,1)))</f>
        <v>0</v>
      </c>
      <c r="E2616" s="16">
        <f>IF(OR(ISBLANK(Fixture!D620),ISBLANK(Fixture!F620),ISTEXT(Fixture!D620),ISTEXT(Fixture!F620)),0,1)</f>
        <v>0</v>
      </c>
      <c r="F2616" s="16">
        <f t="shared" si="586"/>
        <v>0</v>
      </c>
      <c r="G2616" s="16">
        <f t="shared" si="587"/>
        <v>0</v>
      </c>
      <c r="H2616" s="16">
        <f t="shared" si="588"/>
        <v>0</v>
      </c>
      <c r="I2616" s="63">
        <f>IF(E2616=0,0,Fixture!D620)</f>
        <v>0</v>
      </c>
      <c r="J2616" s="63">
        <f>IF(E2616=0,0,Fixture!F620)</f>
        <v>0</v>
      </c>
      <c r="K2616" s="63">
        <f t="shared" si="589"/>
        <v>0</v>
      </c>
      <c r="L2616" s="63">
        <f t="shared" si="590"/>
        <v>0</v>
      </c>
      <c r="N2616" s="10" t="str">
        <f t="shared" si="592"/>
        <v>00</v>
      </c>
      <c r="O2616" s="10">
        <f t="shared" si="593"/>
        <v>0</v>
      </c>
      <c r="P2616" s="10">
        <f t="shared" si="594"/>
        <v>0</v>
      </c>
      <c r="Q2616" s="10">
        <f t="shared" si="595"/>
        <v>0</v>
      </c>
    </row>
    <row r="2617" spans="1:17">
      <c r="A2617" s="15">
        <f t="shared" si="591"/>
        <v>0</v>
      </c>
      <c r="B2617" s="15"/>
      <c r="C2617" s="14">
        <f>Fixture!C621</f>
        <v>0</v>
      </c>
      <c r="D2617" s="15">
        <f>IF(E2617=0,0,IF(Fixture!D621&lt;Fixture!F621,0,IF(Fixture!F621&lt;Fixture!D621,3,1)))</f>
        <v>0</v>
      </c>
      <c r="E2617" s="16">
        <f>IF(OR(ISBLANK(Fixture!D621),ISBLANK(Fixture!F621),ISTEXT(Fixture!D621),ISTEXT(Fixture!F621)),0,1)</f>
        <v>0</v>
      </c>
      <c r="F2617" s="16">
        <f t="shared" si="586"/>
        <v>0</v>
      </c>
      <c r="G2617" s="16">
        <f t="shared" si="587"/>
        <v>0</v>
      </c>
      <c r="H2617" s="16">
        <f t="shared" si="588"/>
        <v>0</v>
      </c>
      <c r="I2617" s="63">
        <f>IF(E2617=0,0,Fixture!D621)</f>
        <v>0</v>
      </c>
      <c r="J2617" s="63">
        <f>IF(E2617=0,0,Fixture!F621)</f>
        <v>0</v>
      </c>
      <c r="K2617" s="63">
        <f t="shared" si="589"/>
        <v>0</v>
      </c>
      <c r="L2617" s="63">
        <f t="shared" si="590"/>
        <v>0</v>
      </c>
      <c r="N2617" s="10" t="str">
        <f t="shared" si="592"/>
        <v>00</v>
      </c>
      <c r="O2617" s="10">
        <f t="shared" si="593"/>
        <v>0</v>
      </c>
      <c r="P2617" s="10">
        <f t="shared" si="594"/>
        <v>0</v>
      </c>
      <c r="Q2617" s="10">
        <f t="shared" si="595"/>
        <v>0</v>
      </c>
    </row>
    <row r="2618" spans="1:17">
      <c r="A2618" s="15">
        <f t="shared" si="591"/>
        <v>0</v>
      </c>
      <c r="B2618" s="15"/>
      <c r="C2618" s="14">
        <f>Fixture!C622</f>
        <v>0</v>
      </c>
      <c r="D2618" s="15">
        <f>IF(E2618=0,0,IF(Fixture!D622&lt;Fixture!F622,0,IF(Fixture!F622&lt;Fixture!D622,3,1)))</f>
        <v>0</v>
      </c>
      <c r="E2618" s="16">
        <f>IF(OR(ISBLANK(Fixture!D622),ISBLANK(Fixture!F622),ISTEXT(Fixture!D622),ISTEXT(Fixture!F622)),0,1)</f>
        <v>0</v>
      </c>
      <c r="F2618" s="16">
        <f t="shared" si="586"/>
        <v>0</v>
      </c>
      <c r="G2618" s="16">
        <f t="shared" si="587"/>
        <v>0</v>
      </c>
      <c r="H2618" s="16">
        <f t="shared" si="588"/>
        <v>0</v>
      </c>
      <c r="I2618" s="63">
        <f>IF(E2618=0,0,Fixture!D622)</f>
        <v>0</v>
      </c>
      <c r="J2618" s="63">
        <f>IF(E2618=0,0,Fixture!F622)</f>
        <v>0</v>
      </c>
      <c r="K2618" s="63">
        <f t="shared" si="589"/>
        <v>0</v>
      </c>
      <c r="L2618" s="63">
        <f t="shared" si="590"/>
        <v>0</v>
      </c>
      <c r="N2618" s="10" t="str">
        <f t="shared" si="592"/>
        <v>00</v>
      </c>
      <c r="O2618" s="10">
        <f t="shared" si="593"/>
        <v>0</v>
      </c>
      <c r="P2618" s="10">
        <f t="shared" si="594"/>
        <v>0</v>
      </c>
      <c r="Q2618" s="10">
        <f t="shared" si="595"/>
        <v>0</v>
      </c>
    </row>
    <row r="2619" spans="1:17">
      <c r="A2619" s="15">
        <f t="shared" si="591"/>
        <v>0</v>
      </c>
      <c r="B2619" s="15"/>
      <c r="C2619" s="14">
        <f>Fixture!C623</f>
        <v>0</v>
      </c>
      <c r="D2619" s="15">
        <f>IF(E2619=0,0,IF(Fixture!D623&lt;Fixture!F623,0,IF(Fixture!F623&lt;Fixture!D623,3,1)))</f>
        <v>0</v>
      </c>
      <c r="E2619" s="16">
        <f>IF(OR(ISBLANK(Fixture!D623),ISBLANK(Fixture!F623),ISTEXT(Fixture!D623),ISTEXT(Fixture!F623)),0,1)</f>
        <v>0</v>
      </c>
      <c r="F2619" s="16">
        <f t="shared" si="586"/>
        <v>0</v>
      </c>
      <c r="G2619" s="16">
        <f t="shared" si="587"/>
        <v>0</v>
      </c>
      <c r="H2619" s="16">
        <f t="shared" si="588"/>
        <v>0</v>
      </c>
      <c r="I2619" s="63">
        <f>IF(E2619=0,0,Fixture!D623)</f>
        <v>0</v>
      </c>
      <c r="J2619" s="63">
        <f>IF(E2619=0,0,Fixture!F623)</f>
        <v>0</v>
      </c>
      <c r="K2619" s="63">
        <f t="shared" si="589"/>
        <v>0</v>
      </c>
      <c r="L2619" s="63">
        <f t="shared" si="590"/>
        <v>0</v>
      </c>
      <c r="N2619" s="10" t="str">
        <f t="shared" si="592"/>
        <v>00</v>
      </c>
      <c r="O2619" s="10">
        <f t="shared" si="593"/>
        <v>0</v>
      </c>
      <c r="P2619" s="10">
        <f t="shared" si="594"/>
        <v>0</v>
      </c>
      <c r="Q2619" s="10">
        <f t="shared" si="595"/>
        <v>0</v>
      </c>
    </row>
    <row r="2620" spans="1:17">
      <c r="A2620" s="15">
        <f t="shared" si="591"/>
        <v>0</v>
      </c>
      <c r="B2620" s="15"/>
      <c r="C2620" s="14">
        <f>Fixture!C624</f>
        <v>0</v>
      </c>
      <c r="D2620" s="15">
        <f>IF(E2620=0,0,IF(Fixture!D624&lt;Fixture!F624,0,IF(Fixture!F624&lt;Fixture!D624,3,1)))</f>
        <v>0</v>
      </c>
      <c r="E2620" s="16">
        <f>IF(OR(ISBLANK(Fixture!D624),ISBLANK(Fixture!F624),ISTEXT(Fixture!D624),ISTEXT(Fixture!F624)),0,1)</f>
        <v>0</v>
      </c>
      <c r="F2620" s="16">
        <f t="shared" si="586"/>
        <v>0</v>
      </c>
      <c r="G2620" s="16">
        <f t="shared" si="587"/>
        <v>0</v>
      </c>
      <c r="H2620" s="16">
        <f t="shared" si="588"/>
        <v>0</v>
      </c>
      <c r="I2620" s="63">
        <f>IF(E2620=0,0,Fixture!D624)</f>
        <v>0</v>
      </c>
      <c r="J2620" s="63">
        <f>IF(E2620=0,0,Fixture!F624)</f>
        <v>0</v>
      </c>
      <c r="K2620" s="63">
        <f t="shared" si="589"/>
        <v>0</v>
      </c>
      <c r="L2620" s="63">
        <f t="shared" si="590"/>
        <v>0</v>
      </c>
      <c r="N2620" s="10" t="str">
        <f t="shared" si="592"/>
        <v>00</v>
      </c>
      <c r="O2620" s="10">
        <f t="shared" si="593"/>
        <v>0</v>
      </c>
      <c r="P2620" s="10">
        <f t="shared" si="594"/>
        <v>0</v>
      </c>
      <c r="Q2620" s="10">
        <f t="shared" si="595"/>
        <v>0</v>
      </c>
    </row>
    <row r="2621" spans="1:17">
      <c r="A2621" s="15">
        <f t="shared" si="591"/>
        <v>0</v>
      </c>
      <c r="B2621" s="15"/>
      <c r="C2621" s="14">
        <f>Fixture!C625</f>
        <v>0</v>
      </c>
      <c r="D2621" s="15">
        <f>IF(E2621=0,0,IF(Fixture!D625&lt;Fixture!F625,0,IF(Fixture!F625&lt;Fixture!D625,3,1)))</f>
        <v>0</v>
      </c>
      <c r="E2621" s="16">
        <f>IF(OR(ISBLANK(Fixture!D625),ISBLANK(Fixture!F625),ISTEXT(Fixture!D625),ISTEXT(Fixture!F625)),0,1)</f>
        <v>0</v>
      </c>
      <c r="F2621" s="16">
        <f t="shared" si="586"/>
        <v>0</v>
      </c>
      <c r="G2621" s="16">
        <f t="shared" si="587"/>
        <v>0</v>
      </c>
      <c r="H2621" s="16">
        <f t="shared" si="588"/>
        <v>0</v>
      </c>
      <c r="I2621" s="63">
        <f>IF(E2621=0,0,Fixture!D625)</f>
        <v>0</v>
      </c>
      <c r="J2621" s="63">
        <f>IF(E2621=0,0,Fixture!F625)</f>
        <v>0</v>
      </c>
      <c r="K2621" s="63">
        <f t="shared" si="589"/>
        <v>0</v>
      </c>
      <c r="L2621" s="63">
        <f t="shared" si="590"/>
        <v>0</v>
      </c>
      <c r="N2621" s="10" t="str">
        <f t="shared" si="592"/>
        <v>00</v>
      </c>
      <c r="O2621" s="10">
        <f t="shared" si="593"/>
        <v>0</v>
      </c>
      <c r="P2621" s="10">
        <f t="shared" si="594"/>
        <v>0</v>
      </c>
      <c r="Q2621" s="10">
        <f t="shared" si="595"/>
        <v>0</v>
      </c>
    </row>
    <row r="2622" spans="1:17">
      <c r="A2622" s="15">
        <f t="shared" si="591"/>
        <v>0</v>
      </c>
      <c r="B2622" s="15"/>
      <c r="C2622" s="14">
        <f>Fixture!C626</f>
        <v>0</v>
      </c>
      <c r="D2622" s="15">
        <f>IF(E2622=0,0,IF(Fixture!D626&lt;Fixture!F626,0,IF(Fixture!F626&lt;Fixture!D626,3,1)))</f>
        <v>0</v>
      </c>
      <c r="E2622" s="16">
        <f>IF(OR(ISBLANK(Fixture!D626),ISBLANK(Fixture!F626),ISTEXT(Fixture!D626),ISTEXT(Fixture!F626)),0,1)</f>
        <v>0</v>
      </c>
      <c r="F2622" s="16">
        <f t="shared" si="586"/>
        <v>0</v>
      </c>
      <c r="G2622" s="16">
        <f t="shared" si="587"/>
        <v>0</v>
      </c>
      <c r="H2622" s="16">
        <f t="shared" si="588"/>
        <v>0</v>
      </c>
      <c r="I2622" s="63">
        <f>IF(E2622=0,0,Fixture!D626)</f>
        <v>0</v>
      </c>
      <c r="J2622" s="63">
        <f>IF(E2622=0,0,Fixture!F626)</f>
        <v>0</v>
      </c>
      <c r="K2622" s="63">
        <f t="shared" si="589"/>
        <v>0</v>
      </c>
      <c r="L2622" s="63">
        <f t="shared" si="590"/>
        <v>0</v>
      </c>
      <c r="N2622" s="10" t="str">
        <f t="shared" si="592"/>
        <v>00</v>
      </c>
      <c r="O2622" s="10">
        <f t="shared" si="593"/>
        <v>0</v>
      </c>
      <c r="P2622" s="10">
        <f t="shared" si="594"/>
        <v>0</v>
      </c>
      <c r="Q2622" s="10">
        <f t="shared" si="595"/>
        <v>0</v>
      </c>
    </row>
    <row r="2623" spans="1:17">
      <c r="A2623" s="15">
        <f t="shared" si="591"/>
        <v>0</v>
      </c>
      <c r="B2623" s="15"/>
      <c r="C2623" s="14">
        <f>Fixture!C627</f>
        <v>0</v>
      </c>
      <c r="D2623" s="15">
        <f>IF(E2623=0,0,IF(Fixture!D627&lt;Fixture!F627,0,IF(Fixture!F627&lt;Fixture!D627,3,1)))</f>
        <v>0</v>
      </c>
      <c r="E2623" s="16">
        <f>IF(OR(ISBLANK(Fixture!D627),ISBLANK(Fixture!F627),ISTEXT(Fixture!D627),ISTEXT(Fixture!F627)),0,1)</f>
        <v>0</v>
      </c>
      <c r="F2623" s="16">
        <f t="shared" si="586"/>
        <v>0</v>
      </c>
      <c r="G2623" s="16">
        <f t="shared" si="587"/>
        <v>0</v>
      </c>
      <c r="H2623" s="16">
        <f t="shared" si="588"/>
        <v>0</v>
      </c>
      <c r="I2623" s="63">
        <f>IF(E2623=0,0,Fixture!D627)</f>
        <v>0</v>
      </c>
      <c r="J2623" s="63">
        <f>IF(E2623=0,0,Fixture!F627)</f>
        <v>0</v>
      </c>
      <c r="K2623" s="63">
        <f t="shared" si="589"/>
        <v>0</v>
      </c>
      <c r="L2623" s="63">
        <f t="shared" si="590"/>
        <v>0</v>
      </c>
      <c r="N2623" s="10" t="str">
        <f t="shared" si="592"/>
        <v>00</v>
      </c>
      <c r="O2623" s="10">
        <f t="shared" si="593"/>
        <v>0</v>
      </c>
      <c r="P2623" s="10">
        <f t="shared" si="594"/>
        <v>0</v>
      </c>
      <c r="Q2623" s="10">
        <f t="shared" si="595"/>
        <v>0</v>
      </c>
    </row>
    <row r="2624" spans="1:17">
      <c r="A2624" s="15">
        <f t="shared" si="591"/>
        <v>0</v>
      </c>
      <c r="B2624" s="15"/>
      <c r="C2624" s="14">
        <f>Fixture!C628</f>
        <v>0</v>
      </c>
      <c r="D2624" s="15">
        <f>IF(E2624=0,0,IF(Fixture!D628&lt;Fixture!F628,0,IF(Fixture!F628&lt;Fixture!D628,3,1)))</f>
        <v>0</v>
      </c>
      <c r="E2624" s="16">
        <f>IF(OR(ISBLANK(Fixture!D628),ISBLANK(Fixture!F628),ISTEXT(Fixture!D628),ISTEXT(Fixture!F628)),0,1)</f>
        <v>0</v>
      </c>
      <c r="F2624" s="16">
        <f t="shared" si="586"/>
        <v>0</v>
      </c>
      <c r="G2624" s="16">
        <f t="shared" si="587"/>
        <v>0</v>
      </c>
      <c r="H2624" s="16">
        <f t="shared" si="588"/>
        <v>0</v>
      </c>
      <c r="I2624" s="63">
        <f>IF(E2624=0,0,Fixture!D628)</f>
        <v>0</v>
      </c>
      <c r="J2624" s="63">
        <f>IF(E2624=0,0,Fixture!F628)</f>
        <v>0</v>
      </c>
      <c r="K2624" s="63">
        <f t="shared" si="589"/>
        <v>0</v>
      </c>
      <c r="L2624" s="63">
        <f t="shared" si="590"/>
        <v>0</v>
      </c>
      <c r="N2624" s="10" t="str">
        <f t="shared" si="592"/>
        <v>00</v>
      </c>
      <c r="O2624" s="10">
        <f t="shared" si="593"/>
        <v>0</v>
      </c>
      <c r="P2624" s="10">
        <f t="shared" si="594"/>
        <v>0</v>
      </c>
      <c r="Q2624" s="10">
        <f t="shared" si="595"/>
        <v>0</v>
      </c>
    </row>
    <row r="2625" spans="1:17">
      <c r="A2625" s="15">
        <f t="shared" si="591"/>
        <v>0</v>
      </c>
      <c r="B2625" s="15"/>
      <c r="C2625" s="14">
        <f>Fixture!C629</f>
        <v>0</v>
      </c>
      <c r="D2625" s="15">
        <f>IF(E2625=0,0,IF(Fixture!D629&lt;Fixture!F629,0,IF(Fixture!F629&lt;Fixture!D629,3,1)))</f>
        <v>0</v>
      </c>
      <c r="E2625" s="16">
        <f>IF(OR(ISBLANK(Fixture!D629),ISBLANK(Fixture!F629),ISTEXT(Fixture!D629),ISTEXT(Fixture!F629)),0,1)</f>
        <v>0</v>
      </c>
      <c r="F2625" s="16">
        <f t="shared" si="586"/>
        <v>0</v>
      </c>
      <c r="G2625" s="16">
        <f t="shared" si="587"/>
        <v>0</v>
      </c>
      <c r="H2625" s="16">
        <f t="shared" si="588"/>
        <v>0</v>
      </c>
      <c r="I2625" s="63">
        <f>IF(E2625=0,0,Fixture!D629)</f>
        <v>0</v>
      </c>
      <c r="J2625" s="63">
        <f>IF(E2625=0,0,Fixture!F629)</f>
        <v>0</v>
      </c>
      <c r="K2625" s="63">
        <f t="shared" si="589"/>
        <v>0</v>
      </c>
      <c r="L2625" s="63">
        <f t="shared" si="590"/>
        <v>0</v>
      </c>
      <c r="N2625" s="10" t="str">
        <f t="shared" si="592"/>
        <v>00</v>
      </c>
      <c r="O2625" s="10">
        <f t="shared" si="593"/>
        <v>0</v>
      </c>
      <c r="P2625" s="10">
        <f t="shared" si="594"/>
        <v>0</v>
      </c>
      <c r="Q2625" s="10">
        <f t="shared" si="595"/>
        <v>0</v>
      </c>
    </row>
    <row r="2626" spans="1:17">
      <c r="A2626" s="15">
        <f t="shared" si="591"/>
        <v>0</v>
      </c>
      <c r="B2626" s="15"/>
      <c r="C2626" s="14">
        <f>Fixture!C630</f>
        <v>0</v>
      </c>
      <c r="D2626" s="15">
        <f>IF(E2626=0,0,IF(Fixture!D630&lt;Fixture!F630,0,IF(Fixture!F630&lt;Fixture!D630,3,1)))</f>
        <v>0</v>
      </c>
      <c r="E2626" s="16">
        <f>IF(OR(ISBLANK(Fixture!D630),ISBLANK(Fixture!F630),ISTEXT(Fixture!D630),ISTEXT(Fixture!F630)),0,1)</f>
        <v>0</v>
      </c>
      <c r="F2626" s="16">
        <f t="shared" si="586"/>
        <v>0</v>
      </c>
      <c r="G2626" s="16">
        <f t="shared" si="587"/>
        <v>0</v>
      </c>
      <c r="H2626" s="16">
        <f t="shared" si="588"/>
        <v>0</v>
      </c>
      <c r="I2626" s="63">
        <f>IF(E2626=0,0,Fixture!D630)</f>
        <v>0</v>
      </c>
      <c r="J2626" s="63">
        <f>IF(E2626=0,0,Fixture!F630)</f>
        <v>0</v>
      </c>
      <c r="K2626" s="63">
        <f t="shared" si="589"/>
        <v>0</v>
      </c>
      <c r="L2626" s="63">
        <f t="shared" si="590"/>
        <v>0</v>
      </c>
      <c r="N2626" s="10" t="str">
        <f t="shared" si="592"/>
        <v>00</v>
      </c>
      <c r="O2626" s="10">
        <f t="shared" si="593"/>
        <v>0</v>
      </c>
      <c r="P2626" s="10">
        <f t="shared" si="594"/>
        <v>0</v>
      </c>
      <c r="Q2626" s="10">
        <f t="shared" si="595"/>
        <v>0</v>
      </c>
    </row>
    <row r="2627" spans="1:17">
      <c r="A2627" s="15">
        <f t="shared" si="591"/>
        <v>0</v>
      </c>
      <c r="B2627" s="15"/>
      <c r="C2627" s="14">
        <f>Fixture!C631</f>
        <v>0</v>
      </c>
      <c r="D2627" s="15">
        <f>IF(E2627=0,0,IF(Fixture!D631&lt;Fixture!F631,0,IF(Fixture!F631&lt;Fixture!D631,3,1)))</f>
        <v>0</v>
      </c>
      <c r="E2627" s="16">
        <f>IF(OR(ISBLANK(Fixture!D631),ISBLANK(Fixture!F631),ISTEXT(Fixture!D631),ISTEXT(Fixture!F631)),0,1)</f>
        <v>0</v>
      </c>
      <c r="F2627" s="16">
        <f t="shared" si="586"/>
        <v>0</v>
      </c>
      <c r="G2627" s="16">
        <f t="shared" si="587"/>
        <v>0</v>
      </c>
      <c r="H2627" s="16">
        <f t="shared" si="588"/>
        <v>0</v>
      </c>
      <c r="I2627" s="63">
        <f>IF(E2627=0,0,Fixture!D631)</f>
        <v>0</v>
      </c>
      <c r="J2627" s="63">
        <f>IF(E2627=0,0,Fixture!F631)</f>
        <v>0</v>
      </c>
      <c r="K2627" s="63">
        <f t="shared" si="589"/>
        <v>0</v>
      </c>
      <c r="L2627" s="63">
        <f t="shared" si="590"/>
        <v>0</v>
      </c>
      <c r="N2627" s="10" t="str">
        <f t="shared" si="592"/>
        <v>00</v>
      </c>
      <c r="O2627" s="10">
        <f t="shared" si="593"/>
        <v>0</v>
      </c>
      <c r="P2627" s="10">
        <f t="shared" si="594"/>
        <v>0</v>
      </c>
      <c r="Q2627" s="10">
        <f t="shared" si="595"/>
        <v>0</v>
      </c>
    </row>
    <row r="2628" spans="1:17">
      <c r="A2628" s="15">
        <f t="shared" si="591"/>
        <v>0</v>
      </c>
      <c r="B2628" s="15"/>
      <c r="C2628" s="14">
        <f>Fixture!C632</f>
        <v>0</v>
      </c>
      <c r="D2628" s="15">
        <f>IF(E2628=0,0,IF(Fixture!D632&lt;Fixture!F632,0,IF(Fixture!F632&lt;Fixture!D632,3,1)))</f>
        <v>0</v>
      </c>
      <c r="E2628" s="16">
        <f>IF(OR(ISBLANK(Fixture!D632),ISBLANK(Fixture!F632),ISTEXT(Fixture!D632),ISTEXT(Fixture!F632)),0,1)</f>
        <v>0</v>
      </c>
      <c r="F2628" s="16">
        <f t="shared" si="586"/>
        <v>0</v>
      </c>
      <c r="G2628" s="16">
        <f t="shared" si="587"/>
        <v>0</v>
      </c>
      <c r="H2628" s="16">
        <f t="shared" si="588"/>
        <v>0</v>
      </c>
      <c r="I2628" s="63">
        <f>IF(E2628=0,0,Fixture!D632)</f>
        <v>0</v>
      </c>
      <c r="J2628" s="63">
        <f>IF(E2628=0,0,Fixture!F632)</f>
        <v>0</v>
      </c>
      <c r="K2628" s="63">
        <f t="shared" si="589"/>
        <v>0</v>
      </c>
      <c r="L2628" s="63">
        <f t="shared" si="590"/>
        <v>0</v>
      </c>
      <c r="N2628" s="10" t="str">
        <f t="shared" si="592"/>
        <v>00</v>
      </c>
      <c r="O2628" s="10">
        <f t="shared" si="593"/>
        <v>0</v>
      </c>
      <c r="P2628" s="10">
        <f t="shared" si="594"/>
        <v>0</v>
      </c>
      <c r="Q2628" s="10">
        <f t="shared" si="595"/>
        <v>0</v>
      </c>
    </row>
    <row r="2629" spans="1:17">
      <c r="A2629" s="15">
        <f t="shared" si="591"/>
        <v>0</v>
      </c>
      <c r="B2629" s="15"/>
      <c r="C2629" s="14">
        <f>Fixture!C633</f>
        <v>0</v>
      </c>
      <c r="D2629" s="15">
        <f>IF(E2629=0,0,IF(Fixture!D633&lt;Fixture!F633,0,IF(Fixture!F633&lt;Fixture!D633,3,1)))</f>
        <v>0</v>
      </c>
      <c r="E2629" s="16">
        <f>IF(OR(ISBLANK(Fixture!D633),ISBLANK(Fixture!F633),ISTEXT(Fixture!D633),ISTEXT(Fixture!F633)),0,1)</f>
        <v>0</v>
      </c>
      <c r="F2629" s="16">
        <f t="shared" si="586"/>
        <v>0</v>
      </c>
      <c r="G2629" s="16">
        <f t="shared" si="587"/>
        <v>0</v>
      </c>
      <c r="H2629" s="16">
        <f t="shared" si="588"/>
        <v>0</v>
      </c>
      <c r="I2629" s="63">
        <f>IF(E2629=0,0,Fixture!D633)</f>
        <v>0</v>
      </c>
      <c r="J2629" s="63">
        <f>IF(E2629=0,0,Fixture!F633)</f>
        <v>0</v>
      </c>
      <c r="K2629" s="63">
        <f t="shared" si="589"/>
        <v>0</v>
      </c>
      <c r="L2629" s="63">
        <f t="shared" si="590"/>
        <v>0</v>
      </c>
      <c r="N2629" s="10" t="str">
        <f t="shared" si="592"/>
        <v>00</v>
      </c>
      <c r="O2629" s="10">
        <f t="shared" si="593"/>
        <v>0</v>
      </c>
      <c r="P2629" s="10">
        <f t="shared" si="594"/>
        <v>0</v>
      </c>
      <c r="Q2629" s="10">
        <f t="shared" si="595"/>
        <v>0</v>
      </c>
    </row>
    <row r="2630" spans="1:17">
      <c r="A2630" s="15">
        <f t="shared" si="591"/>
        <v>0</v>
      </c>
      <c r="B2630" s="15"/>
      <c r="C2630" s="14">
        <f>Fixture!C634</f>
        <v>0</v>
      </c>
      <c r="D2630" s="15">
        <f>IF(E2630=0,0,IF(Fixture!D634&lt;Fixture!F634,0,IF(Fixture!F634&lt;Fixture!D634,3,1)))</f>
        <v>0</v>
      </c>
      <c r="E2630" s="16">
        <f>IF(OR(ISBLANK(Fixture!D634),ISBLANK(Fixture!F634),ISTEXT(Fixture!D634),ISTEXT(Fixture!F634)),0,1)</f>
        <v>0</v>
      </c>
      <c r="F2630" s="16">
        <f t="shared" si="586"/>
        <v>0</v>
      </c>
      <c r="G2630" s="16">
        <f t="shared" si="587"/>
        <v>0</v>
      </c>
      <c r="H2630" s="16">
        <f t="shared" si="588"/>
        <v>0</v>
      </c>
      <c r="I2630" s="63">
        <f>IF(E2630=0,0,Fixture!D634)</f>
        <v>0</v>
      </c>
      <c r="J2630" s="63">
        <f>IF(E2630=0,0,Fixture!F634)</f>
        <v>0</v>
      </c>
      <c r="K2630" s="63">
        <f t="shared" si="589"/>
        <v>0</v>
      </c>
      <c r="L2630" s="63">
        <f t="shared" si="590"/>
        <v>0</v>
      </c>
      <c r="N2630" s="10" t="str">
        <f t="shared" si="592"/>
        <v>00</v>
      </c>
      <c r="O2630" s="10">
        <f t="shared" si="593"/>
        <v>0</v>
      </c>
      <c r="P2630" s="10">
        <f t="shared" si="594"/>
        <v>0</v>
      </c>
      <c r="Q2630" s="10">
        <f t="shared" si="595"/>
        <v>0</v>
      </c>
    </row>
    <row r="2631" spans="1:17">
      <c r="A2631" s="15">
        <f t="shared" si="591"/>
        <v>0</v>
      </c>
      <c r="B2631" s="15"/>
      <c r="C2631" s="14">
        <f>Fixture!C635</f>
        <v>0</v>
      </c>
      <c r="D2631" s="15">
        <f>IF(E2631=0,0,IF(Fixture!D635&lt;Fixture!F635,0,IF(Fixture!F635&lt;Fixture!D635,3,1)))</f>
        <v>0</v>
      </c>
      <c r="E2631" s="16">
        <f>IF(OR(ISBLANK(Fixture!D635),ISBLANK(Fixture!F635),ISTEXT(Fixture!D635),ISTEXT(Fixture!F635)),0,1)</f>
        <v>0</v>
      </c>
      <c r="F2631" s="16">
        <f t="shared" si="586"/>
        <v>0</v>
      </c>
      <c r="G2631" s="16">
        <f t="shared" si="587"/>
        <v>0</v>
      </c>
      <c r="H2631" s="16">
        <f t="shared" si="588"/>
        <v>0</v>
      </c>
      <c r="I2631" s="63">
        <f>IF(E2631=0,0,Fixture!D635)</f>
        <v>0</v>
      </c>
      <c r="J2631" s="63">
        <f>IF(E2631=0,0,Fixture!F635)</f>
        <v>0</v>
      </c>
      <c r="K2631" s="63">
        <f t="shared" si="589"/>
        <v>0</v>
      </c>
      <c r="L2631" s="63">
        <f t="shared" si="590"/>
        <v>0</v>
      </c>
      <c r="N2631" s="10" t="str">
        <f t="shared" si="592"/>
        <v>00</v>
      </c>
      <c r="O2631" s="10">
        <f t="shared" si="593"/>
        <v>0</v>
      </c>
      <c r="P2631" s="10">
        <f t="shared" si="594"/>
        <v>0</v>
      </c>
      <c r="Q2631" s="10">
        <f t="shared" si="595"/>
        <v>0</v>
      </c>
    </row>
    <row r="2632" spans="1:17">
      <c r="A2632" s="15">
        <f t="shared" si="591"/>
        <v>0</v>
      </c>
      <c r="B2632" s="15"/>
      <c r="C2632" s="14">
        <f>Fixture!C636</f>
        <v>0</v>
      </c>
      <c r="D2632" s="15">
        <f>IF(E2632=0,0,IF(Fixture!D636&lt;Fixture!F636,0,IF(Fixture!F636&lt;Fixture!D636,3,1)))</f>
        <v>0</v>
      </c>
      <c r="E2632" s="16">
        <f>IF(OR(ISBLANK(Fixture!D636),ISBLANK(Fixture!F636),ISTEXT(Fixture!D636),ISTEXT(Fixture!F636)),0,1)</f>
        <v>0</v>
      </c>
      <c r="F2632" s="16">
        <f t="shared" si="586"/>
        <v>0</v>
      </c>
      <c r="G2632" s="16">
        <f t="shared" si="587"/>
        <v>0</v>
      </c>
      <c r="H2632" s="16">
        <f t="shared" si="588"/>
        <v>0</v>
      </c>
      <c r="I2632" s="63">
        <f>IF(E2632=0,0,Fixture!D636)</f>
        <v>0</v>
      </c>
      <c r="J2632" s="63">
        <f>IF(E2632=0,0,Fixture!F636)</f>
        <v>0</v>
      </c>
      <c r="K2632" s="63">
        <f t="shared" si="589"/>
        <v>0</v>
      </c>
      <c r="L2632" s="63">
        <f t="shared" si="590"/>
        <v>0</v>
      </c>
      <c r="N2632" s="10" t="str">
        <f t="shared" si="592"/>
        <v>00</v>
      </c>
      <c r="O2632" s="10">
        <f t="shared" si="593"/>
        <v>0</v>
      </c>
      <c r="P2632" s="10">
        <f t="shared" si="594"/>
        <v>0</v>
      </c>
      <c r="Q2632" s="10">
        <f t="shared" si="595"/>
        <v>0</v>
      </c>
    </row>
    <row r="2633" spans="1:17">
      <c r="A2633" s="15">
        <f t="shared" si="591"/>
        <v>0</v>
      </c>
      <c r="B2633" s="15"/>
      <c r="C2633" s="14">
        <f>Fixture!C637</f>
        <v>0</v>
      </c>
      <c r="D2633" s="15">
        <f>IF(E2633=0,0,IF(Fixture!D637&lt;Fixture!F637,0,IF(Fixture!F637&lt;Fixture!D637,3,1)))</f>
        <v>0</v>
      </c>
      <c r="E2633" s="16">
        <f>IF(OR(ISBLANK(Fixture!D637),ISBLANK(Fixture!F637),ISTEXT(Fixture!D637),ISTEXT(Fixture!F637)),0,1)</f>
        <v>0</v>
      </c>
      <c r="F2633" s="16">
        <f t="shared" si="586"/>
        <v>0</v>
      </c>
      <c r="G2633" s="16">
        <f t="shared" si="587"/>
        <v>0</v>
      </c>
      <c r="H2633" s="16">
        <f t="shared" si="588"/>
        <v>0</v>
      </c>
      <c r="I2633" s="63">
        <f>IF(E2633=0,0,Fixture!D637)</f>
        <v>0</v>
      </c>
      <c r="J2633" s="63">
        <f>IF(E2633=0,0,Fixture!F637)</f>
        <v>0</v>
      </c>
      <c r="K2633" s="63">
        <f t="shared" si="589"/>
        <v>0</v>
      </c>
      <c r="L2633" s="63">
        <f t="shared" si="590"/>
        <v>0</v>
      </c>
      <c r="N2633" s="10" t="str">
        <f t="shared" si="592"/>
        <v>00</v>
      </c>
      <c r="O2633" s="10">
        <f t="shared" si="593"/>
        <v>0</v>
      </c>
      <c r="P2633" s="10">
        <f t="shared" si="594"/>
        <v>0</v>
      </c>
      <c r="Q2633" s="10">
        <f t="shared" si="595"/>
        <v>0</v>
      </c>
    </row>
    <row r="2634" spans="1:17">
      <c r="A2634" s="15">
        <f t="shared" si="591"/>
        <v>0</v>
      </c>
      <c r="B2634" s="15"/>
      <c r="C2634" s="14">
        <f>Fixture!C638</f>
        <v>0</v>
      </c>
      <c r="D2634" s="15">
        <f>IF(E2634=0,0,IF(Fixture!D638&lt;Fixture!F638,0,IF(Fixture!F638&lt;Fixture!D638,3,1)))</f>
        <v>0</v>
      </c>
      <c r="E2634" s="16">
        <f>IF(OR(ISBLANK(Fixture!D638),ISBLANK(Fixture!F638),ISTEXT(Fixture!D638),ISTEXT(Fixture!F638)),0,1)</f>
        <v>0</v>
      </c>
      <c r="F2634" s="16">
        <f t="shared" si="586"/>
        <v>0</v>
      </c>
      <c r="G2634" s="16">
        <f t="shared" si="587"/>
        <v>0</v>
      </c>
      <c r="H2634" s="16">
        <f t="shared" si="588"/>
        <v>0</v>
      </c>
      <c r="I2634" s="63">
        <f>IF(E2634=0,0,Fixture!D638)</f>
        <v>0</v>
      </c>
      <c r="J2634" s="63">
        <f>IF(E2634=0,0,Fixture!F638)</f>
        <v>0</v>
      </c>
      <c r="K2634" s="63">
        <f t="shared" si="589"/>
        <v>0</v>
      </c>
      <c r="L2634" s="63">
        <f t="shared" si="590"/>
        <v>0</v>
      </c>
      <c r="N2634" s="10" t="str">
        <f t="shared" si="592"/>
        <v>00</v>
      </c>
      <c r="O2634" s="10">
        <f t="shared" si="593"/>
        <v>0</v>
      </c>
      <c r="P2634" s="10">
        <f t="shared" si="594"/>
        <v>0</v>
      </c>
      <c r="Q2634" s="10">
        <f t="shared" si="595"/>
        <v>0</v>
      </c>
    </row>
    <row r="2635" spans="1:17">
      <c r="A2635" s="15">
        <f t="shared" si="591"/>
        <v>0</v>
      </c>
      <c r="B2635" s="15"/>
      <c r="C2635" s="14">
        <f>Fixture!C639</f>
        <v>0</v>
      </c>
      <c r="D2635" s="15">
        <f>IF(E2635=0,0,IF(Fixture!D639&lt;Fixture!F639,0,IF(Fixture!F639&lt;Fixture!D639,3,1)))</f>
        <v>0</v>
      </c>
      <c r="E2635" s="16">
        <f>IF(OR(ISBLANK(Fixture!D639),ISBLANK(Fixture!F639),ISTEXT(Fixture!D639),ISTEXT(Fixture!F639)),0,1)</f>
        <v>0</v>
      </c>
      <c r="F2635" s="16">
        <f t="shared" si="586"/>
        <v>0</v>
      </c>
      <c r="G2635" s="16">
        <f t="shared" si="587"/>
        <v>0</v>
      </c>
      <c r="H2635" s="16">
        <f t="shared" si="588"/>
        <v>0</v>
      </c>
      <c r="I2635" s="63">
        <f>IF(E2635=0,0,Fixture!D639)</f>
        <v>0</v>
      </c>
      <c r="J2635" s="63">
        <f>IF(E2635=0,0,Fixture!F639)</f>
        <v>0</v>
      </c>
      <c r="K2635" s="63">
        <f t="shared" si="589"/>
        <v>0</v>
      </c>
      <c r="L2635" s="63">
        <f t="shared" si="590"/>
        <v>0</v>
      </c>
      <c r="N2635" s="10" t="str">
        <f t="shared" si="592"/>
        <v>00</v>
      </c>
      <c r="O2635" s="10">
        <f t="shared" si="593"/>
        <v>0</v>
      </c>
      <c r="P2635" s="10">
        <f t="shared" si="594"/>
        <v>0</v>
      </c>
      <c r="Q2635" s="10">
        <f t="shared" si="595"/>
        <v>0</v>
      </c>
    </row>
    <row r="2636" spans="1:17">
      <c r="A2636" s="15">
        <f t="shared" si="591"/>
        <v>0</v>
      </c>
      <c r="B2636" s="15"/>
      <c r="C2636" s="14">
        <f>Fixture!C640</f>
        <v>0</v>
      </c>
      <c r="D2636" s="15">
        <f>IF(E2636=0,0,IF(Fixture!D640&lt;Fixture!F640,0,IF(Fixture!F640&lt;Fixture!D640,3,1)))</f>
        <v>0</v>
      </c>
      <c r="E2636" s="16">
        <f>IF(OR(ISBLANK(Fixture!D640),ISBLANK(Fixture!F640),ISTEXT(Fixture!D640),ISTEXT(Fixture!F640)),0,1)</f>
        <v>0</v>
      </c>
      <c r="F2636" s="16">
        <f t="shared" si="586"/>
        <v>0</v>
      </c>
      <c r="G2636" s="16">
        <f t="shared" si="587"/>
        <v>0</v>
      </c>
      <c r="H2636" s="16">
        <f t="shared" si="588"/>
        <v>0</v>
      </c>
      <c r="I2636" s="63">
        <f>IF(E2636=0,0,Fixture!D640)</f>
        <v>0</v>
      </c>
      <c r="J2636" s="63">
        <f>IF(E2636=0,0,Fixture!F640)</f>
        <v>0</v>
      </c>
      <c r="K2636" s="63">
        <f t="shared" si="589"/>
        <v>0</v>
      </c>
      <c r="L2636" s="63">
        <f t="shared" si="590"/>
        <v>0</v>
      </c>
      <c r="N2636" s="10" t="str">
        <f t="shared" si="592"/>
        <v>00</v>
      </c>
      <c r="O2636" s="10">
        <f t="shared" si="593"/>
        <v>0</v>
      </c>
      <c r="P2636" s="10">
        <f t="shared" si="594"/>
        <v>0</v>
      </c>
      <c r="Q2636" s="10">
        <f t="shared" si="595"/>
        <v>0</v>
      </c>
    </row>
    <row r="2637" spans="1:17">
      <c r="A2637" s="15">
        <f t="shared" si="591"/>
        <v>0</v>
      </c>
      <c r="B2637" s="15"/>
      <c r="C2637" s="14">
        <f>Fixture!C641</f>
        <v>0</v>
      </c>
      <c r="D2637" s="15">
        <f>IF(E2637=0,0,IF(Fixture!D641&lt;Fixture!F641,0,IF(Fixture!F641&lt;Fixture!D641,3,1)))</f>
        <v>0</v>
      </c>
      <c r="E2637" s="16">
        <f>IF(OR(ISBLANK(Fixture!D641),ISBLANK(Fixture!F641),ISTEXT(Fixture!D641),ISTEXT(Fixture!F641)),0,1)</f>
        <v>0</v>
      </c>
      <c r="F2637" s="16">
        <f t="shared" si="586"/>
        <v>0</v>
      </c>
      <c r="G2637" s="16">
        <f t="shared" si="587"/>
        <v>0</v>
      </c>
      <c r="H2637" s="16">
        <f t="shared" si="588"/>
        <v>0</v>
      </c>
      <c r="I2637" s="63">
        <f>IF(E2637=0,0,Fixture!D641)</f>
        <v>0</v>
      </c>
      <c r="J2637" s="63">
        <f>IF(E2637=0,0,Fixture!F641)</f>
        <v>0</v>
      </c>
      <c r="K2637" s="63">
        <f t="shared" si="589"/>
        <v>0</v>
      </c>
      <c r="L2637" s="63">
        <f t="shared" si="590"/>
        <v>0</v>
      </c>
      <c r="N2637" s="10" t="str">
        <f t="shared" si="592"/>
        <v>00</v>
      </c>
      <c r="O2637" s="10">
        <f t="shared" si="593"/>
        <v>0</v>
      </c>
      <c r="P2637" s="10">
        <f t="shared" si="594"/>
        <v>0</v>
      </c>
      <c r="Q2637" s="10">
        <f t="shared" si="595"/>
        <v>0</v>
      </c>
    </row>
    <row r="2638" spans="1:17">
      <c r="A2638" s="15">
        <f t="shared" si="591"/>
        <v>0</v>
      </c>
      <c r="B2638" s="15"/>
      <c r="C2638" s="14">
        <f>Fixture!C642</f>
        <v>0</v>
      </c>
      <c r="D2638" s="15">
        <f>IF(E2638=0,0,IF(Fixture!D642&lt;Fixture!F642,0,IF(Fixture!F642&lt;Fixture!D642,3,1)))</f>
        <v>0</v>
      </c>
      <c r="E2638" s="16">
        <f>IF(OR(ISBLANK(Fixture!D642),ISBLANK(Fixture!F642),ISTEXT(Fixture!D642),ISTEXT(Fixture!F642)),0,1)</f>
        <v>0</v>
      </c>
      <c r="F2638" s="16">
        <f t="shared" si="586"/>
        <v>0</v>
      </c>
      <c r="G2638" s="16">
        <f t="shared" si="587"/>
        <v>0</v>
      </c>
      <c r="H2638" s="16">
        <f t="shared" si="588"/>
        <v>0</v>
      </c>
      <c r="I2638" s="63">
        <f>IF(E2638=0,0,Fixture!D642)</f>
        <v>0</v>
      </c>
      <c r="J2638" s="63">
        <f>IF(E2638=0,0,Fixture!F642)</f>
        <v>0</v>
      </c>
      <c r="K2638" s="63">
        <f t="shared" si="589"/>
        <v>0</v>
      </c>
      <c r="L2638" s="63">
        <f t="shared" si="590"/>
        <v>0</v>
      </c>
      <c r="N2638" s="10" t="str">
        <f t="shared" si="592"/>
        <v>00</v>
      </c>
      <c r="O2638" s="10">
        <f t="shared" si="593"/>
        <v>0</v>
      </c>
      <c r="P2638" s="10">
        <f t="shared" si="594"/>
        <v>0</v>
      </c>
      <c r="Q2638" s="10">
        <f t="shared" si="595"/>
        <v>0</v>
      </c>
    </row>
    <row r="2639" spans="1:17">
      <c r="A2639" s="15">
        <f t="shared" si="591"/>
        <v>0</v>
      </c>
      <c r="B2639" s="15"/>
      <c r="C2639" s="14">
        <f>Fixture!C643</f>
        <v>0</v>
      </c>
      <c r="D2639" s="15">
        <f>IF(E2639=0,0,IF(Fixture!D643&lt;Fixture!F643,0,IF(Fixture!F643&lt;Fixture!D643,3,1)))</f>
        <v>0</v>
      </c>
      <c r="E2639" s="16">
        <f>IF(OR(ISBLANK(Fixture!D643),ISBLANK(Fixture!F643),ISTEXT(Fixture!D643),ISTEXT(Fixture!F643)),0,1)</f>
        <v>0</v>
      </c>
      <c r="F2639" s="16">
        <f t="shared" si="586"/>
        <v>0</v>
      </c>
      <c r="G2639" s="16">
        <f t="shared" si="587"/>
        <v>0</v>
      </c>
      <c r="H2639" s="16">
        <f t="shared" si="588"/>
        <v>0</v>
      </c>
      <c r="I2639" s="63">
        <f>IF(E2639=0,0,Fixture!D643)</f>
        <v>0</v>
      </c>
      <c r="J2639" s="63">
        <f>IF(E2639=0,0,Fixture!F643)</f>
        <v>0</v>
      </c>
      <c r="K2639" s="63">
        <f t="shared" si="589"/>
        <v>0</v>
      </c>
      <c r="L2639" s="63">
        <f t="shared" si="590"/>
        <v>0</v>
      </c>
      <c r="N2639" s="10" t="str">
        <f t="shared" si="592"/>
        <v>00</v>
      </c>
      <c r="O2639" s="10">
        <f t="shared" si="593"/>
        <v>0</v>
      </c>
      <c r="P2639" s="10">
        <f t="shared" si="594"/>
        <v>0</v>
      </c>
      <c r="Q2639" s="10">
        <f t="shared" si="595"/>
        <v>0</v>
      </c>
    </row>
    <row r="2640" spans="1:17">
      <c r="A2640" s="15">
        <f t="shared" si="591"/>
        <v>0</v>
      </c>
      <c r="B2640" s="15"/>
      <c r="C2640" s="14">
        <f>Fixture!C644</f>
        <v>0</v>
      </c>
      <c r="D2640" s="15">
        <f>IF(E2640=0,0,IF(Fixture!D644&lt;Fixture!F644,0,IF(Fixture!F644&lt;Fixture!D644,3,1)))</f>
        <v>0</v>
      </c>
      <c r="E2640" s="16">
        <f>IF(OR(ISBLANK(Fixture!D644),ISBLANK(Fixture!F644),ISTEXT(Fixture!D644),ISTEXT(Fixture!F644)),0,1)</f>
        <v>0</v>
      </c>
      <c r="F2640" s="16">
        <f t="shared" si="586"/>
        <v>0</v>
      </c>
      <c r="G2640" s="16">
        <f t="shared" si="587"/>
        <v>0</v>
      </c>
      <c r="H2640" s="16">
        <f t="shared" si="588"/>
        <v>0</v>
      </c>
      <c r="I2640" s="63">
        <f>IF(E2640=0,0,Fixture!D644)</f>
        <v>0</v>
      </c>
      <c r="J2640" s="63">
        <f>IF(E2640=0,0,Fixture!F644)</f>
        <v>0</v>
      </c>
      <c r="K2640" s="63">
        <f t="shared" si="589"/>
        <v>0</v>
      </c>
      <c r="L2640" s="63">
        <f t="shared" si="590"/>
        <v>0</v>
      </c>
      <c r="N2640" s="10" t="str">
        <f t="shared" si="592"/>
        <v>00</v>
      </c>
      <c r="O2640" s="10">
        <f t="shared" si="593"/>
        <v>0</v>
      </c>
      <c r="P2640" s="10">
        <f t="shared" si="594"/>
        <v>0</v>
      </c>
      <c r="Q2640" s="10">
        <f t="shared" si="595"/>
        <v>0</v>
      </c>
    </row>
    <row r="2641" spans="1:17">
      <c r="A2641" s="15">
        <f t="shared" si="591"/>
        <v>0</v>
      </c>
      <c r="B2641" s="15"/>
      <c r="C2641" s="14">
        <f>Fixture!C645</f>
        <v>0</v>
      </c>
      <c r="D2641" s="15">
        <f>IF(E2641=0,0,IF(Fixture!D645&lt;Fixture!F645,0,IF(Fixture!F645&lt;Fixture!D645,3,1)))</f>
        <v>0</v>
      </c>
      <c r="E2641" s="16">
        <f>IF(OR(ISBLANK(Fixture!D645),ISBLANK(Fixture!F645),ISTEXT(Fixture!D645),ISTEXT(Fixture!F645)),0,1)</f>
        <v>0</v>
      </c>
      <c r="F2641" s="16">
        <f t="shared" ref="F2641:F2704" si="596">IF(E2641=0,0,IF(D2641&lt;&gt;3,0,1))</f>
        <v>0</v>
      </c>
      <c r="G2641" s="16">
        <f t="shared" ref="G2641:G2704" si="597">IF(E2641=0,0,IF(D2641&lt;&gt;1,0,1))</f>
        <v>0</v>
      </c>
      <c r="H2641" s="16">
        <f t="shared" ref="H2641:H2704" si="598">IF(E2641=0,0,IF(D2641&lt;&gt;0,0,1))</f>
        <v>0</v>
      </c>
      <c r="I2641" s="63">
        <f>IF(E2641=0,0,Fixture!D645)</f>
        <v>0</v>
      </c>
      <c r="J2641" s="63">
        <f>IF(E2641=0,0,Fixture!F645)</f>
        <v>0</v>
      </c>
      <c r="K2641" s="63">
        <f t="shared" ref="K2641:K2704" si="599">IF(E2641=0,0,IF(I2641&gt;0,0,1))</f>
        <v>0</v>
      </c>
      <c r="L2641" s="63">
        <f t="shared" ref="L2641:L2704" si="600">IF(E2641=0,0,IF(J2641&gt;0,0,1))</f>
        <v>0</v>
      </c>
      <c r="N2641" s="10" t="str">
        <f t="shared" si="592"/>
        <v>00</v>
      </c>
      <c r="O2641" s="10">
        <f t="shared" si="593"/>
        <v>0</v>
      </c>
      <c r="P2641" s="10">
        <f t="shared" si="594"/>
        <v>0</v>
      </c>
      <c r="Q2641" s="10">
        <f t="shared" si="595"/>
        <v>0</v>
      </c>
    </row>
    <row r="2642" spans="1:17">
      <c r="A2642" s="15">
        <f t="shared" ref="A2642:A2705" si="601">A685</f>
        <v>0</v>
      </c>
      <c r="B2642" s="15"/>
      <c r="C2642" s="14">
        <f>Fixture!C646</f>
        <v>0</v>
      </c>
      <c r="D2642" s="15">
        <f>IF(E2642=0,0,IF(Fixture!D646&lt;Fixture!F646,0,IF(Fixture!F646&lt;Fixture!D646,3,1)))</f>
        <v>0</v>
      </c>
      <c r="E2642" s="16">
        <f>IF(OR(ISBLANK(Fixture!D646),ISBLANK(Fixture!F646),ISTEXT(Fixture!D646),ISTEXT(Fixture!F646)),0,1)</f>
        <v>0</v>
      </c>
      <c r="F2642" s="16">
        <f t="shared" si="596"/>
        <v>0</v>
      </c>
      <c r="G2642" s="16">
        <f t="shared" si="597"/>
        <v>0</v>
      </c>
      <c r="H2642" s="16">
        <f t="shared" si="598"/>
        <v>0</v>
      </c>
      <c r="I2642" s="63">
        <f>IF(E2642=0,0,Fixture!D646)</f>
        <v>0</v>
      </c>
      <c r="J2642" s="63">
        <f>IF(E2642=0,0,Fixture!F646)</f>
        <v>0</v>
      </c>
      <c r="K2642" s="63">
        <f t="shared" si="599"/>
        <v>0</v>
      </c>
      <c r="L2642" s="63">
        <f t="shared" si="600"/>
        <v>0</v>
      </c>
      <c r="N2642" s="10" t="str">
        <f t="shared" ref="N2642:N2705" si="602">CONCATENATE(C2642,A2642)</f>
        <v>00</v>
      </c>
      <c r="O2642" s="10">
        <f t="shared" ref="O2642:O2705" si="603">D2642</f>
        <v>0</v>
      </c>
      <c r="P2642" s="10">
        <f t="shared" ref="P2642:P2705" si="604">I2642</f>
        <v>0</v>
      </c>
      <c r="Q2642" s="10">
        <f t="shared" ref="Q2642:Q2705" si="605">J2642</f>
        <v>0</v>
      </c>
    </row>
    <row r="2643" spans="1:17">
      <c r="A2643" s="15">
        <f t="shared" si="601"/>
        <v>0</v>
      </c>
      <c r="B2643" s="15"/>
      <c r="C2643" s="14">
        <f>Fixture!C647</f>
        <v>0</v>
      </c>
      <c r="D2643" s="15">
        <f>IF(E2643=0,0,IF(Fixture!D647&lt;Fixture!F647,0,IF(Fixture!F647&lt;Fixture!D647,3,1)))</f>
        <v>0</v>
      </c>
      <c r="E2643" s="16">
        <f>IF(OR(ISBLANK(Fixture!D647),ISBLANK(Fixture!F647),ISTEXT(Fixture!D647),ISTEXT(Fixture!F647)),0,1)</f>
        <v>0</v>
      </c>
      <c r="F2643" s="16">
        <f t="shared" si="596"/>
        <v>0</v>
      </c>
      <c r="G2643" s="16">
        <f t="shared" si="597"/>
        <v>0</v>
      </c>
      <c r="H2643" s="16">
        <f t="shared" si="598"/>
        <v>0</v>
      </c>
      <c r="I2643" s="63">
        <f>IF(E2643=0,0,Fixture!D647)</f>
        <v>0</v>
      </c>
      <c r="J2643" s="63">
        <f>IF(E2643=0,0,Fixture!F647)</f>
        <v>0</v>
      </c>
      <c r="K2643" s="63">
        <f t="shared" si="599"/>
        <v>0</v>
      </c>
      <c r="L2643" s="63">
        <f t="shared" si="600"/>
        <v>0</v>
      </c>
      <c r="N2643" s="10" t="str">
        <f t="shared" si="602"/>
        <v>00</v>
      </c>
      <c r="O2643" s="10">
        <f t="shared" si="603"/>
        <v>0</v>
      </c>
      <c r="P2643" s="10">
        <f t="shared" si="604"/>
        <v>0</v>
      </c>
      <c r="Q2643" s="10">
        <f t="shared" si="605"/>
        <v>0</v>
      </c>
    </row>
    <row r="2644" spans="1:17">
      <c r="A2644" s="15">
        <f t="shared" si="601"/>
        <v>0</v>
      </c>
      <c r="B2644" s="15"/>
      <c r="C2644" s="14">
        <f>Fixture!C648</f>
        <v>0</v>
      </c>
      <c r="D2644" s="15">
        <f>IF(E2644=0,0,IF(Fixture!D648&lt;Fixture!F648,0,IF(Fixture!F648&lt;Fixture!D648,3,1)))</f>
        <v>0</v>
      </c>
      <c r="E2644" s="16">
        <f>IF(OR(ISBLANK(Fixture!D648),ISBLANK(Fixture!F648),ISTEXT(Fixture!D648),ISTEXT(Fixture!F648)),0,1)</f>
        <v>0</v>
      </c>
      <c r="F2644" s="16">
        <f t="shared" si="596"/>
        <v>0</v>
      </c>
      <c r="G2644" s="16">
        <f t="shared" si="597"/>
        <v>0</v>
      </c>
      <c r="H2644" s="16">
        <f t="shared" si="598"/>
        <v>0</v>
      </c>
      <c r="I2644" s="63">
        <f>IF(E2644=0,0,Fixture!D648)</f>
        <v>0</v>
      </c>
      <c r="J2644" s="63">
        <f>IF(E2644=0,0,Fixture!F648)</f>
        <v>0</v>
      </c>
      <c r="K2644" s="63">
        <f t="shared" si="599"/>
        <v>0</v>
      </c>
      <c r="L2644" s="63">
        <f t="shared" si="600"/>
        <v>0</v>
      </c>
      <c r="N2644" s="10" t="str">
        <f t="shared" si="602"/>
        <v>00</v>
      </c>
      <c r="O2644" s="10">
        <f t="shared" si="603"/>
        <v>0</v>
      </c>
      <c r="P2644" s="10">
        <f t="shared" si="604"/>
        <v>0</v>
      </c>
      <c r="Q2644" s="10">
        <f t="shared" si="605"/>
        <v>0</v>
      </c>
    </row>
    <row r="2645" spans="1:17">
      <c r="A2645" s="15">
        <f t="shared" si="601"/>
        <v>0</v>
      </c>
      <c r="B2645" s="15"/>
      <c r="C2645" s="14">
        <f>Fixture!C649</f>
        <v>0</v>
      </c>
      <c r="D2645" s="15">
        <f>IF(E2645=0,0,IF(Fixture!D649&lt;Fixture!F649,0,IF(Fixture!F649&lt;Fixture!D649,3,1)))</f>
        <v>0</v>
      </c>
      <c r="E2645" s="16">
        <f>IF(OR(ISBLANK(Fixture!D649),ISBLANK(Fixture!F649),ISTEXT(Fixture!D649),ISTEXT(Fixture!F649)),0,1)</f>
        <v>0</v>
      </c>
      <c r="F2645" s="16">
        <f t="shared" si="596"/>
        <v>0</v>
      </c>
      <c r="G2645" s="16">
        <f t="shared" si="597"/>
        <v>0</v>
      </c>
      <c r="H2645" s="16">
        <f t="shared" si="598"/>
        <v>0</v>
      </c>
      <c r="I2645" s="63">
        <f>IF(E2645=0,0,Fixture!D649)</f>
        <v>0</v>
      </c>
      <c r="J2645" s="63">
        <f>IF(E2645=0,0,Fixture!F649)</f>
        <v>0</v>
      </c>
      <c r="K2645" s="63">
        <f t="shared" si="599"/>
        <v>0</v>
      </c>
      <c r="L2645" s="63">
        <f t="shared" si="600"/>
        <v>0</v>
      </c>
      <c r="N2645" s="10" t="str">
        <f t="shared" si="602"/>
        <v>00</v>
      </c>
      <c r="O2645" s="10">
        <f t="shared" si="603"/>
        <v>0</v>
      </c>
      <c r="P2645" s="10">
        <f t="shared" si="604"/>
        <v>0</v>
      </c>
      <c r="Q2645" s="10">
        <f t="shared" si="605"/>
        <v>0</v>
      </c>
    </row>
    <row r="2646" spans="1:17">
      <c r="A2646" s="15">
        <f t="shared" si="601"/>
        <v>0</v>
      </c>
      <c r="B2646" s="15"/>
      <c r="C2646" s="14">
        <f>Fixture!C650</f>
        <v>0</v>
      </c>
      <c r="D2646" s="15">
        <f>IF(E2646=0,0,IF(Fixture!D650&lt;Fixture!F650,0,IF(Fixture!F650&lt;Fixture!D650,3,1)))</f>
        <v>0</v>
      </c>
      <c r="E2646" s="16">
        <f>IF(OR(ISBLANK(Fixture!D650),ISBLANK(Fixture!F650),ISTEXT(Fixture!D650),ISTEXT(Fixture!F650)),0,1)</f>
        <v>0</v>
      </c>
      <c r="F2646" s="16">
        <f t="shared" si="596"/>
        <v>0</v>
      </c>
      <c r="G2646" s="16">
        <f t="shared" si="597"/>
        <v>0</v>
      </c>
      <c r="H2646" s="16">
        <f t="shared" si="598"/>
        <v>0</v>
      </c>
      <c r="I2646" s="63">
        <f>IF(E2646=0,0,Fixture!D650)</f>
        <v>0</v>
      </c>
      <c r="J2646" s="63">
        <f>IF(E2646=0,0,Fixture!F650)</f>
        <v>0</v>
      </c>
      <c r="K2646" s="63">
        <f t="shared" si="599"/>
        <v>0</v>
      </c>
      <c r="L2646" s="63">
        <f t="shared" si="600"/>
        <v>0</v>
      </c>
      <c r="N2646" s="10" t="str">
        <f t="shared" si="602"/>
        <v>00</v>
      </c>
      <c r="O2646" s="10">
        <f t="shared" si="603"/>
        <v>0</v>
      </c>
      <c r="P2646" s="10">
        <f t="shared" si="604"/>
        <v>0</v>
      </c>
      <c r="Q2646" s="10">
        <f t="shared" si="605"/>
        <v>0</v>
      </c>
    </row>
    <row r="2647" spans="1:17">
      <c r="A2647" s="15">
        <f t="shared" si="601"/>
        <v>0</v>
      </c>
      <c r="B2647" s="15"/>
      <c r="C2647" s="14">
        <f>Fixture!C651</f>
        <v>0</v>
      </c>
      <c r="D2647" s="15">
        <f>IF(E2647=0,0,IF(Fixture!D651&lt;Fixture!F651,0,IF(Fixture!F651&lt;Fixture!D651,3,1)))</f>
        <v>0</v>
      </c>
      <c r="E2647" s="16">
        <f>IF(OR(ISBLANK(Fixture!D651),ISBLANK(Fixture!F651),ISTEXT(Fixture!D651),ISTEXT(Fixture!F651)),0,1)</f>
        <v>0</v>
      </c>
      <c r="F2647" s="16">
        <f t="shared" si="596"/>
        <v>0</v>
      </c>
      <c r="G2647" s="16">
        <f t="shared" si="597"/>
        <v>0</v>
      </c>
      <c r="H2647" s="16">
        <f t="shared" si="598"/>
        <v>0</v>
      </c>
      <c r="I2647" s="63">
        <f>IF(E2647=0,0,Fixture!D651)</f>
        <v>0</v>
      </c>
      <c r="J2647" s="63">
        <f>IF(E2647=0,0,Fixture!F651)</f>
        <v>0</v>
      </c>
      <c r="K2647" s="63">
        <f t="shared" si="599"/>
        <v>0</v>
      </c>
      <c r="L2647" s="63">
        <f t="shared" si="600"/>
        <v>0</v>
      </c>
      <c r="N2647" s="10" t="str">
        <f t="shared" si="602"/>
        <v>00</v>
      </c>
      <c r="O2647" s="10">
        <f t="shared" si="603"/>
        <v>0</v>
      </c>
      <c r="P2647" s="10">
        <f t="shared" si="604"/>
        <v>0</v>
      </c>
      <c r="Q2647" s="10">
        <f t="shared" si="605"/>
        <v>0</v>
      </c>
    </row>
    <row r="2648" spans="1:17">
      <c r="A2648" s="15">
        <f t="shared" si="601"/>
        <v>0</v>
      </c>
      <c r="B2648" s="15"/>
      <c r="C2648" s="14">
        <f>Fixture!C652</f>
        <v>0</v>
      </c>
      <c r="D2648" s="15">
        <f>IF(E2648=0,0,IF(Fixture!D652&lt;Fixture!F652,0,IF(Fixture!F652&lt;Fixture!D652,3,1)))</f>
        <v>0</v>
      </c>
      <c r="E2648" s="16">
        <f>IF(OR(ISBLANK(Fixture!D652),ISBLANK(Fixture!F652),ISTEXT(Fixture!D652),ISTEXT(Fixture!F652)),0,1)</f>
        <v>0</v>
      </c>
      <c r="F2648" s="16">
        <f t="shared" si="596"/>
        <v>0</v>
      </c>
      <c r="G2648" s="16">
        <f t="shared" si="597"/>
        <v>0</v>
      </c>
      <c r="H2648" s="16">
        <f t="shared" si="598"/>
        <v>0</v>
      </c>
      <c r="I2648" s="63">
        <f>IF(E2648=0,0,Fixture!D652)</f>
        <v>0</v>
      </c>
      <c r="J2648" s="63">
        <f>IF(E2648=0,0,Fixture!F652)</f>
        <v>0</v>
      </c>
      <c r="K2648" s="63">
        <f t="shared" si="599"/>
        <v>0</v>
      </c>
      <c r="L2648" s="63">
        <f t="shared" si="600"/>
        <v>0</v>
      </c>
      <c r="N2648" s="10" t="str">
        <f t="shared" si="602"/>
        <v>00</v>
      </c>
      <c r="O2648" s="10">
        <f t="shared" si="603"/>
        <v>0</v>
      </c>
      <c r="P2648" s="10">
        <f t="shared" si="604"/>
        <v>0</v>
      </c>
      <c r="Q2648" s="10">
        <f t="shared" si="605"/>
        <v>0</v>
      </c>
    </row>
    <row r="2649" spans="1:17">
      <c r="A2649" s="15">
        <f t="shared" si="601"/>
        <v>0</v>
      </c>
      <c r="B2649" s="15"/>
      <c r="C2649" s="14">
        <f>Fixture!C653</f>
        <v>0</v>
      </c>
      <c r="D2649" s="15">
        <f>IF(E2649=0,0,IF(Fixture!D653&lt;Fixture!F653,0,IF(Fixture!F653&lt;Fixture!D653,3,1)))</f>
        <v>0</v>
      </c>
      <c r="E2649" s="16">
        <f>IF(OR(ISBLANK(Fixture!D653),ISBLANK(Fixture!F653),ISTEXT(Fixture!D653),ISTEXT(Fixture!F653)),0,1)</f>
        <v>0</v>
      </c>
      <c r="F2649" s="16">
        <f t="shared" si="596"/>
        <v>0</v>
      </c>
      <c r="G2649" s="16">
        <f t="shared" si="597"/>
        <v>0</v>
      </c>
      <c r="H2649" s="16">
        <f t="shared" si="598"/>
        <v>0</v>
      </c>
      <c r="I2649" s="63">
        <f>IF(E2649=0,0,Fixture!D653)</f>
        <v>0</v>
      </c>
      <c r="J2649" s="63">
        <f>IF(E2649=0,0,Fixture!F653)</f>
        <v>0</v>
      </c>
      <c r="K2649" s="63">
        <f t="shared" si="599"/>
        <v>0</v>
      </c>
      <c r="L2649" s="63">
        <f t="shared" si="600"/>
        <v>0</v>
      </c>
      <c r="N2649" s="10" t="str">
        <f t="shared" si="602"/>
        <v>00</v>
      </c>
      <c r="O2649" s="10">
        <f t="shared" si="603"/>
        <v>0</v>
      </c>
      <c r="P2649" s="10">
        <f t="shared" si="604"/>
        <v>0</v>
      </c>
      <c r="Q2649" s="10">
        <f t="shared" si="605"/>
        <v>0</v>
      </c>
    </row>
    <row r="2650" spans="1:17">
      <c r="A2650" s="15">
        <f t="shared" si="601"/>
        <v>0</v>
      </c>
      <c r="B2650" s="15"/>
      <c r="C2650" s="14">
        <f>Fixture!C654</f>
        <v>0</v>
      </c>
      <c r="D2650" s="15">
        <f>IF(E2650=0,0,IF(Fixture!D654&lt;Fixture!F654,0,IF(Fixture!F654&lt;Fixture!D654,3,1)))</f>
        <v>0</v>
      </c>
      <c r="E2650" s="16">
        <f>IF(OR(ISBLANK(Fixture!D654),ISBLANK(Fixture!F654),ISTEXT(Fixture!D654),ISTEXT(Fixture!F654)),0,1)</f>
        <v>0</v>
      </c>
      <c r="F2650" s="16">
        <f t="shared" si="596"/>
        <v>0</v>
      </c>
      <c r="G2650" s="16">
        <f t="shared" si="597"/>
        <v>0</v>
      </c>
      <c r="H2650" s="16">
        <f t="shared" si="598"/>
        <v>0</v>
      </c>
      <c r="I2650" s="63">
        <f>IF(E2650=0,0,Fixture!D654)</f>
        <v>0</v>
      </c>
      <c r="J2650" s="63">
        <f>IF(E2650=0,0,Fixture!F654)</f>
        <v>0</v>
      </c>
      <c r="K2650" s="63">
        <f t="shared" si="599"/>
        <v>0</v>
      </c>
      <c r="L2650" s="63">
        <f t="shared" si="600"/>
        <v>0</v>
      </c>
      <c r="N2650" s="10" t="str">
        <f t="shared" si="602"/>
        <v>00</v>
      </c>
      <c r="O2650" s="10">
        <f t="shared" si="603"/>
        <v>0</v>
      </c>
      <c r="P2650" s="10">
        <f t="shared" si="604"/>
        <v>0</v>
      </c>
      <c r="Q2650" s="10">
        <f t="shared" si="605"/>
        <v>0</v>
      </c>
    </row>
    <row r="2651" spans="1:17">
      <c r="A2651" s="15">
        <f t="shared" si="601"/>
        <v>0</v>
      </c>
      <c r="B2651" s="15"/>
      <c r="C2651" s="14">
        <f>Fixture!C655</f>
        <v>0</v>
      </c>
      <c r="D2651" s="15">
        <f>IF(E2651=0,0,IF(Fixture!D655&lt;Fixture!F655,0,IF(Fixture!F655&lt;Fixture!D655,3,1)))</f>
        <v>0</v>
      </c>
      <c r="E2651" s="16">
        <f>IF(OR(ISBLANK(Fixture!D655),ISBLANK(Fixture!F655),ISTEXT(Fixture!D655),ISTEXT(Fixture!F655)),0,1)</f>
        <v>0</v>
      </c>
      <c r="F2651" s="16">
        <f t="shared" si="596"/>
        <v>0</v>
      </c>
      <c r="G2651" s="16">
        <f t="shared" si="597"/>
        <v>0</v>
      </c>
      <c r="H2651" s="16">
        <f t="shared" si="598"/>
        <v>0</v>
      </c>
      <c r="I2651" s="63">
        <f>IF(E2651=0,0,Fixture!D655)</f>
        <v>0</v>
      </c>
      <c r="J2651" s="63">
        <f>IF(E2651=0,0,Fixture!F655)</f>
        <v>0</v>
      </c>
      <c r="K2651" s="63">
        <f t="shared" si="599"/>
        <v>0</v>
      </c>
      <c r="L2651" s="63">
        <f t="shared" si="600"/>
        <v>0</v>
      </c>
      <c r="N2651" s="10" t="str">
        <f t="shared" si="602"/>
        <v>00</v>
      </c>
      <c r="O2651" s="10">
        <f t="shared" si="603"/>
        <v>0</v>
      </c>
      <c r="P2651" s="10">
        <f t="shared" si="604"/>
        <v>0</v>
      </c>
      <c r="Q2651" s="10">
        <f t="shared" si="605"/>
        <v>0</v>
      </c>
    </row>
    <row r="2652" spans="1:17">
      <c r="A2652" s="15">
        <f t="shared" si="601"/>
        <v>0</v>
      </c>
      <c r="B2652" s="15"/>
      <c r="C2652" s="14">
        <f>Fixture!C656</f>
        <v>0</v>
      </c>
      <c r="D2652" s="15">
        <f>IF(E2652=0,0,IF(Fixture!D656&lt;Fixture!F656,0,IF(Fixture!F656&lt;Fixture!D656,3,1)))</f>
        <v>0</v>
      </c>
      <c r="E2652" s="16">
        <f>IF(OR(ISBLANK(Fixture!D656),ISBLANK(Fixture!F656),ISTEXT(Fixture!D656),ISTEXT(Fixture!F656)),0,1)</f>
        <v>0</v>
      </c>
      <c r="F2652" s="16">
        <f t="shared" si="596"/>
        <v>0</v>
      </c>
      <c r="G2652" s="16">
        <f t="shared" si="597"/>
        <v>0</v>
      </c>
      <c r="H2652" s="16">
        <f t="shared" si="598"/>
        <v>0</v>
      </c>
      <c r="I2652" s="63">
        <f>IF(E2652=0,0,Fixture!D656)</f>
        <v>0</v>
      </c>
      <c r="J2652" s="63">
        <f>IF(E2652=0,0,Fixture!F656)</f>
        <v>0</v>
      </c>
      <c r="K2652" s="63">
        <f t="shared" si="599"/>
        <v>0</v>
      </c>
      <c r="L2652" s="63">
        <f t="shared" si="600"/>
        <v>0</v>
      </c>
      <c r="N2652" s="10" t="str">
        <f t="shared" si="602"/>
        <v>00</v>
      </c>
      <c r="O2652" s="10">
        <f t="shared" si="603"/>
        <v>0</v>
      </c>
      <c r="P2652" s="10">
        <f t="shared" si="604"/>
        <v>0</v>
      </c>
      <c r="Q2652" s="10">
        <f t="shared" si="605"/>
        <v>0</v>
      </c>
    </row>
    <row r="2653" spans="1:17">
      <c r="A2653" s="15">
        <f t="shared" si="601"/>
        <v>0</v>
      </c>
      <c r="B2653" s="15"/>
      <c r="C2653" s="14">
        <f>Fixture!C657</f>
        <v>0</v>
      </c>
      <c r="D2653" s="15">
        <f>IF(E2653=0,0,IF(Fixture!D657&lt;Fixture!F657,0,IF(Fixture!F657&lt;Fixture!D657,3,1)))</f>
        <v>0</v>
      </c>
      <c r="E2653" s="16">
        <f>IF(OR(ISBLANK(Fixture!D657),ISBLANK(Fixture!F657),ISTEXT(Fixture!D657),ISTEXT(Fixture!F657)),0,1)</f>
        <v>0</v>
      </c>
      <c r="F2653" s="16">
        <f t="shared" si="596"/>
        <v>0</v>
      </c>
      <c r="G2653" s="16">
        <f t="shared" si="597"/>
        <v>0</v>
      </c>
      <c r="H2653" s="16">
        <f t="shared" si="598"/>
        <v>0</v>
      </c>
      <c r="I2653" s="63">
        <f>IF(E2653=0,0,Fixture!D657)</f>
        <v>0</v>
      </c>
      <c r="J2653" s="63">
        <f>IF(E2653=0,0,Fixture!F657)</f>
        <v>0</v>
      </c>
      <c r="K2653" s="63">
        <f t="shared" si="599"/>
        <v>0</v>
      </c>
      <c r="L2653" s="63">
        <f t="shared" si="600"/>
        <v>0</v>
      </c>
      <c r="N2653" s="10" t="str">
        <f t="shared" si="602"/>
        <v>00</v>
      </c>
      <c r="O2653" s="10">
        <f t="shared" si="603"/>
        <v>0</v>
      </c>
      <c r="P2653" s="10">
        <f t="shared" si="604"/>
        <v>0</v>
      </c>
      <c r="Q2653" s="10">
        <f t="shared" si="605"/>
        <v>0</v>
      </c>
    </row>
    <row r="2654" spans="1:17">
      <c r="A2654" s="15">
        <f t="shared" si="601"/>
        <v>0</v>
      </c>
      <c r="B2654" s="15"/>
      <c r="C2654" s="14">
        <f>Fixture!C658</f>
        <v>0</v>
      </c>
      <c r="D2654" s="15">
        <f>IF(E2654=0,0,IF(Fixture!D658&lt;Fixture!F658,0,IF(Fixture!F658&lt;Fixture!D658,3,1)))</f>
        <v>0</v>
      </c>
      <c r="E2654" s="16">
        <f>IF(OR(ISBLANK(Fixture!D658),ISBLANK(Fixture!F658),ISTEXT(Fixture!D658),ISTEXT(Fixture!F658)),0,1)</f>
        <v>0</v>
      </c>
      <c r="F2654" s="16">
        <f t="shared" si="596"/>
        <v>0</v>
      </c>
      <c r="G2654" s="16">
        <f t="shared" si="597"/>
        <v>0</v>
      </c>
      <c r="H2654" s="16">
        <f t="shared" si="598"/>
        <v>0</v>
      </c>
      <c r="I2654" s="63">
        <f>IF(E2654=0,0,Fixture!D658)</f>
        <v>0</v>
      </c>
      <c r="J2654" s="63">
        <f>IF(E2654=0,0,Fixture!F658)</f>
        <v>0</v>
      </c>
      <c r="K2654" s="63">
        <f t="shared" si="599"/>
        <v>0</v>
      </c>
      <c r="L2654" s="63">
        <f t="shared" si="600"/>
        <v>0</v>
      </c>
      <c r="N2654" s="10" t="str">
        <f t="shared" si="602"/>
        <v>00</v>
      </c>
      <c r="O2654" s="10">
        <f t="shared" si="603"/>
        <v>0</v>
      </c>
      <c r="P2654" s="10">
        <f t="shared" si="604"/>
        <v>0</v>
      </c>
      <c r="Q2654" s="10">
        <f t="shared" si="605"/>
        <v>0</v>
      </c>
    </row>
    <row r="2655" spans="1:17">
      <c r="A2655" s="15">
        <f t="shared" si="601"/>
        <v>0</v>
      </c>
      <c r="B2655" s="15"/>
      <c r="C2655" s="14">
        <f>Fixture!C659</f>
        <v>0</v>
      </c>
      <c r="D2655" s="15">
        <f>IF(E2655=0,0,IF(Fixture!D659&lt;Fixture!F659,0,IF(Fixture!F659&lt;Fixture!D659,3,1)))</f>
        <v>0</v>
      </c>
      <c r="E2655" s="16">
        <f>IF(OR(ISBLANK(Fixture!D659),ISBLANK(Fixture!F659),ISTEXT(Fixture!D659),ISTEXT(Fixture!F659)),0,1)</f>
        <v>0</v>
      </c>
      <c r="F2655" s="16">
        <f t="shared" si="596"/>
        <v>0</v>
      </c>
      <c r="G2655" s="16">
        <f t="shared" si="597"/>
        <v>0</v>
      </c>
      <c r="H2655" s="16">
        <f t="shared" si="598"/>
        <v>0</v>
      </c>
      <c r="I2655" s="63">
        <f>IF(E2655=0,0,Fixture!D659)</f>
        <v>0</v>
      </c>
      <c r="J2655" s="63">
        <f>IF(E2655=0,0,Fixture!F659)</f>
        <v>0</v>
      </c>
      <c r="K2655" s="63">
        <f t="shared" si="599"/>
        <v>0</v>
      </c>
      <c r="L2655" s="63">
        <f t="shared" si="600"/>
        <v>0</v>
      </c>
      <c r="N2655" s="10" t="str">
        <f t="shared" si="602"/>
        <v>00</v>
      </c>
      <c r="O2655" s="10">
        <f t="shared" si="603"/>
        <v>0</v>
      </c>
      <c r="P2655" s="10">
        <f t="shared" si="604"/>
        <v>0</v>
      </c>
      <c r="Q2655" s="10">
        <f t="shared" si="605"/>
        <v>0</v>
      </c>
    </row>
    <row r="2656" spans="1:17">
      <c r="A2656" s="15">
        <f t="shared" si="601"/>
        <v>0</v>
      </c>
      <c r="B2656" s="15"/>
      <c r="C2656" s="14">
        <f>Fixture!C660</f>
        <v>0</v>
      </c>
      <c r="D2656" s="15">
        <f>IF(E2656=0,0,IF(Fixture!D660&lt;Fixture!F660,0,IF(Fixture!F660&lt;Fixture!D660,3,1)))</f>
        <v>0</v>
      </c>
      <c r="E2656" s="16">
        <f>IF(OR(ISBLANK(Fixture!D660),ISBLANK(Fixture!F660),ISTEXT(Fixture!D660),ISTEXT(Fixture!F660)),0,1)</f>
        <v>0</v>
      </c>
      <c r="F2656" s="16">
        <f t="shared" si="596"/>
        <v>0</v>
      </c>
      <c r="G2656" s="16">
        <f t="shared" si="597"/>
        <v>0</v>
      </c>
      <c r="H2656" s="16">
        <f t="shared" si="598"/>
        <v>0</v>
      </c>
      <c r="I2656" s="63">
        <f>IF(E2656=0,0,Fixture!D660)</f>
        <v>0</v>
      </c>
      <c r="J2656" s="63">
        <f>IF(E2656=0,0,Fixture!F660)</f>
        <v>0</v>
      </c>
      <c r="K2656" s="63">
        <f t="shared" si="599"/>
        <v>0</v>
      </c>
      <c r="L2656" s="63">
        <f t="shared" si="600"/>
        <v>0</v>
      </c>
      <c r="N2656" s="10" t="str">
        <f t="shared" si="602"/>
        <v>00</v>
      </c>
      <c r="O2656" s="10">
        <f t="shared" si="603"/>
        <v>0</v>
      </c>
      <c r="P2656" s="10">
        <f t="shared" si="604"/>
        <v>0</v>
      </c>
      <c r="Q2656" s="10">
        <f t="shared" si="605"/>
        <v>0</v>
      </c>
    </row>
    <row r="2657" spans="1:17">
      <c r="A2657" s="15">
        <f t="shared" si="601"/>
        <v>0</v>
      </c>
      <c r="B2657" s="15"/>
      <c r="C2657" s="14">
        <f>Fixture!C661</f>
        <v>0</v>
      </c>
      <c r="D2657" s="15">
        <f>IF(E2657=0,0,IF(Fixture!D661&lt;Fixture!F661,0,IF(Fixture!F661&lt;Fixture!D661,3,1)))</f>
        <v>0</v>
      </c>
      <c r="E2657" s="16">
        <f>IF(OR(ISBLANK(Fixture!D661),ISBLANK(Fixture!F661),ISTEXT(Fixture!D661),ISTEXT(Fixture!F661)),0,1)</f>
        <v>0</v>
      </c>
      <c r="F2657" s="16">
        <f t="shared" si="596"/>
        <v>0</v>
      </c>
      <c r="G2657" s="16">
        <f t="shared" si="597"/>
        <v>0</v>
      </c>
      <c r="H2657" s="16">
        <f t="shared" si="598"/>
        <v>0</v>
      </c>
      <c r="I2657" s="63">
        <f>IF(E2657=0,0,Fixture!D661)</f>
        <v>0</v>
      </c>
      <c r="J2657" s="63">
        <f>IF(E2657=0,0,Fixture!F661)</f>
        <v>0</v>
      </c>
      <c r="K2657" s="63">
        <f t="shared" si="599"/>
        <v>0</v>
      </c>
      <c r="L2657" s="63">
        <f t="shared" si="600"/>
        <v>0</v>
      </c>
      <c r="N2657" s="10" t="str">
        <f t="shared" si="602"/>
        <v>00</v>
      </c>
      <c r="O2657" s="10">
        <f t="shared" si="603"/>
        <v>0</v>
      </c>
      <c r="P2657" s="10">
        <f t="shared" si="604"/>
        <v>0</v>
      </c>
      <c r="Q2657" s="10">
        <f t="shared" si="605"/>
        <v>0</v>
      </c>
    </row>
    <row r="2658" spans="1:17">
      <c r="A2658" s="15">
        <f t="shared" si="601"/>
        <v>0</v>
      </c>
      <c r="B2658" s="15"/>
      <c r="C2658" s="14">
        <f>Fixture!C662</f>
        <v>0</v>
      </c>
      <c r="D2658" s="15">
        <f>IF(E2658=0,0,IF(Fixture!D662&lt;Fixture!F662,0,IF(Fixture!F662&lt;Fixture!D662,3,1)))</f>
        <v>0</v>
      </c>
      <c r="E2658" s="16">
        <f>IF(OR(ISBLANK(Fixture!D662),ISBLANK(Fixture!F662),ISTEXT(Fixture!D662),ISTEXT(Fixture!F662)),0,1)</f>
        <v>0</v>
      </c>
      <c r="F2658" s="16">
        <f t="shared" si="596"/>
        <v>0</v>
      </c>
      <c r="G2658" s="16">
        <f t="shared" si="597"/>
        <v>0</v>
      </c>
      <c r="H2658" s="16">
        <f t="shared" si="598"/>
        <v>0</v>
      </c>
      <c r="I2658" s="63">
        <f>IF(E2658=0,0,Fixture!D662)</f>
        <v>0</v>
      </c>
      <c r="J2658" s="63">
        <f>IF(E2658=0,0,Fixture!F662)</f>
        <v>0</v>
      </c>
      <c r="K2658" s="63">
        <f t="shared" si="599"/>
        <v>0</v>
      </c>
      <c r="L2658" s="63">
        <f t="shared" si="600"/>
        <v>0</v>
      </c>
      <c r="N2658" s="10" t="str">
        <f t="shared" si="602"/>
        <v>00</v>
      </c>
      <c r="O2658" s="10">
        <f t="shared" si="603"/>
        <v>0</v>
      </c>
      <c r="P2658" s="10">
        <f t="shared" si="604"/>
        <v>0</v>
      </c>
      <c r="Q2658" s="10">
        <f t="shared" si="605"/>
        <v>0</v>
      </c>
    </row>
    <row r="2659" spans="1:17">
      <c r="A2659" s="15">
        <f t="shared" si="601"/>
        <v>0</v>
      </c>
      <c r="B2659" s="15"/>
      <c r="C2659" s="14">
        <f>Fixture!C663</f>
        <v>0</v>
      </c>
      <c r="D2659" s="15">
        <f>IF(E2659=0,0,IF(Fixture!D663&lt;Fixture!F663,0,IF(Fixture!F663&lt;Fixture!D663,3,1)))</f>
        <v>0</v>
      </c>
      <c r="E2659" s="16">
        <f>IF(OR(ISBLANK(Fixture!D663),ISBLANK(Fixture!F663),ISTEXT(Fixture!D663),ISTEXT(Fixture!F663)),0,1)</f>
        <v>0</v>
      </c>
      <c r="F2659" s="16">
        <f t="shared" si="596"/>
        <v>0</v>
      </c>
      <c r="G2659" s="16">
        <f t="shared" si="597"/>
        <v>0</v>
      </c>
      <c r="H2659" s="16">
        <f t="shared" si="598"/>
        <v>0</v>
      </c>
      <c r="I2659" s="63">
        <f>IF(E2659=0,0,Fixture!D663)</f>
        <v>0</v>
      </c>
      <c r="J2659" s="63">
        <f>IF(E2659=0,0,Fixture!F663)</f>
        <v>0</v>
      </c>
      <c r="K2659" s="63">
        <f t="shared" si="599"/>
        <v>0</v>
      </c>
      <c r="L2659" s="63">
        <f t="shared" si="600"/>
        <v>0</v>
      </c>
      <c r="N2659" s="10" t="str">
        <f t="shared" si="602"/>
        <v>00</v>
      </c>
      <c r="O2659" s="10">
        <f t="shared" si="603"/>
        <v>0</v>
      </c>
      <c r="P2659" s="10">
        <f t="shared" si="604"/>
        <v>0</v>
      </c>
      <c r="Q2659" s="10">
        <f t="shared" si="605"/>
        <v>0</v>
      </c>
    </row>
    <row r="2660" spans="1:17">
      <c r="A2660" s="15">
        <f t="shared" si="601"/>
        <v>0</v>
      </c>
      <c r="B2660" s="15"/>
      <c r="C2660" s="14">
        <f>Fixture!C664</f>
        <v>0</v>
      </c>
      <c r="D2660" s="15">
        <f>IF(E2660=0,0,IF(Fixture!D664&lt;Fixture!F664,0,IF(Fixture!F664&lt;Fixture!D664,3,1)))</f>
        <v>0</v>
      </c>
      <c r="E2660" s="16">
        <f>IF(OR(ISBLANK(Fixture!D664),ISBLANK(Fixture!F664),ISTEXT(Fixture!D664),ISTEXT(Fixture!F664)),0,1)</f>
        <v>0</v>
      </c>
      <c r="F2660" s="16">
        <f t="shared" si="596"/>
        <v>0</v>
      </c>
      <c r="G2660" s="16">
        <f t="shared" si="597"/>
        <v>0</v>
      </c>
      <c r="H2660" s="16">
        <f t="shared" si="598"/>
        <v>0</v>
      </c>
      <c r="I2660" s="63">
        <f>IF(E2660=0,0,Fixture!D664)</f>
        <v>0</v>
      </c>
      <c r="J2660" s="63">
        <f>IF(E2660=0,0,Fixture!F664)</f>
        <v>0</v>
      </c>
      <c r="K2660" s="63">
        <f t="shared" si="599"/>
        <v>0</v>
      </c>
      <c r="L2660" s="63">
        <f t="shared" si="600"/>
        <v>0</v>
      </c>
      <c r="N2660" s="10" t="str">
        <f t="shared" si="602"/>
        <v>00</v>
      </c>
      <c r="O2660" s="10">
        <f t="shared" si="603"/>
        <v>0</v>
      </c>
      <c r="P2660" s="10">
        <f t="shared" si="604"/>
        <v>0</v>
      </c>
      <c r="Q2660" s="10">
        <f t="shared" si="605"/>
        <v>0</v>
      </c>
    </row>
    <row r="2661" spans="1:17">
      <c r="A2661" s="15">
        <f t="shared" si="601"/>
        <v>0</v>
      </c>
      <c r="B2661" s="15"/>
      <c r="C2661" s="14">
        <f>Fixture!C665</f>
        <v>0</v>
      </c>
      <c r="D2661" s="15">
        <f>IF(E2661=0,0,IF(Fixture!D665&lt;Fixture!F665,0,IF(Fixture!F665&lt;Fixture!D665,3,1)))</f>
        <v>0</v>
      </c>
      <c r="E2661" s="16">
        <f>IF(OR(ISBLANK(Fixture!D665),ISBLANK(Fixture!F665),ISTEXT(Fixture!D665),ISTEXT(Fixture!F665)),0,1)</f>
        <v>0</v>
      </c>
      <c r="F2661" s="16">
        <f t="shared" si="596"/>
        <v>0</v>
      </c>
      <c r="G2661" s="16">
        <f t="shared" si="597"/>
        <v>0</v>
      </c>
      <c r="H2661" s="16">
        <f t="shared" si="598"/>
        <v>0</v>
      </c>
      <c r="I2661" s="63">
        <f>IF(E2661=0,0,Fixture!D665)</f>
        <v>0</v>
      </c>
      <c r="J2661" s="63">
        <f>IF(E2661=0,0,Fixture!F665)</f>
        <v>0</v>
      </c>
      <c r="K2661" s="63">
        <f t="shared" si="599"/>
        <v>0</v>
      </c>
      <c r="L2661" s="63">
        <f t="shared" si="600"/>
        <v>0</v>
      </c>
      <c r="N2661" s="10" t="str">
        <f t="shared" si="602"/>
        <v>00</v>
      </c>
      <c r="O2661" s="10">
        <f t="shared" si="603"/>
        <v>0</v>
      </c>
      <c r="P2661" s="10">
        <f t="shared" si="604"/>
        <v>0</v>
      </c>
      <c r="Q2661" s="10">
        <f t="shared" si="605"/>
        <v>0</v>
      </c>
    </row>
    <row r="2662" spans="1:17">
      <c r="A2662" s="15">
        <f t="shared" si="601"/>
        <v>0</v>
      </c>
      <c r="B2662" s="15"/>
      <c r="C2662" s="14">
        <f>Fixture!C666</f>
        <v>0</v>
      </c>
      <c r="D2662" s="15">
        <f>IF(E2662=0,0,IF(Fixture!D666&lt;Fixture!F666,0,IF(Fixture!F666&lt;Fixture!D666,3,1)))</f>
        <v>0</v>
      </c>
      <c r="E2662" s="16">
        <f>IF(OR(ISBLANK(Fixture!D666),ISBLANK(Fixture!F666),ISTEXT(Fixture!D666),ISTEXT(Fixture!F666)),0,1)</f>
        <v>0</v>
      </c>
      <c r="F2662" s="16">
        <f t="shared" si="596"/>
        <v>0</v>
      </c>
      <c r="G2662" s="16">
        <f t="shared" si="597"/>
        <v>0</v>
      </c>
      <c r="H2662" s="16">
        <f t="shared" si="598"/>
        <v>0</v>
      </c>
      <c r="I2662" s="63">
        <f>IF(E2662=0,0,Fixture!D666)</f>
        <v>0</v>
      </c>
      <c r="J2662" s="63">
        <f>IF(E2662=0,0,Fixture!F666)</f>
        <v>0</v>
      </c>
      <c r="K2662" s="63">
        <f t="shared" si="599"/>
        <v>0</v>
      </c>
      <c r="L2662" s="63">
        <f t="shared" si="600"/>
        <v>0</v>
      </c>
      <c r="N2662" s="10" t="str">
        <f t="shared" si="602"/>
        <v>00</v>
      </c>
      <c r="O2662" s="10">
        <f t="shared" si="603"/>
        <v>0</v>
      </c>
      <c r="P2662" s="10">
        <f t="shared" si="604"/>
        <v>0</v>
      </c>
      <c r="Q2662" s="10">
        <f t="shared" si="605"/>
        <v>0</v>
      </c>
    </row>
    <row r="2663" spans="1:17">
      <c r="A2663" s="15">
        <f t="shared" si="601"/>
        <v>0</v>
      </c>
      <c r="B2663" s="15"/>
      <c r="C2663" s="14">
        <f>Fixture!C667</f>
        <v>0</v>
      </c>
      <c r="D2663" s="15">
        <f>IF(E2663=0,0,IF(Fixture!D667&lt;Fixture!F667,0,IF(Fixture!F667&lt;Fixture!D667,3,1)))</f>
        <v>0</v>
      </c>
      <c r="E2663" s="16">
        <f>IF(OR(ISBLANK(Fixture!D667),ISBLANK(Fixture!F667),ISTEXT(Fixture!D667),ISTEXT(Fixture!F667)),0,1)</f>
        <v>0</v>
      </c>
      <c r="F2663" s="16">
        <f t="shared" si="596"/>
        <v>0</v>
      </c>
      <c r="G2663" s="16">
        <f t="shared" si="597"/>
        <v>0</v>
      </c>
      <c r="H2663" s="16">
        <f t="shared" si="598"/>
        <v>0</v>
      </c>
      <c r="I2663" s="63">
        <f>IF(E2663=0,0,Fixture!D667)</f>
        <v>0</v>
      </c>
      <c r="J2663" s="63">
        <f>IF(E2663=0,0,Fixture!F667)</f>
        <v>0</v>
      </c>
      <c r="K2663" s="63">
        <f t="shared" si="599"/>
        <v>0</v>
      </c>
      <c r="L2663" s="63">
        <f t="shared" si="600"/>
        <v>0</v>
      </c>
      <c r="N2663" s="10" t="str">
        <f t="shared" si="602"/>
        <v>00</v>
      </c>
      <c r="O2663" s="10">
        <f t="shared" si="603"/>
        <v>0</v>
      </c>
      <c r="P2663" s="10">
        <f t="shared" si="604"/>
        <v>0</v>
      </c>
      <c r="Q2663" s="10">
        <f t="shared" si="605"/>
        <v>0</v>
      </c>
    </row>
    <row r="2664" spans="1:17">
      <c r="A2664" s="15">
        <f t="shared" si="601"/>
        <v>0</v>
      </c>
      <c r="B2664" s="15"/>
      <c r="C2664" s="14">
        <f>Fixture!C668</f>
        <v>0</v>
      </c>
      <c r="D2664" s="15">
        <f>IF(E2664=0,0,IF(Fixture!D668&lt;Fixture!F668,0,IF(Fixture!F668&lt;Fixture!D668,3,1)))</f>
        <v>0</v>
      </c>
      <c r="E2664" s="16">
        <f>IF(OR(ISBLANK(Fixture!D668),ISBLANK(Fixture!F668),ISTEXT(Fixture!D668),ISTEXT(Fixture!F668)),0,1)</f>
        <v>0</v>
      </c>
      <c r="F2664" s="16">
        <f t="shared" si="596"/>
        <v>0</v>
      </c>
      <c r="G2664" s="16">
        <f t="shared" si="597"/>
        <v>0</v>
      </c>
      <c r="H2664" s="16">
        <f t="shared" si="598"/>
        <v>0</v>
      </c>
      <c r="I2664" s="63">
        <f>IF(E2664=0,0,Fixture!D668)</f>
        <v>0</v>
      </c>
      <c r="J2664" s="63">
        <f>IF(E2664=0,0,Fixture!F668)</f>
        <v>0</v>
      </c>
      <c r="K2664" s="63">
        <f t="shared" si="599"/>
        <v>0</v>
      </c>
      <c r="L2664" s="63">
        <f t="shared" si="600"/>
        <v>0</v>
      </c>
      <c r="N2664" s="10" t="str">
        <f t="shared" si="602"/>
        <v>00</v>
      </c>
      <c r="O2664" s="10">
        <f t="shared" si="603"/>
        <v>0</v>
      </c>
      <c r="P2664" s="10">
        <f t="shared" si="604"/>
        <v>0</v>
      </c>
      <c r="Q2664" s="10">
        <f t="shared" si="605"/>
        <v>0</v>
      </c>
    </row>
    <row r="2665" spans="1:17">
      <c r="A2665" s="15">
        <f t="shared" si="601"/>
        <v>0</v>
      </c>
      <c r="B2665" s="15"/>
      <c r="C2665" s="14">
        <f>Fixture!C669</f>
        <v>0</v>
      </c>
      <c r="D2665" s="15">
        <f>IF(E2665=0,0,IF(Fixture!D669&lt;Fixture!F669,0,IF(Fixture!F669&lt;Fixture!D669,3,1)))</f>
        <v>0</v>
      </c>
      <c r="E2665" s="16">
        <f>IF(OR(ISBLANK(Fixture!D669),ISBLANK(Fixture!F669),ISTEXT(Fixture!D669),ISTEXT(Fixture!F669)),0,1)</f>
        <v>0</v>
      </c>
      <c r="F2665" s="16">
        <f t="shared" si="596"/>
        <v>0</v>
      </c>
      <c r="G2665" s="16">
        <f t="shared" si="597"/>
        <v>0</v>
      </c>
      <c r="H2665" s="16">
        <f t="shared" si="598"/>
        <v>0</v>
      </c>
      <c r="I2665" s="63">
        <f>IF(E2665=0,0,Fixture!D669)</f>
        <v>0</v>
      </c>
      <c r="J2665" s="63">
        <f>IF(E2665=0,0,Fixture!F669)</f>
        <v>0</v>
      </c>
      <c r="K2665" s="63">
        <f t="shared" si="599"/>
        <v>0</v>
      </c>
      <c r="L2665" s="63">
        <f t="shared" si="600"/>
        <v>0</v>
      </c>
      <c r="N2665" s="10" t="str">
        <f t="shared" si="602"/>
        <v>00</v>
      </c>
      <c r="O2665" s="10">
        <f t="shared" si="603"/>
        <v>0</v>
      </c>
      <c r="P2665" s="10">
        <f t="shared" si="604"/>
        <v>0</v>
      </c>
      <c r="Q2665" s="10">
        <f t="shared" si="605"/>
        <v>0</v>
      </c>
    </row>
    <row r="2666" spans="1:17">
      <c r="A2666" s="15">
        <f t="shared" si="601"/>
        <v>0</v>
      </c>
      <c r="B2666" s="15"/>
      <c r="C2666" s="14">
        <f>Fixture!C670</f>
        <v>0</v>
      </c>
      <c r="D2666" s="15">
        <f>IF(E2666=0,0,IF(Fixture!D670&lt;Fixture!F670,0,IF(Fixture!F670&lt;Fixture!D670,3,1)))</f>
        <v>0</v>
      </c>
      <c r="E2666" s="16">
        <f>IF(OR(ISBLANK(Fixture!D670),ISBLANK(Fixture!F670),ISTEXT(Fixture!D670),ISTEXT(Fixture!F670)),0,1)</f>
        <v>0</v>
      </c>
      <c r="F2666" s="16">
        <f t="shared" si="596"/>
        <v>0</v>
      </c>
      <c r="G2666" s="16">
        <f t="shared" si="597"/>
        <v>0</v>
      </c>
      <c r="H2666" s="16">
        <f t="shared" si="598"/>
        <v>0</v>
      </c>
      <c r="I2666" s="63">
        <f>IF(E2666=0,0,Fixture!D670)</f>
        <v>0</v>
      </c>
      <c r="J2666" s="63">
        <f>IF(E2666=0,0,Fixture!F670)</f>
        <v>0</v>
      </c>
      <c r="K2666" s="63">
        <f t="shared" si="599"/>
        <v>0</v>
      </c>
      <c r="L2666" s="63">
        <f t="shared" si="600"/>
        <v>0</v>
      </c>
      <c r="N2666" s="10" t="str">
        <f t="shared" si="602"/>
        <v>00</v>
      </c>
      <c r="O2666" s="10">
        <f t="shared" si="603"/>
        <v>0</v>
      </c>
      <c r="P2666" s="10">
        <f t="shared" si="604"/>
        <v>0</v>
      </c>
      <c r="Q2666" s="10">
        <f t="shared" si="605"/>
        <v>0</v>
      </c>
    </row>
    <row r="2667" spans="1:17">
      <c r="A2667" s="15">
        <f t="shared" si="601"/>
        <v>0</v>
      </c>
      <c r="B2667" s="15"/>
      <c r="C2667" s="14">
        <f>Fixture!C671</f>
        <v>0</v>
      </c>
      <c r="D2667" s="15">
        <f>IF(E2667=0,0,IF(Fixture!D671&lt;Fixture!F671,0,IF(Fixture!F671&lt;Fixture!D671,3,1)))</f>
        <v>0</v>
      </c>
      <c r="E2667" s="16">
        <f>IF(OR(ISBLANK(Fixture!D671),ISBLANK(Fixture!F671),ISTEXT(Fixture!D671),ISTEXT(Fixture!F671)),0,1)</f>
        <v>0</v>
      </c>
      <c r="F2667" s="16">
        <f t="shared" si="596"/>
        <v>0</v>
      </c>
      <c r="G2667" s="16">
        <f t="shared" si="597"/>
        <v>0</v>
      </c>
      <c r="H2667" s="16">
        <f t="shared" si="598"/>
        <v>0</v>
      </c>
      <c r="I2667" s="63">
        <f>IF(E2667=0,0,Fixture!D671)</f>
        <v>0</v>
      </c>
      <c r="J2667" s="63">
        <f>IF(E2667=0,0,Fixture!F671)</f>
        <v>0</v>
      </c>
      <c r="K2667" s="63">
        <f t="shared" si="599"/>
        <v>0</v>
      </c>
      <c r="L2667" s="63">
        <f t="shared" si="600"/>
        <v>0</v>
      </c>
      <c r="N2667" s="10" t="str">
        <f t="shared" si="602"/>
        <v>00</v>
      </c>
      <c r="O2667" s="10">
        <f t="shared" si="603"/>
        <v>0</v>
      </c>
      <c r="P2667" s="10">
        <f t="shared" si="604"/>
        <v>0</v>
      </c>
      <c r="Q2667" s="10">
        <f t="shared" si="605"/>
        <v>0</v>
      </c>
    </row>
    <row r="2668" spans="1:17">
      <c r="A2668" s="15">
        <f t="shared" si="601"/>
        <v>0</v>
      </c>
      <c r="B2668" s="15"/>
      <c r="C2668" s="14">
        <f>Fixture!C672</f>
        <v>0</v>
      </c>
      <c r="D2668" s="15">
        <f>IF(E2668=0,0,IF(Fixture!D672&lt;Fixture!F672,0,IF(Fixture!F672&lt;Fixture!D672,3,1)))</f>
        <v>0</v>
      </c>
      <c r="E2668" s="16">
        <f>IF(OR(ISBLANK(Fixture!D672),ISBLANK(Fixture!F672),ISTEXT(Fixture!D672),ISTEXT(Fixture!F672)),0,1)</f>
        <v>0</v>
      </c>
      <c r="F2668" s="16">
        <f t="shared" si="596"/>
        <v>0</v>
      </c>
      <c r="G2668" s="16">
        <f t="shared" si="597"/>
        <v>0</v>
      </c>
      <c r="H2668" s="16">
        <f t="shared" si="598"/>
        <v>0</v>
      </c>
      <c r="I2668" s="63">
        <f>IF(E2668=0,0,Fixture!D672)</f>
        <v>0</v>
      </c>
      <c r="J2668" s="63">
        <f>IF(E2668=0,0,Fixture!F672)</f>
        <v>0</v>
      </c>
      <c r="K2668" s="63">
        <f t="shared" si="599"/>
        <v>0</v>
      </c>
      <c r="L2668" s="63">
        <f t="shared" si="600"/>
        <v>0</v>
      </c>
      <c r="N2668" s="10" t="str">
        <f t="shared" si="602"/>
        <v>00</v>
      </c>
      <c r="O2668" s="10">
        <f t="shared" si="603"/>
        <v>0</v>
      </c>
      <c r="P2668" s="10">
        <f t="shared" si="604"/>
        <v>0</v>
      </c>
      <c r="Q2668" s="10">
        <f t="shared" si="605"/>
        <v>0</v>
      </c>
    </row>
    <row r="2669" spans="1:17">
      <c r="A2669" s="15">
        <f t="shared" si="601"/>
        <v>0</v>
      </c>
      <c r="B2669" s="15"/>
      <c r="C2669" s="14">
        <f>Fixture!C673</f>
        <v>0</v>
      </c>
      <c r="D2669" s="15">
        <f>IF(E2669=0,0,IF(Fixture!D673&lt;Fixture!F673,0,IF(Fixture!F673&lt;Fixture!D673,3,1)))</f>
        <v>0</v>
      </c>
      <c r="E2669" s="16">
        <f>IF(OR(ISBLANK(Fixture!D673),ISBLANK(Fixture!F673),ISTEXT(Fixture!D673),ISTEXT(Fixture!F673)),0,1)</f>
        <v>0</v>
      </c>
      <c r="F2669" s="16">
        <f t="shared" si="596"/>
        <v>0</v>
      </c>
      <c r="G2669" s="16">
        <f t="shared" si="597"/>
        <v>0</v>
      </c>
      <c r="H2669" s="16">
        <f t="shared" si="598"/>
        <v>0</v>
      </c>
      <c r="I2669" s="63">
        <f>IF(E2669=0,0,Fixture!D673)</f>
        <v>0</v>
      </c>
      <c r="J2669" s="63">
        <f>IF(E2669=0,0,Fixture!F673)</f>
        <v>0</v>
      </c>
      <c r="K2669" s="63">
        <f t="shared" si="599"/>
        <v>0</v>
      </c>
      <c r="L2669" s="63">
        <f t="shared" si="600"/>
        <v>0</v>
      </c>
      <c r="N2669" s="10" t="str">
        <f t="shared" si="602"/>
        <v>00</v>
      </c>
      <c r="O2669" s="10">
        <f t="shared" si="603"/>
        <v>0</v>
      </c>
      <c r="P2669" s="10">
        <f t="shared" si="604"/>
        <v>0</v>
      </c>
      <c r="Q2669" s="10">
        <f t="shared" si="605"/>
        <v>0</v>
      </c>
    </row>
    <row r="2670" spans="1:17">
      <c r="A2670" s="15">
        <f t="shared" si="601"/>
        <v>0</v>
      </c>
      <c r="B2670" s="15"/>
      <c r="C2670" s="14">
        <f>Fixture!C674</f>
        <v>0</v>
      </c>
      <c r="D2670" s="15">
        <f>IF(E2670=0,0,IF(Fixture!D674&lt;Fixture!F674,0,IF(Fixture!F674&lt;Fixture!D674,3,1)))</f>
        <v>0</v>
      </c>
      <c r="E2670" s="16">
        <f>IF(OR(ISBLANK(Fixture!D674),ISBLANK(Fixture!F674),ISTEXT(Fixture!D674),ISTEXT(Fixture!F674)),0,1)</f>
        <v>0</v>
      </c>
      <c r="F2670" s="16">
        <f t="shared" si="596"/>
        <v>0</v>
      </c>
      <c r="G2670" s="16">
        <f t="shared" si="597"/>
        <v>0</v>
      </c>
      <c r="H2670" s="16">
        <f t="shared" si="598"/>
        <v>0</v>
      </c>
      <c r="I2670" s="63">
        <f>IF(E2670=0,0,Fixture!D674)</f>
        <v>0</v>
      </c>
      <c r="J2670" s="63">
        <f>IF(E2670=0,0,Fixture!F674)</f>
        <v>0</v>
      </c>
      <c r="K2670" s="63">
        <f t="shared" si="599"/>
        <v>0</v>
      </c>
      <c r="L2670" s="63">
        <f t="shared" si="600"/>
        <v>0</v>
      </c>
      <c r="N2670" s="10" t="str">
        <f t="shared" si="602"/>
        <v>00</v>
      </c>
      <c r="O2670" s="10">
        <f t="shared" si="603"/>
        <v>0</v>
      </c>
      <c r="P2670" s="10">
        <f t="shared" si="604"/>
        <v>0</v>
      </c>
      <c r="Q2670" s="10">
        <f t="shared" si="605"/>
        <v>0</v>
      </c>
    </row>
    <row r="2671" spans="1:17">
      <c r="A2671" s="15">
        <f t="shared" si="601"/>
        <v>0</v>
      </c>
      <c r="B2671" s="15"/>
      <c r="C2671" s="14">
        <f>Fixture!C675</f>
        <v>0</v>
      </c>
      <c r="D2671" s="15">
        <f>IF(E2671=0,0,IF(Fixture!D675&lt;Fixture!F675,0,IF(Fixture!F675&lt;Fixture!D675,3,1)))</f>
        <v>0</v>
      </c>
      <c r="E2671" s="16">
        <f>IF(OR(ISBLANK(Fixture!D675),ISBLANK(Fixture!F675),ISTEXT(Fixture!D675),ISTEXT(Fixture!F675)),0,1)</f>
        <v>0</v>
      </c>
      <c r="F2671" s="16">
        <f t="shared" si="596"/>
        <v>0</v>
      </c>
      <c r="G2671" s="16">
        <f t="shared" si="597"/>
        <v>0</v>
      </c>
      <c r="H2671" s="16">
        <f t="shared" si="598"/>
        <v>0</v>
      </c>
      <c r="I2671" s="63">
        <f>IF(E2671=0,0,Fixture!D675)</f>
        <v>0</v>
      </c>
      <c r="J2671" s="63">
        <f>IF(E2671=0,0,Fixture!F675)</f>
        <v>0</v>
      </c>
      <c r="K2671" s="63">
        <f t="shared" si="599"/>
        <v>0</v>
      </c>
      <c r="L2671" s="63">
        <f t="shared" si="600"/>
        <v>0</v>
      </c>
      <c r="N2671" s="10" t="str">
        <f t="shared" si="602"/>
        <v>00</v>
      </c>
      <c r="O2671" s="10">
        <f t="shared" si="603"/>
        <v>0</v>
      </c>
      <c r="P2671" s="10">
        <f t="shared" si="604"/>
        <v>0</v>
      </c>
      <c r="Q2671" s="10">
        <f t="shared" si="605"/>
        <v>0</v>
      </c>
    </row>
    <row r="2672" spans="1:17">
      <c r="A2672" s="15">
        <f t="shared" si="601"/>
        <v>0</v>
      </c>
      <c r="B2672" s="15"/>
      <c r="C2672" s="14">
        <f>Fixture!C676</f>
        <v>0</v>
      </c>
      <c r="D2672" s="15">
        <f>IF(E2672=0,0,IF(Fixture!D676&lt;Fixture!F676,0,IF(Fixture!F676&lt;Fixture!D676,3,1)))</f>
        <v>0</v>
      </c>
      <c r="E2672" s="16">
        <f>IF(OR(ISBLANK(Fixture!D676),ISBLANK(Fixture!F676),ISTEXT(Fixture!D676),ISTEXT(Fixture!F676)),0,1)</f>
        <v>0</v>
      </c>
      <c r="F2672" s="16">
        <f t="shared" si="596"/>
        <v>0</v>
      </c>
      <c r="G2672" s="16">
        <f t="shared" si="597"/>
        <v>0</v>
      </c>
      <c r="H2672" s="16">
        <f t="shared" si="598"/>
        <v>0</v>
      </c>
      <c r="I2672" s="63">
        <f>IF(E2672=0,0,Fixture!D676)</f>
        <v>0</v>
      </c>
      <c r="J2672" s="63">
        <f>IF(E2672=0,0,Fixture!F676)</f>
        <v>0</v>
      </c>
      <c r="K2672" s="63">
        <f t="shared" si="599"/>
        <v>0</v>
      </c>
      <c r="L2672" s="63">
        <f t="shared" si="600"/>
        <v>0</v>
      </c>
      <c r="N2672" s="10" t="str">
        <f t="shared" si="602"/>
        <v>00</v>
      </c>
      <c r="O2672" s="10">
        <f t="shared" si="603"/>
        <v>0</v>
      </c>
      <c r="P2672" s="10">
        <f t="shared" si="604"/>
        <v>0</v>
      </c>
      <c r="Q2672" s="10">
        <f t="shared" si="605"/>
        <v>0</v>
      </c>
    </row>
    <row r="2673" spans="1:17">
      <c r="A2673" s="15">
        <f t="shared" si="601"/>
        <v>0</v>
      </c>
      <c r="B2673" s="15"/>
      <c r="C2673" s="14">
        <f>Fixture!C677</f>
        <v>0</v>
      </c>
      <c r="D2673" s="15">
        <f>IF(E2673=0,0,IF(Fixture!D677&lt;Fixture!F677,0,IF(Fixture!F677&lt;Fixture!D677,3,1)))</f>
        <v>0</v>
      </c>
      <c r="E2673" s="16">
        <f>IF(OR(ISBLANK(Fixture!D677),ISBLANK(Fixture!F677),ISTEXT(Fixture!D677),ISTEXT(Fixture!F677)),0,1)</f>
        <v>0</v>
      </c>
      <c r="F2673" s="16">
        <f t="shared" si="596"/>
        <v>0</v>
      </c>
      <c r="G2673" s="16">
        <f t="shared" si="597"/>
        <v>0</v>
      </c>
      <c r="H2673" s="16">
        <f t="shared" si="598"/>
        <v>0</v>
      </c>
      <c r="I2673" s="63">
        <f>IF(E2673=0,0,Fixture!D677)</f>
        <v>0</v>
      </c>
      <c r="J2673" s="63">
        <f>IF(E2673=0,0,Fixture!F677)</f>
        <v>0</v>
      </c>
      <c r="K2673" s="63">
        <f t="shared" si="599"/>
        <v>0</v>
      </c>
      <c r="L2673" s="63">
        <f t="shared" si="600"/>
        <v>0</v>
      </c>
      <c r="N2673" s="10" t="str">
        <f t="shared" si="602"/>
        <v>00</v>
      </c>
      <c r="O2673" s="10">
        <f t="shared" si="603"/>
        <v>0</v>
      </c>
      <c r="P2673" s="10">
        <f t="shared" si="604"/>
        <v>0</v>
      </c>
      <c r="Q2673" s="10">
        <f t="shared" si="605"/>
        <v>0</v>
      </c>
    </row>
    <row r="2674" spans="1:17">
      <c r="A2674" s="15">
        <f t="shared" si="601"/>
        <v>0</v>
      </c>
      <c r="B2674" s="15"/>
      <c r="C2674" s="14">
        <f>Fixture!C678</f>
        <v>0</v>
      </c>
      <c r="D2674" s="15">
        <f>IF(E2674=0,0,IF(Fixture!D678&lt;Fixture!F678,0,IF(Fixture!F678&lt;Fixture!D678,3,1)))</f>
        <v>0</v>
      </c>
      <c r="E2674" s="16">
        <f>IF(OR(ISBLANK(Fixture!D678),ISBLANK(Fixture!F678),ISTEXT(Fixture!D678),ISTEXT(Fixture!F678)),0,1)</f>
        <v>0</v>
      </c>
      <c r="F2674" s="16">
        <f t="shared" si="596"/>
        <v>0</v>
      </c>
      <c r="G2674" s="16">
        <f t="shared" si="597"/>
        <v>0</v>
      </c>
      <c r="H2674" s="16">
        <f t="shared" si="598"/>
        <v>0</v>
      </c>
      <c r="I2674" s="63">
        <f>IF(E2674=0,0,Fixture!D678)</f>
        <v>0</v>
      </c>
      <c r="J2674" s="63">
        <f>IF(E2674=0,0,Fixture!F678)</f>
        <v>0</v>
      </c>
      <c r="K2674" s="63">
        <f t="shared" si="599"/>
        <v>0</v>
      </c>
      <c r="L2674" s="63">
        <f t="shared" si="600"/>
        <v>0</v>
      </c>
      <c r="N2674" s="10" t="str">
        <f t="shared" si="602"/>
        <v>00</v>
      </c>
      <c r="O2674" s="10">
        <f t="shared" si="603"/>
        <v>0</v>
      </c>
      <c r="P2674" s="10">
        <f t="shared" si="604"/>
        <v>0</v>
      </c>
      <c r="Q2674" s="10">
        <f t="shared" si="605"/>
        <v>0</v>
      </c>
    </row>
    <row r="2675" spans="1:17">
      <c r="A2675" s="15">
        <f t="shared" si="601"/>
        <v>0</v>
      </c>
      <c r="B2675" s="15"/>
      <c r="C2675" s="14">
        <f>Fixture!C679</f>
        <v>0</v>
      </c>
      <c r="D2675" s="15">
        <f>IF(E2675=0,0,IF(Fixture!D679&lt;Fixture!F679,0,IF(Fixture!F679&lt;Fixture!D679,3,1)))</f>
        <v>0</v>
      </c>
      <c r="E2675" s="16">
        <f>IF(OR(ISBLANK(Fixture!D679),ISBLANK(Fixture!F679),ISTEXT(Fixture!D679),ISTEXT(Fixture!F679)),0,1)</f>
        <v>0</v>
      </c>
      <c r="F2675" s="16">
        <f t="shared" si="596"/>
        <v>0</v>
      </c>
      <c r="G2675" s="16">
        <f t="shared" si="597"/>
        <v>0</v>
      </c>
      <c r="H2675" s="16">
        <f t="shared" si="598"/>
        <v>0</v>
      </c>
      <c r="I2675" s="63">
        <f>IF(E2675=0,0,Fixture!D679)</f>
        <v>0</v>
      </c>
      <c r="J2675" s="63">
        <f>IF(E2675=0,0,Fixture!F679)</f>
        <v>0</v>
      </c>
      <c r="K2675" s="63">
        <f t="shared" si="599"/>
        <v>0</v>
      </c>
      <c r="L2675" s="63">
        <f t="shared" si="600"/>
        <v>0</v>
      </c>
      <c r="N2675" s="10" t="str">
        <f t="shared" si="602"/>
        <v>00</v>
      </c>
      <c r="O2675" s="10">
        <f t="shared" si="603"/>
        <v>0</v>
      </c>
      <c r="P2675" s="10">
        <f t="shared" si="604"/>
        <v>0</v>
      </c>
      <c r="Q2675" s="10">
        <f t="shared" si="605"/>
        <v>0</v>
      </c>
    </row>
    <row r="2676" spans="1:17">
      <c r="A2676" s="15">
        <f t="shared" si="601"/>
        <v>0</v>
      </c>
      <c r="B2676" s="15"/>
      <c r="C2676" s="14">
        <f>Fixture!C680</f>
        <v>0</v>
      </c>
      <c r="D2676" s="15">
        <f>IF(E2676=0,0,IF(Fixture!D680&lt;Fixture!F680,0,IF(Fixture!F680&lt;Fixture!D680,3,1)))</f>
        <v>0</v>
      </c>
      <c r="E2676" s="16">
        <f>IF(OR(ISBLANK(Fixture!D680),ISBLANK(Fixture!F680),ISTEXT(Fixture!D680),ISTEXT(Fixture!F680)),0,1)</f>
        <v>0</v>
      </c>
      <c r="F2676" s="16">
        <f t="shared" si="596"/>
        <v>0</v>
      </c>
      <c r="G2676" s="16">
        <f t="shared" si="597"/>
        <v>0</v>
      </c>
      <c r="H2676" s="16">
        <f t="shared" si="598"/>
        <v>0</v>
      </c>
      <c r="I2676" s="63">
        <f>IF(E2676=0,0,Fixture!D680)</f>
        <v>0</v>
      </c>
      <c r="J2676" s="63">
        <f>IF(E2676=0,0,Fixture!F680)</f>
        <v>0</v>
      </c>
      <c r="K2676" s="63">
        <f t="shared" si="599"/>
        <v>0</v>
      </c>
      <c r="L2676" s="63">
        <f t="shared" si="600"/>
        <v>0</v>
      </c>
      <c r="N2676" s="10" t="str">
        <f t="shared" si="602"/>
        <v>00</v>
      </c>
      <c r="O2676" s="10">
        <f t="shared" si="603"/>
        <v>0</v>
      </c>
      <c r="P2676" s="10">
        <f t="shared" si="604"/>
        <v>0</v>
      </c>
      <c r="Q2676" s="10">
        <f t="shared" si="605"/>
        <v>0</v>
      </c>
    </row>
    <row r="2677" spans="1:17">
      <c r="A2677" s="15">
        <f t="shared" si="601"/>
        <v>0</v>
      </c>
      <c r="B2677" s="15"/>
      <c r="C2677" s="14">
        <f>Fixture!C681</f>
        <v>0</v>
      </c>
      <c r="D2677" s="15">
        <f>IF(E2677=0,0,IF(Fixture!D681&lt;Fixture!F681,0,IF(Fixture!F681&lt;Fixture!D681,3,1)))</f>
        <v>0</v>
      </c>
      <c r="E2677" s="16">
        <f>IF(OR(ISBLANK(Fixture!D681),ISBLANK(Fixture!F681),ISTEXT(Fixture!D681),ISTEXT(Fixture!F681)),0,1)</f>
        <v>0</v>
      </c>
      <c r="F2677" s="16">
        <f t="shared" si="596"/>
        <v>0</v>
      </c>
      <c r="G2677" s="16">
        <f t="shared" si="597"/>
        <v>0</v>
      </c>
      <c r="H2677" s="16">
        <f t="shared" si="598"/>
        <v>0</v>
      </c>
      <c r="I2677" s="63">
        <f>IF(E2677=0,0,Fixture!D681)</f>
        <v>0</v>
      </c>
      <c r="J2677" s="63">
        <f>IF(E2677=0,0,Fixture!F681)</f>
        <v>0</v>
      </c>
      <c r="K2677" s="63">
        <f t="shared" si="599"/>
        <v>0</v>
      </c>
      <c r="L2677" s="63">
        <f t="shared" si="600"/>
        <v>0</v>
      </c>
      <c r="N2677" s="10" t="str">
        <f t="shared" si="602"/>
        <v>00</v>
      </c>
      <c r="O2677" s="10">
        <f t="shared" si="603"/>
        <v>0</v>
      </c>
      <c r="P2677" s="10">
        <f t="shared" si="604"/>
        <v>0</v>
      </c>
      <c r="Q2677" s="10">
        <f t="shared" si="605"/>
        <v>0</v>
      </c>
    </row>
    <row r="2678" spans="1:17">
      <c r="A2678" s="15">
        <f t="shared" si="601"/>
        <v>0</v>
      </c>
      <c r="B2678" s="15"/>
      <c r="C2678" s="14">
        <f>Fixture!C682</f>
        <v>0</v>
      </c>
      <c r="D2678" s="15">
        <f>IF(E2678=0,0,IF(Fixture!D682&lt;Fixture!F682,0,IF(Fixture!F682&lt;Fixture!D682,3,1)))</f>
        <v>0</v>
      </c>
      <c r="E2678" s="16">
        <f>IF(OR(ISBLANK(Fixture!D682),ISBLANK(Fixture!F682),ISTEXT(Fixture!D682),ISTEXT(Fixture!F682)),0,1)</f>
        <v>0</v>
      </c>
      <c r="F2678" s="16">
        <f t="shared" si="596"/>
        <v>0</v>
      </c>
      <c r="G2678" s="16">
        <f t="shared" si="597"/>
        <v>0</v>
      </c>
      <c r="H2678" s="16">
        <f t="shared" si="598"/>
        <v>0</v>
      </c>
      <c r="I2678" s="63">
        <f>IF(E2678=0,0,Fixture!D682)</f>
        <v>0</v>
      </c>
      <c r="J2678" s="63">
        <f>IF(E2678=0,0,Fixture!F682)</f>
        <v>0</v>
      </c>
      <c r="K2678" s="63">
        <f t="shared" si="599"/>
        <v>0</v>
      </c>
      <c r="L2678" s="63">
        <f t="shared" si="600"/>
        <v>0</v>
      </c>
      <c r="N2678" s="10" t="str">
        <f t="shared" si="602"/>
        <v>00</v>
      </c>
      <c r="O2678" s="10">
        <f t="shared" si="603"/>
        <v>0</v>
      </c>
      <c r="P2678" s="10">
        <f t="shared" si="604"/>
        <v>0</v>
      </c>
      <c r="Q2678" s="10">
        <f t="shared" si="605"/>
        <v>0</v>
      </c>
    </row>
    <row r="2679" spans="1:17">
      <c r="A2679" s="15">
        <f t="shared" si="601"/>
        <v>0</v>
      </c>
      <c r="B2679" s="15"/>
      <c r="C2679" s="14">
        <f>Fixture!C683</f>
        <v>0</v>
      </c>
      <c r="D2679" s="15">
        <f>IF(E2679=0,0,IF(Fixture!D683&lt;Fixture!F683,0,IF(Fixture!F683&lt;Fixture!D683,3,1)))</f>
        <v>0</v>
      </c>
      <c r="E2679" s="16">
        <f>IF(OR(ISBLANK(Fixture!D683),ISBLANK(Fixture!F683),ISTEXT(Fixture!D683),ISTEXT(Fixture!F683)),0,1)</f>
        <v>0</v>
      </c>
      <c r="F2679" s="16">
        <f t="shared" si="596"/>
        <v>0</v>
      </c>
      <c r="G2679" s="16">
        <f t="shared" si="597"/>
        <v>0</v>
      </c>
      <c r="H2679" s="16">
        <f t="shared" si="598"/>
        <v>0</v>
      </c>
      <c r="I2679" s="63">
        <f>IF(E2679=0,0,Fixture!D683)</f>
        <v>0</v>
      </c>
      <c r="J2679" s="63">
        <f>IF(E2679=0,0,Fixture!F683)</f>
        <v>0</v>
      </c>
      <c r="K2679" s="63">
        <f t="shared" si="599"/>
        <v>0</v>
      </c>
      <c r="L2679" s="63">
        <f t="shared" si="600"/>
        <v>0</v>
      </c>
      <c r="N2679" s="10" t="str">
        <f t="shared" si="602"/>
        <v>00</v>
      </c>
      <c r="O2679" s="10">
        <f t="shared" si="603"/>
        <v>0</v>
      </c>
      <c r="P2679" s="10">
        <f t="shared" si="604"/>
        <v>0</v>
      </c>
      <c r="Q2679" s="10">
        <f t="shared" si="605"/>
        <v>0</v>
      </c>
    </row>
    <row r="2680" spans="1:17">
      <c r="A2680" s="15">
        <f t="shared" si="601"/>
        <v>0</v>
      </c>
      <c r="B2680" s="15"/>
      <c r="C2680" s="14">
        <f>Fixture!C684</f>
        <v>0</v>
      </c>
      <c r="D2680" s="15">
        <f>IF(E2680=0,0,IF(Fixture!D684&lt;Fixture!F684,0,IF(Fixture!F684&lt;Fixture!D684,3,1)))</f>
        <v>0</v>
      </c>
      <c r="E2680" s="16">
        <f>IF(OR(ISBLANK(Fixture!D684),ISBLANK(Fixture!F684),ISTEXT(Fixture!D684),ISTEXT(Fixture!F684)),0,1)</f>
        <v>0</v>
      </c>
      <c r="F2680" s="16">
        <f t="shared" si="596"/>
        <v>0</v>
      </c>
      <c r="G2680" s="16">
        <f t="shared" si="597"/>
        <v>0</v>
      </c>
      <c r="H2680" s="16">
        <f t="shared" si="598"/>
        <v>0</v>
      </c>
      <c r="I2680" s="63">
        <f>IF(E2680=0,0,Fixture!D684)</f>
        <v>0</v>
      </c>
      <c r="J2680" s="63">
        <f>IF(E2680=0,0,Fixture!F684)</f>
        <v>0</v>
      </c>
      <c r="K2680" s="63">
        <f t="shared" si="599"/>
        <v>0</v>
      </c>
      <c r="L2680" s="63">
        <f t="shared" si="600"/>
        <v>0</v>
      </c>
      <c r="N2680" s="10" t="str">
        <f t="shared" si="602"/>
        <v>00</v>
      </c>
      <c r="O2680" s="10">
        <f t="shared" si="603"/>
        <v>0</v>
      </c>
      <c r="P2680" s="10">
        <f t="shared" si="604"/>
        <v>0</v>
      </c>
      <c r="Q2680" s="10">
        <f t="shared" si="605"/>
        <v>0</v>
      </c>
    </row>
    <row r="2681" spans="1:17">
      <c r="A2681" s="15">
        <f t="shared" si="601"/>
        <v>0</v>
      </c>
      <c r="B2681" s="15"/>
      <c r="C2681" s="14">
        <f>Fixture!C685</f>
        <v>0</v>
      </c>
      <c r="D2681" s="15">
        <f>IF(E2681=0,0,IF(Fixture!D685&lt;Fixture!F685,0,IF(Fixture!F685&lt;Fixture!D685,3,1)))</f>
        <v>0</v>
      </c>
      <c r="E2681" s="16">
        <f>IF(OR(ISBLANK(Fixture!D685),ISBLANK(Fixture!F685),ISTEXT(Fixture!D685),ISTEXT(Fixture!F685)),0,1)</f>
        <v>0</v>
      </c>
      <c r="F2681" s="16">
        <f t="shared" si="596"/>
        <v>0</v>
      </c>
      <c r="G2681" s="16">
        <f t="shared" si="597"/>
        <v>0</v>
      </c>
      <c r="H2681" s="16">
        <f t="shared" si="598"/>
        <v>0</v>
      </c>
      <c r="I2681" s="63">
        <f>IF(E2681=0,0,Fixture!D685)</f>
        <v>0</v>
      </c>
      <c r="J2681" s="63">
        <f>IF(E2681=0,0,Fixture!F685)</f>
        <v>0</v>
      </c>
      <c r="K2681" s="63">
        <f t="shared" si="599"/>
        <v>0</v>
      </c>
      <c r="L2681" s="63">
        <f t="shared" si="600"/>
        <v>0</v>
      </c>
      <c r="N2681" s="10" t="str">
        <f t="shared" si="602"/>
        <v>00</v>
      </c>
      <c r="O2681" s="10">
        <f t="shared" si="603"/>
        <v>0</v>
      </c>
      <c r="P2681" s="10">
        <f t="shared" si="604"/>
        <v>0</v>
      </c>
      <c r="Q2681" s="10">
        <f t="shared" si="605"/>
        <v>0</v>
      </c>
    </row>
    <row r="2682" spans="1:17">
      <c r="A2682" s="15">
        <f t="shared" si="601"/>
        <v>0</v>
      </c>
      <c r="B2682" s="15"/>
      <c r="C2682" s="14">
        <f>Fixture!C686</f>
        <v>0</v>
      </c>
      <c r="D2682" s="15">
        <f>IF(E2682=0,0,IF(Fixture!D686&lt;Fixture!F686,0,IF(Fixture!F686&lt;Fixture!D686,3,1)))</f>
        <v>0</v>
      </c>
      <c r="E2682" s="16">
        <f>IF(OR(ISBLANK(Fixture!D686),ISBLANK(Fixture!F686),ISTEXT(Fixture!D686),ISTEXT(Fixture!F686)),0,1)</f>
        <v>0</v>
      </c>
      <c r="F2682" s="16">
        <f t="shared" si="596"/>
        <v>0</v>
      </c>
      <c r="G2682" s="16">
        <f t="shared" si="597"/>
        <v>0</v>
      </c>
      <c r="H2682" s="16">
        <f t="shared" si="598"/>
        <v>0</v>
      </c>
      <c r="I2682" s="63">
        <f>IF(E2682=0,0,Fixture!D686)</f>
        <v>0</v>
      </c>
      <c r="J2682" s="63">
        <f>IF(E2682=0,0,Fixture!F686)</f>
        <v>0</v>
      </c>
      <c r="K2682" s="63">
        <f t="shared" si="599"/>
        <v>0</v>
      </c>
      <c r="L2682" s="63">
        <f t="shared" si="600"/>
        <v>0</v>
      </c>
      <c r="N2682" s="10" t="str">
        <f t="shared" si="602"/>
        <v>00</v>
      </c>
      <c r="O2682" s="10">
        <f t="shared" si="603"/>
        <v>0</v>
      </c>
      <c r="P2682" s="10">
        <f t="shared" si="604"/>
        <v>0</v>
      </c>
      <c r="Q2682" s="10">
        <f t="shared" si="605"/>
        <v>0</v>
      </c>
    </row>
    <row r="2683" spans="1:17">
      <c r="A2683" s="15">
        <f t="shared" si="601"/>
        <v>0</v>
      </c>
      <c r="B2683" s="15"/>
      <c r="C2683" s="14">
        <f>Fixture!C687</f>
        <v>0</v>
      </c>
      <c r="D2683" s="15">
        <f>IF(E2683=0,0,IF(Fixture!D687&lt;Fixture!F687,0,IF(Fixture!F687&lt;Fixture!D687,3,1)))</f>
        <v>0</v>
      </c>
      <c r="E2683" s="16">
        <f>IF(OR(ISBLANK(Fixture!D687),ISBLANK(Fixture!F687),ISTEXT(Fixture!D687),ISTEXT(Fixture!F687)),0,1)</f>
        <v>0</v>
      </c>
      <c r="F2683" s="16">
        <f t="shared" si="596"/>
        <v>0</v>
      </c>
      <c r="G2683" s="16">
        <f t="shared" si="597"/>
        <v>0</v>
      </c>
      <c r="H2683" s="16">
        <f t="shared" si="598"/>
        <v>0</v>
      </c>
      <c r="I2683" s="63">
        <f>IF(E2683=0,0,Fixture!D687)</f>
        <v>0</v>
      </c>
      <c r="J2683" s="63">
        <f>IF(E2683=0,0,Fixture!F687)</f>
        <v>0</v>
      </c>
      <c r="K2683" s="63">
        <f t="shared" si="599"/>
        <v>0</v>
      </c>
      <c r="L2683" s="63">
        <f t="shared" si="600"/>
        <v>0</v>
      </c>
      <c r="N2683" s="10" t="str">
        <f t="shared" si="602"/>
        <v>00</v>
      </c>
      <c r="O2683" s="10">
        <f t="shared" si="603"/>
        <v>0</v>
      </c>
      <c r="P2683" s="10">
        <f t="shared" si="604"/>
        <v>0</v>
      </c>
      <c r="Q2683" s="10">
        <f t="shared" si="605"/>
        <v>0</v>
      </c>
    </row>
    <row r="2684" spans="1:17">
      <c r="A2684" s="15">
        <f t="shared" si="601"/>
        <v>0</v>
      </c>
      <c r="B2684" s="15"/>
      <c r="C2684" s="14">
        <f>Fixture!C688</f>
        <v>0</v>
      </c>
      <c r="D2684" s="15">
        <f>IF(E2684=0,0,IF(Fixture!D688&lt;Fixture!F688,0,IF(Fixture!F688&lt;Fixture!D688,3,1)))</f>
        <v>0</v>
      </c>
      <c r="E2684" s="16">
        <f>IF(OR(ISBLANK(Fixture!D688),ISBLANK(Fixture!F688),ISTEXT(Fixture!D688),ISTEXT(Fixture!F688)),0,1)</f>
        <v>0</v>
      </c>
      <c r="F2684" s="16">
        <f t="shared" si="596"/>
        <v>0</v>
      </c>
      <c r="G2684" s="16">
        <f t="shared" si="597"/>
        <v>0</v>
      </c>
      <c r="H2684" s="16">
        <f t="shared" si="598"/>
        <v>0</v>
      </c>
      <c r="I2684" s="63">
        <f>IF(E2684=0,0,Fixture!D688)</f>
        <v>0</v>
      </c>
      <c r="J2684" s="63">
        <f>IF(E2684=0,0,Fixture!F688)</f>
        <v>0</v>
      </c>
      <c r="K2684" s="63">
        <f t="shared" si="599"/>
        <v>0</v>
      </c>
      <c r="L2684" s="63">
        <f t="shared" si="600"/>
        <v>0</v>
      </c>
      <c r="N2684" s="10" t="str">
        <f t="shared" si="602"/>
        <v>00</v>
      </c>
      <c r="O2684" s="10">
        <f t="shared" si="603"/>
        <v>0</v>
      </c>
      <c r="P2684" s="10">
        <f t="shared" si="604"/>
        <v>0</v>
      </c>
      <c r="Q2684" s="10">
        <f t="shared" si="605"/>
        <v>0</v>
      </c>
    </row>
    <row r="2685" spans="1:17">
      <c r="A2685" s="15">
        <f t="shared" si="601"/>
        <v>0</v>
      </c>
      <c r="B2685" s="15"/>
      <c r="C2685" s="14">
        <f>Fixture!C689</f>
        <v>0</v>
      </c>
      <c r="D2685" s="15">
        <f>IF(E2685=0,0,IF(Fixture!D689&lt;Fixture!F689,0,IF(Fixture!F689&lt;Fixture!D689,3,1)))</f>
        <v>0</v>
      </c>
      <c r="E2685" s="16">
        <f>IF(OR(ISBLANK(Fixture!D689),ISBLANK(Fixture!F689),ISTEXT(Fixture!D689),ISTEXT(Fixture!F689)),0,1)</f>
        <v>0</v>
      </c>
      <c r="F2685" s="16">
        <f t="shared" si="596"/>
        <v>0</v>
      </c>
      <c r="G2685" s="16">
        <f t="shared" si="597"/>
        <v>0</v>
      </c>
      <c r="H2685" s="16">
        <f t="shared" si="598"/>
        <v>0</v>
      </c>
      <c r="I2685" s="63">
        <f>IF(E2685=0,0,Fixture!D689)</f>
        <v>0</v>
      </c>
      <c r="J2685" s="63">
        <f>IF(E2685=0,0,Fixture!F689)</f>
        <v>0</v>
      </c>
      <c r="K2685" s="63">
        <f t="shared" si="599"/>
        <v>0</v>
      </c>
      <c r="L2685" s="63">
        <f t="shared" si="600"/>
        <v>0</v>
      </c>
      <c r="N2685" s="10" t="str">
        <f t="shared" si="602"/>
        <v>00</v>
      </c>
      <c r="O2685" s="10">
        <f t="shared" si="603"/>
        <v>0</v>
      </c>
      <c r="P2685" s="10">
        <f t="shared" si="604"/>
        <v>0</v>
      </c>
      <c r="Q2685" s="10">
        <f t="shared" si="605"/>
        <v>0</v>
      </c>
    </row>
    <row r="2686" spans="1:17">
      <c r="A2686" s="15">
        <f t="shared" si="601"/>
        <v>0</v>
      </c>
      <c r="B2686" s="15"/>
      <c r="C2686" s="14">
        <f>Fixture!C690</f>
        <v>0</v>
      </c>
      <c r="D2686" s="15">
        <f>IF(E2686=0,0,IF(Fixture!D690&lt;Fixture!F690,0,IF(Fixture!F690&lt;Fixture!D690,3,1)))</f>
        <v>0</v>
      </c>
      <c r="E2686" s="16">
        <f>IF(OR(ISBLANK(Fixture!D690),ISBLANK(Fixture!F690),ISTEXT(Fixture!D690),ISTEXT(Fixture!F690)),0,1)</f>
        <v>0</v>
      </c>
      <c r="F2686" s="16">
        <f t="shared" si="596"/>
        <v>0</v>
      </c>
      <c r="G2686" s="16">
        <f t="shared" si="597"/>
        <v>0</v>
      </c>
      <c r="H2686" s="16">
        <f t="shared" si="598"/>
        <v>0</v>
      </c>
      <c r="I2686" s="63">
        <f>IF(E2686=0,0,Fixture!D690)</f>
        <v>0</v>
      </c>
      <c r="J2686" s="63">
        <f>IF(E2686=0,0,Fixture!F690)</f>
        <v>0</v>
      </c>
      <c r="K2686" s="63">
        <f t="shared" si="599"/>
        <v>0</v>
      </c>
      <c r="L2686" s="63">
        <f t="shared" si="600"/>
        <v>0</v>
      </c>
      <c r="N2686" s="10" t="str">
        <f t="shared" si="602"/>
        <v>00</v>
      </c>
      <c r="O2686" s="10">
        <f t="shared" si="603"/>
        <v>0</v>
      </c>
      <c r="P2686" s="10">
        <f t="shared" si="604"/>
        <v>0</v>
      </c>
      <c r="Q2686" s="10">
        <f t="shared" si="605"/>
        <v>0</v>
      </c>
    </row>
    <row r="2687" spans="1:17">
      <c r="A2687" s="15">
        <f t="shared" si="601"/>
        <v>0</v>
      </c>
      <c r="B2687" s="15"/>
      <c r="C2687" s="14">
        <f>Fixture!C691</f>
        <v>0</v>
      </c>
      <c r="D2687" s="15">
        <f>IF(E2687=0,0,IF(Fixture!D691&lt;Fixture!F691,0,IF(Fixture!F691&lt;Fixture!D691,3,1)))</f>
        <v>0</v>
      </c>
      <c r="E2687" s="16">
        <f>IF(OR(ISBLANK(Fixture!D691),ISBLANK(Fixture!F691),ISTEXT(Fixture!D691),ISTEXT(Fixture!F691)),0,1)</f>
        <v>0</v>
      </c>
      <c r="F2687" s="16">
        <f t="shared" si="596"/>
        <v>0</v>
      </c>
      <c r="G2687" s="16">
        <f t="shared" si="597"/>
        <v>0</v>
      </c>
      <c r="H2687" s="16">
        <f t="shared" si="598"/>
        <v>0</v>
      </c>
      <c r="I2687" s="63">
        <f>IF(E2687=0,0,Fixture!D691)</f>
        <v>0</v>
      </c>
      <c r="J2687" s="63">
        <f>IF(E2687=0,0,Fixture!F691)</f>
        <v>0</v>
      </c>
      <c r="K2687" s="63">
        <f t="shared" si="599"/>
        <v>0</v>
      </c>
      <c r="L2687" s="63">
        <f t="shared" si="600"/>
        <v>0</v>
      </c>
      <c r="N2687" s="10" t="str">
        <f t="shared" si="602"/>
        <v>00</v>
      </c>
      <c r="O2687" s="10">
        <f t="shared" si="603"/>
        <v>0</v>
      </c>
      <c r="P2687" s="10">
        <f t="shared" si="604"/>
        <v>0</v>
      </c>
      <c r="Q2687" s="10">
        <f t="shared" si="605"/>
        <v>0</v>
      </c>
    </row>
    <row r="2688" spans="1:17">
      <c r="A2688" s="15">
        <f t="shared" si="601"/>
        <v>0</v>
      </c>
      <c r="B2688" s="15"/>
      <c r="C2688" s="14">
        <f>Fixture!C692</f>
        <v>0</v>
      </c>
      <c r="D2688" s="15">
        <f>IF(E2688=0,0,IF(Fixture!D692&lt;Fixture!F692,0,IF(Fixture!F692&lt;Fixture!D692,3,1)))</f>
        <v>0</v>
      </c>
      <c r="E2688" s="16">
        <f>IF(OR(ISBLANK(Fixture!D692),ISBLANK(Fixture!F692),ISTEXT(Fixture!D692),ISTEXT(Fixture!F692)),0,1)</f>
        <v>0</v>
      </c>
      <c r="F2688" s="16">
        <f t="shared" si="596"/>
        <v>0</v>
      </c>
      <c r="G2688" s="16">
        <f t="shared" si="597"/>
        <v>0</v>
      </c>
      <c r="H2688" s="16">
        <f t="shared" si="598"/>
        <v>0</v>
      </c>
      <c r="I2688" s="63">
        <f>IF(E2688=0,0,Fixture!D692)</f>
        <v>0</v>
      </c>
      <c r="J2688" s="63">
        <f>IF(E2688=0,0,Fixture!F692)</f>
        <v>0</v>
      </c>
      <c r="K2688" s="63">
        <f t="shared" si="599"/>
        <v>0</v>
      </c>
      <c r="L2688" s="63">
        <f t="shared" si="600"/>
        <v>0</v>
      </c>
      <c r="N2688" s="10" t="str">
        <f t="shared" si="602"/>
        <v>00</v>
      </c>
      <c r="O2688" s="10">
        <f t="shared" si="603"/>
        <v>0</v>
      </c>
      <c r="P2688" s="10">
        <f t="shared" si="604"/>
        <v>0</v>
      </c>
      <c r="Q2688" s="10">
        <f t="shared" si="605"/>
        <v>0</v>
      </c>
    </row>
    <row r="2689" spans="1:17">
      <c r="A2689" s="15">
        <f t="shared" si="601"/>
        <v>0</v>
      </c>
      <c r="B2689" s="15"/>
      <c r="C2689" s="14">
        <f>Fixture!C693</f>
        <v>0</v>
      </c>
      <c r="D2689" s="15">
        <f>IF(E2689=0,0,IF(Fixture!D693&lt;Fixture!F693,0,IF(Fixture!F693&lt;Fixture!D693,3,1)))</f>
        <v>0</v>
      </c>
      <c r="E2689" s="16">
        <f>IF(OR(ISBLANK(Fixture!D693),ISBLANK(Fixture!F693),ISTEXT(Fixture!D693),ISTEXT(Fixture!F693)),0,1)</f>
        <v>0</v>
      </c>
      <c r="F2689" s="16">
        <f t="shared" si="596"/>
        <v>0</v>
      </c>
      <c r="G2689" s="16">
        <f t="shared" si="597"/>
        <v>0</v>
      </c>
      <c r="H2689" s="16">
        <f t="shared" si="598"/>
        <v>0</v>
      </c>
      <c r="I2689" s="63">
        <f>IF(E2689=0,0,Fixture!D693)</f>
        <v>0</v>
      </c>
      <c r="J2689" s="63">
        <f>IF(E2689=0,0,Fixture!F693)</f>
        <v>0</v>
      </c>
      <c r="K2689" s="63">
        <f t="shared" si="599"/>
        <v>0</v>
      </c>
      <c r="L2689" s="63">
        <f t="shared" si="600"/>
        <v>0</v>
      </c>
      <c r="N2689" s="10" t="str">
        <f t="shared" si="602"/>
        <v>00</v>
      </c>
      <c r="O2689" s="10">
        <f t="shared" si="603"/>
        <v>0</v>
      </c>
      <c r="P2689" s="10">
        <f t="shared" si="604"/>
        <v>0</v>
      </c>
      <c r="Q2689" s="10">
        <f t="shared" si="605"/>
        <v>0</v>
      </c>
    </row>
    <row r="2690" spans="1:17">
      <c r="A2690" s="15">
        <f t="shared" si="601"/>
        <v>0</v>
      </c>
      <c r="B2690" s="15"/>
      <c r="C2690" s="14">
        <f>Fixture!C694</f>
        <v>0</v>
      </c>
      <c r="D2690" s="15">
        <f>IF(E2690=0,0,IF(Fixture!D694&lt;Fixture!F694,0,IF(Fixture!F694&lt;Fixture!D694,3,1)))</f>
        <v>0</v>
      </c>
      <c r="E2690" s="16">
        <f>IF(OR(ISBLANK(Fixture!D694),ISBLANK(Fixture!F694),ISTEXT(Fixture!D694),ISTEXT(Fixture!F694)),0,1)</f>
        <v>0</v>
      </c>
      <c r="F2690" s="16">
        <f t="shared" si="596"/>
        <v>0</v>
      </c>
      <c r="G2690" s="16">
        <f t="shared" si="597"/>
        <v>0</v>
      </c>
      <c r="H2690" s="16">
        <f t="shared" si="598"/>
        <v>0</v>
      </c>
      <c r="I2690" s="63">
        <f>IF(E2690=0,0,Fixture!D694)</f>
        <v>0</v>
      </c>
      <c r="J2690" s="63">
        <f>IF(E2690=0,0,Fixture!F694)</f>
        <v>0</v>
      </c>
      <c r="K2690" s="63">
        <f t="shared" si="599"/>
        <v>0</v>
      </c>
      <c r="L2690" s="63">
        <f t="shared" si="600"/>
        <v>0</v>
      </c>
      <c r="N2690" s="10" t="str">
        <f t="shared" si="602"/>
        <v>00</v>
      </c>
      <c r="O2690" s="10">
        <f t="shared" si="603"/>
        <v>0</v>
      </c>
      <c r="P2690" s="10">
        <f t="shared" si="604"/>
        <v>0</v>
      </c>
      <c r="Q2690" s="10">
        <f t="shared" si="605"/>
        <v>0</v>
      </c>
    </row>
    <row r="2691" spans="1:17">
      <c r="A2691" s="15">
        <f t="shared" si="601"/>
        <v>0</v>
      </c>
      <c r="B2691" s="15"/>
      <c r="C2691" s="14">
        <f>Fixture!C695</f>
        <v>0</v>
      </c>
      <c r="D2691" s="15">
        <f>IF(E2691=0,0,IF(Fixture!D695&lt;Fixture!F695,0,IF(Fixture!F695&lt;Fixture!D695,3,1)))</f>
        <v>0</v>
      </c>
      <c r="E2691" s="16">
        <f>IF(OR(ISBLANK(Fixture!D695),ISBLANK(Fixture!F695),ISTEXT(Fixture!D695),ISTEXT(Fixture!F695)),0,1)</f>
        <v>0</v>
      </c>
      <c r="F2691" s="16">
        <f t="shared" si="596"/>
        <v>0</v>
      </c>
      <c r="G2691" s="16">
        <f t="shared" si="597"/>
        <v>0</v>
      </c>
      <c r="H2691" s="16">
        <f t="shared" si="598"/>
        <v>0</v>
      </c>
      <c r="I2691" s="63">
        <f>IF(E2691=0,0,Fixture!D695)</f>
        <v>0</v>
      </c>
      <c r="J2691" s="63">
        <f>IF(E2691=0,0,Fixture!F695)</f>
        <v>0</v>
      </c>
      <c r="K2691" s="63">
        <f t="shared" si="599"/>
        <v>0</v>
      </c>
      <c r="L2691" s="63">
        <f t="shared" si="600"/>
        <v>0</v>
      </c>
      <c r="N2691" s="10" t="str">
        <f t="shared" si="602"/>
        <v>00</v>
      </c>
      <c r="O2691" s="10">
        <f t="shared" si="603"/>
        <v>0</v>
      </c>
      <c r="P2691" s="10">
        <f t="shared" si="604"/>
        <v>0</v>
      </c>
      <c r="Q2691" s="10">
        <f t="shared" si="605"/>
        <v>0</v>
      </c>
    </row>
    <row r="2692" spans="1:17">
      <c r="A2692" s="15">
        <f t="shared" si="601"/>
        <v>0</v>
      </c>
      <c r="B2692" s="15"/>
      <c r="C2692" s="14">
        <f>Fixture!C696</f>
        <v>0</v>
      </c>
      <c r="D2692" s="15">
        <f>IF(E2692=0,0,IF(Fixture!D696&lt;Fixture!F696,0,IF(Fixture!F696&lt;Fixture!D696,3,1)))</f>
        <v>0</v>
      </c>
      <c r="E2692" s="16">
        <f>IF(OR(ISBLANK(Fixture!D696),ISBLANK(Fixture!F696),ISTEXT(Fixture!D696),ISTEXT(Fixture!F696)),0,1)</f>
        <v>0</v>
      </c>
      <c r="F2692" s="16">
        <f t="shared" si="596"/>
        <v>0</v>
      </c>
      <c r="G2692" s="16">
        <f t="shared" si="597"/>
        <v>0</v>
      </c>
      <c r="H2692" s="16">
        <f t="shared" si="598"/>
        <v>0</v>
      </c>
      <c r="I2692" s="63">
        <f>IF(E2692=0,0,Fixture!D696)</f>
        <v>0</v>
      </c>
      <c r="J2692" s="63">
        <f>IF(E2692=0,0,Fixture!F696)</f>
        <v>0</v>
      </c>
      <c r="K2692" s="63">
        <f t="shared" si="599"/>
        <v>0</v>
      </c>
      <c r="L2692" s="63">
        <f t="shared" si="600"/>
        <v>0</v>
      </c>
      <c r="N2692" s="10" t="str">
        <f t="shared" si="602"/>
        <v>00</v>
      </c>
      <c r="O2692" s="10">
        <f t="shared" si="603"/>
        <v>0</v>
      </c>
      <c r="P2692" s="10">
        <f t="shared" si="604"/>
        <v>0</v>
      </c>
      <c r="Q2692" s="10">
        <f t="shared" si="605"/>
        <v>0</v>
      </c>
    </row>
    <row r="2693" spans="1:17">
      <c r="A2693" s="15">
        <f t="shared" si="601"/>
        <v>0</v>
      </c>
      <c r="B2693" s="15"/>
      <c r="C2693" s="14">
        <f>Fixture!C697</f>
        <v>0</v>
      </c>
      <c r="D2693" s="15">
        <f>IF(E2693=0,0,IF(Fixture!D697&lt;Fixture!F697,0,IF(Fixture!F697&lt;Fixture!D697,3,1)))</f>
        <v>0</v>
      </c>
      <c r="E2693" s="16">
        <f>IF(OR(ISBLANK(Fixture!D697),ISBLANK(Fixture!F697),ISTEXT(Fixture!D697),ISTEXT(Fixture!F697)),0,1)</f>
        <v>0</v>
      </c>
      <c r="F2693" s="16">
        <f t="shared" si="596"/>
        <v>0</v>
      </c>
      <c r="G2693" s="16">
        <f t="shared" si="597"/>
        <v>0</v>
      </c>
      <c r="H2693" s="16">
        <f t="shared" si="598"/>
        <v>0</v>
      </c>
      <c r="I2693" s="63">
        <f>IF(E2693=0,0,Fixture!D697)</f>
        <v>0</v>
      </c>
      <c r="J2693" s="63">
        <f>IF(E2693=0,0,Fixture!F697)</f>
        <v>0</v>
      </c>
      <c r="K2693" s="63">
        <f t="shared" si="599"/>
        <v>0</v>
      </c>
      <c r="L2693" s="63">
        <f t="shared" si="600"/>
        <v>0</v>
      </c>
      <c r="N2693" s="10" t="str">
        <f t="shared" si="602"/>
        <v>00</v>
      </c>
      <c r="O2693" s="10">
        <f t="shared" si="603"/>
        <v>0</v>
      </c>
      <c r="P2693" s="10">
        <f t="shared" si="604"/>
        <v>0</v>
      </c>
      <c r="Q2693" s="10">
        <f t="shared" si="605"/>
        <v>0</v>
      </c>
    </row>
    <row r="2694" spans="1:17">
      <c r="A2694" s="15">
        <f t="shared" si="601"/>
        <v>0</v>
      </c>
      <c r="B2694" s="15"/>
      <c r="C2694" s="14">
        <f>Fixture!C698</f>
        <v>0</v>
      </c>
      <c r="D2694" s="15">
        <f>IF(E2694=0,0,IF(Fixture!D698&lt;Fixture!F698,0,IF(Fixture!F698&lt;Fixture!D698,3,1)))</f>
        <v>0</v>
      </c>
      <c r="E2694" s="16">
        <f>IF(OR(ISBLANK(Fixture!D698),ISBLANK(Fixture!F698),ISTEXT(Fixture!D698),ISTEXT(Fixture!F698)),0,1)</f>
        <v>0</v>
      </c>
      <c r="F2694" s="16">
        <f t="shared" si="596"/>
        <v>0</v>
      </c>
      <c r="G2694" s="16">
        <f t="shared" si="597"/>
        <v>0</v>
      </c>
      <c r="H2694" s="16">
        <f t="shared" si="598"/>
        <v>0</v>
      </c>
      <c r="I2694" s="63">
        <f>IF(E2694=0,0,Fixture!D698)</f>
        <v>0</v>
      </c>
      <c r="J2694" s="63">
        <f>IF(E2694=0,0,Fixture!F698)</f>
        <v>0</v>
      </c>
      <c r="K2694" s="63">
        <f t="shared" si="599"/>
        <v>0</v>
      </c>
      <c r="L2694" s="63">
        <f t="shared" si="600"/>
        <v>0</v>
      </c>
      <c r="N2694" s="10" t="str">
        <f t="shared" si="602"/>
        <v>00</v>
      </c>
      <c r="O2694" s="10">
        <f t="shared" si="603"/>
        <v>0</v>
      </c>
      <c r="P2694" s="10">
        <f t="shared" si="604"/>
        <v>0</v>
      </c>
      <c r="Q2694" s="10">
        <f t="shared" si="605"/>
        <v>0</v>
      </c>
    </row>
    <row r="2695" spans="1:17">
      <c r="A2695" s="15">
        <f t="shared" si="601"/>
        <v>0</v>
      </c>
      <c r="B2695" s="15"/>
      <c r="C2695" s="14">
        <f>Fixture!C699</f>
        <v>0</v>
      </c>
      <c r="D2695" s="15">
        <f>IF(E2695=0,0,IF(Fixture!D699&lt;Fixture!F699,0,IF(Fixture!F699&lt;Fixture!D699,3,1)))</f>
        <v>0</v>
      </c>
      <c r="E2695" s="16">
        <f>IF(OR(ISBLANK(Fixture!D699),ISBLANK(Fixture!F699),ISTEXT(Fixture!D699),ISTEXT(Fixture!F699)),0,1)</f>
        <v>0</v>
      </c>
      <c r="F2695" s="16">
        <f t="shared" si="596"/>
        <v>0</v>
      </c>
      <c r="G2695" s="16">
        <f t="shared" si="597"/>
        <v>0</v>
      </c>
      <c r="H2695" s="16">
        <f t="shared" si="598"/>
        <v>0</v>
      </c>
      <c r="I2695" s="63">
        <f>IF(E2695=0,0,Fixture!D699)</f>
        <v>0</v>
      </c>
      <c r="J2695" s="63">
        <f>IF(E2695=0,0,Fixture!F699)</f>
        <v>0</v>
      </c>
      <c r="K2695" s="63">
        <f t="shared" si="599"/>
        <v>0</v>
      </c>
      <c r="L2695" s="63">
        <f t="shared" si="600"/>
        <v>0</v>
      </c>
      <c r="N2695" s="10" t="str">
        <f t="shared" si="602"/>
        <v>00</v>
      </c>
      <c r="O2695" s="10">
        <f t="shared" si="603"/>
        <v>0</v>
      </c>
      <c r="P2695" s="10">
        <f t="shared" si="604"/>
        <v>0</v>
      </c>
      <c r="Q2695" s="10">
        <f t="shared" si="605"/>
        <v>0</v>
      </c>
    </row>
    <row r="2696" spans="1:17">
      <c r="A2696" s="15">
        <f t="shared" si="601"/>
        <v>0</v>
      </c>
      <c r="B2696" s="15"/>
      <c r="C2696" s="14">
        <f>Fixture!C700</f>
        <v>0</v>
      </c>
      <c r="D2696" s="15">
        <f>IF(E2696=0,0,IF(Fixture!D700&lt;Fixture!F700,0,IF(Fixture!F700&lt;Fixture!D700,3,1)))</f>
        <v>0</v>
      </c>
      <c r="E2696" s="16">
        <f>IF(OR(ISBLANK(Fixture!D700),ISBLANK(Fixture!F700),ISTEXT(Fixture!D700),ISTEXT(Fixture!F700)),0,1)</f>
        <v>0</v>
      </c>
      <c r="F2696" s="16">
        <f t="shared" si="596"/>
        <v>0</v>
      </c>
      <c r="G2696" s="16">
        <f t="shared" si="597"/>
        <v>0</v>
      </c>
      <c r="H2696" s="16">
        <f t="shared" si="598"/>
        <v>0</v>
      </c>
      <c r="I2696" s="63">
        <f>IF(E2696=0,0,Fixture!D700)</f>
        <v>0</v>
      </c>
      <c r="J2696" s="63">
        <f>IF(E2696=0,0,Fixture!F700)</f>
        <v>0</v>
      </c>
      <c r="K2696" s="63">
        <f t="shared" si="599"/>
        <v>0</v>
      </c>
      <c r="L2696" s="63">
        <f t="shared" si="600"/>
        <v>0</v>
      </c>
      <c r="N2696" s="10" t="str">
        <f t="shared" si="602"/>
        <v>00</v>
      </c>
      <c r="O2696" s="10">
        <f t="shared" si="603"/>
        <v>0</v>
      </c>
      <c r="P2696" s="10">
        <f t="shared" si="604"/>
        <v>0</v>
      </c>
      <c r="Q2696" s="10">
        <f t="shared" si="605"/>
        <v>0</v>
      </c>
    </row>
    <row r="2697" spans="1:17">
      <c r="A2697" s="15">
        <f t="shared" si="601"/>
        <v>0</v>
      </c>
      <c r="B2697" s="15"/>
      <c r="C2697" s="14">
        <f>Fixture!C701</f>
        <v>0</v>
      </c>
      <c r="D2697" s="15">
        <f>IF(E2697=0,0,IF(Fixture!D701&lt;Fixture!F701,0,IF(Fixture!F701&lt;Fixture!D701,3,1)))</f>
        <v>0</v>
      </c>
      <c r="E2697" s="16">
        <f>IF(OR(ISBLANK(Fixture!D701),ISBLANK(Fixture!F701),ISTEXT(Fixture!D701),ISTEXT(Fixture!F701)),0,1)</f>
        <v>0</v>
      </c>
      <c r="F2697" s="16">
        <f t="shared" si="596"/>
        <v>0</v>
      </c>
      <c r="G2697" s="16">
        <f t="shared" si="597"/>
        <v>0</v>
      </c>
      <c r="H2697" s="16">
        <f t="shared" si="598"/>
        <v>0</v>
      </c>
      <c r="I2697" s="63">
        <f>IF(E2697=0,0,Fixture!D701)</f>
        <v>0</v>
      </c>
      <c r="J2697" s="63">
        <f>IF(E2697=0,0,Fixture!F701)</f>
        <v>0</v>
      </c>
      <c r="K2697" s="63">
        <f t="shared" si="599"/>
        <v>0</v>
      </c>
      <c r="L2697" s="63">
        <f t="shared" si="600"/>
        <v>0</v>
      </c>
      <c r="N2697" s="10" t="str">
        <f t="shared" si="602"/>
        <v>00</v>
      </c>
      <c r="O2697" s="10">
        <f t="shared" si="603"/>
        <v>0</v>
      </c>
      <c r="P2697" s="10">
        <f t="shared" si="604"/>
        <v>0</v>
      </c>
      <c r="Q2697" s="10">
        <f t="shared" si="605"/>
        <v>0</v>
      </c>
    </row>
    <row r="2698" spans="1:17">
      <c r="A2698" s="15">
        <f t="shared" si="601"/>
        <v>0</v>
      </c>
      <c r="B2698" s="15"/>
      <c r="C2698" s="14">
        <f>Fixture!C702</f>
        <v>0</v>
      </c>
      <c r="D2698" s="15">
        <f>IF(E2698=0,0,IF(Fixture!D702&lt;Fixture!F702,0,IF(Fixture!F702&lt;Fixture!D702,3,1)))</f>
        <v>0</v>
      </c>
      <c r="E2698" s="16">
        <f>IF(OR(ISBLANK(Fixture!D702),ISBLANK(Fixture!F702),ISTEXT(Fixture!D702),ISTEXT(Fixture!F702)),0,1)</f>
        <v>0</v>
      </c>
      <c r="F2698" s="16">
        <f t="shared" si="596"/>
        <v>0</v>
      </c>
      <c r="G2698" s="16">
        <f t="shared" si="597"/>
        <v>0</v>
      </c>
      <c r="H2698" s="16">
        <f t="shared" si="598"/>
        <v>0</v>
      </c>
      <c r="I2698" s="63">
        <f>IF(E2698=0,0,Fixture!D702)</f>
        <v>0</v>
      </c>
      <c r="J2698" s="63">
        <f>IF(E2698=0,0,Fixture!F702)</f>
        <v>0</v>
      </c>
      <c r="K2698" s="63">
        <f t="shared" si="599"/>
        <v>0</v>
      </c>
      <c r="L2698" s="63">
        <f t="shared" si="600"/>
        <v>0</v>
      </c>
      <c r="N2698" s="10" t="str">
        <f t="shared" si="602"/>
        <v>00</v>
      </c>
      <c r="O2698" s="10">
        <f t="shared" si="603"/>
        <v>0</v>
      </c>
      <c r="P2698" s="10">
        <f t="shared" si="604"/>
        <v>0</v>
      </c>
      <c r="Q2698" s="10">
        <f t="shared" si="605"/>
        <v>0</v>
      </c>
    </row>
    <row r="2699" spans="1:17">
      <c r="A2699" s="15">
        <f t="shared" si="601"/>
        <v>0</v>
      </c>
      <c r="B2699" s="15"/>
      <c r="C2699" s="14">
        <f>Fixture!C703</f>
        <v>0</v>
      </c>
      <c r="D2699" s="15">
        <f>IF(E2699=0,0,IF(Fixture!D703&lt;Fixture!F703,0,IF(Fixture!F703&lt;Fixture!D703,3,1)))</f>
        <v>0</v>
      </c>
      <c r="E2699" s="16">
        <f>IF(OR(ISBLANK(Fixture!D703),ISBLANK(Fixture!F703),ISTEXT(Fixture!D703),ISTEXT(Fixture!F703)),0,1)</f>
        <v>0</v>
      </c>
      <c r="F2699" s="16">
        <f t="shared" si="596"/>
        <v>0</v>
      </c>
      <c r="G2699" s="16">
        <f t="shared" si="597"/>
        <v>0</v>
      </c>
      <c r="H2699" s="16">
        <f t="shared" si="598"/>
        <v>0</v>
      </c>
      <c r="I2699" s="63">
        <f>IF(E2699=0,0,Fixture!D703)</f>
        <v>0</v>
      </c>
      <c r="J2699" s="63">
        <f>IF(E2699=0,0,Fixture!F703)</f>
        <v>0</v>
      </c>
      <c r="K2699" s="63">
        <f t="shared" si="599"/>
        <v>0</v>
      </c>
      <c r="L2699" s="63">
        <f t="shared" si="600"/>
        <v>0</v>
      </c>
      <c r="N2699" s="10" t="str">
        <f t="shared" si="602"/>
        <v>00</v>
      </c>
      <c r="O2699" s="10">
        <f t="shared" si="603"/>
        <v>0</v>
      </c>
      <c r="P2699" s="10">
        <f t="shared" si="604"/>
        <v>0</v>
      </c>
      <c r="Q2699" s="10">
        <f t="shared" si="605"/>
        <v>0</v>
      </c>
    </row>
    <row r="2700" spans="1:17">
      <c r="A2700" s="15">
        <f t="shared" si="601"/>
        <v>0</v>
      </c>
      <c r="B2700" s="15"/>
      <c r="C2700" s="14">
        <f>Fixture!C704</f>
        <v>0</v>
      </c>
      <c r="D2700" s="15">
        <f>IF(E2700=0,0,IF(Fixture!D704&lt;Fixture!F704,0,IF(Fixture!F704&lt;Fixture!D704,3,1)))</f>
        <v>0</v>
      </c>
      <c r="E2700" s="16">
        <f>IF(OR(ISBLANK(Fixture!D704),ISBLANK(Fixture!F704),ISTEXT(Fixture!D704),ISTEXT(Fixture!F704)),0,1)</f>
        <v>0</v>
      </c>
      <c r="F2700" s="16">
        <f t="shared" si="596"/>
        <v>0</v>
      </c>
      <c r="G2700" s="16">
        <f t="shared" si="597"/>
        <v>0</v>
      </c>
      <c r="H2700" s="16">
        <f t="shared" si="598"/>
        <v>0</v>
      </c>
      <c r="I2700" s="63">
        <f>IF(E2700=0,0,Fixture!D704)</f>
        <v>0</v>
      </c>
      <c r="J2700" s="63">
        <f>IF(E2700=0,0,Fixture!F704)</f>
        <v>0</v>
      </c>
      <c r="K2700" s="63">
        <f t="shared" si="599"/>
        <v>0</v>
      </c>
      <c r="L2700" s="63">
        <f t="shared" si="600"/>
        <v>0</v>
      </c>
      <c r="N2700" s="10" t="str">
        <f t="shared" si="602"/>
        <v>00</v>
      </c>
      <c r="O2700" s="10">
        <f t="shared" si="603"/>
        <v>0</v>
      </c>
      <c r="P2700" s="10">
        <f t="shared" si="604"/>
        <v>0</v>
      </c>
      <c r="Q2700" s="10">
        <f t="shared" si="605"/>
        <v>0</v>
      </c>
    </row>
    <row r="2701" spans="1:17">
      <c r="A2701" s="15">
        <f t="shared" si="601"/>
        <v>0</v>
      </c>
      <c r="B2701" s="15"/>
      <c r="C2701" s="14">
        <f>Fixture!C705</f>
        <v>0</v>
      </c>
      <c r="D2701" s="15">
        <f>IF(E2701=0,0,IF(Fixture!D705&lt;Fixture!F705,0,IF(Fixture!F705&lt;Fixture!D705,3,1)))</f>
        <v>0</v>
      </c>
      <c r="E2701" s="16">
        <f>IF(OR(ISBLANK(Fixture!D705),ISBLANK(Fixture!F705),ISTEXT(Fixture!D705),ISTEXT(Fixture!F705)),0,1)</f>
        <v>0</v>
      </c>
      <c r="F2701" s="16">
        <f t="shared" si="596"/>
        <v>0</v>
      </c>
      <c r="G2701" s="16">
        <f t="shared" si="597"/>
        <v>0</v>
      </c>
      <c r="H2701" s="16">
        <f t="shared" si="598"/>
        <v>0</v>
      </c>
      <c r="I2701" s="63">
        <f>IF(E2701=0,0,Fixture!D705)</f>
        <v>0</v>
      </c>
      <c r="J2701" s="63">
        <f>IF(E2701=0,0,Fixture!F705)</f>
        <v>0</v>
      </c>
      <c r="K2701" s="63">
        <f t="shared" si="599"/>
        <v>0</v>
      </c>
      <c r="L2701" s="63">
        <f t="shared" si="600"/>
        <v>0</v>
      </c>
      <c r="N2701" s="10" t="str">
        <f t="shared" si="602"/>
        <v>00</v>
      </c>
      <c r="O2701" s="10">
        <f t="shared" si="603"/>
        <v>0</v>
      </c>
      <c r="P2701" s="10">
        <f t="shared" si="604"/>
        <v>0</v>
      </c>
      <c r="Q2701" s="10">
        <f t="shared" si="605"/>
        <v>0</v>
      </c>
    </row>
    <row r="2702" spans="1:17">
      <c r="A2702" s="15">
        <f t="shared" si="601"/>
        <v>0</v>
      </c>
      <c r="B2702" s="15"/>
      <c r="C2702" s="14">
        <f>Fixture!C706</f>
        <v>0</v>
      </c>
      <c r="D2702" s="15">
        <f>IF(E2702=0,0,IF(Fixture!D706&lt;Fixture!F706,0,IF(Fixture!F706&lt;Fixture!D706,3,1)))</f>
        <v>0</v>
      </c>
      <c r="E2702" s="16">
        <f>IF(OR(ISBLANK(Fixture!D706),ISBLANK(Fixture!F706),ISTEXT(Fixture!D706),ISTEXT(Fixture!F706)),0,1)</f>
        <v>0</v>
      </c>
      <c r="F2702" s="16">
        <f t="shared" si="596"/>
        <v>0</v>
      </c>
      <c r="G2702" s="16">
        <f t="shared" si="597"/>
        <v>0</v>
      </c>
      <c r="H2702" s="16">
        <f t="shared" si="598"/>
        <v>0</v>
      </c>
      <c r="I2702" s="63">
        <f>IF(E2702=0,0,Fixture!D706)</f>
        <v>0</v>
      </c>
      <c r="J2702" s="63">
        <f>IF(E2702=0,0,Fixture!F706)</f>
        <v>0</v>
      </c>
      <c r="K2702" s="63">
        <f t="shared" si="599"/>
        <v>0</v>
      </c>
      <c r="L2702" s="63">
        <f t="shared" si="600"/>
        <v>0</v>
      </c>
      <c r="N2702" s="10" t="str">
        <f t="shared" si="602"/>
        <v>00</v>
      </c>
      <c r="O2702" s="10">
        <f t="shared" si="603"/>
        <v>0</v>
      </c>
      <c r="P2702" s="10">
        <f t="shared" si="604"/>
        <v>0</v>
      </c>
      <c r="Q2702" s="10">
        <f t="shared" si="605"/>
        <v>0</v>
      </c>
    </row>
    <row r="2703" spans="1:17">
      <c r="A2703" s="15">
        <f t="shared" si="601"/>
        <v>0</v>
      </c>
      <c r="B2703" s="15"/>
      <c r="C2703" s="14">
        <f>Fixture!C707</f>
        <v>0</v>
      </c>
      <c r="D2703" s="15">
        <f>IF(E2703=0,0,IF(Fixture!D707&lt;Fixture!F707,0,IF(Fixture!F707&lt;Fixture!D707,3,1)))</f>
        <v>0</v>
      </c>
      <c r="E2703" s="16">
        <f>IF(OR(ISBLANK(Fixture!D707),ISBLANK(Fixture!F707),ISTEXT(Fixture!D707),ISTEXT(Fixture!F707)),0,1)</f>
        <v>0</v>
      </c>
      <c r="F2703" s="16">
        <f t="shared" si="596"/>
        <v>0</v>
      </c>
      <c r="G2703" s="16">
        <f t="shared" si="597"/>
        <v>0</v>
      </c>
      <c r="H2703" s="16">
        <f t="shared" si="598"/>
        <v>0</v>
      </c>
      <c r="I2703" s="63">
        <f>IF(E2703=0,0,Fixture!D707)</f>
        <v>0</v>
      </c>
      <c r="J2703" s="63">
        <f>IF(E2703=0,0,Fixture!F707)</f>
        <v>0</v>
      </c>
      <c r="K2703" s="63">
        <f t="shared" si="599"/>
        <v>0</v>
      </c>
      <c r="L2703" s="63">
        <f t="shared" si="600"/>
        <v>0</v>
      </c>
      <c r="N2703" s="10" t="str">
        <f t="shared" si="602"/>
        <v>00</v>
      </c>
      <c r="O2703" s="10">
        <f t="shared" si="603"/>
        <v>0</v>
      </c>
      <c r="P2703" s="10">
        <f t="shared" si="604"/>
        <v>0</v>
      </c>
      <c r="Q2703" s="10">
        <f t="shared" si="605"/>
        <v>0</v>
      </c>
    </row>
    <row r="2704" spans="1:17">
      <c r="A2704" s="15">
        <f t="shared" si="601"/>
        <v>0</v>
      </c>
      <c r="B2704" s="15"/>
      <c r="C2704" s="14">
        <f>Fixture!C708</f>
        <v>0</v>
      </c>
      <c r="D2704" s="15">
        <f>IF(E2704=0,0,IF(Fixture!D708&lt;Fixture!F708,0,IF(Fixture!F708&lt;Fixture!D708,3,1)))</f>
        <v>0</v>
      </c>
      <c r="E2704" s="16">
        <f>IF(OR(ISBLANK(Fixture!D708),ISBLANK(Fixture!F708),ISTEXT(Fixture!D708),ISTEXT(Fixture!F708)),0,1)</f>
        <v>0</v>
      </c>
      <c r="F2704" s="16">
        <f t="shared" si="596"/>
        <v>0</v>
      </c>
      <c r="G2704" s="16">
        <f t="shared" si="597"/>
        <v>0</v>
      </c>
      <c r="H2704" s="16">
        <f t="shared" si="598"/>
        <v>0</v>
      </c>
      <c r="I2704" s="63">
        <f>IF(E2704=0,0,Fixture!D708)</f>
        <v>0</v>
      </c>
      <c r="J2704" s="63">
        <f>IF(E2704=0,0,Fixture!F708)</f>
        <v>0</v>
      </c>
      <c r="K2704" s="63">
        <f t="shared" si="599"/>
        <v>0</v>
      </c>
      <c r="L2704" s="63">
        <f t="shared" si="600"/>
        <v>0</v>
      </c>
      <c r="N2704" s="10" t="str">
        <f t="shared" si="602"/>
        <v>00</v>
      </c>
      <c r="O2704" s="10">
        <f t="shared" si="603"/>
        <v>0</v>
      </c>
      <c r="P2704" s="10">
        <f t="shared" si="604"/>
        <v>0</v>
      </c>
      <c r="Q2704" s="10">
        <f t="shared" si="605"/>
        <v>0</v>
      </c>
    </row>
    <row r="2705" spans="1:17">
      <c r="A2705" s="15">
        <f t="shared" si="601"/>
        <v>0</v>
      </c>
      <c r="B2705" s="15"/>
      <c r="C2705" s="14">
        <f>Fixture!C709</f>
        <v>0</v>
      </c>
      <c r="D2705" s="15">
        <f>IF(E2705=0,0,IF(Fixture!D709&lt;Fixture!F709,0,IF(Fixture!F709&lt;Fixture!D709,3,1)))</f>
        <v>0</v>
      </c>
      <c r="E2705" s="16">
        <f>IF(OR(ISBLANK(Fixture!D709),ISBLANK(Fixture!F709),ISTEXT(Fixture!D709),ISTEXT(Fixture!F709)),0,1)</f>
        <v>0</v>
      </c>
      <c r="F2705" s="16">
        <f t="shared" ref="F2705:F2768" si="606">IF(E2705=0,0,IF(D2705&lt;&gt;3,0,1))</f>
        <v>0</v>
      </c>
      <c r="G2705" s="16">
        <f t="shared" ref="G2705:G2768" si="607">IF(E2705=0,0,IF(D2705&lt;&gt;1,0,1))</f>
        <v>0</v>
      </c>
      <c r="H2705" s="16">
        <f t="shared" ref="H2705:H2768" si="608">IF(E2705=0,0,IF(D2705&lt;&gt;0,0,1))</f>
        <v>0</v>
      </c>
      <c r="I2705" s="63">
        <f>IF(E2705=0,0,Fixture!D709)</f>
        <v>0</v>
      </c>
      <c r="J2705" s="63">
        <f>IF(E2705=0,0,Fixture!F709)</f>
        <v>0</v>
      </c>
      <c r="K2705" s="63">
        <f t="shared" ref="K2705:K2768" si="609">IF(E2705=0,0,IF(I2705&gt;0,0,1))</f>
        <v>0</v>
      </c>
      <c r="L2705" s="63">
        <f t="shared" ref="L2705:L2768" si="610">IF(E2705=0,0,IF(J2705&gt;0,0,1))</f>
        <v>0</v>
      </c>
      <c r="N2705" s="10" t="str">
        <f t="shared" si="602"/>
        <v>00</v>
      </c>
      <c r="O2705" s="10">
        <f t="shared" si="603"/>
        <v>0</v>
      </c>
      <c r="P2705" s="10">
        <f t="shared" si="604"/>
        <v>0</v>
      </c>
      <c r="Q2705" s="10">
        <f t="shared" si="605"/>
        <v>0</v>
      </c>
    </row>
    <row r="2706" spans="1:17">
      <c r="A2706" s="15">
        <f t="shared" ref="A2706:A2769" si="611">A749</f>
        <v>0</v>
      </c>
      <c r="B2706" s="15"/>
      <c r="C2706" s="14">
        <f>Fixture!C710</f>
        <v>0</v>
      </c>
      <c r="D2706" s="15">
        <f>IF(E2706=0,0,IF(Fixture!D710&lt;Fixture!F710,0,IF(Fixture!F710&lt;Fixture!D710,3,1)))</f>
        <v>0</v>
      </c>
      <c r="E2706" s="16">
        <f>IF(OR(ISBLANK(Fixture!D710),ISBLANK(Fixture!F710),ISTEXT(Fixture!D710),ISTEXT(Fixture!F710)),0,1)</f>
        <v>0</v>
      </c>
      <c r="F2706" s="16">
        <f t="shared" si="606"/>
        <v>0</v>
      </c>
      <c r="G2706" s="16">
        <f t="shared" si="607"/>
        <v>0</v>
      </c>
      <c r="H2706" s="16">
        <f t="shared" si="608"/>
        <v>0</v>
      </c>
      <c r="I2706" s="63">
        <f>IF(E2706=0,0,Fixture!D710)</f>
        <v>0</v>
      </c>
      <c r="J2706" s="63">
        <f>IF(E2706=0,0,Fixture!F710)</f>
        <v>0</v>
      </c>
      <c r="K2706" s="63">
        <f t="shared" si="609"/>
        <v>0</v>
      </c>
      <c r="L2706" s="63">
        <f t="shared" si="610"/>
        <v>0</v>
      </c>
      <c r="N2706" s="10" t="str">
        <f t="shared" ref="N2706:N2769" si="612">CONCATENATE(C2706,A2706)</f>
        <v>00</v>
      </c>
      <c r="O2706" s="10">
        <f t="shared" ref="O2706:O2769" si="613">D2706</f>
        <v>0</v>
      </c>
      <c r="P2706" s="10">
        <f t="shared" ref="P2706:P2769" si="614">I2706</f>
        <v>0</v>
      </c>
      <c r="Q2706" s="10">
        <f t="shared" ref="Q2706:Q2769" si="615">J2706</f>
        <v>0</v>
      </c>
    </row>
    <row r="2707" spans="1:17">
      <c r="A2707" s="15">
        <f t="shared" si="611"/>
        <v>0</v>
      </c>
      <c r="B2707" s="15"/>
      <c r="C2707" s="14">
        <f>Fixture!C711</f>
        <v>0</v>
      </c>
      <c r="D2707" s="15">
        <f>IF(E2707=0,0,IF(Fixture!D711&lt;Fixture!F711,0,IF(Fixture!F711&lt;Fixture!D711,3,1)))</f>
        <v>0</v>
      </c>
      <c r="E2707" s="16">
        <f>IF(OR(ISBLANK(Fixture!D711),ISBLANK(Fixture!F711),ISTEXT(Fixture!D711),ISTEXT(Fixture!F711)),0,1)</f>
        <v>0</v>
      </c>
      <c r="F2707" s="16">
        <f t="shared" si="606"/>
        <v>0</v>
      </c>
      <c r="G2707" s="16">
        <f t="shared" si="607"/>
        <v>0</v>
      </c>
      <c r="H2707" s="16">
        <f t="shared" si="608"/>
        <v>0</v>
      </c>
      <c r="I2707" s="63">
        <f>IF(E2707=0,0,Fixture!D711)</f>
        <v>0</v>
      </c>
      <c r="J2707" s="63">
        <f>IF(E2707=0,0,Fixture!F711)</f>
        <v>0</v>
      </c>
      <c r="K2707" s="63">
        <f t="shared" si="609"/>
        <v>0</v>
      </c>
      <c r="L2707" s="63">
        <f t="shared" si="610"/>
        <v>0</v>
      </c>
      <c r="N2707" s="10" t="str">
        <f t="shared" si="612"/>
        <v>00</v>
      </c>
      <c r="O2707" s="10">
        <f t="shared" si="613"/>
        <v>0</v>
      </c>
      <c r="P2707" s="10">
        <f t="shared" si="614"/>
        <v>0</v>
      </c>
      <c r="Q2707" s="10">
        <f t="shared" si="615"/>
        <v>0</v>
      </c>
    </row>
    <row r="2708" spans="1:17">
      <c r="A2708" s="15">
        <f t="shared" si="611"/>
        <v>0</v>
      </c>
      <c r="B2708" s="15"/>
      <c r="C2708" s="14">
        <f>Fixture!C712</f>
        <v>0</v>
      </c>
      <c r="D2708" s="15">
        <f>IF(E2708=0,0,IF(Fixture!D712&lt;Fixture!F712,0,IF(Fixture!F712&lt;Fixture!D712,3,1)))</f>
        <v>0</v>
      </c>
      <c r="E2708" s="16">
        <f>IF(OR(ISBLANK(Fixture!D712),ISBLANK(Fixture!F712),ISTEXT(Fixture!D712),ISTEXT(Fixture!F712)),0,1)</f>
        <v>0</v>
      </c>
      <c r="F2708" s="16">
        <f t="shared" si="606"/>
        <v>0</v>
      </c>
      <c r="G2708" s="16">
        <f t="shared" si="607"/>
        <v>0</v>
      </c>
      <c r="H2708" s="16">
        <f t="shared" si="608"/>
        <v>0</v>
      </c>
      <c r="I2708" s="63">
        <f>IF(E2708=0,0,Fixture!D712)</f>
        <v>0</v>
      </c>
      <c r="J2708" s="63">
        <f>IF(E2708=0,0,Fixture!F712)</f>
        <v>0</v>
      </c>
      <c r="K2708" s="63">
        <f t="shared" si="609"/>
        <v>0</v>
      </c>
      <c r="L2708" s="63">
        <f t="shared" si="610"/>
        <v>0</v>
      </c>
      <c r="N2708" s="10" t="str">
        <f t="shared" si="612"/>
        <v>00</v>
      </c>
      <c r="O2708" s="10">
        <f t="shared" si="613"/>
        <v>0</v>
      </c>
      <c r="P2708" s="10">
        <f t="shared" si="614"/>
        <v>0</v>
      </c>
      <c r="Q2708" s="10">
        <f t="shared" si="615"/>
        <v>0</v>
      </c>
    </row>
    <row r="2709" spans="1:17">
      <c r="A2709" s="15">
        <f t="shared" si="611"/>
        <v>0</v>
      </c>
      <c r="B2709" s="15"/>
      <c r="C2709" s="14">
        <f>Fixture!C713</f>
        <v>0</v>
      </c>
      <c r="D2709" s="15">
        <f>IF(E2709=0,0,IF(Fixture!D713&lt;Fixture!F713,0,IF(Fixture!F713&lt;Fixture!D713,3,1)))</f>
        <v>0</v>
      </c>
      <c r="E2709" s="16">
        <f>IF(OR(ISBLANK(Fixture!D713),ISBLANK(Fixture!F713),ISTEXT(Fixture!D713),ISTEXT(Fixture!F713)),0,1)</f>
        <v>0</v>
      </c>
      <c r="F2709" s="16">
        <f t="shared" si="606"/>
        <v>0</v>
      </c>
      <c r="G2709" s="16">
        <f t="shared" si="607"/>
        <v>0</v>
      </c>
      <c r="H2709" s="16">
        <f t="shared" si="608"/>
        <v>0</v>
      </c>
      <c r="I2709" s="63">
        <f>IF(E2709=0,0,Fixture!D713)</f>
        <v>0</v>
      </c>
      <c r="J2709" s="63">
        <f>IF(E2709=0,0,Fixture!F713)</f>
        <v>0</v>
      </c>
      <c r="K2709" s="63">
        <f t="shared" si="609"/>
        <v>0</v>
      </c>
      <c r="L2709" s="63">
        <f t="shared" si="610"/>
        <v>0</v>
      </c>
      <c r="N2709" s="10" t="str">
        <f t="shared" si="612"/>
        <v>00</v>
      </c>
      <c r="O2709" s="10">
        <f t="shared" si="613"/>
        <v>0</v>
      </c>
      <c r="P2709" s="10">
        <f t="shared" si="614"/>
        <v>0</v>
      </c>
      <c r="Q2709" s="10">
        <f t="shared" si="615"/>
        <v>0</v>
      </c>
    </row>
    <row r="2710" spans="1:17">
      <c r="A2710" s="15">
        <f t="shared" si="611"/>
        <v>0</v>
      </c>
      <c r="B2710" s="15"/>
      <c r="C2710" s="14">
        <f>Fixture!C714</f>
        <v>0</v>
      </c>
      <c r="D2710" s="15">
        <f>IF(E2710=0,0,IF(Fixture!D714&lt;Fixture!F714,0,IF(Fixture!F714&lt;Fixture!D714,3,1)))</f>
        <v>0</v>
      </c>
      <c r="E2710" s="16">
        <f>IF(OR(ISBLANK(Fixture!D714),ISBLANK(Fixture!F714),ISTEXT(Fixture!D714),ISTEXT(Fixture!F714)),0,1)</f>
        <v>0</v>
      </c>
      <c r="F2710" s="16">
        <f t="shared" si="606"/>
        <v>0</v>
      </c>
      <c r="G2710" s="16">
        <f t="shared" si="607"/>
        <v>0</v>
      </c>
      <c r="H2710" s="16">
        <f t="shared" si="608"/>
        <v>0</v>
      </c>
      <c r="I2710" s="63">
        <f>IF(E2710=0,0,Fixture!D714)</f>
        <v>0</v>
      </c>
      <c r="J2710" s="63">
        <f>IF(E2710=0,0,Fixture!F714)</f>
        <v>0</v>
      </c>
      <c r="K2710" s="63">
        <f t="shared" si="609"/>
        <v>0</v>
      </c>
      <c r="L2710" s="63">
        <f t="shared" si="610"/>
        <v>0</v>
      </c>
      <c r="N2710" s="10" t="str">
        <f t="shared" si="612"/>
        <v>00</v>
      </c>
      <c r="O2710" s="10">
        <f t="shared" si="613"/>
        <v>0</v>
      </c>
      <c r="P2710" s="10">
        <f t="shared" si="614"/>
        <v>0</v>
      </c>
      <c r="Q2710" s="10">
        <f t="shared" si="615"/>
        <v>0</v>
      </c>
    </row>
    <row r="2711" spans="1:17">
      <c r="A2711" s="15">
        <f t="shared" si="611"/>
        <v>0</v>
      </c>
      <c r="B2711" s="15"/>
      <c r="C2711" s="14">
        <f>Fixture!C715</f>
        <v>0</v>
      </c>
      <c r="D2711" s="15">
        <f>IF(E2711=0,0,IF(Fixture!D715&lt;Fixture!F715,0,IF(Fixture!F715&lt;Fixture!D715,3,1)))</f>
        <v>0</v>
      </c>
      <c r="E2711" s="16">
        <f>IF(OR(ISBLANK(Fixture!D715),ISBLANK(Fixture!F715),ISTEXT(Fixture!D715),ISTEXT(Fixture!F715)),0,1)</f>
        <v>0</v>
      </c>
      <c r="F2711" s="16">
        <f t="shared" si="606"/>
        <v>0</v>
      </c>
      <c r="G2711" s="16">
        <f t="shared" si="607"/>
        <v>0</v>
      </c>
      <c r="H2711" s="16">
        <f t="shared" si="608"/>
        <v>0</v>
      </c>
      <c r="I2711" s="63">
        <f>IF(E2711=0,0,Fixture!D715)</f>
        <v>0</v>
      </c>
      <c r="J2711" s="63">
        <f>IF(E2711=0,0,Fixture!F715)</f>
        <v>0</v>
      </c>
      <c r="K2711" s="63">
        <f t="shared" si="609"/>
        <v>0</v>
      </c>
      <c r="L2711" s="63">
        <f t="shared" si="610"/>
        <v>0</v>
      </c>
      <c r="N2711" s="10" t="str">
        <f t="shared" si="612"/>
        <v>00</v>
      </c>
      <c r="O2711" s="10">
        <f t="shared" si="613"/>
        <v>0</v>
      </c>
      <c r="P2711" s="10">
        <f t="shared" si="614"/>
        <v>0</v>
      </c>
      <c r="Q2711" s="10">
        <f t="shared" si="615"/>
        <v>0</v>
      </c>
    </row>
    <row r="2712" spans="1:17">
      <c r="A2712" s="15">
        <f t="shared" si="611"/>
        <v>0</v>
      </c>
      <c r="B2712" s="15"/>
      <c r="C2712" s="14">
        <f>Fixture!C716</f>
        <v>0</v>
      </c>
      <c r="D2712" s="15">
        <f>IF(E2712=0,0,IF(Fixture!D716&lt;Fixture!F716,0,IF(Fixture!F716&lt;Fixture!D716,3,1)))</f>
        <v>0</v>
      </c>
      <c r="E2712" s="16">
        <f>IF(OR(ISBLANK(Fixture!D716),ISBLANK(Fixture!F716),ISTEXT(Fixture!D716),ISTEXT(Fixture!F716)),0,1)</f>
        <v>0</v>
      </c>
      <c r="F2712" s="16">
        <f t="shared" si="606"/>
        <v>0</v>
      </c>
      <c r="G2712" s="16">
        <f t="shared" si="607"/>
        <v>0</v>
      </c>
      <c r="H2712" s="16">
        <f t="shared" si="608"/>
        <v>0</v>
      </c>
      <c r="I2712" s="63">
        <f>IF(E2712=0,0,Fixture!D716)</f>
        <v>0</v>
      </c>
      <c r="J2712" s="63">
        <f>IF(E2712=0,0,Fixture!F716)</f>
        <v>0</v>
      </c>
      <c r="K2712" s="63">
        <f t="shared" si="609"/>
        <v>0</v>
      </c>
      <c r="L2712" s="63">
        <f t="shared" si="610"/>
        <v>0</v>
      </c>
      <c r="N2712" s="10" t="str">
        <f t="shared" si="612"/>
        <v>00</v>
      </c>
      <c r="O2712" s="10">
        <f t="shared" si="613"/>
        <v>0</v>
      </c>
      <c r="P2712" s="10">
        <f t="shared" si="614"/>
        <v>0</v>
      </c>
      <c r="Q2712" s="10">
        <f t="shared" si="615"/>
        <v>0</v>
      </c>
    </row>
    <row r="2713" spans="1:17">
      <c r="A2713" s="15">
        <f t="shared" si="611"/>
        <v>0</v>
      </c>
      <c r="B2713" s="15"/>
      <c r="C2713" s="14">
        <f>Fixture!C717</f>
        <v>0</v>
      </c>
      <c r="D2713" s="15">
        <f>IF(E2713=0,0,IF(Fixture!D717&lt;Fixture!F717,0,IF(Fixture!F717&lt;Fixture!D717,3,1)))</f>
        <v>0</v>
      </c>
      <c r="E2713" s="16">
        <f>IF(OR(ISBLANK(Fixture!D717),ISBLANK(Fixture!F717),ISTEXT(Fixture!D717),ISTEXT(Fixture!F717)),0,1)</f>
        <v>0</v>
      </c>
      <c r="F2713" s="16">
        <f t="shared" si="606"/>
        <v>0</v>
      </c>
      <c r="G2713" s="16">
        <f t="shared" si="607"/>
        <v>0</v>
      </c>
      <c r="H2713" s="16">
        <f t="shared" si="608"/>
        <v>0</v>
      </c>
      <c r="I2713" s="63">
        <f>IF(E2713=0,0,Fixture!D717)</f>
        <v>0</v>
      </c>
      <c r="J2713" s="63">
        <f>IF(E2713=0,0,Fixture!F717)</f>
        <v>0</v>
      </c>
      <c r="K2713" s="63">
        <f t="shared" si="609"/>
        <v>0</v>
      </c>
      <c r="L2713" s="63">
        <f t="shared" si="610"/>
        <v>0</v>
      </c>
      <c r="N2713" s="10" t="str">
        <f t="shared" si="612"/>
        <v>00</v>
      </c>
      <c r="O2713" s="10">
        <f t="shared" si="613"/>
        <v>0</v>
      </c>
      <c r="P2713" s="10">
        <f t="shared" si="614"/>
        <v>0</v>
      </c>
      <c r="Q2713" s="10">
        <f t="shared" si="615"/>
        <v>0</v>
      </c>
    </row>
    <row r="2714" spans="1:17">
      <c r="A2714" s="15">
        <f t="shared" si="611"/>
        <v>0</v>
      </c>
      <c r="B2714" s="15"/>
      <c r="C2714" s="14">
        <f>Fixture!C718</f>
        <v>0</v>
      </c>
      <c r="D2714" s="15">
        <f>IF(E2714=0,0,IF(Fixture!D718&lt;Fixture!F718,0,IF(Fixture!F718&lt;Fixture!D718,3,1)))</f>
        <v>0</v>
      </c>
      <c r="E2714" s="16">
        <f>IF(OR(ISBLANK(Fixture!D718),ISBLANK(Fixture!F718),ISTEXT(Fixture!D718),ISTEXT(Fixture!F718)),0,1)</f>
        <v>0</v>
      </c>
      <c r="F2714" s="16">
        <f t="shared" si="606"/>
        <v>0</v>
      </c>
      <c r="G2714" s="16">
        <f t="shared" si="607"/>
        <v>0</v>
      </c>
      <c r="H2714" s="16">
        <f t="shared" si="608"/>
        <v>0</v>
      </c>
      <c r="I2714" s="63">
        <f>IF(E2714=0,0,Fixture!D718)</f>
        <v>0</v>
      </c>
      <c r="J2714" s="63">
        <f>IF(E2714=0,0,Fixture!F718)</f>
        <v>0</v>
      </c>
      <c r="K2714" s="63">
        <f t="shared" si="609"/>
        <v>0</v>
      </c>
      <c r="L2714" s="63">
        <f t="shared" si="610"/>
        <v>0</v>
      </c>
      <c r="N2714" s="10" t="str">
        <f t="shared" si="612"/>
        <v>00</v>
      </c>
      <c r="O2714" s="10">
        <f t="shared" si="613"/>
        <v>0</v>
      </c>
      <c r="P2714" s="10">
        <f t="shared" si="614"/>
        <v>0</v>
      </c>
      <c r="Q2714" s="10">
        <f t="shared" si="615"/>
        <v>0</v>
      </c>
    </row>
    <row r="2715" spans="1:17">
      <c r="A2715" s="15">
        <f t="shared" si="611"/>
        <v>0</v>
      </c>
      <c r="B2715" s="15"/>
      <c r="C2715" s="14">
        <f>Fixture!C719</f>
        <v>0</v>
      </c>
      <c r="D2715" s="15">
        <f>IF(E2715=0,0,IF(Fixture!D719&lt;Fixture!F719,0,IF(Fixture!F719&lt;Fixture!D719,3,1)))</f>
        <v>0</v>
      </c>
      <c r="E2715" s="16">
        <f>IF(OR(ISBLANK(Fixture!D719),ISBLANK(Fixture!F719),ISTEXT(Fixture!D719),ISTEXT(Fixture!F719)),0,1)</f>
        <v>0</v>
      </c>
      <c r="F2715" s="16">
        <f t="shared" si="606"/>
        <v>0</v>
      </c>
      <c r="G2715" s="16">
        <f t="shared" si="607"/>
        <v>0</v>
      </c>
      <c r="H2715" s="16">
        <f t="shared" si="608"/>
        <v>0</v>
      </c>
      <c r="I2715" s="63">
        <f>IF(E2715=0,0,Fixture!D719)</f>
        <v>0</v>
      </c>
      <c r="J2715" s="63">
        <f>IF(E2715=0,0,Fixture!F719)</f>
        <v>0</v>
      </c>
      <c r="K2715" s="63">
        <f t="shared" si="609"/>
        <v>0</v>
      </c>
      <c r="L2715" s="63">
        <f t="shared" si="610"/>
        <v>0</v>
      </c>
      <c r="N2715" s="10" t="str">
        <f t="shared" si="612"/>
        <v>00</v>
      </c>
      <c r="O2715" s="10">
        <f t="shared" si="613"/>
        <v>0</v>
      </c>
      <c r="P2715" s="10">
        <f t="shared" si="614"/>
        <v>0</v>
      </c>
      <c r="Q2715" s="10">
        <f t="shared" si="615"/>
        <v>0</v>
      </c>
    </row>
    <row r="2716" spans="1:17">
      <c r="A2716" s="15">
        <f t="shared" si="611"/>
        <v>0</v>
      </c>
      <c r="B2716" s="15"/>
      <c r="C2716" s="14">
        <f>Fixture!C720</f>
        <v>0</v>
      </c>
      <c r="D2716" s="15">
        <f>IF(E2716=0,0,IF(Fixture!D720&lt;Fixture!F720,0,IF(Fixture!F720&lt;Fixture!D720,3,1)))</f>
        <v>0</v>
      </c>
      <c r="E2716" s="16">
        <f>IF(OR(ISBLANK(Fixture!D720),ISBLANK(Fixture!F720),ISTEXT(Fixture!D720),ISTEXT(Fixture!F720)),0,1)</f>
        <v>0</v>
      </c>
      <c r="F2716" s="16">
        <f t="shared" si="606"/>
        <v>0</v>
      </c>
      <c r="G2716" s="16">
        <f t="shared" si="607"/>
        <v>0</v>
      </c>
      <c r="H2716" s="16">
        <f t="shared" si="608"/>
        <v>0</v>
      </c>
      <c r="I2716" s="63">
        <f>IF(E2716=0,0,Fixture!D720)</f>
        <v>0</v>
      </c>
      <c r="J2716" s="63">
        <f>IF(E2716=0,0,Fixture!F720)</f>
        <v>0</v>
      </c>
      <c r="K2716" s="63">
        <f t="shared" si="609"/>
        <v>0</v>
      </c>
      <c r="L2716" s="63">
        <f t="shared" si="610"/>
        <v>0</v>
      </c>
      <c r="N2716" s="10" t="str">
        <f t="shared" si="612"/>
        <v>00</v>
      </c>
      <c r="O2716" s="10">
        <f t="shared" si="613"/>
        <v>0</v>
      </c>
      <c r="P2716" s="10">
        <f t="shared" si="614"/>
        <v>0</v>
      </c>
      <c r="Q2716" s="10">
        <f t="shared" si="615"/>
        <v>0</v>
      </c>
    </row>
    <row r="2717" spans="1:17">
      <c r="A2717" s="15">
        <f t="shared" si="611"/>
        <v>0</v>
      </c>
      <c r="B2717" s="15"/>
      <c r="C2717" s="14">
        <f>Fixture!C721</f>
        <v>0</v>
      </c>
      <c r="D2717" s="15">
        <f>IF(E2717=0,0,IF(Fixture!D721&lt;Fixture!F721,0,IF(Fixture!F721&lt;Fixture!D721,3,1)))</f>
        <v>0</v>
      </c>
      <c r="E2717" s="16">
        <f>IF(OR(ISBLANK(Fixture!D721),ISBLANK(Fixture!F721),ISTEXT(Fixture!D721),ISTEXT(Fixture!F721)),0,1)</f>
        <v>0</v>
      </c>
      <c r="F2717" s="16">
        <f t="shared" si="606"/>
        <v>0</v>
      </c>
      <c r="G2717" s="16">
        <f t="shared" si="607"/>
        <v>0</v>
      </c>
      <c r="H2717" s="16">
        <f t="shared" si="608"/>
        <v>0</v>
      </c>
      <c r="I2717" s="63">
        <f>IF(E2717=0,0,Fixture!D721)</f>
        <v>0</v>
      </c>
      <c r="J2717" s="63">
        <f>IF(E2717=0,0,Fixture!F721)</f>
        <v>0</v>
      </c>
      <c r="K2717" s="63">
        <f t="shared" si="609"/>
        <v>0</v>
      </c>
      <c r="L2717" s="63">
        <f t="shared" si="610"/>
        <v>0</v>
      </c>
      <c r="N2717" s="10" t="str">
        <f t="shared" si="612"/>
        <v>00</v>
      </c>
      <c r="O2717" s="10">
        <f t="shared" si="613"/>
        <v>0</v>
      </c>
      <c r="P2717" s="10">
        <f t="shared" si="614"/>
        <v>0</v>
      </c>
      <c r="Q2717" s="10">
        <f t="shared" si="615"/>
        <v>0</v>
      </c>
    </row>
    <row r="2718" spans="1:17">
      <c r="A2718" s="15">
        <f t="shared" si="611"/>
        <v>0</v>
      </c>
      <c r="B2718" s="15"/>
      <c r="C2718" s="14">
        <f>Fixture!C722</f>
        <v>0</v>
      </c>
      <c r="D2718" s="15">
        <f>IF(E2718=0,0,IF(Fixture!D722&lt;Fixture!F722,0,IF(Fixture!F722&lt;Fixture!D722,3,1)))</f>
        <v>0</v>
      </c>
      <c r="E2718" s="16">
        <f>IF(OR(ISBLANK(Fixture!D722),ISBLANK(Fixture!F722),ISTEXT(Fixture!D722),ISTEXT(Fixture!F722)),0,1)</f>
        <v>0</v>
      </c>
      <c r="F2718" s="16">
        <f t="shared" si="606"/>
        <v>0</v>
      </c>
      <c r="G2718" s="16">
        <f t="shared" si="607"/>
        <v>0</v>
      </c>
      <c r="H2718" s="16">
        <f t="shared" si="608"/>
        <v>0</v>
      </c>
      <c r="I2718" s="63">
        <f>IF(E2718=0,0,Fixture!D722)</f>
        <v>0</v>
      </c>
      <c r="J2718" s="63">
        <f>IF(E2718=0,0,Fixture!F722)</f>
        <v>0</v>
      </c>
      <c r="K2718" s="63">
        <f t="shared" si="609"/>
        <v>0</v>
      </c>
      <c r="L2718" s="63">
        <f t="shared" si="610"/>
        <v>0</v>
      </c>
      <c r="N2718" s="10" t="str">
        <f t="shared" si="612"/>
        <v>00</v>
      </c>
      <c r="O2718" s="10">
        <f t="shared" si="613"/>
        <v>0</v>
      </c>
      <c r="P2718" s="10">
        <f t="shared" si="614"/>
        <v>0</v>
      </c>
      <c r="Q2718" s="10">
        <f t="shared" si="615"/>
        <v>0</v>
      </c>
    </row>
    <row r="2719" spans="1:17">
      <c r="A2719" s="15">
        <f t="shared" si="611"/>
        <v>0</v>
      </c>
      <c r="B2719" s="15"/>
      <c r="C2719" s="14">
        <f>Fixture!C723</f>
        <v>0</v>
      </c>
      <c r="D2719" s="15">
        <f>IF(E2719=0,0,IF(Fixture!D723&lt;Fixture!F723,0,IF(Fixture!F723&lt;Fixture!D723,3,1)))</f>
        <v>0</v>
      </c>
      <c r="E2719" s="16">
        <f>IF(OR(ISBLANK(Fixture!D723),ISBLANK(Fixture!F723),ISTEXT(Fixture!D723),ISTEXT(Fixture!F723)),0,1)</f>
        <v>0</v>
      </c>
      <c r="F2719" s="16">
        <f t="shared" si="606"/>
        <v>0</v>
      </c>
      <c r="G2719" s="16">
        <f t="shared" si="607"/>
        <v>0</v>
      </c>
      <c r="H2719" s="16">
        <f t="shared" si="608"/>
        <v>0</v>
      </c>
      <c r="I2719" s="63">
        <f>IF(E2719=0,0,Fixture!D723)</f>
        <v>0</v>
      </c>
      <c r="J2719" s="63">
        <f>IF(E2719=0,0,Fixture!F723)</f>
        <v>0</v>
      </c>
      <c r="K2719" s="63">
        <f t="shared" si="609"/>
        <v>0</v>
      </c>
      <c r="L2719" s="63">
        <f t="shared" si="610"/>
        <v>0</v>
      </c>
      <c r="N2719" s="10" t="str">
        <f t="shared" si="612"/>
        <v>00</v>
      </c>
      <c r="O2719" s="10">
        <f t="shared" si="613"/>
        <v>0</v>
      </c>
      <c r="P2719" s="10">
        <f t="shared" si="614"/>
        <v>0</v>
      </c>
      <c r="Q2719" s="10">
        <f t="shared" si="615"/>
        <v>0</v>
      </c>
    </row>
    <row r="2720" spans="1:17">
      <c r="A2720" s="15">
        <f t="shared" si="611"/>
        <v>0</v>
      </c>
      <c r="B2720" s="15"/>
      <c r="C2720" s="14">
        <f>Fixture!C724</f>
        <v>0</v>
      </c>
      <c r="D2720" s="15">
        <f>IF(E2720=0,0,IF(Fixture!D724&lt;Fixture!F724,0,IF(Fixture!F724&lt;Fixture!D724,3,1)))</f>
        <v>0</v>
      </c>
      <c r="E2720" s="16">
        <f>IF(OR(ISBLANK(Fixture!D724),ISBLANK(Fixture!F724),ISTEXT(Fixture!D724),ISTEXT(Fixture!F724)),0,1)</f>
        <v>0</v>
      </c>
      <c r="F2720" s="16">
        <f t="shared" si="606"/>
        <v>0</v>
      </c>
      <c r="G2720" s="16">
        <f t="shared" si="607"/>
        <v>0</v>
      </c>
      <c r="H2720" s="16">
        <f t="shared" si="608"/>
        <v>0</v>
      </c>
      <c r="I2720" s="63">
        <f>IF(E2720=0,0,Fixture!D724)</f>
        <v>0</v>
      </c>
      <c r="J2720" s="63">
        <f>IF(E2720=0,0,Fixture!F724)</f>
        <v>0</v>
      </c>
      <c r="K2720" s="63">
        <f t="shared" si="609"/>
        <v>0</v>
      </c>
      <c r="L2720" s="63">
        <f t="shared" si="610"/>
        <v>0</v>
      </c>
      <c r="N2720" s="10" t="str">
        <f t="shared" si="612"/>
        <v>00</v>
      </c>
      <c r="O2720" s="10">
        <f t="shared" si="613"/>
        <v>0</v>
      </c>
      <c r="P2720" s="10">
        <f t="shared" si="614"/>
        <v>0</v>
      </c>
      <c r="Q2720" s="10">
        <f t="shared" si="615"/>
        <v>0</v>
      </c>
    </row>
    <row r="2721" spans="1:17">
      <c r="A2721" s="15">
        <f t="shared" si="611"/>
        <v>0</v>
      </c>
      <c r="B2721" s="15"/>
      <c r="C2721" s="14">
        <f>Fixture!C725</f>
        <v>0</v>
      </c>
      <c r="D2721" s="15">
        <f>IF(E2721=0,0,IF(Fixture!D725&lt;Fixture!F725,0,IF(Fixture!F725&lt;Fixture!D725,3,1)))</f>
        <v>0</v>
      </c>
      <c r="E2721" s="16">
        <f>IF(OR(ISBLANK(Fixture!D725),ISBLANK(Fixture!F725),ISTEXT(Fixture!D725),ISTEXT(Fixture!F725)),0,1)</f>
        <v>0</v>
      </c>
      <c r="F2721" s="16">
        <f t="shared" si="606"/>
        <v>0</v>
      </c>
      <c r="G2721" s="16">
        <f t="shared" si="607"/>
        <v>0</v>
      </c>
      <c r="H2721" s="16">
        <f t="shared" si="608"/>
        <v>0</v>
      </c>
      <c r="I2721" s="63">
        <f>IF(E2721=0,0,Fixture!D725)</f>
        <v>0</v>
      </c>
      <c r="J2721" s="63">
        <f>IF(E2721=0,0,Fixture!F725)</f>
        <v>0</v>
      </c>
      <c r="K2721" s="63">
        <f t="shared" si="609"/>
        <v>0</v>
      </c>
      <c r="L2721" s="63">
        <f t="shared" si="610"/>
        <v>0</v>
      </c>
      <c r="N2721" s="10" t="str">
        <f t="shared" si="612"/>
        <v>00</v>
      </c>
      <c r="O2721" s="10">
        <f t="shared" si="613"/>
        <v>0</v>
      </c>
      <c r="P2721" s="10">
        <f t="shared" si="614"/>
        <v>0</v>
      </c>
      <c r="Q2721" s="10">
        <f t="shared" si="615"/>
        <v>0</v>
      </c>
    </row>
    <row r="2722" spans="1:17">
      <c r="A2722" s="15">
        <f t="shared" si="611"/>
        <v>0</v>
      </c>
      <c r="B2722" s="15"/>
      <c r="C2722" s="14">
        <f>Fixture!C726</f>
        <v>0</v>
      </c>
      <c r="D2722" s="15">
        <f>IF(E2722=0,0,IF(Fixture!D726&lt;Fixture!F726,0,IF(Fixture!F726&lt;Fixture!D726,3,1)))</f>
        <v>0</v>
      </c>
      <c r="E2722" s="16">
        <f>IF(OR(ISBLANK(Fixture!D726),ISBLANK(Fixture!F726),ISTEXT(Fixture!D726),ISTEXT(Fixture!F726)),0,1)</f>
        <v>0</v>
      </c>
      <c r="F2722" s="16">
        <f t="shared" si="606"/>
        <v>0</v>
      </c>
      <c r="G2722" s="16">
        <f t="shared" si="607"/>
        <v>0</v>
      </c>
      <c r="H2722" s="16">
        <f t="shared" si="608"/>
        <v>0</v>
      </c>
      <c r="I2722" s="63">
        <f>IF(E2722=0,0,Fixture!D726)</f>
        <v>0</v>
      </c>
      <c r="J2722" s="63">
        <f>IF(E2722=0,0,Fixture!F726)</f>
        <v>0</v>
      </c>
      <c r="K2722" s="63">
        <f t="shared" si="609"/>
        <v>0</v>
      </c>
      <c r="L2722" s="63">
        <f t="shared" si="610"/>
        <v>0</v>
      </c>
      <c r="N2722" s="10" t="str">
        <f t="shared" si="612"/>
        <v>00</v>
      </c>
      <c r="O2722" s="10">
        <f t="shared" si="613"/>
        <v>0</v>
      </c>
      <c r="P2722" s="10">
        <f t="shared" si="614"/>
        <v>0</v>
      </c>
      <c r="Q2722" s="10">
        <f t="shared" si="615"/>
        <v>0</v>
      </c>
    </row>
    <row r="2723" spans="1:17">
      <c r="A2723" s="15">
        <f t="shared" si="611"/>
        <v>0</v>
      </c>
      <c r="B2723" s="15"/>
      <c r="C2723" s="14">
        <f>Fixture!C727</f>
        <v>0</v>
      </c>
      <c r="D2723" s="15">
        <f>IF(E2723=0,0,IF(Fixture!D727&lt;Fixture!F727,0,IF(Fixture!F727&lt;Fixture!D727,3,1)))</f>
        <v>0</v>
      </c>
      <c r="E2723" s="16">
        <f>IF(OR(ISBLANK(Fixture!D727),ISBLANK(Fixture!F727),ISTEXT(Fixture!D727),ISTEXT(Fixture!F727)),0,1)</f>
        <v>0</v>
      </c>
      <c r="F2723" s="16">
        <f t="shared" si="606"/>
        <v>0</v>
      </c>
      <c r="G2723" s="16">
        <f t="shared" si="607"/>
        <v>0</v>
      </c>
      <c r="H2723" s="16">
        <f t="shared" si="608"/>
        <v>0</v>
      </c>
      <c r="I2723" s="63">
        <f>IF(E2723=0,0,Fixture!D727)</f>
        <v>0</v>
      </c>
      <c r="J2723" s="63">
        <f>IF(E2723=0,0,Fixture!F727)</f>
        <v>0</v>
      </c>
      <c r="K2723" s="63">
        <f t="shared" si="609"/>
        <v>0</v>
      </c>
      <c r="L2723" s="63">
        <f t="shared" si="610"/>
        <v>0</v>
      </c>
      <c r="N2723" s="10" t="str">
        <f t="shared" si="612"/>
        <v>00</v>
      </c>
      <c r="O2723" s="10">
        <f t="shared" si="613"/>
        <v>0</v>
      </c>
      <c r="P2723" s="10">
        <f t="shared" si="614"/>
        <v>0</v>
      </c>
      <c r="Q2723" s="10">
        <f t="shared" si="615"/>
        <v>0</v>
      </c>
    </row>
    <row r="2724" spans="1:17">
      <c r="A2724" s="15">
        <f t="shared" si="611"/>
        <v>0</v>
      </c>
      <c r="B2724" s="15"/>
      <c r="C2724" s="14">
        <f>Fixture!C728</f>
        <v>0</v>
      </c>
      <c r="D2724" s="15">
        <f>IF(E2724=0,0,IF(Fixture!D728&lt;Fixture!F728,0,IF(Fixture!F728&lt;Fixture!D728,3,1)))</f>
        <v>0</v>
      </c>
      <c r="E2724" s="16">
        <f>IF(OR(ISBLANK(Fixture!D728),ISBLANK(Fixture!F728),ISTEXT(Fixture!D728),ISTEXT(Fixture!F728)),0,1)</f>
        <v>0</v>
      </c>
      <c r="F2724" s="16">
        <f t="shared" si="606"/>
        <v>0</v>
      </c>
      <c r="G2724" s="16">
        <f t="shared" si="607"/>
        <v>0</v>
      </c>
      <c r="H2724" s="16">
        <f t="shared" si="608"/>
        <v>0</v>
      </c>
      <c r="I2724" s="63">
        <f>IF(E2724=0,0,Fixture!D728)</f>
        <v>0</v>
      </c>
      <c r="J2724" s="63">
        <f>IF(E2724=0,0,Fixture!F728)</f>
        <v>0</v>
      </c>
      <c r="K2724" s="63">
        <f t="shared" si="609"/>
        <v>0</v>
      </c>
      <c r="L2724" s="63">
        <f t="shared" si="610"/>
        <v>0</v>
      </c>
      <c r="N2724" s="10" t="str">
        <f t="shared" si="612"/>
        <v>00</v>
      </c>
      <c r="O2724" s="10">
        <f t="shared" si="613"/>
        <v>0</v>
      </c>
      <c r="P2724" s="10">
        <f t="shared" si="614"/>
        <v>0</v>
      </c>
      <c r="Q2724" s="10">
        <f t="shared" si="615"/>
        <v>0</v>
      </c>
    </row>
    <row r="2725" spans="1:17">
      <c r="A2725" s="15">
        <f t="shared" si="611"/>
        <v>0</v>
      </c>
      <c r="B2725" s="15"/>
      <c r="C2725" s="14">
        <f>Fixture!C729</f>
        <v>0</v>
      </c>
      <c r="D2725" s="15">
        <f>IF(E2725=0,0,IF(Fixture!D729&lt;Fixture!F729,0,IF(Fixture!F729&lt;Fixture!D729,3,1)))</f>
        <v>0</v>
      </c>
      <c r="E2725" s="16">
        <f>IF(OR(ISBLANK(Fixture!D729),ISBLANK(Fixture!F729),ISTEXT(Fixture!D729),ISTEXT(Fixture!F729)),0,1)</f>
        <v>0</v>
      </c>
      <c r="F2725" s="16">
        <f t="shared" si="606"/>
        <v>0</v>
      </c>
      <c r="G2725" s="16">
        <f t="shared" si="607"/>
        <v>0</v>
      </c>
      <c r="H2725" s="16">
        <f t="shared" si="608"/>
        <v>0</v>
      </c>
      <c r="I2725" s="63">
        <f>IF(E2725=0,0,Fixture!D729)</f>
        <v>0</v>
      </c>
      <c r="J2725" s="63">
        <f>IF(E2725=0,0,Fixture!F729)</f>
        <v>0</v>
      </c>
      <c r="K2725" s="63">
        <f t="shared" si="609"/>
        <v>0</v>
      </c>
      <c r="L2725" s="63">
        <f t="shared" si="610"/>
        <v>0</v>
      </c>
      <c r="N2725" s="10" t="str">
        <f t="shared" si="612"/>
        <v>00</v>
      </c>
      <c r="O2725" s="10">
        <f t="shared" si="613"/>
        <v>0</v>
      </c>
      <c r="P2725" s="10">
        <f t="shared" si="614"/>
        <v>0</v>
      </c>
      <c r="Q2725" s="10">
        <f t="shared" si="615"/>
        <v>0</v>
      </c>
    </row>
    <row r="2726" spans="1:17">
      <c r="A2726" s="15">
        <f t="shared" si="611"/>
        <v>0</v>
      </c>
      <c r="B2726" s="15"/>
      <c r="C2726" s="14">
        <f>Fixture!C730</f>
        <v>0</v>
      </c>
      <c r="D2726" s="15">
        <f>IF(E2726=0,0,IF(Fixture!D730&lt;Fixture!F730,0,IF(Fixture!F730&lt;Fixture!D730,3,1)))</f>
        <v>0</v>
      </c>
      <c r="E2726" s="16">
        <f>IF(OR(ISBLANK(Fixture!D730),ISBLANK(Fixture!F730),ISTEXT(Fixture!D730),ISTEXT(Fixture!F730)),0,1)</f>
        <v>0</v>
      </c>
      <c r="F2726" s="16">
        <f t="shared" si="606"/>
        <v>0</v>
      </c>
      <c r="G2726" s="16">
        <f t="shared" si="607"/>
        <v>0</v>
      </c>
      <c r="H2726" s="16">
        <f t="shared" si="608"/>
        <v>0</v>
      </c>
      <c r="I2726" s="63">
        <f>IF(E2726=0,0,Fixture!D730)</f>
        <v>0</v>
      </c>
      <c r="J2726" s="63">
        <f>IF(E2726=0,0,Fixture!F730)</f>
        <v>0</v>
      </c>
      <c r="K2726" s="63">
        <f t="shared" si="609"/>
        <v>0</v>
      </c>
      <c r="L2726" s="63">
        <f t="shared" si="610"/>
        <v>0</v>
      </c>
      <c r="N2726" s="10" t="str">
        <f t="shared" si="612"/>
        <v>00</v>
      </c>
      <c r="O2726" s="10">
        <f t="shared" si="613"/>
        <v>0</v>
      </c>
      <c r="P2726" s="10">
        <f t="shared" si="614"/>
        <v>0</v>
      </c>
      <c r="Q2726" s="10">
        <f t="shared" si="615"/>
        <v>0</v>
      </c>
    </row>
    <row r="2727" spans="1:17">
      <c r="A2727" s="15">
        <f t="shared" si="611"/>
        <v>0</v>
      </c>
      <c r="B2727" s="15"/>
      <c r="C2727" s="14">
        <f>Fixture!C731</f>
        <v>0</v>
      </c>
      <c r="D2727" s="15">
        <f>IF(E2727=0,0,IF(Fixture!D731&lt;Fixture!F731,0,IF(Fixture!F731&lt;Fixture!D731,3,1)))</f>
        <v>0</v>
      </c>
      <c r="E2727" s="16">
        <f>IF(OR(ISBLANK(Fixture!D731),ISBLANK(Fixture!F731),ISTEXT(Fixture!D731),ISTEXT(Fixture!F731)),0,1)</f>
        <v>0</v>
      </c>
      <c r="F2727" s="16">
        <f t="shared" si="606"/>
        <v>0</v>
      </c>
      <c r="G2727" s="16">
        <f t="shared" si="607"/>
        <v>0</v>
      </c>
      <c r="H2727" s="16">
        <f t="shared" si="608"/>
        <v>0</v>
      </c>
      <c r="I2727" s="63">
        <f>IF(E2727=0,0,Fixture!D731)</f>
        <v>0</v>
      </c>
      <c r="J2727" s="63">
        <f>IF(E2727=0,0,Fixture!F731)</f>
        <v>0</v>
      </c>
      <c r="K2727" s="63">
        <f t="shared" si="609"/>
        <v>0</v>
      </c>
      <c r="L2727" s="63">
        <f t="shared" si="610"/>
        <v>0</v>
      </c>
      <c r="N2727" s="10" t="str">
        <f t="shared" si="612"/>
        <v>00</v>
      </c>
      <c r="O2727" s="10">
        <f t="shared" si="613"/>
        <v>0</v>
      </c>
      <c r="P2727" s="10">
        <f t="shared" si="614"/>
        <v>0</v>
      </c>
      <c r="Q2727" s="10">
        <f t="shared" si="615"/>
        <v>0</v>
      </c>
    </row>
    <row r="2728" spans="1:17">
      <c r="A2728" s="15">
        <f t="shared" si="611"/>
        <v>0</v>
      </c>
      <c r="B2728" s="15"/>
      <c r="C2728" s="14">
        <f>Fixture!C732</f>
        <v>0</v>
      </c>
      <c r="D2728" s="15">
        <f>IF(E2728=0,0,IF(Fixture!D732&lt;Fixture!F732,0,IF(Fixture!F732&lt;Fixture!D732,3,1)))</f>
        <v>0</v>
      </c>
      <c r="E2728" s="16">
        <f>IF(OR(ISBLANK(Fixture!D732),ISBLANK(Fixture!F732),ISTEXT(Fixture!D732),ISTEXT(Fixture!F732)),0,1)</f>
        <v>0</v>
      </c>
      <c r="F2728" s="16">
        <f t="shared" si="606"/>
        <v>0</v>
      </c>
      <c r="G2728" s="16">
        <f t="shared" si="607"/>
        <v>0</v>
      </c>
      <c r="H2728" s="16">
        <f t="shared" si="608"/>
        <v>0</v>
      </c>
      <c r="I2728" s="63">
        <f>IF(E2728=0,0,Fixture!D732)</f>
        <v>0</v>
      </c>
      <c r="J2728" s="63">
        <f>IF(E2728=0,0,Fixture!F732)</f>
        <v>0</v>
      </c>
      <c r="K2728" s="63">
        <f t="shared" si="609"/>
        <v>0</v>
      </c>
      <c r="L2728" s="63">
        <f t="shared" si="610"/>
        <v>0</v>
      </c>
      <c r="N2728" s="10" t="str">
        <f t="shared" si="612"/>
        <v>00</v>
      </c>
      <c r="O2728" s="10">
        <f t="shared" si="613"/>
        <v>0</v>
      </c>
      <c r="P2728" s="10">
        <f t="shared" si="614"/>
        <v>0</v>
      </c>
      <c r="Q2728" s="10">
        <f t="shared" si="615"/>
        <v>0</v>
      </c>
    </row>
    <row r="2729" spans="1:17">
      <c r="A2729" s="15">
        <f t="shared" si="611"/>
        <v>0</v>
      </c>
      <c r="B2729" s="15"/>
      <c r="C2729" s="14">
        <f>Fixture!C733</f>
        <v>0</v>
      </c>
      <c r="D2729" s="15">
        <f>IF(E2729=0,0,IF(Fixture!D733&lt;Fixture!F733,0,IF(Fixture!F733&lt;Fixture!D733,3,1)))</f>
        <v>0</v>
      </c>
      <c r="E2729" s="16">
        <f>IF(OR(ISBLANK(Fixture!D733),ISBLANK(Fixture!F733),ISTEXT(Fixture!D733),ISTEXT(Fixture!F733)),0,1)</f>
        <v>0</v>
      </c>
      <c r="F2729" s="16">
        <f t="shared" si="606"/>
        <v>0</v>
      </c>
      <c r="G2729" s="16">
        <f t="shared" si="607"/>
        <v>0</v>
      </c>
      <c r="H2729" s="16">
        <f t="shared" si="608"/>
        <v>0</v>
      </c>
      <c r="I2729" s="63">
        <f>IF(E2729=0,0,Fixture!D733)</f>
        <v>0</v>
      </c>
      <c r="J2729" s="63">
        <f>IF(E2729=0,0,Fixture!F733)</f>
        <v>0</v>
      </c>
      <c r="K2729" s="63">
        <f t="shared" si="609"/>
        <v>0</v>
      </c>
      <c r="L2729" s="63">
        <f t="shared" si="610"/>
        <v>0</v>
      </c>
      <c r="N2729" s="10" t="str">
        <f t="shared" si="612"/>
        <v>00</v>
      </c>
      <c r="O2729" s="10">
        <f t="shared" si="613"/>
        <v>0</v>
      </c>
      <c r="P2729" s="10">
        <f t="shared" si="614"/>
        <v>0</v>
      </c>
      <c r="Q2729" s="10">
        <f t="shared" si="615"/>
        <v>0</v>
      </c>
    </row>
    <row r="2730" spans="1:17">
      <c r="A2730" s="15">
        <f t="shared" si="611"/>
        <v>0</v>
      </c>
      <c r="B2730" s="15"/>
      <c r="C2730" s="14">
        <f>Fixture!C734</f>
        <v>0</v>
      </c>
      <c r="D2730" s="15">
        <f>IF(E2730=0,0,IF(Fixture!D734&lt;Fixture!F734,0,IF(Fixture!F734&lt;Fixture!D734,3,1)))</f>
        <v>0</v>
      </c>
      <c r="E2730" s="16">
        <f>IF(OR(ISBLANK(Fixture!D734),ISBLANK(Fixture!F734),ISTEXT(Fixture!D734),ISTEXT(Fixture!F734)),0,1)</f>
        <v>0</v>
      </c>
      <c r="F2730" s="16">
        <f t="shared" si="606"/>
        <v>0</v>
      </c>
      <c r="G2730" s="16">
        <f t="shared" si="607"/>
        <v>0</v>
      </c>
      <c r="H2730" s="16">
        <f t="shared" si="608"/>
        <v>0</v>
      </c>
      <c r="I2730" s="63">
        <f>IF(E2730=0,0,Fixture!D734)</f>
        <v>0</v>
      </c>
      <c r="J2730" s="63">
        <f>IF(E2730=0,0,Fixture!F734)</f>
        <v>0</v>
      </c>
      <c r="K2730" s="63">
        <f t="shared" si="609"/>
        <v>0</v>
      </c>
      <c r="L2730" s="63">
        <f t="shared" si="610"/>
        <v>0</v>
      </c>
      <c r="N2730" s="10" t="str">
        <f t="shared" si="612"/>
        <v>00</v>
      </c>
      <c r="O2730" s="10">
        <f t="shared" si="613"/>
        <v>0</v>
      </c>
      <c r="P2730" s="10">
        <f t="shared" si="614"/>
        <v>0</v>
      </c>
      <c r="Q2730" s="10">
        <f t="shared" si="615"/>
        <v>0</v>
      </c>
    </row>
    <row r="2731" spans="1:17">
      <c r="A2731" s="15">
        <f t="shared" si="611"/>
        <v>0</v>
      </c>
      <c r="B2731" s="15"/>
      <c r="C2731" s="14">
        <f>Fixture!C735</f>
        <v>0</v>
      </c>
      <c r="D2731" s="15">
        <f>IF(E2731=0,0,IF(Fixture!D735&lt;Fixture!F735,0,IF(Fixture!F735&lt;Fixture!D735,3,1)))</f>
        <v>0</v>
      </c>
      <c r="E2731" s="16">
        <f>IF(OR(ISBLANK(Fixture!D735),ISBLANK(Fixture!F735),ISTEXT(Fixture!D735),ISTEXT(Fixture!F735)),0,1)</f>
        <v>0</v>
      </c>
      <c r="F2731" s="16">
        <f t="shared" si="606"/>
        <v>0</v>
      </c>
      <c r="G2731" s="16">
        <f t="shared" si="607"/>
        <v>0</v>
      </c>
      <c r="H2731" s="16">
        <f t="shared" si="608"/>
        <v>0</v>
      </c>
      <c r="I2731" s="63">
        <f>IF(E2731=0,0,Fixture!D735)</f>
        <v>0</v>
      </c>
      <c r="J2731" s="63">
        <f>IF(E2731=0,0,Fixture!F735)</f>
        <v>0</v>
      </c>
      <c r="K2731" s="63">
        <f t="shared" si="609"/>
        <v>0</v>
      </c>
      <c r="L2731" s="63">
        <f t="shared" si="610"/>
        <v>0</v>
      </c>
      <c r="N2731" s="10" t="str">
        <f t="shared" si="612"/>
        <v>00</v>
      </c>
      <c r="O2731" s="10">
        <f t="shared" si="613"/>
        <v>0</v>
      </c>
      <c r="P2731" s="10">
        <f t="shared" si="614"/>
        <v>0</v>
      </c>
      <c r="Q2731" s="10">
        <f t="shared" si="615"/>
        <v>0</v>
      </c>
    </row>
    <row r="2732" spans="1:17">
      <c r="A2732" s="15">
        <f t="shared" si="611"/>
        <v>0</v>
      </c>
      <c r="B2732" s="15"/>
      <c r="C2732" s="14">
        <f>Fixture!C736</f>
        <v>0</v>
      </c>
      <c r="D2732" s="15">
        <f>IF(E2732=0,0,IF(Fixture!D736&lt;Fixture!F736,0,IF(Fixture!F736&lt;Fixture!D736,3,1)))</f>
        <v>0</v>
      </c>
      <c r="E2732" s="16">
        <f>IF(OR(ISBLANK(Fixture!D736),ISBLANK(Fixture!F736),ISTEXT(Fixture!D736),ISTEXT(Fixture!F736)),0,1)</f>
        <v>0</v>
      </c>
      <c r="F2732" s="16">
        <f t="shared" si="606"/>
        <v>0</v>
      </c>
      <c r="G2732" s="16">
        <f t="shared" si="607"/>
        <v>0</v>
      </c>
      <c r="H2732" s="16">
        <f t="shared" si="608"/>
        <v>0</v>
      </c>
      <c r="I2732" s="63">
        <f>IF(E2732=0,0,Fixture!D736)</f>
        <v>0</v>
      </c>
      <c r="J2732" s="63">
        <f>IF(E2732=0,0,Fixture!F736)</f>
        <v>0</v>
      </c>
      <c r="K2732" s="63">
        <f t="shared" si="609"/>
        <v>0</v>
      </c>
      <c r="L2732" s="63">
        <f t="shared" si="610"/>
        <v>0</v>
      </c>
      <c r="N2732" s="10" t="str">
        <f t="shared" si="612"/>
        <v>00</v>
      </c>
      <c r="O2732" s="10">
        <f t="shared" si="613"/>
        <v>0</v>
      </c>
      <c r="P2732" s="10">
        <f t="shared" si="614"/>
        <v>0</v>
      </c>
      <c r="Q2732" s="10">
        <f t="shared" si="615"/>
        <v>0</v>
      </c>
    </row>
    <row r="2733" spans="1:17">
      <c r="A2733" s="15">
        <f t="shared" si="611"/>
        <v>0</v>
      </c>
      <c r="B2733" s="15"/>
      <c r="C2733" s="14">
        <f>Fixture!C737</f>
        <v>0</v>
      </c>
      <c r="D2733" s="15">
        <f>IF(E2733=0,0,IF(Fixture!D737&lt;Fixture!F737,0,IF(Fixture!F737&lt;Fixture!D737,3,1)))</f>
        <v>0</v>
      </c>
      <c r="E2733" s="16">
        <f>IF(OR(ISBLANK(Fixture!D737),ISBLANK(Fixture!F737),ISTEXT(Fixture!D737),ISTEXT(Fixture!F737)),0,1)</f>
        <v>0</v>
      </c>
      <c r="F2733" s="16">
        <f t="shared" si="606"/>
        <v>0</v>
      </c>
      <c r="G2733" s="16">
        <f t="shared" si="607"/>
        <v>0</v>
      </c>
      <c r="H2733" s="16">
        <f t="shared" si="608"/>
        <v>0</v>
      </c>
      <c r="I2733" s="63">
        <f>IF(E2733=0,0,Fixture!D737)</f>
        <v>0</v>
      </c>
      <c r="J2733" s="63">
        <f>IF(E2733=0,0,Fixture!F737)</f>
        <v>0</v>
      </c>
      <c r="K2733" s="63">
        <f t="shared" si="609"/>
        <v>0</v>
      </c>
      <c r="L2733" s="63">
        <f t="shared" si="610"/>
        <v>0</v>
      </c>
      <c r="N2733" s="10" t="str">
        <f t="shared" si="612"/>
        <v>00</v>
      </c>
      <c r="O2733" s="10">
        <f t="shared" si="613"/>
        <v>0</v>
      </c>
      <c r="P2733" s="10">
        <f t="shared" si="614"/>
        <v>0</v>
      </c>
      <c r="Q2733" s="10">
        <f t="shared" si="615"/>
        <v>0</v>
      </c>
    </row>
    <row r="2734" spans="1:17">
      <c r="A2734" s="15">
        <f t="shared" si="611"/>
        <v>0</v>
      </c>
      <c r="B2734" s="15"/>
      <c r="C2734" s="14">
        <f>Fixture!C738</f>
        <v>0</v>
      </c>
      <c r="D2734" s="15">
        <f>IF(E2734=0,0,IF(Fixture!D738&lt;Fixture!F738,0,IF(Fixture!F738&lt;Fixture!D738,3,1)))</f>
        <v>0</v>
      </c>
      <c r="E2734" s="16">
        <f>IF(OR(ISBLANK(Fixture!D738),ISBLANK(Fixture!F738),ISTEXT(Fixture!D738),ISTEXT(Fixture!F738)),0,1)</f>
        <v>0</v>
      </c>
      <c r="F2734" s="16">
        <f t="shared" si="606"/>
        <v>0</v>
      </c>
      <c r="G2734" s="16">
        <f t="shared" si="607"/>
        <v>0</v>
      </c>
      <c r="H2734" s="16">
        <f t="shared" si="608"/>
        <v>0</v>
      </c>
      <c r="I2734" s="63">
        <f>IF(E2734=0,0,Fixture!D738)</f>
        <v>0</v>
      </c>
      <c r="J2734" s="63">
        <f>IF(E2734=0,0,Fixture!F738)</f>
        <v>0</v>
      </c>
      <c r="K2734" s="63">
        <f t="shared" si="609"/>
        <v>0</v>
      </c>
      <c r="L2734" s="63">
        <f t="shared" si="610"/>
        <v>0</v>
      </c>
      <c r="N2734" s="10" t="str">
        <f t="shared" si="612"/>
        <v>00</v>
      </c>
      <c r="O2734" s="10">
        <f t="shared" si="613"/>
        <v>0</v>
      </c>
      <c r="P2734" s="10">
        <f t="shared" si="614"/>
        <v>0</v>
      </c>
      <c r="Q2734" s="10">
        <f t="shared" si="615"/>
        <v>0</v>
      </c>
    </row>
    <row r="2735" spans="1:17">
      <c r="A2735" s="15">
        <f t="shared" si="611"/>
        <v>0</v>
      </c>
      <c r="B2735" s="15"/>
      <c r="C2735" s="14">
        <f>Fixture!C739</f>
        <v>0</v>
      </c>
      <c r="D2735" s="15">
        <f>IF(E2735=0,0,IF(Fixture!D739&lt;Fixture!F739,0,IF(Fixture!F739&lt;Fixture!D739,3,1)))</f>
        <v>0</v>
      </c>
      <c r="E2735" s="16">
        <f>IF(OR(ISBLANK(Fixture!D739),ISBLANK(Fixture!F739),ISTEXT(Fixture!D739),ISTEXT(Fixture!F739)),0,1)</f>
        <v>0</v>
      </c>
      <c r="F2735" s="16">
        <f t="shared" si="606"/>
        <v>0</v>
      </c>
      <c r="G2735" s="16">
        <f t="shared" si="607"/>
        <v>0</v>
      </c>
      <c r="H2735" s="16">
        <f t="shared" si="608"/>
        <v>0</v>
      </c>
      <c r="I2735" s="63">
        <f>IF(E2735=0,0,Fixture!D739)</f>
        <v>0</v>
      </c>
      <c r="J2735" s="63">
        <f>IF(E2735=0,0,Fixture!F739)</f>
        <v>0</v>
      </c>
      <c r="K2735" s="63">
        <f t="shared" si="609"/>
        <v>0</v>
      </c>
      <c r="L2735" s="63">
        <f t="shared" si="610"/>
        <v>0</v>
      </c>
      <c r="N2735" s="10" t="str">
        <f t="shared" si="612"/>
        <v>00</v>
      </c>
      <c r="O2735" s="10">
        <f t="shared" si="613"/>
        <v>0</v>
      </c>
      <c r="P2735" s="10">
        <f t="shared" si="614"/>
        <v>0</v>
      </c>
      <c r="Q2735" s="10">
        <f t="shared" si="615"/>
        <v>0</v>
      </c>
    </row>
    <row r="2736" spans="1:17">
      <c r="A2736" s="15">
        <f t="shared" si="611"/>
        <v>0</v>
      </c>
      <c r="B2736" s="15"/>
      <c r="C2736" s="14">
        <f>Fixture!C740</f>
        <v>0</v>
      </c>
      <c r="D2736" s="15">
        <f>IF(E2736=0,0,IF(Fixture!D740&lt;Fixture!F740,0,IF(Fixture!F740&lt;Fixture!D740,3,1)))</f>
        <v>0</v>
      </c>
      <c r="E2736" s="16">
        <f>IF(OR(ISBLANK(Fixture!D740),ISBLANK(Fixture!F740),ISTEXT(Fixture!D740),ISTEXT(Fixture!F740)),0,1)</f>
        <v>0</v>
      </c>
      <c r="F2736" s="16">
        <f t="shared" si="606"/>
        <v>0</v>
      </c>
      <c r="G2736" s="16">
        <f t="shared" si="607"/>
        <v>0</v>
      </c>
      <c r="H2736" s="16">
        <f t="shared" si="608"/>
        <v>0</v>
      </c>
      <c r="I2736" s="63">
        <f>IF(E2736=0,0,Fixture!D740)</f>
        <v>0</v>
      </c>
      <c r="J2736" s="63">
        <f>IF(E2736=0,0,Fixture!F740)</f>
        <v>0</v>
      </c>
      <c r="K2736" s="63">
        <f t="shared" si="609"/>
        <v>0</v>
      </c>
      <c r="L2736" s="63">
        <f t="shared" si="610"/>
        <v>0</v>
      </c>
      <c r="N2736" s="10" t="str">
        <f t="shared" si="612"/>
        <v>00</v>
      </c>
      <c r="O2736" s="10">
        <f t="shared" si="613"/>
        <v>0</v>
      </c>
      <c r="P2736" s="10">
        <f t="shared" si="614"/>
        <v>0</v>
      </c>
      <c r="Q2736" s="10">
        <f t="shared" si="615"/>
        <v>0</v>
      </c>
    </row>
    <row r="2737" spans="1:17">
      <c r="A2737" s="15">
        <f t="shared" si="611"/>
        <v>0</v>
      </c>
      <c r="B2737" s="15"/>
      <c r="C2737" s="14">
        <f>Fixture!C741</f>
        <v>0</v>
      </c>
      <c r="D2737" s="15">
        <f>IF(E2737=0,0,IF(Fixture!D741&lt;Fixture!F741,0,IF(Fixture!F741&lt;Fixture!D741,3,1)))</f>
        <v>0</v>
      </c>
      <c r="E2737" s="16">
        <f>IF(OR(ISBLANK(Fixture!D741),ISBLANK(Fixture!F741),ISTEXT(Fixture!D741),ISTEXT(Fixture!F741)),0,1)</f>
        <v>0</v>
      </c>
      <c r="F2737" s="16">
        <f t="shared" si="606"/>
        <v>0</v>
      </c>
      <c r="G2737" s="16">
        <f t="shared" si="607"/>
        <v>0</v>
      </c>
      <c r="H2737" s="16">
        <f t="shared" si="608"/>
        <v>0</v>
      </c>
      <c r="I2737" s="63">
        <f>IF(E2737=0,0,Fixture!D741)</f>
        <v>0</v>
      </c>
      <c r="J2737" s="63">
        <f>IF(E2737=0,0,Fixture!F741)</f>
        <v>0</v>
      </c>
      <c r="K2737" s="63">
        <f t="shared" si="609"/>
        <v>0</v>
      </c>
      <c r="L2737" s="63">
        <f t="shared" si="610"/>
        <v>0</v>
      </c>
      <c r="N2737" s="10" t="str">
        <f t="shared" si="612"/>
        <v>00</v>
      </c>
      <c r="O2737" s="10">
        <f t="shared" si="613"/>
        <v>0</v>
      </c>
      <c r="P2737" s="10">
        <f t="shared" si="614"/>
        <v>0</v>
      </c>
      <c r="Q2737" s="10">
        <f t="shared" si="615"/>
        <v>0</v>
      </c>
    </row>
    <row r="2738" spans="1:17">
      <c r="A2738" s="15">
        <f t="shared" si="611"/>
        <v>0</v>
      </c>
      <c r="B2738" s="15"/>
      <c r="C2738" s="14">
        <f>Fixture!C742</f>
        <v>0</v>
      </c>
      <c r="D2738" s="15">
        <f>IF(E2738=0,0,IF(Fixture!D742&lt;Fixture!F742,0,IF(Fixture!F742&lt;Fixture!D742,3,1)))</f>
        <v>0</v>
      </c>
      <c r="E2738" s="16">
        <f>IF(OR(ISBLANK(Fixture!D742),ISBLANK(Fixture!F742),ISTEXT(Fixture!D742),ISTEXT(Fixture!F742)),0,1)</f>
        <v>0</v>
      </c>
      <c r="F2738" s="16">
        <f t="shared" si="606"/>
        <v>0</v>
      </c>
      <c r="G2738" s="16">
        <f t="shared" si="607"/>
        <v>0</v>
      </c>
      <c r="H2738" s="16">
        <f t="shared" si="608"/>
        <v>0</v>
      </c>
      <c r="I2738" s="63">
        <f>IF(E2738=0,0,Fixture!D742)</f>
        <v>0</v>
      </c>
      <c r="J2738" s="63">
        <f>IF(E2738=0,0,Fixture!F742)</f>
        <v>0</v>
      </c>
      <c r="K2738" s="63">
        <f t="shared" si="609"/>
        <v>0</v>
      </c>
      <c r="L2738" s="63">
        <f t="shared" si="610"/>
        <v>0</v>
      </c>
      <c r="N2738" s="10" t="str">
        <f t="shared" si="612"/>
        <v>00</v>
      </c>
      <c r="O2738" s="10">
        <f t="shared" si="613"/>
        <v>0</v>
      </c>
      <c r="P2738" s="10">
        <f t="shared" si="614"/>
        <v>0</v>
      </c>
      <c r="Q2738" s="10">
        <f t="shared" si="615"/>
        <v>0</v>
      </c>
    </row>
    <row r="2739" spans="1:17">
      <c r="A2739" s="15">
        <f t="shared" si="611"/>
        <v>0</v>
      </c>
      <c r="B2739" s="15"/>
      <c r="C2739" s="14">
        <f>Fixture!C743</f>
        <v>0</v>
      </c>
      <c r="D2739" s="15">
        <f>IF(E2739=0,0,IF(Fixture!D743&lt;Fixture!F743,0,IF(Fixture!F743&lt;Fixture!D743,3,1)))</f>
        <v>0</v>
      </c>
      <c r="E2739" s="16">
        <f>IF(OR(ISBLANK(Fixture!D743),ISBLANK(Fixture!F743),ISTEXT(Fixture!D743),ISTEXT(Fixture!F743)),0,1)</f>
        <v>0</v>
      </c>
      <c r="F2739" s="16">
        <f t="shared" si="606"/>
        <v>0</v>
      </c>
      <c r="G2739" s="16">
        <f t="shared" si="607"/>
        <v>0</v>
      </c>
      <c r="H2739" s="16">
        <f t="shared" si="608"/>
        <v>0</v>
      </c>
      <c r="I2739" s="63">
        <f>IF(E2739=0,0,Fixture!D743)</f>
        <v>0</v>
      </c>
      <c r="J2739" s="63">
        <f>IF(E2739=0,0,Fixture!F743)</f>
        <v>0</v>
      </c>
      <c r="K2739" s="63">
        <f t="shared" si="609"/>
        <v>0</v>
      </c>
      <c r="L2739" s="63">
        <f t="shared" si="610"/>
        <v>0</v>
      </c>
      <c r="N2739" s="10" t="str">
        <f t="shared" si="612"/>
        <v>00</v>
      </c>
      <c r="O2739" s="10">
        <f t="shared" si="613"/>
        <v>0</v>
      </c>
      <c r="P2739" s="10">
        <f t="shared" si="614"/>
        <v>0</v>
      </c>
      <c r="Q2739" s="10">
        <f t="shared" si="615"/>
        <v>0</v>
      </c>
    </row>
    <row r="2740" spans="1:17">
      <c r="A2740" s="15">
        <f t="shared" si="611"/>
        <v>0</v>
      </c>
      <c r="B2740" s="15"/>
      <c r="C2740" s="14">
        <f>Fixture!C744</f>
        <v>0</v>
      </c>
      <c r="D2740" s="15">
        <f>IF(E2740=0,0,IF(Fixture!D744&lt;Fixture!F744,0,IF(Fixture!F744&lt;Fixture!D744,3,1)))</f>
        <v>0</v>
      </c>
      <c r="E2740" s="16">
        <f>IF(OR(ISBLANK(Fixture!D744),ISBLANK(Fixture!F744),ISTEXT(Fixture!D744),ISTEXT(Fixture!F744)),0,1)</f>
        <v>0</v>
      </c>
      <c r="F2740" s="16">
        <f t="shared" si="606"/>
        <v>0</v>
      </c>
      <c r="G2740" s="16">
        <f t="shared" si="607"/>
        <v>0</v>
      </c>
      <c r="H2740" s="16">
        <f t="shared" si="608"/>
        <v>0</v>
      </c>
      <c r="I2740" s="63">
        <f>IF(E2740=0,0,Fixture!D744)</f>
        <v>0</v>
      </c>
      <c r="J2740" s="63">
        <f>IF(E2740=0,0,Fixture!F744)</f>
        <v>0</v>
      </c>
      <c r="K2740" s="63">
        <f t="shared" si="609"/>
        <v>0</v>
      </c>
      <c r="L2740" s="63">
        <f t="shared" si="610"/>
        <v>0</v>
      </c>
      <c r="N2740" s="10" t="str">
        <f t="shared" si="612"/>
        <v>00</v>
      </c>
      <c r="O2740" s="10">
        <f t="shared" si="613"/>
        <v>0</v>
      </c>
      <c r="P2740" s="10">
        <f t="shared" si="614"/>
        <v>0</v>
      </c>
      <c r="Q2740" s="10">
        <f t="shared" si="615"/>
        <v>0</v>
      </c>
    </row>
    <row r="2741" spans="1:17">
      <c r="A2741" s="15">
        <f t="shared" si="611"/>
        <v>0</v>
      </c>
      <c r="B2741" s="15"/>
      <c r="C2741" s="14">
        <f>Fixture!C745</f>
        <v>0</v>
      </c>
      <c r="D2741" s="15">
        <f>IF(E2741=0,0,IF(Fixture!D745&lt;Fixture!F745,0,IF(Fixture!F745&lt;Fixture!D745,3,1)))</f>
        <v>0</v>
      </c>
      <c r="E2741" s="16">
        <f>IF(OR(ISBLANK(Fixture!D745),ISBLANK(Fixture!F745),ISTEXT(Fixture!D745),ISTEXT(Fixture!F745)),0,1)</f>
        <v>0</v>
      </c>
      <c r="F2741" s="16">
        <f t="shared" si="606"/>
        <v>0</v>
      </c>
      <c r="G2741" s="16">
        <f t="shared" si="607"/>
        <v>0</v>
      </c>
      <c r="H2741" s="16">
        <f t="shared" si="608"/>
        <v>0</v>
      </c>
      <c r="I2741" s="63">
        <f>IF(E2741=0,0,Fixture!D745)</f>
        <v>0</v>
      </c>
      <c r="J2741" s="63">
        <f>IF(E2741=0,0,Fixture!F745)</f>
        <v>0</v>
      </c>
      <c r="K2741" s="63">
        <f t="shared" si="609"/>
        <v>0</v>
      </c>
      <c r="L2741" s="63">
        <f t="shared" si="610"/>
        <v>0</v>
      </c>
      <c r="N2741" s="10" t="str">
        <f t="shared" si="612"/>
        <v>00</v>
      </c>
      <c r="O2741" s="10">
        <f t="shared" si="613"/>
        <v>0</v>
      </c>
      <c r="P2741" s="10">
        <f t="shared" si="614"/>
        <v>0</v>
      </c>
      <c r="Q2741" s="10">
        <f t="shared" si="615"/>
        <v>0</v>
      </c>
    </row>
    <row r="2742" spans="1:17">
      <c r="A2742" s="15">
        <f t="shared" si="611"/>
        <v>0</v>
      </c>
      <c r="B2742" s="15"/>
      <c r="C2742" s="14">
        <f>Fixture!C746</f>
        <v>0</v>
      </c>
      <c r="D2742" s="15">
        <f>IF(E2742=0,0,IF(Fixture!D746&lt;Fixture!F746,0,IF(Fixture!F746&lt;Fixture!D746,3,1)))</f>
        <v>0</v>
      </c>
      <c r="E2742" s="16">
        <f>IF(OR(ISBLANK(Fixture!D746),ISBLANK(Fixture!F746),ISTEXT(Fixture!D746),ISTEXT(Fixture!F746)),0,1)</f>
        <v>0</v>
      </c>
      <c r="F2742" s="16">
        <f t="shared" si="606"/>
        <v>0</v>
      </c>
      <c r="G2742" s="16">
        <f t="shared" si="607"/>
        <v>0</v>
      </c>
      <c r="H2742" s="16">
        <f t="shared" si="608"/>
        <v>0</v>
      </c>
      <c r="I2742" s="63">
        <f>IF(E2742=0,0,Fixture!D746)</f>
        <v>0</v>
      </c>
      <c r="J2742" s="63">
        <f>IF(E2742=0,0,Fixture!F746)</f>
        <v>0</v>
      </c>
      <c r="K2742" s="63">
        <f t="shared" si="609"/>
        <v>0</v>
      </c>
      <c r="L2742" s="63">
        <f t="shared" si="610"/>
        <v>0</v>
      </c>
      <c r="N2742" s="10" t="str">
        <f t="shared" si="612"/>
        <v>00</v>
      </c>
      <c r="O2742" s="10">
        <f t="shared" si="613"/>
        <v>0</v>
      </c>
      <c r="P2742" s="10">
        <f t="shared" si="614"/>
        <v>0</v>
      </c>
      <c r="Q2742" s="10">
        <f t="shared" si="615"/>
        <v>0</v>
      </c>
    </row>
    <row r="2743" spans="1:17">
      <c r="A2743" s="15">
        <f t="shared" si="611"/>
        <v>0</v>
      </c>
      <c r="B2743" s="15"/>
      <c r="C2743" s="14">
        <f>Fixture!C747</f>
        <v>0</v>
      </c>
      <c r="D2743" s="15">
        <f>IF(E2743=0,0,IF(Fixture!D747&lt;Fixture!F747,0,IF(Fixture!F747&lt;Fixture!D747,3,1)))</f>
        <v>0</v>
      </c>
      <c r="E2743" s="16">
        <f>IF(OR(ISBLANK(Fixture!D747),ISBLANK(Fixture!F747),ISTEXT(Fixture!D747),ISTEXT(Fixture!F747)),0,1)</f>
        <v>0</v>
      </c>
      <c r="F2743" s="16">
        <f t="shared" si="606"/>
        <v>0</v>
      </c>
      <c r="G2743" s="16">
        <f t="shared" si="607"/>
        <v>0</v>
      </c>
      <c r="H2743" s="16">
        <f t="shared" si="608"/>
        <v>0</v>
      </c>
      <c r="I2743" s="63">
        <f>IF(E2743=0,0,Fixture!D747)</f>
        <v>0</v>
      </c>
      <c r="J2743" s="63">
        <f>IF(E2743=0,0,Fixture!F747)</f>
        <v>0</v>
      </c>
      <c r="K2743" s="63">
        <f t="shared" si="609"/>
        <v>0</v>
      </c>
      <c r="L2743" s="63">
        <f t="shared" si="610"/>
        <v>0</v>
      </c>
      <c r="N2743" s="10" t="str">
        <f t="shared" si="612"/>
        <v>00</v>
      </c>
      <c r="O2743" s="10">
        <f t="shared" si="613"/>
        <v>0</v>
      </c>
      <c r="P2743" s="10">
        <f t="shared" si="614"/>
        <v>0</v>
      </c>
      <c r="Q2743" s="10">
        <f t="shared" si="615"/>
        <v>0</v>
      </c>
    </row>
    <row r="2744" spans="1:17">
      <c r="A2744" s="15">
        <f t="shared" si="611"/>
        <v>0</v>
      </c>
      <c r="B2744" s="15"/>
      <c r="C2744" s="14">
        <f>Fixture!C748</f>
        <v>0</v>
      </c>
      <c r="D2744" s="15">
        <f>IF(E2744=0,0,IF(Fixture!D748&lt;Fixture!F748,0,IF(Fixture!F748&lt;Fixture!D748,3,1)))</f>
        <v>0</v>
      </c>
      <c r="E2744" s="16">
        <f>IF(OR(ISBLANK(Fixture!D748),ISBLANK(Fixture!F748),ISTEXT(Fixture!D748),ISTEXT(Fixture!F748)),0,1)</f>
        <v>0</v>
      </c>
      <c r="F2744" s="16">
        <f t="shared" si="606"/>
        <v>0</v>
      </c>
      <c r="G2744" s="16">
        <f t="shared" si="607"/>
        <v>0</v>
      </c>
      <c r="H2744" s="16">
        <f t="shared" si="608"/>
        <v>0</v>
      </c>
      <c r="I2744" s="63">
        <f>IF(E2744=0,0,Fixture!D748)</f>
        <v>0</v>
      </c>
      <c r="J2744" s="63">
        <f>IF(E2744=0,0,Fixture!F748)</f>
        <v>0</v>
      </c>
      <c r="K2744" s="63">
        <f t="shared" si="609"/>
        <v>0</v>
      </c>
      <c r="L2744" s="63">
        <f t="shared" si="610"/>
        <v>0</v>
      </c>
      <c r="N2744" s="10" t="str">
        <f t="shared" si="612"/>
        <v>00</v>
      </c>
      <c r="O2744" s="10">
        <f t="shared" si="613"/>
        <v>0</v>
      </c>
      <c r="P2744" s="10">
        <f t="shared" si="614"/>
        <v>0</v>
      </c>
      <c r="Q2744" s="10">
        <f t="shared" si="615"/>
        <v>0</v>
      </c>
    </row>
    <row r="2745" spans="1:17">
      <c r="A2745" s="15">
        <f t="shared" si="611"/>
        <v>0</v>
      </c>
      <c r="B2745" s="15"/>
      <c r="C2745" s="14">
        <f>Fixture!C749</f>
        <v>0</v>
      </c>
      <c r="D2745" s="15">
        <f>IF(E2745=0,0,IF(Fixture!D749&lt;Fixture!F749,0,IF(Fixture!F749&lt;Fixture!D749,3,1)))</f>
        <v>0</v>
      </c>
      <c r="E2745" s="16">
        <f>IF(OR(ISBLANK(Fixture!D749),ISBLANK(Fixture!F749),ISTEXT(Fixture!D749),ISTEXT(Fixture!F749)),0,1)</f>
        <v>0</v>
      </c>
      <c r="F2745" s="16">
        <f t="shared" si="606"/>
        <v>0</v>
      </c>
      <c r="G2745" s="16">
        <f t="shared" si="607"/>
        <v>0</v>
      </c>
      <c r="H2745" s="16">
        <f t="shared" si="608"/>
        <v>0</v>
      </c>
      <c r="I2745" s="63">
        <f>IF(E2745=0,0,Fixture!D749)</f>
        <v>0</v>
      </c>
      <c r="J2745" s="63">
        <f>IF(E2745=0,0,Fixture!F749)</f>
        <v>0</v>
      </c>
      <c r="K2745" s="63">
        <f t="shared" si="609"/>
        <v>0</v>
      </c>
      <c r="L2745" s="63">
        <f t="shared" si="610"/>
        <v>0</v>
      </c>
      <c r="N2745" s="10" t="str">
        <f t="shared" si="612"/>
        <v>00</v>
      </c>
      <c r="O2745" s="10">
        <f t="shared" si="613"/>
        <v>0</v>
      </c>
      <c r="P2745" s="10">
        <f t="shared" si="614"/>
        <v>0</v>
      </c>
      <c r="Q2745" s="10">
        <f t="shared" si="615"/>
        <v>0</v>
      </c>
    </row>
    <row r="2746" spans="1:17">
      <c r="A2746" s="15">
        <f t="shared" si="611"/>
        <v>0</v>
      </c>
      <c r="B2746" s="15"/>
      <c r="C2746" s="14">
        <f>Fixture!C750</f>
        <v>0</v>
      </c>
      <c r="D2746" s="15">
        <f>IF(E2746=0,0,IF(Fixture!D750&lt;Fixture!F750,0,IF(Fixture!F750&lt;Fixture!D750,3,1)))</f>
        <v>0</v>
      </c>
      <c r="E2746" s="16">
        <f>IF(OR(ISBLANK(Fixture!D750),ISBLANK(Fixture!F750),ISTEXT(Fixture!D750),ISTEXT(Fixture!F750)),0,1)</f>
        <v>0</v>
      </c>
      <c r="F2746" s="16">
        <f t="shared" si="606"/>
        <v>0</v>
      </c>
      <c r="G2746" s="16">
        <f t="shared" si="607"/>
        <v>0</v>
      </c>
      <c r="H2746" s="16">
        <f t="shared" si="608"/>
        <v>0</v>
      </c>
      <c r="I2746" s="63">
        <f>IF(E2746=0,0,Fixture!D750)</f>
        <v>0</v>
      </c>
      <c r="J2746" s="63">
        <f>IF(E2746=0,0,Fixture!F750)</f>
        <v>0</v>
      </c>
      <c r="K2746" s="63">
        <f t="shared" si="609"/>
        <v>0</v>
      </c>
      <c r="L2746" s="63">
        <f t="shared" si="610"/>
        <v>0</v>
      </c>
      <c r="N2746" s="10" t="str">
        <f t="shared" si="612"/>
        <v>00</v>
      </c>
      <c r="O2746" s="10">
        <f t="shared" si="613"/>
        <v>0</v>
      </c>
      <c r="P2746" s="10">
        <f t="shared" si="614"/>
        <v>0</v>
      </c>
      <c r="Q2746" s="10">
        <f t="shared" si="615"/>
        <v>0</v>
      </c>
    </row>
    <row r="2747" spans="1:17">
      <c r="A2747" s="15">
        <f t="shared" si="611"/>
        <v>0</v>
      </c>
      <c r="B2747" s="15"/>
      <c r="C2747" s="14">
        <f>Fixture!C751</f>
        <v>0</v>
      </c>
      <c r="D2747" s="15">
        <f>IF(E2747=0,0,IF(Fixture!D751&lt;Fixture!F751,0,IF(Fixture!F751&lt;Fixture!D751,3,1)))</f>
        <v>0</v>
      </c>
      <c r="E2747" s="16">
        <f>IF(OR(ISBLANK(Fixture!D751),ISBLANK(Fixture!F751),ISTEXT(Fixture!D751),ISTEXT(Fixture!F751)),0,1)</f>
        <v>0</v>
      </c>
      <c r="F2747" s="16">
        <f t="shared" si="606"/>
        <v>0</v>
      </c>
      <c r="G2747" s="16">
        <f t="shared" si="607"/>
        <v>0</v>
      </c>
      <c r="H2747" s="16">
        <f t="shared" si="608"/>
        <v>0</v>
      </c>
      <c r="I2747" s="63">
        <f>IF(E2747=0,0,Fixture!D751)</f>
        <v>0</v>
      </c>
      <c r="J2747" s="63">
        <f>IF(E2747=0,0,Fixture!F751)</f>
        <v>0</v>
      </c>
      <c r="K2747" s="63">
        <f t="shared" si="609"/>
        <v>0</v>
      </c>
      <c r="L2747" s="63">
        <f t="shared" si="610"/>
        <v>0</v>
      </c>
      <c r="N2747" s="10" t="str">
        <f t="shared" si="612"/>
        <v>00</v>
      </c>
      <c r="O2747" s="10">
        <f t="shared" si="613"/>
        <v>0</v>
      </c>
      <c r="P2747" s="10">
        <f t="shared" si="614"/>
        <v>0</v>
      </c>
      <c r="Q2747" s="10">
        <f t="shared" si="615"/>
        <v>0</v>
      </c>
    </row>
    <row r="2748" spans="1:17">
      <c r="A2748" s="15">
        <f t="shared" si="611"/>
        <v>0</v>
      </c>
      <c r="B2748" s="15"/>
      <c r="C2748" s="14">
        <f>Fixture!C752</f>
        <v>0</v>
      </c>
      <c r="D2748" s="15">
        <f>IF(E2748=0,0,IF(Fixture!D752&lt;Fixture!F752,0,IF(Fixture!F752&lt;Fixture!D752,3,1)))</f>
        <v>0</v>
      </c>
      <c r="E2748" s="16">
        <f>IF(OR(ISBLANK(Fixture!D752),ISBLANK(Fixture!F752),ISTEXT(Fixture!D752),ISTEXT(Fixture!F752)),0,1)</f>
        <v>0</v>
      </c>
      <c r="F2748" s="16">
        <f t="shared" si="606"/>
        <v>0</v>
      </c>
      <c r="G2748" s="16">
        <f t="shared" si="607"/>
        <v>0</v>
      </c>
      <c r="H2748" s="16">
        <f t="shared" si="608"/>
        <v>0</v>
      </c>
      <c r="I2748" s="63">
        <f>IF(E2748=0,0,Fixture!D752)</f>
        <v>0</v>
      </c>
      <c r="J2748" s="63">
        <f>IF(E2748=0,0,Fixture!F752)</f>
        <v>0</v>
      </c>
      <c r="K2748" s="63">
        <f t="shared" si="609"/>
        <v>0</v>
      </c>
      <c r="L2748" s="63">
        <f t="shared" si="610"/>
        <v>0</v>
      </c>
      <c r="N2748" s="10" t="str">
        <f t="shared" si="612"/>
        <v>00</v>
      </c>
      <c r="O2748" s="10">
        <f t="shared" si="613"/>
        <v>0</v>
      </c>
      <c r="P2748" s="10">
        <f t="shared" si="614"/>
        <v>0</v>
      </c>
      <c r="Q2748" s="10">
        <f t="shared" si="615"/>
        <v>0</v>
      </c>
    </row>
    <row r="2749" spans="1:17">
      <c r="A2749" s="15">
        <f t="shared" si="611"/>
        <v>0</v>
      </c>
      <c r="B2749" s="15"/>
      <c r="C2749" s="14">
        <f>Fixture!C753</f>
        <v>0</v>
      </c>
      <c r="D2749" s="15">
        <f>IF(E2749=0,0,IF(Fixture!D753&lt;Fixture!F753,0,IF(Fixture!F753&lt;Fixture!D753,3,1)))</f>
        <v>0</v>
      </c>
      <c r="E2749" s="16">
        <f>IF(OR(ISBLANK(Fixture!D753),ISBLANK(Fixture!F753),ISTEXT(Fixture!D753),ISTEXT(Fixture!F753)),0,1)</f>
        <v>0</v>
      </c>
      <c r="F2749" s="16">
        <f t="shared" si="606"/>
        <v>0</v>
      </c>
      <c r="G2749" s="16">
        <f t="shared" si="607"/>
        <v>0</v>
      </c>
      <c r="H2749" s="16">
        <f t="shared" si="608"/>
        <v>0</v>
      </c>
      <c r="I2749" s="63">
        <f>IF(E2749=0,0,Fixture!D753)</f>
        <v>0</v>
      </c>
      <c r="J2749" s="63">
        <f>IF(E2749=0,0,Fixture!F753)</f>
        <v>0</v>
      </c>
      <c r="K2749" s="63">
        <f t="shared" si="609"/>
        <v>0</v>
      </c>
      <c r="L2749" s="63">
        <f t="shared" si="610"/>
        <v>0</v>
      </c>
      <c r="N2749" s="10" t="str">
        <f t="shared" si="612"/>
        <v>00</v>
      </c>
      <c r="O2749" s="10">
        <f t="shared" si="613"/>
        <v>0</v>
      </c>
      <c r="P2749" s="10">
        <f t="shared" si="614"/>
        <v>0</v>
      </c>
      <c r="Q2749" s="10">
        <f t="shared" si="615"/>
        <v>0</v>
      </c>
    </row>
    <row r="2750" spans="1:17">
      <c r="A2750" s="15">
        <f t="shared" si="611"/>
        <v>0</v>
      </c>
      <c r="B2750" s="15"/>
      <c r="C2750" s="14">
        <f>Fixture!C754</f>
        <v>0</v>
      </c>
      <c r="D2750" s="15">
        <f>IF(E2750=0,0,IF(Fixture!D754&lt;Fixture!F754,0,IF(Fixture!F754&lt;Fixture!D754,3,1)))</f>
        <v>0</v>
      </c>
      <c r="E2750" s="16">
        <f>IF(OR(ISBLANK(Fixture!D754),ISBLANK(Fixture!F754),ISTEXT(Fixture!D754),ISTEXT(Fixture!F754)),0,1)</f>
        <v>0</v>
      </c>
      <c r="F2750" s="16">
        <f t="shared" si="606"/>
        <v>0</v>
      </c>
      <c r="G2750" s="16">
        <f t="shared" si="607"/>
        <v>0</v>
      </c>
      <c r="H2750" s="16">
        <f t="shared" si="608"/>
        <v>0</v>
      </c>
      <c r="I2750" s="63">
        <f>IF(E2750=0,0,Fixture!D754)</f>
        <v>0</v>
      </c>
      <c r="J2750" s="63">
        <f>IF(E2750=0,0,Fixture!F754)</f>
        <v>0</v>
      </c>
      <c r="K2750" s="63">
        <f t="shared" si="609"/>
        <v>0</v>
      </c>
      <c r="L2750" s="63">
        <f t="shared" si="610"/>
        <v>0</v>
      </c>
      <c r="N2750" s="10" t="str">
        <f t="shared" si="612"/>
        <v>00</v>
      </c>
      <c r="O2750" s="10">
        <f t="shared" si="613"/>
        <v>0</v>
      </c>
      <c r="P2750" s="10">
        <f t="shared" si="614"/>
        <v>0</v>
      </c>
      <c r="Q2750" s="10">
        <f t="shared" si="615"/>
        <v>0</v>
      </c>
    </row>
    <row r="2751" spans="1:17">
      <c r="A2751" s="15">
        <f t="shared" si="611"/>
        <v>0</v>
      </c>
      <c r="B2751" s="15"/>
      <c r="C2751" s="14">
        <f>Fixture!C755</f>
        <v>0</v>
      </c>
      <c r="D2751" s="15">
        <f>IF(E2751=0,0,IF(Fixture!D755&lt;Fixture!F755,0,IF(Fixture!F755&lt;Fixture!D755,3,1)))</f>
        <v>0</v>
      </c>
      <c r="E2751" s="16">
        <f>IF(OR(ISBLANK(Fixture!D755),ISBLANK(Fixture!F755),ISTEXT(Fixture!D755),ISTEXT(Fixture!F755)),0,1)</f>
        <v>0</v>
      </c>
      <c r="F2751" s="16">
        <f t="shared" si="606"/>
        <v>0</v>
      </c>
      <c r="G2751" s="16">
        <f t="shared" si="607"/>
        <v>0</v>
      </c>
      <c r="H2751" s="16">
        <f t="shared" si="608"/>
        <v>0</v>
      </c>
      <c r="I2751" s="63">
        <f>IF(E2751=0,0,Fixture!D755)</f>
        <v>0</v>
      </c>
      <c r="J2751" s="63">
        <f>IF(E2751=0,0,Fixture!F755)</f>
        <v>0</v>
      </c>
      <c r="K2751" s="63">
        <f t="shared" si="609"/>
        <v>0</v>
      </c>
      <c r="L2751" s="63">
        <f t="shared" si="610"/>
        <v>0</v>
      </c>
      <c r="N2751" s="10" t="str">
        <f t="shared" si="612"/>
        <v>00</v>
      </c>
      <c r="O2751" s="10">
        <f t="shared" si="613"/>
        <v>0</v>
      </c>
      <c r="P2751" s="10">
        <f t="shared" si="614"/>
        <v>0</v>
      </c>
      <c r="Q2751" s="10">
        <f t="shared" si="615"/>
        <v>0</v>
      </c>
    </row>
    <row r="2752" spans="1:17">
      <c r="A2752" s="15">
        <f t="shared" si="611"/>
        <v>0</v>
      </c>
      <c r="B2752" s="15"/>
      <c r="C2752" s="14">
        <f>Fixture!C756</f>
        <v>0</v>
      </c>
      <c r="D2752" s="15">
        <f>IF(E2752=0,0,IF(Fixture!D756&lt;Fixture!F756,0,IF(Fixture!F756&lt;Fixture!D756,3,1)))</f>
        <v>0</v>
      </c>
      <c r="E2752" s="16">
        <f>IF(OR(ISBLANK(Fixture!D756),ISBLANK(Fixture!F756),ISTEXT(Fixture!D756),ISTEXT(Fixture!F756)),0,1)</f>
        <v>0</v>
      </c>
      <c r="F2752" s="16">
        <f t="shared" si="606"/>
        <v>0</v>
      </c>
      <c r="G2752" s="16">
        <f t="shared" si="607"/>
        <v>0</v>
      </c>
      <c r="H2752" s="16">
        <f t="shared" si="608"/>
        <v>0</v>
      </c>
      <c r="I2752" s="63">
        <f>IF(E2752=0,0,Fixture!D756)</f>
        <v>0</v>
      </c>
      <c r="J2752" s="63">
        <f>IF(E2752=0,0,Fixture!F756)</f>
        <v>0</v>
      </c>
      <c r="K2752" s="63">
        <f t="shared" si="609"/>
        <v>0</v>
      </c>
      <c r="L2752" s="63">
        <f t="shared" si="610"/>
        <v>0</v>
      </c>
      <c r="N2752" s="10" t="str">
        <f t="shared" si="612"/>
        <v>00</v>
      </c>
      <c r="O2752" s="10">
        <f t="shared" si="613"/>
        <v>0</v>
      </c>
      <c r="P2752" s="10">
        <f t="shared" si="614"/>
        <v>0</v>
      </c>
      <c r="Q2752" s="10">
        <f t="shared" si="615"/>
        <v>0</v>
      </c>
    </row>
    <row r="2753" spans="1:17">
      <c r="A2753" s="15">
        <f t="shared" si="611"/>
        <v>0</v>
      </c>
      <c r="B2753" s="15"/>
      <c r="C2753" s="14">
        <f>Fixture!C757</f>
        <v>0</v>
      </c>
      <c r="D2753" s="15">
        <f>IF(E2753=0,0,IF(Fixture!D757&lt;Fixture!F757,0,IF(Fixture!F757&lt;Fixture!D757,3,1)))</f>
        <v>0</v>
      </c>
      <c r="E2753" s="16">
        <f>IF(OR(ISBLANK(Fixture!D757),ISBLANK(Fixture!F757),ISTEXT(Fixture!D757),ISTEXT(Fixture!F757)),0,1)</f>
        <v>0</v>
      </c>
      <c r="F2753" s="16">
        <f t="shared" si="606"/>
        <v>0</v>
      </c>
      <c r="G2753" s="16">
        <f t="shared" si="607"/>
        <v>0</v>
      </c>
      <c r="H2753" s="16">
        <f t="shared" si="608"/>
        <v>0</v>
      </c>
      <c r="I2753" s="63">
        <f>IF(E2753=0,0,Fixture!D757)</f>
        <v>0</v>
      </c>
      <c r="J2753" s="63">
        <f>IF(E2753=0,0,Fixture!F757)</f>
        <v>0</v>
      </c>
      <c r="K2753" s="63">
        <f t="shared" si="609"/>
        <v>0</v>
      </c>
      <c r="L2753" s="63">
        <f t="shared" si="610"/>
        <v>0</v>
      </c>
      <c r="N2753" s="10" t="str">
        <f t="shared" si="612"/>
        <v>00</v>
      </c>
      <c r="O2753" s="10">
        <f t="shared" si="613"/>
        <v>0</v>
      </c>
      <c r="P2753" s="10">
        <f t="shared" si="614"/>
        <v>0</v>
      </c>
      <c r="Q2753" s="10">
        <f t="shared" si="615"/>
        <v>0</v>
      </c>
    </row>
    <row r="2754" spans="1:17">
      <c r="A2754" s="15">
        <f t="shared" si="611"/>
        <v>0</v>
      </c>
      <c r="B2754" s="15"/>
      <c r="C2754" s="14">
        <f>Fixture!C758</f>
        <v>0</v>
      </c>
      <c r="D2754" s="15">
        <f>IF(E2754=0,0,IF(Fixture!D758&lt;Fixture!F758,0,IF(Fixture!F758&lt;Fixture!D758,3,1)))</f>
        <v>0</v>
      </c>
      <c r="E2754" s="16">
        <f>IF(OR(ISBLANK(Fixture!D758),ISBLANK(Fixture!F758),ISTEXT(Fixture!D758),ISTEXT(Fixture!F758)),0,1)</f>
        <v>0</v>
      </c>
      <c r="F2754" s="16">
        <f t="shared" si="606"/>
        <v>0</v>
      </c>
      <c r="G2754" s="16">
        <f t="shared" si="607"/>
        <v>0</v>
      </c>
      <c r="H2754" s="16">
        <f t="shared" si="608"/>
        <v>0</v>
      </c>
      <c r="I2754" s="63">
        <f>IF(E2754=0,0,Fixture!D758)</f>
        <v>0</v>
      </c>
      <c r="J2754" s="63">
        <f>IF(E2754=0,0,Fixture!F758)</f>
        <v>0</v>
      </c>
      <c r="K2754" s="63">
        <f t="shared" si="609"/>
        <v>0</v>
      </c>
      <c r="L2754" s="63">
        <f t="shared" si="610"/>
        <v>0</v>
      </c>
      <c r="N2754" s="10" t="str">
        <f t="shared" si="612"/>
        <v>00</v>
      </c>
      <c r="O2754" s="10">
        <f t="shared" si="613"/>
        <v>0</v>
      </c>
      <c r="P2754" s="10">
        <f t="shared" si="614"/>
        <v>0</v>
      </c>
      <c r="Q2754" s="10">
        <f t="shared" si="615"/>
        <v>0</v>
      </c>
    </row>
    <row r="2755" spans="1:17">
      <c r="A2755" s="15">
        <f t="shared" si="611"/>
        <v>0</v>
      </c>
      <c r="B2755" s="15"/>
      <c r="C2755" s="14">
        <f>Fixture!C759</f>
        <v>0</v>
      </c>
      <c r="D2755" s="15">
        <f>IF(E2755=0,0,IF(Fixture!D759&lt;Fixture!F759,0,IF(Fixture!F759&lt;Fixture!D759,3,1)))</f>
        <v>0</v>
      </c>
      <c r="E2755" s="16">
        <f>IF(OR(ISBLANK(Fixture!D759),ISBLANK(Fixture!F759),ISTEXT(Fixture!D759),ISTEXT(Fixture!F759)),0,1)</f>
        <v>0</v>
      </c>
      <c r="F2755" s="16">
        <f t="shared" si="606"/>
        <v>0</v>
      </c>
      <c r="G2755" s="16">
        <f t="shared" si="607"/>
        <v>0</v>
      </c>
      <c r="H2755" s="16">
        <f t="shared" si="608"/>
        <v>0</v>
      </c>
      <c r="I2755" s="63">
        <f>IF(E2755=0,0,Fixture!D759)</f>
        <v>0</v>
      </c>
      <c r="J2755" s="63">
        <f>IF(E2755=0,0,Fixture!F759)</f>
        <v>0</v>
      </c>
      <c r="K2755" s="63">
        <f t="shared" si="609"/>
        <v>0</v>
      </c>
      <c r="L2755" s="63">
        <f t="shared" si="610"/>
        <v>0</v>
      </c>
      <c r="N2755" s="10" t="str">
        <f t="shared" si="612"/>
        <v>00</v>
      </c>
      <c r="O2755" s="10">
        <f t="shared" si="613"/>
        <v>0</v>
      </c>
      <c r="P2755" s="10">
        <f t="shared" si="614"/>
        <v>0</v>
      </c>
      <c r="Q2755" s="10">
        <f t="shared" si="615"/>
        <v>0</v>
      </c>
    </row>
    <row r="2756" spans="1:17">
      <c r="A2756" s="15">
        <f t="shared" si="611"/>
        <v>0</v>
      </c>
      <c r="B2756" s="15"/>
      <c r="C2756" s="14">
        <f>Fixture!C760</f>
        <v>0</v>
      </c>
      <c r="D2756" s="15">
        <f>IF(E2756=0,0,IF(Fixture!D760&lt;Fixture!F760,0,IF(Fixture!F760&lt;Fixture!D760,3,1)))</f>
        <v>0</v>
      </c>
      <c r="E2756" s="16">
        <f>IF(OR(ISBLANK(Fixture!D760),ISBLANK(Fixture!F760),ISTEXT(Fixture!D760),ISTEXT(Fixture!F760)),0,1)</f>
        <v>0</v>
      </c>
      <c r="F2756" s="16">
        <f t="shared" si="606"/>
        <v>0</v>
      </c>
      <c r="G2756" s="16">
        <f t="shared" si="607"/>
        <v>0</v>
      </c>
      <c r="H2756" s="16">
        <f t="shared" si="608"/>
        <v>0</v>
      </c>
      <c r="I2756" s="63">
        <f>IF(E2756=0,0,Fixture!D760)</f>
        <v>0</v>
      </c>
      <c r="J2756" s="63">
        <f>IF(E2756=0,0,Fixture!F760)</f>
        <v>0</v>
      </c>
      <c r="K2756" s="63">
        <f t="shared" si="609"/>
        <v>0</v>
      </c>
      <c r="L2756" s="63">
        <f t="shared" si="610"/>
        <v>0</v>
      </c>
      <c r="N2756" s="10" t="str">
        <f t="shared" si="612"/>
        <v>00</v>
      </c>
      <c r="O2756" s="10">
        <f t="shared" si="613"/>
        <v>0</v>
      </c>
      <c r="P2756" s="10">
        <f t="shared" si="614"/>
        <v>0</v>
      </c>
      <c r="Q2756" s="10">
        <f t="shared" si="615"/>
        <v>0</v>
      </c>
    </row>
    <row r="2757" spans="1:17">
      <c r="A2757" s="15">
        <f t="shared" si="611"/>
        <v>0</v>
      </c>
      <c r="B2757" s="15"/>
      <c r="C2757" s="14">
        <f>Fixture!C761</f>
        <v>0</v>
      </c>
      <c r="D2757" s="15">
        <f>IF(E2757=0,0,IF(Fixture!D761&lt;Fixture!F761,0,IF(Fixture!F761&lt;Fixture!D761,3,1)))</f>
        <v>0</v>
      </c>
      <c r="E2757" s="16">
        <f>IF(OR(ISBLANK(Fixture!D761),ISBLANK(Fixture!F761),ISTEXT(Fixture!D761),ISTEXT(Fixture!F761)),0,1)</f>
        <v>0</v>
      </c>
      <c r="F2757" s="16">
        <f t="shared" si="606"/>
        <v>0</v>
      </c>
      <c r="G2757" s="16">
        <f t="shared" si="607"/>
        <v>0</v>
      </c>
      <c r="H2757" s="16">
        <f t="shared" si="608"/>
        <v>0</v>
      </c>
      <c r="I2757" s="63">
        <f>IF(E2757=0,0,Fixture!D761)</f>
        <v>0</v>
      </c>
      <c r="J2757" s="63">
        <f>IF(E2757=0,0,Fixture!F761)</f>
        <v>0</v>
      </c>
      <c r="K2757" s="63">
        <f t="shared" si="609"/>
        <v>0</v>
      </c>
      <c r="L2757" s="63">
        <f t="shared" si="610"/>
        <v>0</v>
      </c>
      <c r="N2757" s="10" t="str">
        <f t="shared" si="612"/>
        <v>00</v>
      </c>
      <c r="O2757" s="10">
        <f t="shared" si="613"/>
        <v>0</v>
      </c>
      <c r="P2757" s="10">
        <f t="shared" si="614"/>
        <v>0</v>
      </c>
      <c r="Q2757" s="10">
        <f t="shared" si="615"/>
        <v>0</v>
      </c>
    </row>
    <row r="2758" spans="1:17">
      <c r="A2758" s="15">
        <f t="shared" si="611"/>
        <v>0</v>
      </c>
      <c r="B2758" s="15"/>
      <c r="C2758" s="14">
        <f>Fixture!C762</f>
        <v>0</v>
      </c>
      <c r="D2758" s="15">
        <f>IF(E2758=0,0,IF(Fixture!D762&lt;Fixture!F762,0,IF(Fixture!F762&lt;Fixture!D762,3,1)))</f>
        <v>0</v>
      </c>
      <c r="E2758" s="16">
        <f>IF(OR(ISBLANK(Fixture!D762),ISBLANK(Fixture!F762),ISTEXT(Fixture!D762),ISTEXT(Fixture!F762)),0,1)</f>
        <v>0</v>
      </c>
      <c r="F2758" s="16">
        <f t="shared" si="606"/>
        <v>0</v>
      </c>
      <c r="G2758" s="16">
        <f t="shared" si="607"/>
        <v>0</v>
      </c>
      <c r="H2758" s="16">
        <f t="shared" si="608"/>
        <v>0</v>
      </c>
      <c r="I2758" s="63">
        <f>IF(E2758=0,0,Fixture!D762)</f>
        <v>0</v>
      </c>
      <c r="J2758" s="63">
        <f>IF(E2758=0,0,Fixture!F762)</f>
        <v>0</v>
      </c>
      <c r="K2758" s="63">
        <f t="shared" si="609"/>
        <v>0</v>
      </c>
      <c r="L2758" s="63">
        <f t="shared" si="610"/>
        <v>0</v>
      </c>
      <c r="N2758" s="10" t="str">
        <f t="shared" si="612"/>
        <v>00</v>
      </c>
      <c r="O2758" s="10">
        <f t="shared" si="613"/>
        <v>0</v>
      </c>
      <c r="P2758" s="10">
        <f t="shared" si="614"/>
        <v>0</v>
      </c>
      <c r="Q2758" s="10">
        <f t="shared" si="615"/>
        <v>0</v>
      </c>
    </row>
    <row r="2759" spans="1:17">
      <c r="A2759" s="15">
        <f t="shared" si="611"/>
        <v>0</v>
      </c>
      <c r="B2759" s="15"/>
      <c r="C2759" s="14">
        <f>Fixture!C763</f>
        <v>0</v>
      </c>
      <c r="D2759" s="15">
        <f>IF(E2759=0,0,IF(Fixture!D763&lt;Fixture!F763,0,IF(Fixture!F763&lt;Fixture!D763,3,1)))</f>
        <v>0</v>
      </c>
      <c r="E2759" s="16">
        <f>IF(OR(ISBLANK(Fixture!D763),ISBLANK(Fixture!F763),ISTEXT(Fixture!D763),ISTEXT(Fixture!F763)),0,1)</f>
        <v>0</v>
      </c>
      <c r="F2759" s="16">
        <f t="shared" si="606"/>
        <v>0</v>
      </c>
      <c r="G2759" s="16">
        <f t="shared" si="607"/>
        <v>0</v>
      </c>
      <c r="H2759" s="16">
        <f t="shared" si="608"/>
        <v>0</v>
      </c>
      <c r="I2759" s="63">
        <f>IF(E2759=0,0,Fixture!D763)</f>
        <v>0</v>
      </c>
      <c r="J2759" s="63">
        <f>IF(E2759=0,0,Fixture!F763)</f>
        <v>0</v>
      </c>
      <c r="K2759" s="63">
        <f t="shared" si="609"/>
        <v>0</v>
      </c>
      <c r="L2759" s="63">
        <f t="shared" si="610"/>
        <v>0</v>
      </c>
      <c r="N2759" s="10" t="str">
        <f t="shared" si="612"/>
        <v>00</v>
      </c>
      <c r="O2759" s="10">
        <f t="shared" si="613"/>
        <v>0</v>
      </c>
      <c r="P2759" s="10">
        <f t="shared" si="614"/>
        <v>0</v>
      </c>
      <c r="Q2759" s="10">
        <f t="shared" si="615"/>
        <v>0</v>
      </c>
    </row>
    <row r="2760" spans="1:17">
      <c r="A2760" s="15">
        <f t="shared" si="611"/>
        <v>0</v>
      </c>
      <c r="B2760" s="15"/>
      <c r="C2760" s="14">
        <f>Fixture!C764</f>
        <v>0</v>
      </c>
      <c r="D2760" s="15">
        <f>IF(E2760=0,0,IF(Fixture!D764&lt;Fixture!F764,0,IF(Fixture!F764&lt;Fixture!D764,3,1)))</f>
        <v>0</v>
      </c>
      <c r="E2760" s="16">
        <f>IF(OR(ISBLANK(Fixture!D764),ISBLANK(Fixture!F764),ISTEXT(Fixture!D764),ISTEXT(Fixture!F764)),0,1)</f>
        <v>0</v>
      </c>
      <c r="F2760" s="16">
        <f t="shared" si="606"/>
        <v>0</v>
      </c>
      <c r="G2760" s="16">
        <f t="shared" si="607"/>
        <v>0</v>
      </c>
      <c r="H2760" s="16">
        <f t="shared" si="608"/>
        <v>0</v>
      </c>
      <c r="I2760" s="63">
        <f>IF(E2760=0,0,Fixture!D764)</f>
        <v>0</v>
      </c>
      <c r="J2760" s="63">
        <f>IF(E2760=0,0,Fixture!F764)</f>
        <v>0</v>
      </c>
      <c r="K2760" s="63">
        <f t="shared" si="609"/>
        <v>0</v>
      </c>
      <c r="L2760" s="63">
        <f t="shared" si="610"/>
        <v>0</v>
      </c>
      <c r="N2760" s="10" t="str">
        <f t="shared" si="612"/>
        <v>00</v>
      </c>
      <c r="O2760" s="10">
        <f t="shared" si="613"/>
        <v>0</v>
      </c>
      <c r="P2760" s="10">
        <f t="shared" si="614"/>
        <v>0</v>
      </c>
      <c r="Q2760" s="10">
        <f t="shared" si="615"/>
        <v>0</v>
      </c>
    </row>
    <row r="2761" spans="1:17">
      <c r="A2761" s="15">
        <f t="shared" si="611"/>
        <v>0</v>
      </c>
      <c r="B2761" s="15"/>
      <c r="C2761" s="14">
        <f>Fixture!C765</f>
        <v>0</v>
      </c>
      <c r="D2761" s="15">
        <f>IF(E2761=0,0,IF(Fixture!D765&lt;Fixture!F765,0,IF(Fixture!F765&lt;Fixture!D765,3,1)))</f>
        <v>0</v>
      </c>
      <c r="E2761" s="16">
        <f>IF(OR(ISBLANK(Fixture!D765),ISBLANK(Fixture!F765),ISTEXT(Fixture!D765),ISTEXT(Fixture!F765)),0,1)</f>
        <v>0</v>
      </c>
      <c r="F2761" s="16">
        <f t="shared" si="606"/>
        <v>0</v>
      </c>
      <c r="G2761" s="16">
        <f t="shared" si="607"/>
        <v>0</v>
      </c>
      <c r="H2761" s="16">
        <f t="shared" si="608"/>
        <v>0</v>
      </c>
      <c r="I2761" s="63">
        <f>IF(E2761=0,0,Fixture!D765)</f>
        <v>0</v>
      </c>
      <c r="J2761" s="63">
        <f>IF(E2761=0,0,Fixture!F765)</f>
        <v>0</v>
      </c>
      <c r="K2761" s="63">
        <f t="shared" si="609"/>
        <v>0</v>
      </c>
      <c r="L2761" s="63">
        <f t="shared" si="610"/>
        <v>0</v>
      </c>
      <c r="N2761" s="10" t="str">
        <f t="shared" si="612"/>
        <v>00</v>
      </c>
      <c r="O2761" s="10">
        <f t="shared" si="613"/>
        <v>0</v>
      </c>
      <c r="P2761" s="10">
        <f t="shared" si="614"/>
        <v>0</v>
      </c>
      <c r="Q2761" s="10">
        <f t="shared" si="615"/>
        <v>0</v>
      </c>
    </row>
    <row r="2762" spans="1:17">
      <c r="A2762" s="15">
        <f t="shared" si="611"/>
        <v>0</v>
      </c>
      <c r="B2762" s="15"/>
      <c r="C2762" s="14">
        <f>Fixture!C766</f>
        <v>0</v>
      </c>
      <c r="D2762" s="15">
        <f>IF(E2762=0,0,IF(Fixture!D766&lt;Fixture!F766,0,IF(Fixture!F766&lt;Fixture!D766,3,1)))</f>
        <v>0</v>
      </c>
      <c r="E2762" s="16">
        <f>IF(OR(ISBLANK(Fixture!D766),ISBLANK(Fixture!F766),ISTEXT(Fixture!D766),ISTEXT(Fixture!F766)),0,1)</f>
        <v>0</v>
      </c>
      <c r="F2762" s="16">
        <f t="shared" si="606"/>
        <v>0</v>
      </c>
      <c r="G2762" s="16">
        <f t="shared" si="607"/>
        <v>0</v>
      </c>
      <c r="H2762" s="16">
        <f t="shared" si="608"/>
        <v>0</v>
      </c>
      <c r="I2762" s="63">
        <f>IF(E2762=0,0,Fixture!D766)</f>
        <v>0</v>
      </c>
      <c r="J2762" s="63">
        <f>IF(E2762=0,0,Fixture!F766)</f>
        <v>0</v>
      </c>
      <c r="K2762" s="63">
        <f t="shared" si="609"/>
        <v>0</v>
      </c>
      <c r="L2762" s="63">
        <f t="shared" si="610"/>
        <v>0</v>
      </c>
      <c r="N2762" s="10" t="str">
        <f t="shared" si="612"/>
        <v>00</v>
      </c>
      <c r="O2762" s="10">
        <f t="shared" si="613"/>
        <v>0</v>
      </c>
      <c r="P2762" s="10">
        <f t="shared" si="614"/>
        <v>0</v>
      </c>
      <c r="Q2762" s="10">
        <f t="shared" si="615"/>
        <v>0</v>
      </c>
    </row>
    <row r="2763" spans="1:17">
      <c r="A2763" s="15">
        <f t="shared" si="611"/>
        <v>0</v>
      </c>
      <c r="B2763" s="15"/>
      <c r="C2763" s="14">
        <f>Fixture!C767</f>
        <v>0</v>
      </c>
      <c r="D2763" s="15">
        <f>IF(E2763=0,0,IF(Fixture!D767&lt;Fixture!F767,0,IF(Fixture!F767&lt;Fixture!D767,3,1)))</f>
        <v>0</v>
      </c>
      <c r="E2763" s="16">
        <f>IF(OR(ISBLANK(Fixture!D767),ISBLANK(Fixture!F767),ISTEXT(Fixture!D767),ISTEXT(Fixture!F767)),0,1)</f>
        <v>0</v>
      </c>
      <c r="F2763" s="16">
        <f t="shared" si="606"/>
        <v>0</v>
      </c>
      <c r="G2763" s="16">
        <f t="shared" si="607"/>
        <v>0</v>
      </c>
      <c r="H2763" s="16">
        <f t="shared" si="608"/>
        <v>0</v>
      </c>
      <c r="I2763" s="63">
        <f>IF(E2763=0,0,Fixture!D767)</f>
        <v>0</v>
      </c>
      <c r="J2763" s="63">
        <f>IF(E2763=0,0,Fixture!F767)</f>
        <v>0</v>
      </c>
      <c r="K2763" s="63">
        <f t="shared" si="609"/>
        <v>0</v>
      </c>
      <c r="L2763" s="63">
        <f t="shared" si="610"/>
        <v>0</v>
      </c>
      <c r="N2763" s="10" t="str">
        <f t="shared" si="612"/>
        <v>00</v>
      </c>
      <c r="O2763" s="10">
        <f t="shared" si="613"/>
        <v>0</v>
      </c>
      <c r="P2763" s="10">
        <f t="shared" si="614"/>
        <v>0</v>
      </c>
      <c r="Q2763" s="10">
        <f t="shared" si="615"/>
        <v>0</v>
      </c>
    </row>
    <row r="2764" spans="1:17">
      <c r="A2764" s="15">
        <f t="shared" si="611"/>
        <v>0</v>
      </c>
      <c r="B2764" s="15"/>
      <c r="C2764" s="14">
        <f>Fixture!C768</f>
        <v>0</v>
      </c>
      <c r="D2764" s="15">
        <f>IF(E2764=0,0,IF(Fixture!D768&lt;Fixture!F768,0,IF(Fixture!F768&lt;Fixture!D768,3,1)))</f>
        <v>0</v>
      </c>
      <c r="E2764" s="16">
        <f>IF(OR(ISBLANK(Fixture!D768),ISBLANK(Fixture!F768),ISTEXT(Fixture!D768),ISTEXT(Fixture!F768)),0,1)</f>
        <v>0</v>
      </c>
      <c r="F2764" s="16">
        <f t="shared" si="606"/>
        <v>0</v>
      </c>
      <c r="G2764" s="16">
        <f t="shared" si="607"/>
        <v>0</v>
      </c>
      <c r="H2764" s="16">
        <f t="shared" si="608"/>
        <v>0</v>
      </c>
      <c r="I2764" s="63">
        <f>IF(E2764=0,0,Fixture!D768)</f>
        <v>0</v>
      </c>
      <c r="J2764" s="63">
        <f>IF(E2764=0,0,Fixture!F768)</f>
        <v>0</v>
      </c>
      <c r="K2764" s="63">
        <f t="shared" si="609"/>
        <v>0</v>
      </c>
      <c r="L2764" s="63">
        <f t="shared" si="610"/>
        <v>0</v>
      </c>
      <c r="N2764" s="10" t="str">
        <f t="shared" si="612"/>
        <v>00</v>
      </c>
      <c r="O2764" s="10">
        <f t="shared" si="613"/>
        <v>0</v>
      </c>
      <c r="P2764" s="10">
        <f t="shared" si="614"/>
        <v>0</v>
      </c>
      <c r="Q2764" s="10">
        <f t="shared" si="615"/>
        <v>0</v>
      </c>
    </row>
    <row r="2765" spans="1:17">
      <c r="A2765" s="15">
        <f t="shared" si="611"/>
        <v>0</v>
      </c>
      <c r="B2765" s="15"/>
      <c r="C2765" s="14">
        <f>Fixture!C769</f>
        <v>0</v>
      </c>
      <c r="D2765" s="15">
        <f>IF(E2765=0,0,IF(Fixture!D769&lt;Fixture!F769,0,IF(Fixture!F769&lt;Fixture!D769,3,1)))</f>
        <v>0</v>
      </c>
      <c r="E2765" s="16">
        <f>IF(OR(ISBLANK(Fixture!D769),ISBLANK(Fixture!F769),ISTEXT(Fixture!D769),ISTEXT(Fixture!F769)),0,1)</f>
        <v>0</v>
      </c>
      <c r="F2765" s="16">
        <f t="shared" si="606"/>
        <v>0</v>
      </c>
      <c r="G2765" s="16">
        <f t="shared" si="607"/>
        <v>0</v>
      </c>
      <c r="H2765" s="16">
        <f t="shared" si="608"/>
        <v>0</v>
      </c>
      <c r="I2765" s="63">
        <f>IF(E2765=0,0,Fixture!D769)</f>
        <v>0</v>
      </c>
      <c r="J2765" s="63">
        <f>IF(E2765=0,0,Fixture!F769)</f>
        <v>0</v>
      </c>
      <c r="K2765" s="63">
        <f t="shared" si="609"/>
        <v>0</v>
      </c>
      <c r="L2765" s="63">
        <f t="shared" si="610"/>
        <v>0</v>
      </c>
      <c r="N2765" s="10" t="str">
        <f t="shared" si="612"/>
        <v>00</v>
      </c>
      <c r="O2765" s="10">
        <f t="shared" si="613"/>
        <v>0</v>
      </c>
      <c r="P2765" s="10">
        <f t="shared" si="614"/>
        <v>0</v>
      </c>
      <c r="Q2765" s="10">
        <f t="shared" si="615"/>
        <v>0</v>
      </c>
    </row>
    <row r="2766" spans="1:17">
      <c r="A2766" s="15">
        <f t="shared" si="611"/>
        <v>0</v>
      </c>
      <c r="B2766" s="15"/>
      <c r="C2766" s="14">
        <f>Fixture!C770</f>
        <v>0</v>
      </c>
      <c r="D2766" s="15">
        <f>IF(E2766=0,0,IF(Fixture!D770&lt;Fixture!F770,0,IF(Fixture!F770&lt;Fixture!D770,3,1)))</f>
        <v>0</v>
      </c>
      <c r="E2766" s="16">
        <f>IF(OR(ISBLANK(Fixture!D770),ISBLANK(Fixture!F770),ISTEXT(Fixture!D770),ISTEXT(Fixture!F770)),0,1)</f>
        <v>0</v>
      </c>
      <c r="F2766" s="16">
        <f t="shared" si="606"/>
        <v>0</v>
      </c>
      <c r="G2766" s="16">
        <f t="shared" si="607"/>
        <v>0</v>
      </c>
      <c r="H2766" s="16">
        <f t="shared" si="608"/>
        <v>0</v>
      </c>
      <c r="I2766" s="63">
        <f>IF(E2766=0,0,Fixture!D770)</f>
        <v>0</v>
      </c>
      <c r="J2766" s="63">
        <f>IF(E2766=0,0,Fixture!F770)</f>
        <v>0</v>
      </c>
      <c r="K2766" s="63">
        <f t="shared" si="609"/>
        <v>0</v>
      </c>
      <c r="L2766" s="63">
        <f t="shared" si="610"/>
        <v>0</v>
      </c>
      <c r="N2766" s="10" t="str">
        <f t="shared" si="612"/>
        <v>00</v>
      </c>
      <c r="O2766" s="10">
        <f t="shared" si="613"/>
        <v>0</v>
      </c>
      <c r="P2766" s="10">
        <f t="shared" si="614"/>
        <v>0</v>
      </c>
      <c r="Q2766" s="10">
        <f t="shared" si="615"/>
        <v>0</v>
      </c>
    </row>
    <row r="2767" spans="1:17">
      <c r="A2767" s="15">
        <f t="shared" si="611"/>
        <v>0</v>
      </c>
      <c r="B2767" s="15"/>
      <c r="C2767" s="14">
        <f>Fixture!C771</f>
        <v>0</v>
      </c>
      <c r="D2767" s="15">
        <f>IF(E2767=0,0,IF(Fixture!D771&lt;Fixture!F771,0,IF(Fixture!F771&lt;Fixture!D771,3,1)))</f>
        <v>0</v>
      </c>
      <c r="E2767" s="16">
        <f>IF(OR(ISBLANK(Fixture!D771),ISBLANK(Fixture!F771),ISTEXT(Fixture!D771),ISTEXT(Fixture!F771)),0,1)</f>
        <v>0</v>
      </c>
      <c r="F2767" s="16">
        <f t="shared" si="606"/>
        <v>0</v>
      </c>
      <c r="G2767" s="16">
        <f t="shared" si="607"/>
        <v>0</v>
      </c>
      <c r="H2767" s="16">
        <f t="shared" si="608"/>
        <v>0</v>
      </c>
      <c r="I2767" s="63">
        <f>IF(E2767=0,0,Fixture!D771)</f>
        <v>0</v>
      </c>
      <c r="J2767" s="63">
        <f>IF(E2767=0,0,Fixture!F771)</f>
        <v>0</v>
      </c>
      <c r="K2767" s="63">
        <f t="shared" si="609"/>
        <v>0</v>
      </c>
      <c r="L2767" s="63">
        <f t="shared" si="610"/>
        <v>0</v>
      </c>
      <c r="N2767" s="10" t="str">
        <f t="shared" si="612"/>
        <v>00</v>
      </c>
      <c r="O2767" s="10">
        <f t="shared" si="613"/>
        <v>0</v>
      </c>
      <c r="P2767" s="10">
        <f t="shared" si="614"/>
        <v>0</v>
      </c>
      <c r="Q2767" s="10">
        <f t="shared" si="615"/>
        <v>0</v>
      </c>
    </row>
    <row r="2768" spans="1:17">
      <c r="A2768" s="15">
        <f t="shared" si="611"/>
        <v>0</v>
      </c>
      <c r="B2768" s="15"/>
      <c r="C2768" s="14">
        <f>Fixture!C772</f>
        <v>0</v>
      </c>
      <c r="D2768" s="15">
        <f>IF(E2768=0,0,IF(Fixture!D772&lt;Fixture!F772,0,IF(Fixture!F772&lt;Fixture!D772,3,1)))</f>
        <v>0</v>
      </c>
      <c r="E2768" s="16">
        <f>IF(OR(ISBLANK(Fixture!D772),ISBLANK(Fixture!F772),ISTEXT(Fixture!D772),ISTEXT(Fixture!F772)),0,1)</f>
        <v>0</v>
      </c>
      <c r="F2768" s="16">
        <f t="shared" si="606"/>
        <v>0</v>
      </c>
      <c r="G2768" s="16">
        <f t="shared" si="607"/>
        <v>0</v>
      </c>
      <c r="H2768" s="16">
        <f t="shared" si="608"/>
        <v>0</v>
      </c>
      <c r="I2768" s="63">
        <f>IF(E2768=0,0,Fixture!D772)</f>
        <v>0</v>
      </c>
      <c r="J2768" s="63">
        <f>IF(E2768=0,0,Fixture!F772)</f>
        <v>0</v>
      </c>
      <c r="K2768" s="63">
        <f t="shared" si="609"/>
        <v>0</v>
      </c>
      <c r="L2768" s="63">
        <f t="shared" si="610"/>
        <v>0</v>
      </c>
      <c r="N2768" s="10" t="str">
        <f t="shared" si="612"/>
        <v>00</v>
      </c>
      <c r="O2768" s="10">
        <f t="shared" si="613"/>
        <v>0</v>
      </c>
      <c r="P2768" s="10">
        <f t="shared" si="614"/>
        <v>0</v>
      </c>
      <c r="Q2768" s="10">
        <f t="shared" si="615"/>
        <v>0</v>
      </c>
    </row>
    <row r="2769" spans="1:17">
      <c r="A2769" s="15">
        <f t="shared" si="611"/>
        <v>0</v>
      </c>
      <c r="B2769" s="15"/>
      <c r="C2769" s="14">
        <f>Fixture!C773</f>
        <v>0</v>
      </c>
      <c r="D2769" s="15">
        <f>IF(E2769=0,0,IF(Fixture!D773&lt;Fixture!F773,0,IF(Fixture!F773&lt;Fixture!D773,3,1)))</f>
        <v>0</v>
      </c>
      <c r="E2769" s="16">
        <f>IF(OR(ISBLANK(Fixture!D773),ISBLANK(Fixture!F773),ISTEXT(Fixture!D773),ISTEXT(Fixture!F773)),0,1)</f>
        <v>0</v>
      </c>
      <c r="F2769" s="16">
        <f t="shared" ref="F2769:F2800" si="616">IF(E2769=0,0,IF(D2769&lt;&gt;3,0,1))</f>
        <v>0</v>
      </c>
      <c r="G2769" s="16">
        <f t="shared" ref="G2769:G2800" si="617">IF(E2769=0,0,IF(D2769&lt;&gt;1,0,1))</f>
        <v>0</v>
      </c>
      <c r="H2769" s="16">
        <f t="shared" ref="H2769:H2800" si="618">IF(E2769=0,0,IF(D2769&lt;&gt;0,0,1))</f>
        <v>0</v>
      </c>
      <c r="I2769" s="63">
        <f>IF(E2769=0,0,Fixture!D773)</f>
        <v>0</v>
      </c>
      <c r="J2769" s="63">
        <f>IF(E2769=0,0,Fixture!F773)</f>
        <v>0</v>
      </c>
      <c r="K2769" s="63">
        <f t="shared" ref="K2769:K2800" si="619">IF(E2769=0,0,IF(I2769&gt;0,0,1))</f>
        <v>0</v>
      </c>
      <c r="L2769" s="63">
        <f t="shared" ref="L2769:L2800" si="620">IF(E2769=0,0,IF(J2769&gt;0,0,1))</f>
        <v>0</v>
      </c>
      <c r="N2769" s="10" t="str">
        <f t="shared" si="612"/>
        <v>00</v>
      </c>
      <c r="O2769" s="10">
        <f t="shared" si="613"/>
        <v>0</v>
      </c>
      <c r="P2769" s="10">
        <f t="shared" si="614"/>
        <v>0</v>
      </c>
      <c r="Q2769" s="10">
        <f t="shared" si="615"/>
        <v>0</v>
      </c>
    </row>
    <row r="2770" spans="1:17">
      <c r="A2770" s="15">
        <f t="shared" ref="A2770:A2800" si="621">A813</f>
        <v>0</v>
      </c>
      <c r="B2770" s="15"/>
      <c r="C2770" s="14">
        <f>Fixture!C774</f>
        <v>0</v>
      </c>
      <c r="D2770" s="15">
        <f>IF(E2770=0,0,IF(Fixture!D774&lt;Fixture!F774,0,IF(Fixture!F774&lt;Fixture!D774,3,1)))</f>
        <v>0</v>
      </c>
      <c r="E2770" s="16">
        <f>IF(OR(ISBLANK(Fixture!D774),ISBLANK(Fixture!F774),ISTEXT(Fixture!D774),ISTEXT(Fixture!F774)),0,1)</f>
        <v>0</v>
      </c>
      <c r="F2770" s="16">
        <f t="shared" si="616"/>
        <v>0</v>
      </c>
      <c r="G2770" s="16">
        <f t="shared" si="617"/>
        <v>0</v>
      </c>
      <c r="H2770" s="16">
        <f t="shared" si="618"/>
        <v>0</v>
      </c>
      <c r="I2770" s="63">
        <f>IF(E2770=0,0,Fixture!D774)</f>
        <v>0</v>
      </c>
      <c r="J2770" s="63">
        <f>IF(E2770=0,0,Fixture!F774)</f>
        <v>0</v>
      </c>
      <c r="K2770" s="63">
        <f t="shared" si="619"/>
        <v>0</v>
      </c>
      <c r="L2770" s="63">
        <f t="shared" si="620"/>
        <v>0</v>
      </c>
      <c r="N2770" s="10" t="str">
        <f t="shared" ref="N2770:N2833" si="622">CONCATENATE(C2770,A2770)</f>
        <v>00</v>
      </c>
      <c r="O2770" s="10">
        <f t="shared" ref="O2770:O2833" si="623">D2770</f>
        <v>0</v>
      </c>
      <c r="P2770" s="10">
        <f t="shared" ref="P2770:P2833" si="624">I2770</f>
        <v>0</v>
      </c>
      <c r="Q2770" s="10">
        <f t="shared" ref="Q2770:Q2833" si="625">J2770</f>
        <v>0</v>
      </c>
    </row>
    <row r="2771" spans="1:17">
      <c r="A2771" s="15">
        <f t="shared" si="621"/>
        <v>0</v>
      </c>
      <c r="B2771" s="15"/>
      <c r="C2771" s="14">
        <f>Fixture!C775</f>
        <v>0</v>
      </c>
      <c r="D2771" s="15">
        <f>IF(E2771=0,0,IF(Fixture!D775&lt;Fixture!F775,0,IF(Fixture!F775&lt;Fixture!D775,3,1)))</f>
        <v>0</v>
      </c>
      <c r="E2771" s="16">
        <f>IF(OR(ISBLANK(Fixture!D775),ISBLANK(Fixture!F775),ISTEXT(Fixture!D775),ISTEXT(Fixture!F775)),0,1)</f>
        <v>0</v>
      </c>
      <c r="F2771" s="16">
        <f t="shared" si="616"/>
        <v>0</v>
      </c>
      <c r="G2771" s="16">
        <f t="shared" si="617"/>
        <v>0</v>
      </c>
      <c r="H2771" s="16">
        <f t="shared" si="618"/>
        <v>0</v>
      </c>
      <c r="I2771" s="63">
        <f>IF(E2771=0,0,Fixture!D775)</f>
        <v>0</v>
      </c>
      <c r="J2771" s="63">
        <f>IF(E2771=0,0,Fixture!F775)</f>
        <v>0</v>
      </c>
      <c r="K2771" s="63">
        <f t="shared" si="619"/>
        <v>0</v>
      </c>
      <c r="L2771" s="63">
        <f t="shared" si="620"/>
        <v>0</v>
      </c>
      <c r="N2771" s="10" t="str">
        <f t="shared" si="622"/>
        <v>00</v>
      </c>
      <c r="O2771" s="10">
        <f t="shared" si="623"/>
        <v>0</v>
      </c>
      <c r="P2771" s="10">
        <f t="shared" si="624"/>
        <v>0</v>
      </c>
      <c r="Q2771" s="10">
        <f t="shared" si="625"/>
        <v>0</v>
      </c>
    </row>
    <row r="2772" spans="1:17">
      <c r="A2772" s="15">
        <f t="shared" si="621"/>
        <v>0</v>
      </c>
      <c r="B2772" s="15"/>
      <c r="C2772" s="14">
        <f>Fixture!C776</f>
        <v>0</v>
      </c>
      <c r="D2772" s="15">
        <f>IF(E2772=0,0,IF(Fixture!D776&lt;Fixture!F776,0,IF(Fixture!F776&lt;Fixture!D776,3,1)))</f>
        <v>0</v>
      </c>
      <c r="E2772" s="16">
        <f>IF(OR(ISBLANK(Fixture!D776),ISBLANK(Fixture!F776),ISTEXT(Fixture!D776),ISTEXT(Fixture!F776)),0,1)</f>
        <v>0</v>
      </c>
      <c r="F2772" s="16">
        <f t="shared" si="616"/>
        <v>0</v>
      </c>
      <c r="G2772" s="16">
        <f t="shared" si="617"/>
        <v>0</v>
      </c>
      <c r="H2772" s="16">
        <f t="shared" si="618"/>
        <v>0</v>
      </c>
      <c r="I2772" s="63">
        <f>IF(E2772=0,0,Fixture!D776)</f>
        <v>0</v>
      </c>
      <c r="J2772" s="63">
        <f>IF(E2772=0,0,Fixture!F776)</f>
        <v>0</v>
      </c>
      <c r="K2772" s="63">
        <f t="shared" si="619"/>
        <v>0</v>
      </c>
      <c r="L2772" s="63">
        <f t="shared" si="620"/>
        <v>0</v>
      </c>
      <c r="N2772" s="10" t="str">
        <f t="shared" si="622"/>
        <v>00</v>
      </c>
      <c r="O2772" s="10">
        <f t="shared" si="623"/>
        <v>0</v>
      </c>
      <c r="P2772" s="10">
        <f t="shared" si="624"/>
        <v>0</v>
      </c>
      <c r="Q2772" s="10">
        <f t="shared" si="625"/>
        <v>0</v>
      </c>
    </row>
    <row r="2773" spans="1:17">
      <c r="A2773" s="15">
        <f t="shared" si="621"/>
        <v>0</v>
      </c>
      <c r="B2773" s="15"/>
      <c r="C2773" s="14">
        <f>Fixture!C777</f>
        <v>0</v>
      </c>
      <c r="D2773" s="15">
        <f>IF(E2773=0,0,IF(Fixture!D777&lt;Fixture!F777,0,IF(Fixture!F777&lt;Fixture!D777,3,1)))</f>
        <v>0</v>
      </c>
      <c r="E2773" s="16">
        <f>IF(OR(ISBLANK(Fixture!D777),ISBLANK(Fixture!F777),ISTEXT(Fixture!D777),ISTEXT(Fixture!F777)),0,1)</f>
        <v>0</v>
      </c>
      <c r="F2773" s="16">
        <f t="shared" si="616"/>
        <v>0</v>
      </c>
      <c r="G2773" s="16">
        <f t="shared" si="617"/>
        <v>0</v>
      </c>
      <c r="H2773" s="16">
        <f t="shared" si="618"/>
        <v>0</v>
      </c>
      <c r="I2773" s="63">
        <f>IF(E2773=0,0,Fixture!D777)</f>
        <v>0</v>
      </c>
      <c r="J2773" s="63">
        <f>IF(E2773=0,0,Fixture!F777)</f>
        <v>0</v>
      </c>
      <c r="K2773" s="63">
        <f t="shared" si="619"/>
        <v>0</v>
      </c>
      <c r="L2773" s="63">
        <f t="shared" si="620"/>
        <v>0</v>
      </c>
      <c r="N2773" s="10" t="str">
        <f t="shared" si="622"/>
        <v>00</v>
      </c>
      <c r="O2773" s="10">
        <f t="shared" si="623"/>
        <v>0</v>
      </c>
      <c r="P2773" s="10">
        <f t="shared" si="624"/>
        <v>0</v>
      </c>
      <c r="Q2773" s="10">
        <f t="shared" si="625"/>
        <v>0</v>
      </c>
    </row>
    <row r="2774" spans="1:17">
      <c r="A2774" s="15">
        <f t="shared" si="621"/>
        <v>0</v>
      </c>
      <c r="B2774" s="15"/>
      <c r="C2774" s="14">
        <f>Fixture!C778</f>
        <v>0</v>
      </c>
      <c r="D2774" s="15">
        <f>IF(E2774=0,0,IF(Fixture!D778&lt;Fixture!F778,0,IF(Fixture!F778&lt;Fixture!D778,3,1)))</f>
        <v>0</v>
      </c>
      <c r="E2774" s="16">
        <f>IF(OR(ISBLANK(Fixture!D778),ISBLANK(Fixture!F778),ISTEXT(Fixture!D778),ISTEXT(Fixture!F778)),0,1)</f>
        <v>0</v>
      </c>
      <c r="F2774" s="16">
        <f t="shared" si="616"/>
        <v>0</v>
      </c>
      <c r="G2774" s="16">
        <f t="shared" si="617"/>
        <v>0</v>
      </c>
      <c r="H2774" s="16">
        <f t="shared" si="618"/>
        <v>0</v>
      </c>
      <c r="I2774" s="63">
        <f>IF(E2774=0,0,Fixture!D778)</f>
        <v>0</v>
      </c>
      <c r="J2774" s="63">
        <f>IF(E2774=0,0,Fixture!F778)</f>
        <v>0</v>
      </c>
      <c r="K2774" s="63">
        <f t="shared" si="619"/>
        <v>0</v>
      </c>
      <c r="L2774" s="63">
        <f t="shared" si="620"/>
        <v>0</v>
      </c>
      <c r="N2774" s="10" t="str">
        <f t="shared" si="622"/>
        <v>00</v>
      </c>
      <c r="O2774" s="10">
        <f t="shared" si="623"/>
        <v>0</v>
      </c>
      <c r="P2774" s="10">
        <f t="shared" si="624"/>
        <v>0</v>
      </c>
      <c r="Q2774" s="10">
        <f t="shared" si="625"/>
        <v>0</v>
      </c>
    </row>
    <row r="2775" spans="1:17">
      <c r="A2775" s="15">
        <f t="shared" si="621"/>
        <v>0</v>
      </c>
      <c r="B2775" s="15"/>
      <c r="C2775" s="14">
        <f>Fixture!C779</f>
        <v>0</v>
      </c>
      <c r="D2775" s="15">
        <f>IF(E2775=0,0,IF(Fixture!D779&lt;Fixture!F779,0,IF(Fixture!F779&lt;Fixture!D779,3,1)))</f>
        <v>0</v>
      </c>
      <c r="E2775" s="16">
        <f>IF(OR(ISBLANK(Fixture!D779),ISBLANK(Fixture!F779),ISTEXT(Fixture!D779),ISTEXT(Fixture!F779)),0,1)</f>
        <v>0</v>
      </c>
      <c r="F2775" s="16">
        <f t="shared" si="616"/>
        <v>0</v>
      </c>
      <c r="G2775" s="16">
        <f t="shared" si="617"/>
        <v>0</v>
      </c>
      <c r="H2775" s="16">
        <f t="shared" si="618"/>
        <v>0</v>
      </c>
      <c r="I2775" s="63">
        <f>IF(E2775=0,0,Fixture!D779)</f>
        <v>0</v>
      </c>
      <c r="J2775" s="63">
        <f>IF(E2775=0,0,Fixture!F779)</f>
        <v>0</v>
      </c>
      <c r="K2775" s="63">
        <f t="shared" si="619"/>
        <v>0</v>
      </c>
      <c r="L2775" s="63">
        <f t="shared" si="620"/>
        <v>0</v>
      </c>
      <c r="N2775" s="10" t="str">
        <f t="shared" si="622"/>
        <v>00</v>
      </c>
      <c r="O2775" s="10">
        <f t="shared" si="623"/>
        <v>0</v>
      </c>
      <c r="P2775" s="10">
        <f t="shared" si="624"/>
        <v>0</v>
      </c>
      <c r="Q2775" s="10">
        <f t="shared" si="625"/>
        <v>0</v>
      </c>
    </row>
    <row r="2776" spans="1:17">
      <c r="A2776" s="15">
        <f t="shared" si="621"/>
        <v>0</v>
      </c>
      <c r="B2776" s="15"/>
      <c r="C2776" s="14">
        <f>Fixture!C780</f>
        <v>0</v>
      </c>
      <c r="D2776" s="15">
        <f>IF(E2776=0,0,IF(Fixture!D780&lt;Fixture!F780,0,IF(Fixture!F780&lt;Fixture!D780,3,1)))</f>
        <v>0</v>
      </c>
      <c r="E2776" s="16">
        <f>IF(OR(ISBLANK(Fixture!D780),ISBLANK(Fixture!F780),ISTEXT(Fixture!D780),ISTEXT(Fixture!F780)),0,1)</f>
        <v>0</v>
      </c>
      <c r="F2776" s="16">
        <f t="shared" si="616"/>
        <v>0</v>
      </c>
      <c r="G2776" s="16">
        <f t="shared" si="617"/>
        <v>0</v>
      </c>
      <c r="H2776" s="16">
        <f t="shared" si="618"/>
        <v>0</v>
      </c>
      <c r="I2776" s="63">
        <f>IF(E2776=0,0,Fixture!D780)</f>
        <v>0</v>
      </c>
      <c r="J2776" s="63">
        <f>IF(E2776=0,0,Fixture!F780)</f>
        <v>0</v>
      </c>
      <c r="K2776" s="63">
        <f t="shared" si="619"/>
        <v>0</v>
      </c>
      <c r="L2776" s="63">
        <f t="shared" si="620"/>
        <v>0</v>
      </c>
      <c r="N2776" s="10" t="str">
        <f t="shared" si="622"/>
        <v>00</v>
      </c>
      <c r="O2776" s="10">
        <f t="shared" si="623"/>
        <v>0</v>
      </c>
      <c r="P2776" s="10">
        <f t="shared" si="624"/>
        <v>0</v>
      </c>
      <c r="Q2776" s="10">
        <f t="shared" si="625"/>
        <v>0</v>
      </c>
    </row>
    <row r="2777" spans="1:17">
      <c r="A2777" s="15">
        <f t="shared" si="621"/>
        <v>0</v>
      </c>
      <c r="B2777" s="15"/>
      <c r="C2777" s="14">
        <f>Fixture!C781</f>
        <v>0</v>
      </c>
      <c r="D2777" s="15">
        <f>IF(E2777=0,0,IF(Fixture!D781&lt;Fixture!F781,0,IF(Fixture!F781&lt;Fixture!D781,3,1)))</f>
        <v>0</v>
      </c>
      <c r="E2777" s="16">
        <f>IF(OR(ISBLANK(Fixture!D781),ISBLANK(Fixture!F781),ISTEXT(Fixture!D781),ISTEXT(Fixture!F781)),0,1)</f>
        <v>0</v>
      </c>
      <c r="F2777" s="16">
        <f t="shared" si="616"/>
        <v>0</v>
      </c>
      <c r="G2777" s="16">
        <f t="shared" si="617"/>
        <v>0</v>
      </c>
      <c r="H2777" s="16">
        <f t="shared" si="618"/>
        <v>0</v>
      </c>
      <c r="I2777" s="63">
        <f>IF(E2777=0,0,Fixture!D781)</f>
        <v>0</v>
      </c>
      <c r="J2777" s="63">
        <f>IF(E2777=0,0,Fixture!F781)</f>
        <v>0</v>
      </c>
      <c r="K2777" s="63">
        <f t="shared" si="619"/>
        <v>0</v>
      </c>
      <c r="L2777" s="63">
        <f t="shared" si="620"/>
        <v>0</v>
      </c>
      <c r="N2777" s="10" t="str">
        <f t="shared" si="622"/>
        <v>00</v>
      </c>
      <c r="O2777" s="10">
        <f t="shared" si="623"/>
        <v>0</v>
      </c>
      <c r="P2777" s="10">
        <f t="shared" si="624"/>
        <v>0</v>
      </c>
      <c r="Q2777" s="10">
        <f t="shared" si="625"/>
        <v>0</v>
      </c>
    </row>
    <row r="2778" spans="1:17">
      <c r="A2778" s="15">
        <f t="shared" si="621"/>
        <v>0</v>
      </c>
      <c r="B2778" s="15"/>
      <c r="C2778" s="14">
        <f>Fixture!C782</f>
        <v>0</v>
      </c>
      <c r="D2778" s="15">
        <f>IF(E2778=0,0,IF(Fixture!D782&lt;Fixture!F782,0,IF(Fixture!F782&lt;Fixture!D782,3,1)))</f>
        <v>0</v>
      </c>
      <c r="E2778" s="16">
        <f>IF(OR(ISBLANK(Fixture!D782),ISBLANK(Fixture!F782),ISTEXT(Fixture!D782),ISTEXT(Fixture!F782)),0,1)</f>
        <v>0</v>
      </c>
      <c r="F2778" s="16">
        <f t="shared" si="616"/>
        <v>0</v>
      </c>
      <c r="G2778" s="16">
        <f t="shared" si="617"/>
        <v>0</v>
      </c>
      <c r="H2778" s="16">
        <f t="shared" si="618"/>
        <v>0</v>
      </c>
      <c r="I2778" s="63">
        <f>IF(E2778=0,0,Fixture!D782)</f>
        <v>0</v>
      </c>
      <c r="J2778" s="63">
        <f>IF(E2778=0,0,Fixture!F782)</f>
        <v>0</v>
      </c>
      <c r="K2778" s="63">
        <f t="shared" si="619"/>
        <v>0</v>
      </c>
      <c r="L2778" s="63">
        <f t="shared" si="620"/>
        <v>0</v>
      </c>
      <c r="N2778" s="10" t="str">
        <f t="shared" si="622"/>
        <v>00</v>
      </c>
      <c r="O2778" s="10">
        <f t="shared" si="623"/>
        <v>0</v>
      </c>
      <c r="P2778" s="10">
        <f t="shared" si="624"/>
        <v>0</v>
      </c>
      <c r="Q2778" s="10">
        <f t="shared" si="625"/>
        <v>0</v>
      </c>
    </row>
    <row r="2779" spans="1:17">
      <c r="A2779" s="15">
        <f t="shared" si="621"/>
        <v>0</v>
      </c>
      <c r="B2779" s="15"/>
      <c r="C2779" s="14">
        <f>Fixture!C783</f>
        <v>0</v>
      </c>
      <c r="D2779" s="15">
        <f>IF(E2779=0,0,IF(Fixture!D783&lt;Fixture!F783,0,IF(Fixture!F783&lt;Fixture!D783,3,1)))</f>
        <v>0</v>
      </c>
      <c r="E2779" s="16">
        <f>IF(OR(ISBLANK(Fixture!D783),ISBLANK(Fixture!F783),ISTEXT(Fixture!D783),ISTEXT(Fixture!F783)),0,1)</f>
        <v>0</v>
      </c>
      <c r="F2779" s="16">
        <f t="shared" si="616"/>
        <v>0</v>
      </c>
      <c r="G2779" s="16">
        <f t="shared" si="617"/>
        <v>0</v>
      </c>
      <c r="H2779" s="16">
        <f t="shared" si="618"/>
        <v>0</v>
      </c>
      <c r="I2779" s="63">
        <f>IF(E2779=0,0,Fixture!D783)</f>
        <v>0</v>
      </c>
      <c r="J2779" s="63">
        <f>IF(E2779=0,0,Fixture!F783)</f>
        <v>0</v>
      </c>
      <c r="K2779" s="63">
        <f t="shared" si="619"/>
        <v>0</v>
      </c>
      <c r="L2779" s="63">
        <f t="shared" si="620"/>
        <v>0</v>
      </c>
      <c r="N2779" s="10" t="str">
        <f t="shared" si="622"/>
        <v>00</v>
      </c>
      <c r="O2779" s="10">
        <f t="shared" si="623"/>
        <v>0</v>
      </c>
      <c r="P2779" s="10">
        <f t="shared" si="624"/>
        <v>0</v>
      </c>
      <c r="Q2779" s="10">
        <f t="shared" si="625"/>
        <v>0</v>
      </c>
    </row>
    <row r="2780" spans="1:17">
      <c r="A2780" s="15">
        <f t="shared" si="621"/>
        <v>0</v>
      </c>
      <c r="B2780" s="15"/>
      <c r="C2780" s="14">
        <f>Fixture!C784</f>
        <v>0</v>
      </c>
      <c r="D2780" s="15">
        <f>IF(E2780=0,0,IF(Fixture!D784&lt;Fixture!F784,0,IF(Fixture!F784&lt;Fixture!D784,3,1)))</f>
        <v>0</v>
      </c>
      <c r="E2780" s="16">
        <f>IF(OR(ISBLANK(Fixture!D784),ISBLANK(Fixture!F784),ISTEXT(Fixture!D784),ISTEXT(Fixture!F784)),0,1)</f>
        <v>0</v>
      </c>
      <c r="F2780" s="16">
        <f t="shared" si="616"/>
        <v>0</v>
      </c>
      <c r="G2780" s="16">
        <f t="shared" si="617"/>
        <v>0</v>
      </c>
      <c r="H2780" s="16">
        <f t="shared" si="618"/>
        <v>0</v>
      </c>
      <c r="I2780" s="63">
        <f>IF(E2780=0,0,Fixture!D784)</f>
        <v>0</v>
      </c>
      <c r="J2780" s="63">
        <f>IF(E2780=0,0,Fixture!F784)</f>
        <v>0</v>
      </c>
      <c r="K2780" s="63">
        <f t="shared" si="619"/>
        <v>0</v>
      </c>
      <c r="L2780" s="63">
        <f t="shared" si="620"/>
        <v>0</v>
      </c>
      <c r="N2780" s="10" t="str">
        <f t="shared" si="622"/>
        <v>00</v>
      </c>
      <c r="O2780" s="10">
        <f t="shared" si="623"/>
        <v>0</v>
      </c>
      <c r="P2780" s="10">
        <f t="shared" si="624"/>
        <v>0</v>
      </c>
      <c r="Q2780" s="10">
        <f t="shared" si="625"/>
        <v>0</v>
      </c>
    </row>
    <row r="2781" spans="1:17">
      <c r="A2781" s="15">
        <f t="shared" si="621"/>
        <v>0</v>
      </c>
      <c r="B2781" s="15"/>
      <c r="C2781" s="14">
        <f>Fixture!C785</f>
        <v>0</v>
      </c>
      <c r="D2781" s="15">
        <f>IF(E2781=0,0,IF(Fixture!D785&lt;Fixture!F785,0,IF(Fixture!F785&lt;Fixture!D785,3,1)))</f>
        <v>0</v>
      </c>
      <c r="E2781" s="16">
        <f>IF(OR(ISBLANK(Fixture!D785),ISBLANK(Fixture!F785),ISTEXT(Fixture!D785),ISTEXT(Fixture!F785)),0,1)</f>
        <v>0</v>
      </c>
      <c r="F2781" s="16">
        <f t="shared" si="616"/>
        <v>0</v>
      </c>
      <c r="G2781" s="16">
        <f t="shared" si="617"/>
        <v>0</v>
      </c>
      <c r="H2781" s="16">
        <f t="shared" si="618"/>
        <v>0</v>
      </c>
      <c r="I2781" s="63">
        <f>IF(E2781=0,0,Fixture!D785)</f>
        <v>0</v>
      </c>
      <c r="J2781" s="63">
        <f>IF(E2781=0,0,Fixture!F785)</f>
        <v>0</v>
      </c>
      <c r="K2781" s="63">
        <f t="shared" si="619"/>
        <v>0</v>
      </c>
      <c r="L2781" s="63">
        <f t="shared" si="620"/>
        <v>0</v>
      </c>
      <c r="N2781" s="10" t="str">
        <f t="shared" si="622"/>
        <v>00</v>
      </c>
      <c r="O2781" s="10">
        <f t="shared" si="623"/>
        <v>0</v>
      </c>
      <c r="P2781" s="10">
        <f t="shared" si="624"/>
        <v>0</v>
      </c>
      <c r="Q2781" s="10">
        <f t="shared" si="625"/>
        <v>0</v>
      </c>
    </row>
    <row r="2782" spans="1:17">
      <c r="A2782" s="15">
        <f t="shared" si="621"/>
        <v>0</v>
      </c>
      <c r="B2782" s="15"/>
      <c r="C2782" s="14">
        <f>Fixture!C786</f>
        <v>0</v>
      </c>
      <c r="D2782" s="15">
        <f>IF(E2782=0,0,IF(Fixture!D786&lt;Fixture!F786,0,IF(Fixture!F786&lt;Fixture!D786,3,1)))</f>
        <v>0</v>
      </c>
      <c r="E2782" s="16">
        <f>IF(OR(ISBLANK(Fixture!D786),ISBLANK(Fixture!F786),ISTEXT(Fixture!D786),ISTEXT(Fixture!F786)),0,1)</f>
        <v>0</v>
      </c>
      <c r="F2782" s="16">
        <f t="shared" si="616"/>
        <v>0</v>
      </c>
      <c r="G2782" s="16">
        <f t="shared" si="617"/>
        <v>0</v>
      </c>
      <c r="H2782" s="16">
        <f t="shared" si="618"/>
        <v>0</v>
      </c>
      <c r="I2782" s="63">
        <f>IF(E2782=0,0,Fixture!D786)</f>
        <v>0</v>
      </c>
      <c r="J2782" s="63">
        <f>IF(E2782=0,0,Fixture!F786)</f>
        <v>0</v>
      </c>
      <c r="K2782" s="63">
        <f t="shared" si="619"/>
        <v>0</v>
      </c>
      <c r="L2782" s="63">
        <f t="shared" si="620"/>
        <v>0</v>
      </c>
      <c r="N2782" s="10" t="str">
        <f t="shared" si="622"/>
        <v>00</v>
      </c>
      <c r="O2782" s="10">
        <f t="shared" si="623"/>
        <v>0</v>
      </c>
      <c r="P2782" s="10">
        <f t="shared" si="624"/>
        <v>0</v>
      </c>
      <c r="Q2782" s="10">
        <f t="shared" si="625"/>
        <v>0</v>
      </c>
    </row>
    <row r="2783" spans="1:17">
      <c r="A2783" s="15">
        <f t="shared" si="621"/>
        <v>0</v>
      </c>
      <c r="B2783" s="15"/>
      <c r="C2783" s="14">
        <f>Fixture!C787</f>
        <v>0</v>
      </c>
      <c r="D2783" s="15">
        <f>IF(E2783=0,0,IF(Fixture!D787&lt;Fixture!F787,0,IF(Fixture!F787&lt;Fixture!D787,3,1)))</f>
        <v>0</v>
      </c>
      <c r="E2783" s="16">
        <f>IF(OR(ISBLANK(Fixture!D787),ISBLANK(Fixture!F787),ISTEXT(Fixture!D787),ISTEXT(Fixture!F787)),0,1)</f>
        <v>0</v>
      </c>
      <c r="F2783" s="16">
        <f t="shared" si="616"/>
        <v>0</v>
      </c>
      <c r="G2783" s="16">
        <f t="shared" si="617"/>
        <v>0</v>
      </c>
      <c r="H2783" s="16">
        <f t="shared" si="618"/>
        <v>0</v>
      </c>
      <c r="I2783" s="63">
        <f>IF(E2783=0,0,Fixture!D787)</f>
        <v>0</v>
      </c>
      <c r="J2783" s="63">
        <f>IF(E2783=0,0,Fixture!F787)</f>
        <v>0</v>
      </c>
      <c r="K2783" s="63">
        <f t="shared" si="619"/>
        <v>0</v>
      </c>
      <c r="L2783" s="63">
        <f t="shared" si="620"/>
        <v>0</v>
      </c>
      <c r="N2783" s="10" t="str">
        <f t="shared" si="622"/>
        <v>00</v>
      </c>
      <c r="O2783" s="10">
        <f t="shared" si="623"/>
        <v>0</v>
      </c>
      <c r="P2783" s="10">
        <f t="shared" si="624"/>
        <v>0</v>
      </c>
      <c r="Q2783" s="10">
        <f t="shared" si="625"/>
        <v>0</v>
      </c>
    </row>
    <row r="2784" spans="1:17">
      <c r="A2784" s="15">
        <f t="shared" si="621"/>
        <v>0</v>
      </c>
      <c r="B2784" s="15"/>
      <c r="C2784" s="14">
        <f>Fixture!C788</f>
        <v>0</v>
      </c>
      <c r="D2784" s="15">
        <f>IF(E2784=0,0,IF(Fixture!D788&lt;Fixture!F788,0,IF(Fixture!F788&lt;Fixture!D788,3,1)))</f>
        <v>0</v>
      </c>
      <c r="E2784" s="16">
        <f>IF(OR(ISBLANK(Fixture!D788),ISBLANK(Fixture!F788),ISTEXT(Fixture!D788),ISTEXT(Fixture!F788)),0,1)</f>
        <v>0</v>
      </c>
      <c r="F2784" s="16">
        <f t="shared" si="616"/>
        <v>0</v>
      </c>
      <c r="G2784" s="16">
        <f t="shared" si="617"/>
        <v>0</v>
      </c>
      <c r="H2784" s="16">
        <f t="shared" si="618"/>
        <v>0</v>
      </c>
      <c r="I2784" s="63">
        <f>IF(E2784=0,0,Fixture!D788)</f>
        <v>0</v>
      </c>
      <c r="J2784" s="63">
        <f>IF(E2784=0,0,Fixture!F788)</f>
        <v>0</v>
      </c>
      <c r="K2784" s="63">
        <f t="shared" si="619"/>
        <v>0</v>
      </c>
      <c r="L2784" s="63">
        <f t="shared" si="620"/>
        <v>0</v>
      </c>
      <c r="N2784" s="10" t="str">
        <f t="shared" si="622"/>
        <v>00</v>
      </c>
      <c r="O2784" s="10">
        <f t="shared" si="623"/>
        <v>0</v>
      </c>
      <c r="P2784" s="10">
        <f t="shared" si="624"/>
        <v>0</v>
      </c>
      <c r="Q2784" s="10">
        <f t="shared" si="625"/>
        <v>0</v>
      </c>
    </row>
    <row r="2785" spans="1:17">
      <c r="A2785" s="15">
        <f t="shared" si="621"/>
        <v>0</v>
      </c>
      <c r="B2785" s="15"/>
      <c r="C2785" s="14">
        <f>Fixture!C789</f>
        <v>0</v>
      </c>
      <c r="D2785" s="15">
        <f>IF(E2785=0,0,IF(Fixture!D789&lt;Fixture!F789,0,IF(Fixture!F789&lt;Fixture!D789,3,1)))</f>
        <v>0</v>
      </c>
      <c r="E2785" s="16">
        <f>IF(OR(ISBLANK(Fixture!D789),ISBLANK(Fixture!F789),ISTEXT(Fixture!D789),ISTEXT(Fixture!F789)),0,1)</f>
        <v>0</v>
      </c>
      <c r="F2785" s="16">
        <f t="shared" si="616"/>
        <v>0</v>
      </c>
      <c r="G2785" s="16">
        <f t="shared" si="617"/>
        <v>0</v>
      </c>
      <c r="H2785" s="16">
        <f t="shared" si="618"/>
        <v>0</v>
      </c>
      <c r="I2785" s="63">
        <f>IF(E2785=0,0,Fixture!D789)</f>
        <v>0</v>
      </c>
      <c r="J2785" s="63">
        <f>IF(E2785=0,0,Fixture!F789)</f>
        <v>0</v>
      </c>
      <c r="K2785" s="63">
        <f t="shared" si="619"/>
        <v>0</v>
      </c>
      <c r="L2785" s="63">
        <f t="shared" si="620"/>
        <v>0</v>
      </c>
      <c r="N2785" s="10" t="str">
        <f t="shared" si="622"/>
        <v>00</v>
      </c>
      <c r="O2785" s="10">
        <f t="shared" si="623"/>
        <v>0</v>
      </c>
      <c r="P2785" s="10">
        <f t="shared" si="624"/>
        <v>0</v>
      </c>
      <c r="Q2785" s="10">
        <f t="shared" si="625"/>
        <v>0</v>
      </c>
    </row>
    <row r="2786" spans="1:17">
      <c r="A2786" s="15">
        <f t="shared" si="621"/>
        <v>0</v>
      </c>
      <c r="B2786" s="15"/>
      <c r="C2786" s="14">
        <f>Fixture!C790</f>
        <v>0</v>
      </c>
      <c r="D2786" s="15">
        <f>IF(E2786=0,0,IF(Fixture!D790&lt;Fixture!F790,0,IF(Fixture!F790&lt;Fixture!D790,3,1)))</f>
        <v>0</v>
      </c>
      <c r="E2786" s="16">
        <f>IF(OR(ISBLANK(Fixture!D790),ISBLANK(Fixture!F790),ISTEXT(Fixture!D790),ISTEXT(Fixture!F790)),0,1)</f>
        <v>0</v>
      </c>
      <c r="F2786" s="16">
        <f t="shared" si="616"/>
        <v>0</v>
      </c>
      <c r="G2786" s="16">
        <f t="shared" si="617"/>
        <v>0</v>
      </c>
      <c r="H2786" s="16">
        <f t="shared" si="618"/>
        <v>0</v>
      </c>
      <c r="I2786" s="63">
        <f>IF(E2786=0,0,Fixture!D790)</f>
        <v>0</v>
      </c>
      <c r="J2786" s="63">
        <f>IF(E2786=0,0,Fixture!F790)</f>
        <v>0</v>
      </c>
      <c r="K2786" s="63">
        <f t="shared" si="619"/>
        <v>0</v>
      </c>
      <c r="L2786" s="63">
        <f t="shared" si="620"/>
        <v>0</v>
      </c>
      <c r="N2786" s="10" t="str">
        <f t="shared" si="622"/>
        <v>00</v>
      </c>
      <c r="O2786" s="10">
        <f t="shared" si="623"/>
        <v>0</v>
      </c>
      <c r="P2786" s="10">
        <f t="shared" si="624"/>
        <v>0</v>
      </c>
      <c r="Q2786" s="10">
        <f t="shared" si="625"/>
        <v>0</v>
      </c>
    </row>
    <row r="2787" spans="1:17">
      <c r="A2787" s="15">
        <f t="shared" si="621"/>
        <v>0</v>
      </c>
      <c r="B2787" s="15"/>
      <c r="C2787" s="14">
        <f>Fixture!C791</f>
        <v>0</v>
      </c>
      <c r="D2787" s="15">
        <f>IF(E2787=0,0,IF(Fixture!D791&lt;Fixture!F791,0,IF(Fixture!F791&lt;Fixture!D791,3,1)))</f>
        <v>0</v>
      </c>
      <c r="E2787" s="16">
        <f>IF(OR(ISBLANK(Fixture!D791),ISBLANK(Fixture!F791),ISTEXT(Fixture!D791),ISTEXT(Fixture!F791)),0,1)</f>
        <v>0</v>
      </c>
      <c r="F2787" s="16">
        <f t="shared" si="616"/>
        <v>0</v>
      </c>
      <c r="G2787" s="16">
        <f t="shared" si="617"/>
        <v>0</v>
      </c>
      <c r="H2787" s="16">
        <f t="shared" si="618"/>
        <v>0</v>
      </c>
      <c r="I2787" s="63">
        <f>IF(E2787=0,0,Fixture!D791)</f>
        <v>0</v>
      </c>
      <c r="J2787" s="63">
        <f>IF(E2787=0,0,Fixture!F791)</f>
        <v>0</v>
      </c>
      <c r="K2787" s="63">
        <f t="shared" si="619"/>
        <v>0</v>
      </c>
      <c r="L2787" s="63">
        <f t="shared" si="620"/>
        <v>0</v>
      </c>
      <c r="N2787" s="10" t="str">
        <f t="shared" si="622"/>
        <v>00</v>
      </c>
      <c r="O2787" s="10">
        <f t="shared" si="623"/>
        <v>0</v>
      </c>
      <c r="P2787" s="10">
        <f t="shared" si="624"/>
        <v>0</v>
      </c>
      <c r="Q2787" s="10">
        <f t="shared" si="625"/>
        <v>0</v>
      </c>
    </row>
    <row r="2788" spans="1:17">
      <c r="A2788" s="15">
        <f t="shared" si="621"/>
        <v>0</v>
      </c>
      <c r="B2788" s="15"/>
      <c r="C2788" s="14">
        <f>Fixture!C792</f>
        <v>0</v>
      </c>
      <c r="D2788" s="15">
        <f>IF(E2788=0,0,IF(Fixture!D792&lt;Fixture!F792,0,IF(Fixture!F792&lt;Fixture!D792,3,1)))</f>
        <v>0</v>
      </c>
      <c r="E2788" s="16">
        <f>IF(OR(ISBLANK(Fixture!D792),ISBLANK(Fixture!F792),ISTEXT(Fixture!D792),ISTEXT(Fixture!F792)),0,1)</f>
        <v>0</v>
      </c>
      <c r="F2788" s="16">
        <f t="shared" si="616"/>
        <v>0</v>
      </c>
      <c r="G2788" s="16">
        <f t="shared" si="617"/>
        <v>0</v>
      </c>
      <c r="H2788" s="16">
        <f t="shared" si="618"/>
        <v>0</v>
      </c>
      <c r="I2788" s="63">
        <f>IF(E2788=0,0,Fixture!D792)</f>
        <v>0</v>
      </c>
      <c r="J2788" s="63">
        <f>IF(E2788=0,0,Fixture!F792)</f>
        <v>0</v>
      </c>
      <c r="K2788" s="63">
        <f t="shared" si="619"/>
        <v>0</v>
      </c>
      <c r="L2788" s="63">
        <f t="shared" si="620"/>
        <v>0</v>
      </c>
      <c r="N2788" s="10" t="str">
        <f t="shared" si="622"/>
        <v>00</v>
      </c>
      <c r="O2788" s="10">
        <f t="shared" si="623"/>
        <v>0</v>
      </c>
      <c r="P2788" s="10">
        <f t="shared" si="624"/>
        <v>0</v>
      </c>
      <c r="Q2788" s="10">
        <f t="shared" si="625"/>
        <v>0</v>
      </c>
    </row>
    <row r="2789" spans="1:17">
      <c r="A2789" s="15">
        <f t="shared" si="621"/>
        <v>0</v>
      </c>
      <c r="B2789" s="15"/>
      <c r="C2789" s="14">
        <f>Fixture!C793</f>
        <v>0</v>
      </c>
      <c r="D2789" s="15">
        <f>IF(E2789=0,0,IF(Fixture!D793&lt;Fixture!F793,0,IF(Fixture!F793&lt;Fixture!D793,3,1)))</f>
        <v>0</v>
      </c>
      <c r="E2789" s="16">
        <f>IF(OR(ISBLANK(Fixture!D793),ISBLANK(Fixture!F793),ISTEXT(Fixture!D793),ISTEXT(Fixture!F793)),0,1)</f>
        <v>0</v>
      </c>
      <c r="F2789" s="16">
        <f t="shared" si="616"/>
        <v>0</v>
      </c>
      <c r="G2789" s="16">
        <f t="shared" si="617"/>
        <v>0</v>
      </c>
      <c r="H2789" s="16">
        <f t="shared" si="618"/>
        <v>0</v>
      </c>
      <c r="I2789" s="63">
        <f>IF(E2789=0,0,Fixture!D793)</f>
        <v>0</v>
      </c>
      <c r="J2789" s="63">
        <f>IF(E2789=0,0,Fixture!F793)</f>
        <v>0</v>
      </c>
      <c r="K2789" s="63">
        <f t="shared" si="619"/>
        <v>0</v>
      </c>
      <c r="L2789" s="63">
        <f t="shared" si="620"/>
        <v>0</v>
      </c>
      <c r="N2789" s="10" t="str">
        <f t="shared" si="622"/>
        <v>00</v>
      </c>
      <c r="O2789" s="10">
        <f t="shared" si="623"/>
        <v>0</v>
      </c>
      <c r="P2789" s="10">
        <f t="shared" si="624"/>
        <v>0</v>
      </c>
      <c r="Q2789" s="10">
        <f t="shared" si="625"/>
        <v>0</v>
      </c>
    </row>
    <row r="2790" spans="1:17">
      <c r="A2790" s="15">
        <f t="shared" si="621"/>
        <v>0</v>
      </c>
      <c r="B2790" s="15"/>
      <c r="C2790" s="14">
        <f>Fixture!C794</f>
        <v>0</v>
      </c>
      <c r="D2790" s="15">
        <f>IF(E2790=0,0,IF(Fixture!D794&lt;Fixture!F794,0,IF(Fixture!F794&lt;Fixture!D794,3,1)))</f>
        <v>0</v>
      </c>
      <c r="E2790" s="16">
        <f>IF(OR(ISBLANK(Fixture!D794),ISBLANK(Fixture!F794),ISTEXT(Fixture!D794),ISTEXT(Fixture!F794)),0,1)</f>
        <v>0</v>
      </c>
      <c r="F2790" s="16">
        <f t="shared" si="616"/>
        <v>0</v>
      </c>
      <c r="G2790" s="16">
        <f t="shared" si="617"/>
        <v>0</v>
      </c>
      <c r="H2790" s="16">
        <f t="shared" si="618"/>
        <v>0</v>
      </c>
      <c r="I2790" s="63">
        <f>IF(E2790=0,0,Fixture!D794)</f>
        <v>0</v>
      </c>
      <c r="J2790" s="63">
        <f>IF(E2790=0,0,Fixture!F794)</f>
        <v>0</v>
      </c>
      <c r="K2790" s="63">
        <f t="shared" si="619"/>
        <v>0</v>
      </c>
      <c r="L2790" s="63">
        <f t="shared" si="620"/>
        <v>0</v>
      </c>
      <c r="N2790" s="10" t="str">
        <f t="shared" si="622"/>
        <v>00</v>
      </c>
      <c r="O2790" s="10">
        <f t="shared" si="623"/>
        <v>0</v>
      </c>
      <c r="P2790" s="10">
        <f t="shared" si="624"/>
        <v>0</v>
      </c>
      <c r="Q2790" s="10">
        <f t="shared" si="625"/>
        <v>0</v>
      </c>
    </row>
    <row r="2791" spans="1:17">
      <c r="A2791" s="15">
        <f t="shared" si="621"/>
        <v>0</v>
      </c>
      <c r="B2791" s="15"/>
      <c r="C2791" s="14">
        <f>Fixture!C795</f>
        <v>0</v>
      </c>
      <c r="D2791" s="15">
        <f>IF(E2791=0,0,IF(Fixture!D795&lt;Fixture!F795,0,IF(Fixture!F795&lt;Fixture!D795,3,1)))</f>
        <v>0</v>
      </c>
      <c r="E2791" s="16">
        <f>IF(OR(ISBLANK(Fixture!D795),ISBLANK(Fixture!F795),ISTEXT(Fixture!D795),ISTEXT(Fixture!F795)),0,1)</f>
        <v>0</v>
      </c>
      <c r="F2791" s="16">
        <f t="shared" si="616"/>
        <v>0</v>
      </c>
      <c r="G2791" s="16">
        <f t="shared" si="617"/>
        <v>0</v>
      </c>
      <c r="H2791" s="16">
        <f t="shared" si="618"/>
        <v>0</v>
      </c>
      <c r="I2791" s="63">
        <f>IF(E2791=0,0,Fixture!D795)</f>
        <v>0</v>
      </c>
      <c r="J2791" s="63">
        <f>IF(E2791=0,0,Fixture!F795)</f>
        <v>0</v>
      </c>
      <c r="K2791" s="63">
        <f t="shared" si="619"/>
        <v>0</v>
      </c>
      <c r="L2791" s="63">
        <f t="shared" si="620"/>
        <v>0</v>
      </c>
      <c r="N2791" s="10" t="str">
        <f t="shared" si="622"/>
        <v>00</v>
      </c>
      <c r="O2791" s="10">
        <f t="shared" si="623"/>
        <v>0</v>
      </c>
      <c r="P2791" s="10">
        <f t="shared" si="624"/>
        <v>0</v>
      </c>
      <c r="Q2791" s="10">
        <f t="shared" si="625"/>
        <v>0</v>
      </c>
    </row>
    <row r="2792" spans="1:17">
      <c r="A2792" s="15">
        <f t="shared" si="621"/>
        <v>0</v>
      </c>
      <c r="B2792" s="15"/>
      <c r="C2792" s="14">
        <f>Fixture!C796</f>
        <v>0</v>
      </c>
      <c r="D2792" s="15">
        <f>IF(E2792=0,0,IF(Fixture!D796&lt;Fixture!F796,0,IF(Fixture!F796&lt;Fixture!D796,3,1)))</f>
        <v>0</v>
      </c>
      <c r="E2792" s="16">
        <f>IF(OR(ISBLANK(Fixture!D796),ISBLANK(Fixture!F796),ISTEXT(Fixture!D796),ISTEXT(Fixture!F796)),0,1)</f>
        <v>0</v>
      </c>
      <c r="F2792" s="16">
        <f t="shared" si="616"/>
        <v>0</v>
      </c>
      <c r="G2792" s="16">
        <f t="shared" si="617"/>
        <v>0</v>
      </c>
      <c r="H2792" s="16">
        <f t="shared" si="618"/>
        <v>0</v>
      </c>
      <c r="I2792" s="63">
        <f>IF(E2792=0,0,Fixture!D796)</f>
        <v>0</v>
      </c>
      <c r="J2792" s="63">
        <f>IF(E2792=0,0,Fixture!F796)</f>
        <v>0</v>
      </c>
      <c r="K2792" s="63">
        <f t="shared" si="619"/>
        <v>0</v>
      </c>
      <c r="L2792" s="63">
        <f t="shared" si="620"/>
        <v>0</v>
      </c>
      <c r="N2792" s="10" t="str">
        <f t="shared" si="622"/>
        <v>00</v>
      </c>
      <c r="O2792" s="10">
        <f t="shared" si="623"/>
        <v>0</v>
      </c>
      <c r="P2792" s="10">
        <f t="shared" si="624"/>
        <v>0</v>
      </c>
      <c r="Q2792" s="10">
        <f t="shared" si="625"/>
        <v>0</v>
      </c>
    </row>
    <row r="2793" spans="1:17">
      <c r="A2793" s="15">
        <f t="shared" si="621"/>
        <v>0</v>
      </c>
      <c r="B2793" s="15"/>
      <c r="C2793" s="14">
        <f>Fixture!C797</f>
        <v>0</v>
      </c>
      <c r="D2793" s="15">
        <f>IF(E2793=0,0,IF(Fixture!D797&lt;Fixture!F797,0,IF(Fixture!F797&lt;Fixture!D797,3,1)))</f>
        <v>0</v>
      </c>
      <c r="E2793" s="16">
        <f>IF(OR(ISBLANK(Fixture!D797),ISBLANK(Fixture!F797),ISTEXT(Fixture!D797),ISTEXT(Fixture!F797)),0,1)</f>
        <v>0</v>
      </c>
      <c r="F2793" s="16">
        <f t="shared" si="616"/>
        <v>0</v>
      </c>
      <c r="G2793" s="16">
        <f t="shared" si="617"/>
        <v>0</v>
      </c>
      <c r="H2793" s="16">
        <f t="shared" si="618"/>
        <v>0</v>
      </c>
      <c r="I2793" s="63">
        <f>IF(E2793=0,0,Fixture!D797)</f>
        <v>0</v>
      </c>
      <c r="J2793" s="63">
        <f>IF(E2793=0,0,Fixture!F797)</f>
        <v>0</v>
      </c>
      <c r="K2793" s="63">
        <f t="shared" si="619"/>
        <v>0</v>
      </c>
      <c r="L2793" s="63">
        <f t="shared" si="620"/>
        <v>0</v>
      </c>
      <c r="N2793" s="10" t="str">
        <f t="shared" si="622"/>
        <v>00</v>
      </c>
      <c r="O2793" s="10">
        <f t="shared" si="623"/>
        <v>0</v>
      </c>
      <c r="P2793" s="10">
        <f t="shared" si="624"/>
        <v>0</v>
      </c>
      <c r="Q2793" s="10">
        <f t="shared" si="625"/>
        <v>0</v>
      </c>
    </row>
    <row r="2794" spans="1:17">
      <c r="A2794" s="15">
        <f t="shared" si="621"/>
        <v>0</v>
      </c>
      <c r="B2794" s="15"/>
      <c r="C2794" s="14">
        <f>Fixture!C798</f>
        <v>0</v>
      </c>
      <c r="D2794" s="15">
        <f>IF(E2794=0,0,IF(Fixture!D798&lt;Fixture!F798,0,IF(Fixture!F798&lt;Fixture!D798,3,1)))</f>
        <v>0</v>
      </c>
      <c r="E2794" s="16">
        <f>IF(OR(ISBLANK(Fixture!D798),ISBLANK(Fixture!F798),ISTEXT(Fixture!D798),ISTEXT(Fixture!F798)),0,1)</f>
        <v>0</v>
      </c>
      <c r="F2794" s="16">
        <f t="shared" si="616"/>
        <v>0</v>
      </c>
      <c r="G2794" s="16">
        <f t="shared" si="617"/>
        <v>0</v>
      </c>
      <c r="H2794" s="16">
        <f t="shared" si="618"/>
        <v>0</v>
      </c>
      <c r="I2794" s="63">
        <f>IF(E2794=0,0,Fixture!D798)</f>
        <v>0</v>
      </c>
      <c r="J2794" s="63">
        <f>IF(E2794=0,0,Fixture!F798)</f>
        <v>0</v>
      </c>
      <c r="K2794" s="63">
        <f t="shared" si="619"/>
        <v>0</v>
      </c>
      <c r="L2794" s="63">
        <f t="shared" si="620"/>
        <v>0</v>
      </c>
      <c r="N2794" s="10" t="str">
        <f t="shared" si="622"/>
        <v>00</v>
      </c>
      <c r="O2794" s="10">
        <f t="shared" si="623"/>
        <v>0</v>
      </c>
      <c r="P2794" s="10">
        <f t="shared" si="624"/>
        <v>0</v>
      </c>
      <c r="Q2794" s="10">
        <f t="shared" si="625"/>
        <v>0</v>
      </c>
    </row>
    <row r="2795" spans="1:17">
      <c r="A2795" s="15">
        <f t="shared" si="621"/>
        <v>0</v>
      </c>
      <c r="B2795" s="15"/>
      <c r="C2795" s="14">
        <f>Fixture!C799</f>
        <v>0</v>
      </c>
      <c r="D2795" s="15">
        <f>IF(E2795=0,0,IF(Fixture!D799&lt;Fixture!F799,0,IF(Fixture!F799&lt;Fixture!D799,3,1)))</f>
        <v>0</v>
      </c>
      <c r="E2795" s="16">
        <f>IF(OR(ISBLANK(Fixture!D799),ISBLANK(Fixture!F799),ISTEXT(Fixture!D799),ISTEXT(Fixture!F799)),0,1)</f>
        <v>0</v>
      </c>
      <c r="F2795" s="16">
        <f t="shared" si="616"/>
        <v>0</v>
      </c>
      <c r="G2795" s="16">
        <f t="shared" si="617"/>
        <v>0</v>
      </c>
      <c r="H2795" s="16">
        <f t="shared" si="618"/>
        <v>0</v>
      </c>
      <c r="I2795" s="63">
        <f>IF(E2795=0,0,Fixture!D799)</f>
        <v>0</v>
      </c>
      <c r="J2795" s="63">
        <f>IF(E2795=0,0,Fixture!F799)</f>
        <v>0</v>
      </c>
      <c r="K2795" s="63">
        <f t="shared" si="619"/>
        <v>0</v>
      </c>
      <c r="L2795" s="63">
        <f t="shared" si="620"/>
        <v>0</v>
      </c>
      <c r="N2795" s="10" t="str">
        <f t="shared" si="622"/>
        <v>00</v>
      </c>
      <c r="O2795" s="10">
        <f t="shared" si="623"/>
        <v>0</v>
      </c>
      <c r="P2795" s="10">
        <f t="shared" si="624"/>
        <v>0</v>
      </c>
      <c r="Q2795" s="10">
        <f t="shared" si="625"/>
        <v>0</v>
      </c>
    </row>
    <row r="2796" spans="1:17">
      <c r="A2796" s="15">
        <f t="shared" si="621"/>
        <v>0</v>
      </c>
      <c r="B2796" s="15"/>
      <c r="C2796" s="14">
        <f>Fixture!C800</f>
        <v>0</v>
      </c>
      <c r="D2796" s="15">
        <f>IF(E2796=0,0,IF(Fixture!D800&lt;Fixture!F800,0,IF(Fixture!F800&lt;Fixture!D800,3,1)))</f>
        <v>0</v>
      </c>
      <c r="E2796" s="16">
        <f>IF(OR(ISBLANK(Fixture!D800),ISBLANK(Fixture!F800),ISTEXT(Fixture!D800),ISTEXT(Fixture!F800)),0,1)</f>
        <v>0</v>
      </c>
      <c r="F2796" s="16">
        <f t="shared" si="616"/>
        <v>0</v>
      </c>
      <c r="G2796" s="16">
        <f t="shared" si="617"/>
        <v>0</v>
      </c>
      <c r="H2796" s="16">
        <f t="shared" si="618"/>
        <v>0</v>
      </c>
      <c r="I2796" s="63">
        <f>IF(E2796=0,0,Fixture!D800)</f>
        <v>0</v>
      </c>
      <c r="J2796" s="63">
        <f>IF(E2796=0,0,Fixture!F800)</f>
        <v>0</v>
      </c>
      <c r="K2796" s="63">
        <f t="shared" si="619"/>
        <v>0</v>
      </c>
      <c r="L2796" s="63">
        <f t="shared" si="620"/>
        <v>0</v>
      </c>
      <c r="N2796" s="10" t="str">
        <f t="shared" si="622"/>
        <v>00</v>
      </c>
      <c r="O2796" s="10">
        <f t="shared" si="623"/>
        <v>0</v>
      </c>
      <c r="P2796" s="10">
        <f t="shared" si="624"/>
        <v>0</v>
      </c>
      <c r="Q2796" s="10">
        <f t="shared" si="625"/>
        <v>0</v>
      </c>
    </row>
    <row r="2797" spans="1:17">
      <c r="A2797" s="15">
        <f t="shared" si="621"/>
        <v>0</v>
      </c>
      <c r="B2797" s="15"/>
      <c r="C2797" s="14">
        <f>Fixture!C801</f>
        <v>0</v>
      </c>
      <c r="D2797" s="15">
        <f>IF(E2797=0,0,IF(Fixture!D801&lt;Fixture!F801,0,IF(Fixture!F801&lt;Fixture!D801,3,1)))</f>
        <v>0</v>
      </c>
      <c r="E2797" s="16">
        <f>IF(OR(ISBLANK(Fixture!D801),ISBLANK(Fixture!F801),ISTEXT(Fixture!D801),ISTEXT(Fixture!F801)),0,1)</f>
        <v>0</v>
      </c>
      <c r="F2797" s="16">
        <f t="shared" si="616"/>
        <v>0</v>
      </c>
      <c r="G2797" s="16">
        <f t="shared" si="617"/>
        <v>0</v>
      </c>
      <c r="H2797" s="16">
        <f t="shared" si="618"/>
        <v>0</v>
      </c>
      <c r="I2797" s="63">
        <f>IF(E2797=0,0,Fixture!D801)</f>
        <v>0</v>
      </c>
      <c r="J2797" s="63">
        <f>IF(E2797=0,0,Fixture!F801)</f>
        <v>0</v>
      </c>
      <c r="K2797" s="63">
        <f t="shared" si="619"/>
        <v>0</v>
      </c>
      <c r="L2797" s="63">
        <f t="shared" si="620"/>
        <v>0</v>
      </c>
      <c r="N2797" s="10" t="str">
        <f t="shared" si="622"/>
        <v>00</v>
      </c>
      <c r="O2797" s="10">
        <f t="shared" si="623"/>
        <v>0</v>
      </c>
      <c r="P2797" s="10">
        <f t="shared" si="624"/>
        <v>0</v>
      </c>
      <c r="Q2797" s="10">
        <f t="shared" si="625"/>
        <v>0</v>
      </c>
    </row>
    <row r="2798" spans="1:17">
      <c r="A2798" s="15">
        <f t="shared" si="621"/>
        <v>0</v>
      </c>
      <c r="B2798" s="15"/>
      <c r="C2798" s="14">
        <f>Fixture!C802</f>
        <v>0</v>
      </c>
      <c r="D2798" s="15">
        <f>IF(E2798=0,0,IF(Fixture!D802&lt;Fixture!F802,0,IF(Fixture!F802&lt;Fixture!D802,3,1)))</f>
        <v>0</v>
      </c>
      <c r="E2798" s="16">
        <f>IF(OR(ISBLANK(Fixture!D802),ISBLANK(Fixture!F802),ISTEXT(Fixture!D802),ISTEXT(Fixture!F802)),0,1)</f>
        <v>0</v>
      </c>
      <c r="F2798" s="16">
        <f t="shared" si="616"/>
        <v>0</v>
      </c>
      <c r="G2798" s="16">
        <f t="shared" si="617"/>
        <v>0</v>
      </c>
      <c r="H2798" s="16">
        <f t="shared" si="618"/>
        <v>0</v>
      </c>
      <c r="I2798" s="63">
        <f>IF(E2798=0,0,Fixture!D802)</f>
        <v>0</v>
      </c>
      <c r="J2798" s="63">
        <f>IF(E2798=0,0,Fixture!F802)</f>
        <v>0</v>
      </c>
      <c r="K2798" s="63">
        <f t="shared" si="619"/>
        <v>0</v>
      </c>
      <c r="L2798" s="63">
        <f t="shared" si="620"/>
        <v>0</v>
      </c>
      <c r="N2798" s="10" t="str">
        <f t="shared" si="622"/>
        <v>00</v>
      </c>
      <c r="O2798" s="10">
        <f t="shared" si="623"/>
        <v>0</v>
      </c>
      <c r="P2798" s="10">
        <f t="shared" si="624"/>
        <v>0</v>
      </c>
      <c r="Q2798" s="10">
        <f t="shared" si="625"/>
        <v>0</v>
      </c>
    </row>
    <row r="2799" spans="1:17">
      <c r="A2799" s="15">
        <f t="shared" si="621"/>
        <v>0</v>
      </c>
      <c r="B2799" s="15"/>
      <c r="C2799" s="14">
        <f>Fixture!C803</f>
        <v>0</v>
      </c>
      <c r="D2799" s="15">
        <f>IF(E2799=0,0,IF(Fixture!D803&lt;Fixture!F803,0,IF(Fixture!F803&lt;Fixture!D803,3,1)))</f>
        <v>0</v>
      </c>
      <c r="E2799" s="16">
        <f>IF(OR(ISBLANK(Fixture!D803),ISBLANK(Fixture!F803),ISTEXT(Fixture!D803),ISTEXT(Fixture!F803)),0,1)</f>
        <v>0</v>
      </c>
      <c r="F2799" s="16">
        <f t="shared" si="616"/>
        <v>0</v>
      </c>
      <c r="G2799" s="16">
        <f t="shared" si="617"/>
        <v>0</v>
      </c>
      <c r="H2799" s="16">
        <f t="shared" si="618"/>
        <v>0</v>
      </c>
      <c r="I2799" s="63">
        <f>IF(E2799=0,0,Fixture!D803)</f>
        <v>0</v>
      </c>
      <c r="J2799" s="63">
        <f>IF(E2799=0,0,Fixture!F803)</f>
        <v>0</v>
      </c>
      <c r="K2799" s="63">
        <f t="shared" si="619"/>
        <v>0</v>
      </c>
      <c r="L2799" s="63">
        <f t="shared" si="620"/>
        <v>0</v>
      </c>
      <c r="N2799" s="10" t="str">
        <f t="shared" si="622"/>
        <v>00</v>
      </c>
      <c r="O2799" s="10">
        <f t="shared" si="623"/>
        <v>0</v>
      </c>
      <c r="P2799" s="10">
        <f t="shared" si="624"/>
        <v>0</v>
      </c>
      <c r="Q2799" s="10">
        <f t="shared" si="625"/>
        <v>0</v>
      </c>
    </row>
    <row r="2800" spans="1:17">
      <c r="A2800" s="15">
        <f t="shared" si="621"/>
        <v>0</v>
      </c>
      <c r="B2800" s="15"/>
      <c r="C2800" s="14">
        <f>Fixture!C804</f>
        <v>0</v>
      </c>
      <c r="D2800" s="15">
        <f>IF(E2800=0,0,IF(Fixture!D804&lt;Fixture!F804,0,IF(Fixture!F804&lt;Fixture!D804,3,1)))</f>
        <v>0</v>
      </c>
      <c r="E2800" s="16">
        <f>IF(OR(ISBLANK(Fixture!D804),ISBLANK(Fixture!F804),ISTEXT(Fixture!D804),ISTEXT(Fixture!F804)),0,1)</f>
        <v>0</v>
      </c>
      <c r="F2800" s="16">
        <f t="shared" si="616"/>
        <v>0</v>
      </c>
      <c r="G2800" s="16">
        <f t="shared" si="617"/>
        <v>0</v>
      </c>
      <c r="H2800" s="16">
        <f t="shared" si="618"/>
        <v>0</v>
      </c>
      <c r="I2800" s="63">
        <f>IF(E2800=0,0,Fixture!D804)</f>
        <v>0</v>
      </c>
      <c r="J2800" s="63">
        <f>IF(E2800=0,0,Fixture!F804)</f>
        <v>0</v>
      </c>
      <c r="K2800" s="63">
        <f t="shared" si="619"/>
        <v>0</v>
      </c>
      <c r="L2800" s="63">
        <f t="shared" si="620"/>
        <v>0</v>
      </c>
      <c r="N2800" s="10" t="str">
        <f t="shared" si="622"/>
        <v>00</v>
      </c>
      <c r="O2800" s="10">
        <f t="shared" si="623"/>
        <v>0</v>
      </c>
      <c r="P2800" s="10">
        <f t="shared" si="624"/>
        <v>0</v>
      </c>
      <c r="Q2800" s="10">
        <f t="shared" si="625"/>
        <v>0</v>
      </c>
    </row>
    <row r="2801" spans="9:17">
      <c r="I2801" s="147"/>
      <c r="J2801" s="147"/>
      <c r="K2801" s="47"/>
      <c r="L2801" s="47"/>
      <c r="N2801" s="10" t="str">
        <f t="shared" si="622"/>
        <v/>
      </c>
      <c r="O2801" s="10">
        <f t="shared" si="623"/>
        <v>0</v>
      </c>
      <c r="P2801" s="10">
        <f t="shared" si="624"/>
        <v>0</v>
      </c>
      <c r="Q2801" s="10">
        <f t="shared" si="625"/>
        <v>0</v>
      </c>
    </row>
    <row r="2802" spans="9:17">
      <c r="I2802" s="147"/>
      <c r="J2802" s="147"/>
      <c r="K2802" s="47"/>
      <c r="L2802" s="47"/>
      <c r="N2802" s="10" t="str">
        <f t="shared" si="622"/>
        <v/>
      </c>
      <c r="O2802" s="10">
        <f t="shared" si="623"/>
        <v>0</v>
      </c>
      <c r="P2802" s="10">
        <f t="shared" si="624"/>
        <v>0</v>
      </c>
      <c r="Q2802" s="10">
        <f t="shared" si="625"/>
        <v>0</v>
      </c>
    </row>
    <row r="2803" spans="9:17">
      <c r="I2803" s="147"/>
      <c r="J2803" s="147"/>
      <c r="K2803" s="47"/>
      <c r="L2803" s="47"/>
      <c r="N2803" s="10" t="str">
        <f t="shared" si="622"/>
        <v/>
      </c>
      <c r="O2803" s="10">
        <f t="shared" si="623"/>
        <v>0</v>
      </c>
      <c r="P2803" s="10">
        <f t="shared" si="624"/>
        <v>0</v>
      </c>
      <c r="Q2803" s="10">
        <f t="shared" si="625"/>
        <v>0</v>
      </c>
    </row>
    <row r="2804" spans="9:17">
      <c r="I2804" s="147"/>
      <c r="J2804" s="147"/>
      <c r="K2804" s="47"/>
      <c r="L2804" s="47"/>
      <c r="N2804" s="10" t="str">
        <f t="shared" si="622"/>
        <v/>
      </c>
      <c r="O2804" s="10">
        <f t="shared" si="623"/>
        <v>0</v>
      </c>
      <c r="P2804" s="10">
        <f t="shared" si="624"/>
        <v>0</v>
      </c>
      <c r="Q2804" s="10">
        <f t="shared" si="625"/>
        <v>0</v>
      </c>
    </row>
    <row r="2805" spans="9:17">
      <c r="I2805" s="147"/>
      <c r="J2805" s="147"/>
      <c r="K2805" s="47"/>
      <c r="L2805" s="47"/>
      <c r="N2805" s="10" t="str">
        <f t="shared" si="622"/>
        <v/>
      </c>
      <c r="O2805" s="10">
        <f t="shared" si="623"/>
        <v>0</v>
      </c>
      <c r="P2805" s="10">
        <f t="shared" si="624"/>
        <v>0</v>
      </c>
      <c r="Q2805" s="10">
        <f t="shared" si="625"/>
        <v>0</v>
      </c>
    </row>
    <row r="2806" spans="9:17">
      <c r="I2806" s="147"/>
      <c r="J2806" s="147"/>
      <c r="K2806" s="47"/>
      <c r="L2806" s="47"/>
      <c r="N2806" s="10" t="str">
        <f t="shared" si="622"/>
        <v/>
      </c>
      <c r="O2806" s="10">
        <f t="shared" si="623"/>
        <v>0</v>
      </c>
      <c r="P2806" s="10">
        <f t="shared" si="624"/>
        <v>0</v>
      </c>
      <c r="Q2806" s="10">
        <f t="shared" si="625"/>
        <v>0</v>
      </c>
    </row>
    <row r="2807" spans="9:17">
      <c r="I2807" s="147"/>
      <c r="J2807" s="147"/>
      <c r="K2807" s="47"/>
      <c r="L2807" s="47"/>
      <c r="N2807" s="10" t="str">
        <f t="shared" si="622"/>
        <v/>
      </c>
      <c r="O2807" s="10">
        <f t="shared" si="623"/>
        <v>0</v>
      </c>
      <c r="P2807" s="10">
        <f t="shared" si="624"/>
        <v>0</v>
      </c>
      <c r="Q2807" s="10">
        <f t="shared" si="625"/>
        <v>0</v>
      </c>
    </row>
    <row r="2808" spans="9:17">
      <c r="I2808" s="147"/>
      <c r="J2808" s="147"/>
      <c r="K2808" s="47"/>
      <c r="L2808" s="47"/>
      <c r="N2808" s="10" t="str">
        <f t="shared" si="622"/>
        <v/>
      </c>
      <c r="O2808" s="10">
        <f t="shared" si="623"/>
        <v>0</v>
      </c>
      <c r="P2808" s="10">
        <f t="shared" si="624"/>
        <v>0</v>
      </c>
      <c r="Q2808" s="10">
        <f t="shared" si="625"/>
        <v>0</v>
      </c>
    </row>
    <row r="2809" spans="9:17">
      <c r="I2809" s="147"/>
      <c r="J2809" s="147"/>
      <c r="K2809" s="47"/>
      <c r="L2809" s="47"/>
      <c r="N2809" s="10" t="str">
        <f t="shared" si="622"/>
        <v/>
      </c>
      <c r="O2809" s="10">
        <f t="shared" si="623"/>
        <v>0</v>
      </c>
      <c r="P2809" s="10">
        <f t="shared" si="624"/>
        <v>0</v>
      </c>
      <c r="Q2809" s="10">
        <f t="shared" si="625"/>
        <v>0</v>
      </c>
    </row>
    <row r="2810" spans="9:17">
      <c r="I2810" s="147"/>
      <c r="J2810" s="147"/>
      <c r="K2810" s="47"/>
      <c r="L2810" s="47"/>
      <c r="N2810" s="10" t="str">
        <f t="shared" si="622"/>
        <v/>
      </c>
      <c r="O2810" s="10">
        <f t="shared" si="623"/>
        <v>0</v>
      </c>
      <c r="P2810" s="10">
        <f t="shared" si="624"/>
        <v>0</v>
      </c>
      <c r="Q2810" s="10">
        <f t="shared" si="625"/>
        <v>0</v>
      </c>
    </row>
    <row r="2811" spans="9:17">
      <c r="I2811" s="147"/>
      <c r="J2811" s="147"/>
      <c r="K2811" s="47"/>
      <c r="L2811" s="47"/>
      <c r="N2811" s="10" t="str">
        <f t="shared" si="622"/>
        <v/>
      </c>
      <c r="O2811" s="10">
        <f t="shared" si="623"/>
        <v>0</v>
      </c>
      <c r="P2811" s="10">
        <f t="shared" si="624"/>
        <v>0</v>
      </c>
      <c r="Q2811" s="10">
        <f t="shared" si="625"/>
        <v>0</v>
      </c>
    </row>
    <row r="2812" spans="9:17">
      <c r="I2812" s="147"/>
      <c r="J2812" s="147"/>
      <c r="K2812" s="47"/>
      <c r="L2812" s="47"/>
      <c r="N2812" s="10" t="str">
        <f t="shared" si="622"/>
        <v/>
      </c>
      <c r="O2812" s="10">
        <f t="shared" si="623"/>
        <v>0</v>
      </c>
      <c r="P2812" s="10">
        <f t="shared" si="624"/>
        <v>0</v>
      </c>
      <c r="Q2812" s="10">
        <f t="shared" si="625"/>
        <v>0</v>
      </c>
    </row>
    <row r="2813" spans="9:17">
      <c r="I2813" s="147"/>
      <c r="J2813" s="147"/>
      <c r="K2813" s="47"/>
      <c r="L2813" s="47"/>
      <c r="N2813" s="10" t="str">
        <f t="shared" si="622"/>
        <v/>
      </c>
      <c r="O2813" s="10">
        <f t="shared" si="623"/>
        <v>0</v>
      </c>
      <c r="P2813" s="10">
        <f t="shared" si="624"/>
        <v>0</v>
      </c>
      <c r="Q2813" s="10">
        <f t="shared" si="625"/>
        <v>0</v>
      </c>
    </row>
    <row r="2814" spans="9:17">
      <c r="I2814" s="147"/>
      <c r="J2814" s="147"/>
      <c r="K2814" s="47"/>
      <c r="L2814" s="47"/>
      <c r="N2814" s="10" t="str">
        <f t="shared" si="622"/>
        <v/>
      </c>
      <c r="O2814" s="10">
        <f t="shared" si="623"/>
        <v>0</v>
      </c>
      <c r="P2814" s="10">
        <f t="shared" si="624"/>
        <v>0</v>
      </c>
      <c r="Q2814" s="10">
        <f t="shared" si="625"/>
        <v>0</v>
      </c>
    </row>
    <row r="2815" spans="9:17">
      <c r="I2815" s="147"/>
      <c r="J2815" s="147"/>
      <c r="K2815" s="47"/>
      <c r="L2815" s="47"/>
      <c r="N2815" s="10" t="str">
        <f t="shared" si="622"/>
        <v/>
      </c>
      <c r="O2815" s="10">
        <f t="shared" si="623"/>
        <v>0</v>
      </c>
      <c r="P2815" s="10">
        <f t="shared" si="624"/>
        <v>0</v>
      </c>
      <c r="Q2815" s="10">
        <f t="shared" si="625"/>
        <v>0</v>
      </c>
    </row>
    <row r="2816" spans="9:17">
      <c r="I2816" s="147"/>
      <c r="J2816" s="147"/>
      <c r="K2816" s="47"/>
      <c r="L2816" s="47"/>
      <c r="N2816" s="10" t="str">
        <f t="shared" si="622"/>
        <v/>
      </c>
      <c r="O2816" s="10">
        <f t="shared" si="623"/>
        <v>0</v>
      </c>
      <c r="P2816" s="10">
        <f t="shared" si="624"/>
        <v>0</v>
      </c>
      <c r="Q2816" s="10">
        <f t="shared" si="625"/>
        <v>0</v>
      </c>
    </row>
    <row r="2817" spans="9:17">
      <c r="I2817" s="147"/>
      <c r="J2817" s="147"/>
      <c r="K2817" s="47"/>
      <c r="L2817" s="47"/>
      <c r="N2817" s="10" t="str">
        <f t="shared" si="622"/>
        <v/>
      </c>
      <c r="O2817" s="10">
        <f t="shared" si="623"/>
        <v>0</v>
      </c>
      <c r="P2817" s="10">
        <f t="shared" si="624"/>
        <v>0</v>
      </c>
      <c r="Q2817" s="10">
        <f t="shared" si="625"/>
        <v>0</v>
      </c>
    </row>
    <row r="2818" spans="9:17">
      <c r="I2818" s="147"/>
      <c r="J2818" s="147"/>
      <c r="K2818" s="47"/>
      <c r="L2818" s="47"/>
      <c r="N2818" s="10" t="str">
        <f t="shared" si="622"/>
        <v/>
      </c>
      <c r="O2818" s="10">
        <f t="shared" si="623"/>
        <v>0</v>
      </c>
      <c r="P2818" s="10">
        <f t="shared" si="624"/>
        <v>0</v>
      </c>
      <c r="Q2818" s="10">
        <f t="shared" si="625"/>
        <v>0</v>
      </c>
    </row>
    <row r="2819" spans="9:17">
      <c r="I2819" s="147"/>
      <c r="J2819" s="147"/>
      <c r="K2819" s="47"/>
      <c r="L2819" s="47"/>
      <c r="N2819" s="10" t="str">
        <f t="shared" si="622"/>
        <v/>
      </c>
      <c r="O2819" s="10">
        <f t="shared" si="623"/>
        <v>0</v>
      </c>
      <c r="P2819" s="10">
        <f t="shared" si="624"/>
        <v>0</v>
      </c>
      <c r="Q2819" s="10">
        <f t="shared" si="625"/>
        <v>0</v>
      </c>
    </row>
    <row r="2820" spans="9:17">
      <c r="I2820" s="147"/>
      <c r="J2820" s="147"/>
      <c r="K2820" s="47"/>
      <c r="L2820" s="47"/>
      <c r="N2820" s="10" t="str">
        <f t="shared" si="622"/>
        <v/>
      </c>
      <c r="O2820" s="10">
        <f t="shared" si="623"/>
        <v>0</v>
      </c>
      <c r="P2820" s="10">
        <f t="shared" si="624"/>
        <v>0</v>
      </c>
      <c r="Q2820" s="10">
        <f t="shared" si="625"/>
        <v>0</v>
      </c>
    </row>
    <row r="2821" spans="9:17">
      <c r="I2821" s="147"/>
      <c r="J2821" s="147"/>
      <c r="K2821" s="47"/>
      <c r="L2821" s="47"/>
      <c r="N2821" s="10" t="str">
        <f t="shared" si="622"/>
        <v/>
      </c>
      <c r="O2821" s="10">
        <f t="shared" si="623"/>
        <v>0</v>
      </c>
      <c r="P2821" s="10">
        <f t="shared" si="624"/>
        <v>0</v>
      </c>
      <c r="Q2821" s="10">
        <f t="shared" si="625"/>
        <v>0</v>
      </c>
    </row>
    <row r="2822" spans="9:17">
      <c r="I2822" s="147"/>
      <c r="J2822" s="147"/>
      <c r="K2822" s="47"/>
      <c r="L2822" s="47"/>
      <c r="N2822" s="10" t="str">
        <f t="shared" si="622"/>
        <v/>
      </c>
      <c r="O2822" s="10">
        <f t="shared" si="623"/>
        <v>0</v>
      </c>
      <c r="P2822" s="10">
        <f t="shared" si="624"/>
        <v>0</v>
      </c>
      <c r="Q2822" s="10">
        <f t="shared" si="625"/>
        <v>0</v>
      </c>
    </row>
    <row r="2823" spans="9:17">
      <c r="I2823" s="147"/>
      <c r="J2823" s="147"/>
      <c r="K2823" s="47"/>
      <c r="L2823" s="47"/>
      <c r="N2823" s="10" t="str">
        <f t="shared" si="622"/>
        <v/>
      </c>
      <c r="O2823" s="10">
        <f t="shared" si="623"/>
        <v>0</v>
      </c>
      <c r="P2823" s="10">
        <f t="shared" si="624"/>
        <v>0</v>
      </c>
      <c r="Q2823" s="10">
        <f t="shared" si="625"/>
        <v>0</v>
      </c>
    </row>
    <row r="2824" spans="9:17">
      <c r="I2824" s="147"/>
      <c r="J2824" s="147"/>
      <c r="K2824" s="47"/>
      <c r="L2824" s="47"/>
      <c r="N2824" s="10" t="str">
        <f t="shared" si="622"/>
        <v/>
      </c>
      <c r="O2824" s="10">
        <f t="shared" si="623"/>
        <v>0</v>
      </c>
      <c r="P2824" s="10">
        <f t="shared" si="624"/>
        <v>0</v>
      </c>
      <c r="Q2824" s="10">
        <f t="shared" si="625"/>
        <v>0</v>
      </c>
    </row>
    <row r="2825" spans="9:17">
      <c r="I2825" s="147"/>
      <c r="J2825" s="147"/>
      <c r="K2825" s="47"/>
      <c r="L2825" s="47"/>
      <c r="N2825" s="10" t="str">
        <f t="shared" si="622"/>
        <v/>
      </c>
      <c r="O2825" s="10">
        <f t="shared" si="623"/>
        <v>0</v>
      </c>
      <c r="P2825" s="10">
        <f t="shared" si="624"/>
        <v>0</v>
      </c>
      <c r="Q2825" s="10">
        <f t="shared" si="625"/>
        <v>0</v>
      </c>
    </row>
    <row r="2826" spans="9:17">
      <c r="I2826" s="147"/>
      <c r="J2826" s="147"/>
      <c r="K2826" s="47"/>
      <c r="L2826" s="47"/>
      <c r="N2826" s="10" t="str">
        <f t="shared" si="622"/>
        <v/>
      </c>
      <c r="O2826" s="10">
        <f t="shared" si="623"/>
        <v>0</v>
      </c>
      <c r="P2826" s="10">
        <f t="shared" si="624"/>
        <v>0</v>
      </c>
      <c r="Q2826" s="10">
        <f t="shared" si="625"/>
        <v>0</v>
      </c>
    </row>
    <row r="2827" spans="9:17">
      <c r="I2827" s="147"/>
      <c r="J2827" s="147"/>
      <c r="K2827" s="47"/>
      <c r="L2827" s="47"/>
      <c r="N2827" s="10" t="str">
        <f t="shared" si="622"/>
        <v/>
      </c>
      <c r="O2827" s="10">
        <f t="shared" si="623"/>
        <v>0</v>
      </c>
      <c r="P2827" s="10">
        <f t="shared" si="624"/>
        <v>0</v>
      </c>
      <c r="Q2827" s="10">
        <f t="shared" si="625"/>
        <v>0</v>
      </c>
    </row>
    <row r="2828" spans="9:17">
      <c r="I2828" s="147"/>
      <c r="J2828" s="147"/>
      <c r="K2828" s="47"/>
      <c r="L2828" s="47"/>
      <c r="N2828" s="10" t="str">
        <f t="shared" si="622"/>
        <v/>
      </c>
      <c r="O2828" s="10">
        <f t="shared" si="623"/>
        <v>0</v>
      </c>
      <c r="P2828" s="10">
        <f t="shared" si="624"/>
        <v>0</v>
      </c>
      <c r="Q2828" s="10">
        <f t="shared" si="625"/>
        <v>0</v>
      </c>
    </row>
    <row r="2829" spans="9:17">
      <c r="I2829" s="147"/>
      <c r="J2829" s="147"/>
      <c r="K2829" s="47"/>
      <c r="L2829" s="47"/>
      <c r="N2829" s="10" t="str">
        <f t="shared" si="622"/>
        <v/>
      </c>
      <c r="O2829" s="10">
        <f t="shared" si="623"/>
        <v>0</v>
      </c>
      <c r="P2829" s="10">
        <f t="shared" si="624"/>
        <v>0</v>
      </c>
      <c r="Q2829" s="10">
        <f t="shared" si="625"/>
        <v>0</v>
      </c>
    </row>
    <row r="2830" spans="9:17">
      <c r="I2830" s="147"/>
      <c r="J2830" s="147"/>
      <c r="K2830" s="47"/>
      <c r="L2830" s="47"/>
      <c r="N2830" s="10" t="str">
        <f t="shared" si="622"/>
        <v/>
      </c>
      <c r="O2830" s="10">
        <f t="shared" si="623"/>
        <v>0</v>
      </c>
      <c r="P2830" s="10">
        <f t="shared" si="624"/>
        <v>0</v>
      </c>
      <c r="Q2830" s="10">
        <f t="shared" si="625"/>
        <v>0</v>
      </c>
    </row>
    <row r="2831" spans="9:17">
      <c r="I2831" s="147"/>
      <c r="J2831" s="147"/>
      <c r="K2831" s="47"/>
      <c r="L2831" s="47"/>
      <c r="N2831" s="10" t="str">
        <f t="shared" si="622"/>
        <v/>
      </c>
      <c r="O2831" s="10">
        <f t="shared" si="623"/>
        <v>0</v>
      </c>
      <c r="P2831" s="10">
        <f t="shared" si="624"/>
        <v>0</v>
      </c>
      <c r="Q2831" s="10">
        <f t="shared" si="625"/>
        <v>0</v>
      </c>
    </row>
    <row r="2832" spans="9:17">
      <c r="I2832" s="147"/>
      <c r="J2832" s="147"/>
      <c r="K2832" s="47"/>
      <c r="L2832" s="47"/>
      <c r="N2832" s="10" t="str">
        <f t="shared" si="622"/>
        <v/>
      </c>
      <c r="O2832" s="10">
        <f t="shared" si="623"/>
        <v>0</v>
      </c>
      <c r="P2832" s="10">
        <f t="shared" si="624"/>
        <v>0</v>
      </c>
      <c r="Q2832" s="10">
        <f t="shared" si="625"/>
        <v>0</v>
      </c>
    </row>
    <row r="2833" spans="9:17">
      <c r="I2833" s="147"/>
      <c r="J2833" s="147"/>
      <c r="K2833" s="47"/>
      <c r="L2833" s="47"/>
      <c r="N2833" s="10" t="str">
        <f t="shared" si="622"/>
        <v/>
      </c>
      <c r="O2833" s="10">
        <f t="shared" si="623"/>
        <v>0</v>
      </c>
      <c r="P2833" s="10">
        <f t="shared" si="624"/>
        <v>0</v>
      </c>
      <c r="Q2833" s="10">
        <f t="shared" si="625"/>
        <v>0</v>
      </c>
    </row>
    <row r="2834" spans="9:17">
      <c r="I2834" s="147"/>
      <c r="J2834" s="147"/>
      <c r="K2834" s="47"/>
      <c r="L2834" s="47"/>
      <c r="N2834" s="10" t="str">
        <f t="shared" ref="N2834:N2897" si="626">CONCATENATE(C2834,A2834)</f>
        <v/>
      </c>
      <c r="O2834" s="10">
        <f t="shared" ref="O2834:O2897" si="627">D2834</f>
        <v>0</v>
      </c>
      <c r="P2834" s="10">
        <f t="shared" ref="P2834:P2897" si="628">I2834</f>
        <v>0</v>
      </c>
      <c r="Q2834" s="10">
        <f t="shared" ref="Q2834:Q2897" si="629">J2834</f>
        <v>0</v>
      </c>
    </row>
    <row r="2835" spans="9:17">
      <c r="I2835" s="147"/>
      <c r="J2835" s="147"/>
      <c r="K2835" s="47"/>
      <c r="L2835" s="47"/>
      <c r="N2835" s="10" t="str">
        <f t="shared" si="626"/>
        <v/>
      </c>
      <c r="O2835" s="10">
        <f t="shared" si="627"/>
        <v>0</v>
      </c>
      <c r="P2835" s="10">
        <f t="shared" si="628"/>
        <v>0</v>
      </c>
      <c r="Q2835" s="10">
        <f t="shared" si="629"/>
        <v>0</v>
      </c>
    </row>
    <row r="2836" spans="9:17">
      <c r="I2836" s="147"/>
      <c r="J2836" s="147"/>
      <c r="K2836" s="47"/>
      <c r="L2836" s="47"/>
      <c r="N2836" s="10" t="str">
        <f t="shared" si="626"/>
        <v/>
      </c>
      <c r="O2836" s="10">
        <f t="shared" si="627"/>
        <v>0</v>
      </c>
      <c r="P2836" s="10">
        <f t="shared" si="628"/>
        <v>0</v>
      </c>
      <c r="Q2836" s="10">
        <f t="shared" si="629"/>
        <v>0</v>
      </c>
    </row>
    <row r="2837" spans="9:17">
      <c r="I2837" s="147"/>
      <c r="J2837" s="147"/>
      <c r="K2837" s="47"/>
      <c r="L2837" s="47"/>
      <c r="N2837" s="10" t="str">
        <f t="shared" si="626"/>
        <v/>
      </c>
      <c r="O2837" s="10">
        <f t="shared" si="627"/>
        <v>0</v>
      </c>
      <c r="P2837" s="10">
        <f t="shared" si="628"/>
        <v>0</v>
      </c>
      <c r="Q2837" s="10">
        <f t="shared" si="629"/>
        <v>0</v>
      </c>
    </row>
    <row r="2838" spans="9:17">
      <c r="I2838" s="147"/>
      <c r="J2838" s="147"/>
      <c r="K2838" s="47"/>
      <c r="L2838" s="47"/>
      <c r="N2838" s="10" t="str">
        <f t="shared" si="626"/>
        <v/>
      </c>
      <c r="O2838" s="10">
        <f t="shared" si="627"/>
        <v>0</v>
      </c>
      <c r="P2838" s="10">
        <f t="shared" si="628"/>
        <v>0</v>
      </c>
      <c r="Q2838" s="10">
        <f t="shared" si="629"/>
        <v>0</v>
      </c>
    </row>
    <row r="2839" spans="9:17">
      <c r="I2839" s="147"/>
      <c r="J2839" s="147"/>
      <c r="K2839" s="47"/>
      <c r="L2839" s="47"/>
      <c r="N2839" s="10" t="str">
        <f t="shared" si="626"/>
        <v/>
      </c>
      <c r="O2839" s="10">
        <f t="shared" si="627"/>
        <v>0</v>
      </c>
      <c r="P2839" s="10">
        <f t="shared" si="628"/>
        <v>0</v>
      </c>
      <c r="Q2839" s="10">
        <f t="shared" si="629"/>
        <v>0</v>
      </c>
    </row>
    <row r="2840" spans="9:17">
      <c r="I2840" s="147"/>
      <c r="J2840" s="147"/>
      <c r="K2840" s="47"/>
      <c r="L2840" s="47"/>
      <c r="N2840" s="10" t="str">
        <f t="shared" si="626"/>
        <v/>
      </c>
      <c r="O2840" s="10">
        <f t="shared" si="627"/>
        <v>0</v>
      </c>
      <c r="P2840" s="10">
        <f t="shared" si="628"/>
        <v>0</v>
      </c>
      <c r="Q2840" s="10">
        <f t="shared" si="629"/>
        <v>0</v>
      </c>
    </row>
    <row r="2841" spans="9:17">
      <c r="I2841" s="147"/>
      <c r="J2841" s="147"/>
      <c r="K2841" s="47"/>
      <c r="L2841" s="47"/>
      <c r="N2841" s="10" t="str">
        <f t="shared" si="626"/>
        <v/>
      </c>
      <c r="O2841" s="10">
        <f t="shared" si="627"/>
        <v>0</v>
      </c>
      <c r="P2841" s="10">
        <f t="shared" si="628"/>
        <v>0</v>
      </c>
      <c r="Q2841" s="10">
        <f t="shared" si="629"/>
        <v>0</v>
      </c>
    </row>
    <row r="2842" spans="9:17">
      <c r="I2842" s="147"/>
      <c r="J2842" s="147"/>
      <c r="K2842" s="47"/>
      <c r="L2842" s="47"/>
      <c r="N2842" s="10" t="str">
        <f t="shared" si="626"/>
        <v/>
      </c>
      <c r="O2842" s="10">
        <f t="shared" si="627"/>
        <v>0</v>
      </c>
      <c r="P2842" s="10">
        <f t="shared" si="628"/>
        <v>0</v>
      </c>
      <c r="Q2842" s="10">
        <f t="shared" si="629"/>
        <v>0</v>
      </c>
    </row>
    <row r="2843" spans="9:17">
      <c r="I2843" s="147"/>
      <c r="J2843" s="147"/>
      <c r="K2843" s="47"/>
      <c r="L2843" s="47"/>
      <c r="N2843" s="10" t="str">
        <f t="shared" si="626"/>
        <v/>
      </c>
      <c r="O2843" s="10">
        <f t="shared" si="627"/>
        <v>0</v>
      </c>
      <c r="P2843" s="10">
        <f t="shared" si="628"/>
        <v>0</v>
      </c>
      <c r="Q2843" s="10">
        <f t="shared" si="629"/>
        <v>0</v>
      </c>
    </row>
    <row r="2844" spans="9:17">
      <c r="I2844" s="147"/>
      <c r="J2844" s="147"/>
      <c r="K2844" s="47"/>
      <c r="L2844" s="47"/>
      <c r="N2844" s="10" t="str">
        <f t="shared" si="626"/>
        <v/>
      </c>
      <c r="O2844" s="10">
        <f t="shared" si="627"/>
        <v>0</v>
      </c>
      <c r="P2844" s="10">
        <f t="shared" si="628"/>
        <v>0</v>
      </c>
      <c r="Q2844" s="10">
        <f t="shared" si="629"/>
        <v>0</v>
      </c>
    </row>
    <row r="2845" spans="9:17">
      <c r="I2845" s="147"/>
      <c r="J2845" s="147"/>
      <c r="K2845" s="47"/>
      <c r="L2845" s="47"/>
      <c r="N2845" s="10" t="str">
        <f t="shared" si="626"/>
        <v/>
      </c>
      <c r="O2845" s="10">
        <f t="shared" si="627"/>
        <v>0</v>
      </c>
      <c r="P2845" s="10">
        <f t="shared" si="628"/>
        <v>0</v>
      </c>
      <c r="Q2845" s="10">
        <f t="shared" si="629"/>
        <v>0</v>
      </c>
    </row>
    <row r="2846" spans="9:17">
      <c r="I2846" s="147"/>
      <c r="J2846" s="147"/>
      <c r="K2846" s="47"/>
      <c r="L2846" s="47"/>
      <c r="N2846" s="10" t="str">
        <f t="shared" si="626"/>
        <v/>
      </c>
      <c r="O2846" s="10">
        <f t="shared" si="627"/>
        <v>0</v>
      </c>
      <c r="P2846" s="10">
        <f t="shared" si="628"/>
        <v>0</v>
      </c>
      <c r="Q2846" s="10">
        <f t="shared" si="629"/>
        <v>0</v>
      </c>
    </row>
    <row r="2847" spans="9:17">
      <c r="I2847" s="147"/>
      <c r="J2847" s="147"/>
      <c r="K2847" s="47"/>
      <c r="L2847" s="47"/>
      <c r="N2847" s="10" t="str">
        <f t="shared" si="626"/>
        <v/>
      </c>
      <c r="O2847" s="10">
        <f t="shared" si="627"/>
        <v>0</v>
      </c>
      <c r="P2847" s="10">
        <f t="shared" si="628"/>
        <v>0</v>
      </c>
      <c r="Q2847" s="10">
        <f t="shared" si="629"/>
        <v>0</v>
      </c>
    </row>
    <row r="2848" spans="9:17">
      <c r="I2848" s="147"/>
      <c r="J2848" s="147"/>
      <c r="K2848" s="47"/>
      <c r="L2848" s="47"/>
      <c r="N2848" s="10" t="str">
        <f t="shared" si="626"/>
        <v/>
      </c>
      <c r="O2848" s="10">
        <f t="shared" si="627"/>
        <v>0</v>
      </c>
      <c r="P2848" s="10">
        <f t="shared" si="628"/>
        <v>0</v>
      </c>
      <c r="Q2848" s="10">
        <f t="shared" si="629"/>
        <v>0</v>
      </c>
    </row>
    <row r="2849" spans="9:17">
      <c r="I2849" s="147"/>
      <c r="J2849" s="147"/>
      <c r="K2849" s="47"/>
      <c r="L2849" s="47"/>
      <c r="N2849" s="10" t="str">
        <f t="shared" si="626"/>
        <v/>
      </c>
      <c r="O2849" s="10">
        <f t="shared" si="627"/>
        <v>0</v>
      </c>
      <c r="P2849" s="10">
        <f t="shared" si="628"/>
        <v>0</v>
      </c>
      <c r="Q2849" s="10">
        <f t="shared" si="629"/>
        <v>0</v>
      </c>
    </row>
    <row r="2850" spans="9:17">
      <c r="I2850" s="147"/>
      <c r="J2850" s="147"/>
      <c r="K2850" s="47"/>
      <c r="L2850" s="47"/>
      <c r="N2850" s="10" t="str">
        <f t="shared" si="626"/>
        <v/>
      </c>
      <c r="O2850" s="10">
        <f t="shared" si="627"/>
        <v>0</v>
      </c>
      <c r="P2850" s="10">
        <f t="shared" si="628"/>
        <v>0</v>
      </c>
      <c r="Q2850" s="10">
        <f t="shared" si="629"/>
        <v>0</v>
      </c>
    </row>
    <row r="2851" spans="9:17">
      <c r="I2851" s="147"/>
      <c r="J2851" s="147"/>
      <c r="K2851" s="47"/>
      <c r="L2851" s="47"/>
      <c r="N2851" s="10" t="str">
        <f t="shared" si="626"/>
        <v/>
      </c>
      <c r="O2851" s="10">
        <f t="shared" si="627"/>
        <v>0</v>
      </c>
      <c r="P2851" s="10">
        <f t="shared" si="628"/>
        <v>0</v>
      </c>
      <c r="Q2851" s="10">
        <f t="shared" si="629"/>
        <v>0</v>
      </c>
    </row>
    <row r="2852" spans="9:17">
      <c r="I2852" s="147"/>
      <c r="J2852" s="147"/>
      <c r="K2852" s="47"/>
      <c r="L2852" s="47"/>
      <c r="N2852" s="10" t="str">
        <f t="shared" si="626"/>
        <v/>
      </c>
      <c r="O2852" s="10">
        <f t="shared" si="627"/>
        <v>0</v>
      </c>
      <c r="P2852" s="10">
        <f t="shared" si="628"/>
        <v>0</v>
      </c>
      <c r="Q2852" s="10">
        <f t="shared" si="629"/>
        <v>0</v>
      </c>
    </row>
    <row r="2853" spans="9:17">
      <c r="I2853" s="147"/>
      <c r="J2853" s="147"/>
      <c r="K2853" s="47"/>
      <c r="L2853" s="47"/>
      <c r="N2853" s="10" t="str">
        <f t="shared" si="626"/>
        <v/>
      </c>
      <c r="O2853" s="10">
        <f t="shared" si="627"/>
        <v>0</v>
      </c>
      <c r="P2853" s="10">
        <f t="shared" si="628"/>
        <v>0</v>
      </c>
      <c r="Q2853" s="10">
        <f t="shared" si="629"/>
        <v>0</v>
      </c>
    </row>
    <row r="2854" spans="9:17">
      <c r="I2854" s="147"/>
      <c r="J2854" s="147"/>
      <c r="K2854" s="47"/>
      <c r="L2854" s="47"/>
      <c r="N2854" s="10" t="str">
        <f t="shared" si="626"/>
        <v/>
      </c>
      <c r="O2854" s="10">
        <f t="shared" si="627"/>
        <v>0</v>
      </c>
      <c r="P2854" s="10">
        <f t="shared" si="628"/>
        <v>0</v>
      </c>
      <c r="Q2854" s="10">
        <f t="shared" si="629"/>
        <v>0</v>
      </c>
    </row>
    <row r="2855" spans="9:17">
      <c r="I2855" s="147"/>
      <c r="J2855" s="147"/>
      <c r="K2855" s="47"/>
      <c r="L2855" s="47"/>
      <c r="N2855" s="10" t="str">
        <f t="shared" si="626"/>
        <v/>
      </c>
      <c r="O2855" s="10">
        <f t="shared" si="627"/>
        <v>0</v>
      </c>
      <c r="P2855" s="10">
        <f t="shared" si="628"/>
        <v>0</v>
      </c>
      <c r="Q2855" s="10">
        <f t="shared" si="629"/>
        <v>0</v>
      </c>
    </row>
    <row r="2856" spans="9:17">
      <c r="I2856" s="147"/>
      <c r="J2856" s="147"/>
      <c r="K2856" s="47"/>
      <c r="L2856" s="47"/>
      <c r="N2856" s="10" t="str">
        <f t="shared" si="626"/>
        <v/>
      </c>
      <c r="O2856" s="10">
        <f t="shared" si="627"/>
        <v>0</v>
      </c>
      <c r="P2856" s="10">
        <f t="shared" si="628"/>
        <v>0</v>
      </c>
      <c r="Q2856" s="10">
        <f t="shared" si="629"/>
        <v>0</v>
      </c>
    </row>
    <row r="2857" spans="9:17">
      <c r="I2857" s="147"/>
      <c r="J2857" s="147"/>
      <c r="K2857" s="47"/>
      <c r="L2857" s="47"/>
      <c r="N2857" s="10" t="str">
        <f t="shared" si="626"/>
        <v/>
      </c>
      <c r="O2857" s="10">
        <f t="shared" si="627"/>
        <v>0</v>
      </c>
      <c r="P2857" s="10">
        <f t="shared" si="628"/>
        <v>0</v>
      </c>
      <c r="Q2857" s="10">
        <f t="shared" si="629"/>
        <v>0</v>
      </c>
    </row>
    <row r="2858" spans="9:17">
      <c r="I2858" s="147"/>
      <c r="J2858" s="147"/>
      <c r="K2858" s="47"/>
      <c r="L2858" s="47"/>
      <c r="N2858" s="10" t="str">
        <f t="shared" si="626"/>
        <v/>
      </c>
      <c r="O2858" s="10">
        <f t="shared" si="627"/>
        <v>0</v>
      </c>
      <c r="P2858" s="10">
        <f t="shared" si="628"/>
        <v>0</v>
      </c>
      <c r="Q2858" s="10">
        <f t="shared" si="629"/>
        <v>0</v>
      </c>
    </row>
    <row r="2859" spans="9:17">
      <c r="I2859" s="147"/>
      <c r="J2859" s="147"/>
      <c r="K2859" s="47"/>
      <c r="L2859" s="47"/>
      <c r="N2859" s="10" t="str">
        <f t="shared" si="626"/>
        <v/>
      </c>
      <c r="O2859" s="10">
        <f t="shared" si="627"/>
        <v>0</v>
      </c>
      <c r="P2859" s="10">
        <f t="shared" si="628"/>
        <v>0</v>
      </c>
      <c r="Q2859" s="10">
        <f t="shared" si="629"/>
        <v>0</v>
      </c>
    </row>
    <row r="2860" spans="9:17">
      <c r="I2860" s="147"/>
      <c r="J2860" s="147"/>
      <c r="K2860" s="47"/>
      <c r="L2860" s="47"/>
      <c r="N2860" s="10" t="str">
        <f t="shared" si="626"/>
        <v/>
      </c>
      <c r="O2860" s="10">
        <f t="shared" si="627"/>
        <v>0</v>
      </c>
      <c r="P2860" s="10">
        <f t="shared" si="628"/>
        <v>0</v>
      </c>
      <c r="Q2860" s="10">
        <f t="shared" si="629"/>
        <v>0</v>
      </c>
    </row>
    <row r="2861" spans="9:17">
      <c r="I2861" s="147"/>
      <c r="J2861" s="147"/>
      <c r="K2861" s="47"/>
      <c r="L2861" s="47"/>
      <c r="N2861" s="10" t="str">
        <f t="shared" si="626"/>
        <v/>
      </c>
      <c r="O2861" s="10">
        <f t="shared" si="627"/>
        <v>0</v>
      </c>
      <c r="P2861" s="10">
        <f t="shared" si="628"/>
        <v>0</v>
      </c>
      <c r="Q2861" s="10">
        <f t="shared" si="629"/>
        <v>0</v>
      </c>
    </row>
    <row r="2862" spans="9:17">
      <c r="I2862" s="147"/>
      <c r="J2862" s="147"/>
      <c r="K2862" s="47"/>
      <c r="L2862" s="47"/>
      <c r="N2862" s="10" t="str">
        <f t="shared" si="626"/>
        <v/>
      </c>
      <c r="O2862" s="10">
        <f t="shared" si="627"/>
        <v>0</v>
      </c>
      <c r="P2862" s="10">
        <f t="shared" si="628"/>
        <v>0</v>
      </c>
      <c r="Q2862" s="10">
        <f t="shared" si="629"/>
        <v>0</v>
      </c>
    </row>
    <row r="2863" spans="9:17">
      <c r="I2863" s="147"/>
      <c r="J2863" s="147"/>
      <c r="K2863" s="47"/>
      <c r="L2863" s="47"/>
      <c r="N2863" s="10" t="str">
        <f t="shared" si="626"/>
        <v/>
      </c>
      <c r="O2863" s="10">
        <f t="shared" si="627"/>
        <v>0</v>
      </c>
      <c r="P2863" s="10">
        <f t="shared" si="628"/>
        <v>0</v>
      </c>
      <c r="Q2863" s="10">
        <f t="shared" si="629"/>
        <v>0</v>
      </c>
    </row>
    <row r="2864" spans="9:17">
      <c r="I2864" s="147"/>
      <c r="J2864" s="147"/>
      <c r="K2864" s="47"/>
      <c r="L2864" s="47"/>
      <c r="N2864" s="10" t="str">
        <f t="shared" si="626"/>
        <v/>
      </c>
      <c r="O2864" s="10">
        <f t="shared" si="627"/>
        <v>0</v>
      </c>
      <c r="P2864" s="10">
        <f t="shared" si="628"/>
        <v>0</v>
      </c>
      <c r="Q2864" s="10">
        <f t="shared" si="629"/>
        <v>0</v>
      </c>
    </row>
    <row r="2865" spans="9:17">
      <c r="I2865" s="147"/>
      <c r="J2865" s="147"/>
      <c r="K2865" s="47"/>
      <c r="L2865" s="47"/>
      <c r="N2865" s="10" t="str">
        <f t="shared" si="626"/>
        <v/>
      </c>
      <c r="O2865" s="10">
        <f t="shared" si="627"/>
        <v>0</v>
      </c>
      <c r="P2865" s="10">
        <f t="shared" si="628"/>
        <v>0</v>
      </c>
      <c r="Q2865" s="10">
        <f t="shared" si="629"/>
        <v>0</v>
      </c>
    </row>
    <row r="2866" spans="9:17">
      <c r="I2866" s="147"/>
      <c r="J2866" s="147"/>
      <c r="K2866" s="47"/>
      <c r="L2866" s="47"/>
      <c r="N2866" s="10" t="str">
        <f t="shared" si="626"/>
        <v/>
      </c>
      <c r="O2866" s="10">
        <f t="shared" si="627"/>
        <v>0</v>
      </c>
      <c r="P2866" s="10">
        <f t="shared" si="628"/>
        <v>0</v>
      </c>
      <c r="Q2866" s="10">
        <f t="shared" si="629"/>
        <v>0</v>
      </c>
    </row>
    <row r="2867" spans="9:17">
      <c r="I2867" s="147"/>
      <c r="J2867" s="147"/>
      <c r="K2867" s="47"/>
      <c r="L2867" s="47"/>
      <c r="N2867" s="10" t="str">
        <f t="shared" si="626"/>
        <v/>
      </c>
      <c r="O2867" s="10">
        <f t="shared" si="627"/>
        <v>0</v>
      </c>
      <c r="P2867" s="10">
        <f t="shared" si="628"/>
        <v>0</v>
      </c>
      <c r="Q2867" s="10">
        <f t="shared" si="629"/>
        <v>0</v>
      </c>
    </row>
    <row r="2868" spans="9:17">
      <c r="I2868" s="147"/>
      <c r="J2868" s="147"/>
      <c r="K2868" s="47"/>
      <c r="L2868" s="47"/>
      <c r="N2868" s="10" t="str">
        <f t="shared" si="626"/>
        <v/>
      </c>
      <c r="O2868" s="10">
        <f t="shared" si="627"/>
        <v>0</v>
      </c>
      <c r="P2868" s="10">
        <f t="shared" si="628"/>
        <v>0</v>
      </c>
      <c r="Q2868" s="10">
        <f t="shared" si="629"/>
        <v>0</v>
      </c>
    </row>
    <row r="2869" spans="9:17">
      <c r="I2869" s="147"/>
      <c r="J2869" s="147"/>
      <c r="K2869" s="47"/>
      <c r="L2869" s="47"/>
      <c r="N2869" s="10" t="str">
        <f t="shared" si="626"/>
        <v/>
      </c>
      <c r="O2869" s="10">
        <f t="shared" si="627"/>
        <v>0</v>
      </c>
      <c r="P2869" s="10">
        <f t="shared" si="628"/>
        <v>0</v>
      </c>
      <c r="Q2869" s="10">
        <f t="shared" si="629"/>
        <v>0</v>
      </c>
    </row>
    <row r="2870" spans="9:17">
      <c r="I2870" s="147"/>
      <c r="J2870" s="147"/>
      <c r="K2870" s="47"/>
      <c r="L2870" s="47"/>
      <c r="N2870" s="10" t="str">
        <f t="shared" si="626"/>
        <v/>
      </c>
      <c r="O2870" s="10">
        <f t="shared" si="627"/>
        <v>0</v>
      </c>
      <c r="P2870" s="10">
        <f t="shared" si="628"/>
        <v>0</v>
      </c>
      <c r="Q2870" s="10">
        <f t="shared" si="629"/>
        <v>0</v>
      </c>
    </row>
    <row r="2871" spans="9:17">
      <c r="I2871" s="147"/>
      <c r="J2871" s="147"/>
      <c r="K2871" s="47"/>
      <c r="L2871" s="47"/>
      <c r="N2871" s="10" t="str">
        <f t="shared" si="626"/>
        <v/>
      </c>
      <c r="O2871" s="10">
        <f t="shared" si="627"/>
        <v>0</v>
      </c>
      <c r="P2871" s="10">
        <f t="shared" si="628"/>
        <v>0</v>
      </c>
      <c r="Q2871" s="10">
        <f t="shared" si="629"/>
        <v>0</v>
      </c>
    </row>
    <row r="2872" spans="9:17">
      <c r="I2872" s="147"/>
      <c r="J2872" s="147"/>
      <c r="K2872" s="47"/>
      <c r="L2872" s="47"/>
      <c r="N2872" s="10" t="str">
        <f t="shared" si="626"/>
        <v/>
      </c>
      <c r="O2872" s="10">
        <f t="shared" si="627"/>
        <v>0</v>
      </c>
      <c r="P2872" s="10">
        <f t="shared" si="628"/>
        <v>0</v>
      </c>
      <c r="Q2872" s="10">
        <f t="shared" si="629"/>
        <v>0</v>
      </c>
    </row>
    <row r="2873" spans="9:17">
      <c r="I2873" s="147"/>
      <c r="J2873" s="147"/>
      <c r="K2873" s="47"/>
      <c r="L2873" s="47"/>
      <c r="N2873" s="10" t="str">
        <f t="shared" si="626"/>
        <v/>
      </c>
      <c r="O2873" s="10">
        <f t="shared" si="627"/>
        <v>0</v>
      </c>
      <c r="P2873" s="10">
        <f t="shared" si="628"/>
        <v>0</v>
      </c>
      <c r="Q2873" s="10">
        <f t="shared" si="629"/>
        <v>0</v>
      </c>
    </row>
    <row r="2874" spans="9:17">
      <c r="I2874" s="147"/>
      <c r="J2874" s="147"/>
      <c r="K2874" s="47"/>
      <c r="L2874" s="47"/>
      <c r="N2874" s="10" t="str">
        <f t="shared" si="626"/>
        <v/>
      </c>
      <c r="O2874" s="10">
        <f t="shared" si="627"/>
        <v>0</v>
      </c>
      <c r="P2874" s="10">
        <f t="shared" si="628"/>
        <v>0</v>
      </c>
      <c r="Q2874" s="10">
        <f t="shared" si="629"/>
        <v>0</v>
      </c>
    </row>
    <row r="2875" spans="9:17">
      <c r="I2875" s="147"/>
      <c r="J2875" s="147"/>
      <c r="K2875" s="47"/>
      <c r="L2875" s="47"/>
      <c r="N2875" s="10" t="str">
        <f t="shared" si="626"/>
        <v/>
      </c>
      <c r="O2875" s="10">
        <f t="shared" si="627"/>
        <v>0</v>
      </c>
      <c r="P2875" s="10">
        <f t="shared" si="628"/>
        <v>0</v>
      </c>
      <c r="Q2875" s="10">
        <f t="shared" si="629"/>
        <v>0</v>
      </c>
    </row>
    <row r="2876" spans="9:17">
      <c r="I2876" s="147"/>
      <c r="J2876" s="147"/>
      <c r="K2876" s="47"/>
      <c r="L2876" s="47"/>
      <c r="N2876" s="10" t="str">
        <f t="shared" si="626"/>
        <v/>
      </c>
      <c r="O2876" s="10">
        <f t="shared" si="627"/>
        <v>0</v>
      </c>
      <c r="P2876" s="10">
        <f t="shared" si="628"/>
        <v>0</v>
      </c>
      <c r="Q2876" s="10">
        <f t="shared" si="629"/>
        <v>0</v>
      </c>
    </row>
    <row r="2877" spans="9:17">
      <c r="I2877" s="147"/>
      <c r="J2877" s="147"/>
      <c r="K2877" s="47"/>
      <c r="L2877" s="47"/>
      <c r="N2877" s="10" t="str">
        <f t="shared" si="626"/>
        <v/>
      </c>
      <c r="O2877" s="10">
        <f t="shared" si="627"/>
        <v>0</v>
      </c>
      <c r="P2877" s="10">
        <f t="shared" si="628"/>
        <v>0</v>
      </c>
      <c r="Q2877" s="10">
        <f t="shared" si="629"/>
        <v>0</v>
      </c>
    </row>
    <row r="2878" spans="9:17">
      <c r="I2878" s="147"/>
      <c r="J2878" s="147"/>
      <c r="K2878" s="47"/>
      <c r="L2878" s="47"/>
      <c r="N2878" s="10" t="str">
        <f t="shared" si="626"/>
        <v/>
      </c>
      <c r="O2878" s="10">
        <f t="shared" si="627"/>
        <v>0</v>
      </c>
      <c r="P2878" s="10">
        <f t="shared" si="628"/>
        <v>0</v>
      </c>
      <c r="Q2878" s="10">
        <f t="shared" si="629"/>
        <v>0</v>
      </c>
    </row>
    <row r="2879" spans="9:17">
      <c r="I2879" s="147"/>
      <c r="J2879" s="147"/>
      <c r="K2879" s="47"/>
      <c r="L2879" s="47"/>
      <c r="N2879" s="10" t="str">
        <f t="shared" si="626"/>
        <v/>
      </c>
      <c r="O2879" s="10">
        <f t="shared" si="627"/>
        <v>0</v>
      </c>
      <c r="P2879" s="10">
        <f t="shared" si="628"/>
        <v>0</v>
      </c>
      <c r="Q2879" s="10">
        <f t="shared" si="629"/>
        <v>0</v>
      </c>
    </row>
    <row r="2880" spans="9:17">
      <c r="I2880" s="147"/>
      <c r="J2880" s="147"/>
      <c r="K2880" s="47"/>
      <c r="L2880" s="47"/>
      <c r="N2880" s="10" t="str">
        <f t="shared" si="626"/>
        <v/>
      </c>
      <c r="O2880" s="10">
        <f t="shared" si="627"/>
        <v>0</v>
      </c>
      <c r="P2880" s="10">
        <f t="shared" si="628"/>
        <v>0</v>
      </c>
      <c r="Q2880" s="10">
        <f t="shared" si="629"/>
        <v>0</v>
      </c>
    </row>
    <row r="2881" spans="9:17">
      <c r="I2881" s="147"/>
      <c r="J2881" s="147"/>
      <c r="K2881" s="47"/>
      <c r="L2881" s="47"/>
      <c r="N2881" s="10" t="str">
        <f t="shared" si="626"/>
        <v/>
      </c>
      <c r="O2881" s="10">
        <f t="shared" si="627"/>
        <v>0</v>
      </c>
      <c r="P2881" s="10">
        <f t="shared" si="628"/>
        <v>0</v>
      </c>
      <c r="Q2881" s="10">
        <f t="shared" si="629"/>
        <v>0</v>
      </c>
    </row>
    <row r="2882" spans="9:17">
      <c r="I2882" s="147"/>
      <c r="J2882" s="147"/>
      <c r="K2882" s="47"/>
      <c r="L2882" s="47"/>
      <c r="N2882" s="10" t="str">
        <f t="shared" si="626"/>
        <v/>
      </c>
      <c r="O2882" s="10">
        <f t="shared" si="627"/>
        <v>0</v>
      </c>
      <c r="P2882" s="10">
        <f t="shared" si="628"/>
        <v>0</v>
      </c>
      <c r="Q2882" s="10">
        <f t="shared" si="629"/>
        <v>0</v>
      </c>
    </row>
    <row r="2883" spans="9:17">
      <c r="I2883" s="147"/>
      <c r="J2883" s="147"/>
      <c r="K2883" s="47"/>
      <c r="L2883" s="47"/>
      <c r="N2883" s="10" t="str">
        <f t="shared" si="626"/>
        <v/>
      </c>
      <c r="O2883" s="10">
        <f t="shared" si="627"/>
        <v>0</v>
      </c>
      <c r="P2883" s="10">
        <f t="shared" si="628"/>
        <v>0</v>
      </c>
      <c r="Q2883" s="10">
        <f t="shared" si="629"/>
        <v>0</v>
      </c>
    </row>
    <row r="2884" spans="9:17">
      <c r="I2884" s="147"/>
      <c r="J2884" s="147"/>
      <c r="K2884" s="47"/>
      <c r="L2884" s="47"/>
      <c r="N2884" s="10" t="str">
        <f t="shared" si="626"/>
        <v/>
      </c>
      <c r="O2884" s="10">
        <f t="shared" si="627"/>
        <v>0</v>
      </c>
      <c r="P2884" s="10">
        <f t="shared" si="628"/>
        <v>0</v>
      </c>
      <c r="Q2884" s="10">
        <f t="shared" si="629"/>
        <v>0</v>
      </c>
    </row>
    <row r="2885" spans="9:17">
      <c r="I2885" s="147"/>
      <c r="J2885" s="147"/>
      <c r="K2885" s="47"/>
      <c r="L2885" s="47"/>
      <c r="N2885" s="10" t="str">
        <f t="shared" si="626"/>
        <v/>
      </c>
      <c r="O2885" s="10">
        <f t="shared" si="627"/>
        <v>0</v>
      </c>
      <c r="P2885" s="10">
        <f t="shared" si="628"/>
        <v>0</v>
      </c>
      <c r="Q2885" s="10">
        <f t="shared" si="629"/>
        <v>0</v>
      </c>
    </row>
    <row r="2886" spans="9:17">
      <c r="I2886" s="147"/>
      <c r="J2886" s="147"/>
      <c r="K2886" s="47"/>
      <c r="L2886" s="47"/>
      <c r="N2886" s="10" t="str">
        <f t="shared" si="626"/>
        <v/>
      </c>
      <c r="O2886" s="10">
        <f t="shared" si="627"/>
        <v>0</v>
      </c>
      <c r="P2886" s="10">
        <f t="shared" si="628"/>
        <v>0</v>
      </c>
      <c r="Q2886" s="10">
        <f t="shared" si="629"/>
        <v>0</v>
      </c>
    </row>
    <row r="2887" spans="9:17">
      <c r="I2887" s="147"/>
      <c r="J2887" s="147"/>
      <c r="K2887" s="47"/>
      <c r="L2887" s="47"/>
      <c r="N2887" s="10" t="str">
        <f t="shared" si="626"/>
        <v/>
      </c>
      <c r="O2887" s="10">
        <f t="shared" si="627"/>
        <v>0</v>
      </c>
      <c r="P2887" s="10">
        <f t="shared" si="628"/>
        <v>0</v>
      </c>
      <c r="Q2887" s="10">
        <f t="shared" si="629"/>
        <v>0</v>
      </c>
    </row>
    <row r="2888" spans="9:17">
      <c r="I2888" s="147"/>
      <c r="J2888" s="147"/>
      <c r="K2888" s="47"/>
      <c r="L2888" s="47"/>
      <c r="N2888" s="10" t="str">
        <f t="shared" si="626"/>
        <v/>
      </c>
      <c r="O2888" s="10">
        <f t="shared" si="627"/>
        <v>0</v>
      </c>
      <c r="P2888" s="10">
        <f t="shared" si="628"/>
        <v>0</v>
      </c>
      <c r="Q2888" s="10">
        <f t="shared" si="629"/>
        <v>0</v>
      </c>
    </row>
    <row r="2889" spans="9:17">
      <c r="I2889" s="147"/>
      <c r="J2889" s="147"/>
      <c r="K2889" s="47"/>
      <c r="L2889" s="47"/>
      <c r="N2889" s="10" t="str">
        <f t="shared" si="626"/>
        <v/>
      </c>
      <c r="O2889" s="10">
        <f t="shared" si="627"/>
        <v>0</v>
      </c>
      <c r="P2889" s="10">
        <f t="shared" si="628"/>
        <v>0</v>
      </c>
      <c r="Q2889" s="10">
        <f t="shared" si="629"/>
        <v>0</v>
      </c>
    </row>
    <row r="2890" spans="9:17">
      <c r="I2890" s="147"/>
      <c r="J2890" s="147"/>
      <c r="K2890" s="47"/>
      <c r="L2890" s="47"/>
      <c r="N2890" s="10" t="str">
        <f t="shared" si="626"/>
        <v/>
      </c>
      <c r="O2890" s="10">
        <f t="shared" si="627"/>
        <v>0</v>
      </c>
      <c r="P2890" s="10">
        <f t="shared" si="628"/>
        <v>0</v>
      </c>
      <c r="Q2890" s="10">
        <f t="shared" si="629"/>
        <v>0</v>
      </c>
    </row>
    <row r="2891" spans="9:17">
      <c r="I2891" s="147"/>
      <c r="J2891" s="147"/>
      <c r="K2891" s="47"/>
      <c r="L2891" s="47"/>
      <c r="N2891" s="10" t="str">
        <f t="shared" si="626"/>
        <v/>
      </c>
      <c r="O2891" s="10">
        <f t="shared" si="627"/>
        <v>0</v>
      </c>
      <c r="P2891" s="10">
        <f t="shared" si="628"/>
        <v>0</v>
      </c>
      <c r="Q2891" s="10">
        <f t="shared" si="629"/>
        <v>0</v>
      </c>
    </row>
    <row r="2892" spans="9:17">
      <c r="I2892" s="147"/>
      <c r="J2892" s="147"/>
      <c r="K2892" s="47"/>
      <c r="L2892" s="47"/>
      <c r="N2892" s="10" t="str">
        <f t="shared" si="626"/>
        <v/>
      </c>
      <c r="O2892" s="10">
        <f t="shared" si="627"/>
        <v>0</v>
      </c>
      <c r="P2892" s="10">
        <f t="shared" si="628"/>
        <v>0</v>
      </c>
      <c r="Q2892" s="10">
        <f t="shared" si="629"/>
        <v>0</v>
      </c>
    </row>
    <row r="2893" spans="9:17">
      <c r="I2893" s="147"/>
      <c r="J2893" s="147"/>
      <c r="K2893" s="47"/>
      <c r="L2893" s="47"/>
      <c r="N2893" s="10" t="str">
        <f t="shared" si="626"/>
        <v/>
      </c>
      <c r="O2893" s="10">
        <f t="shared" si="627"/>
        <v>0</v>
      </c>
      <c r="P2893" s="10">
        <f t="shared" si="628"/>
        <v>0</v>
      </c>
      <c r="Q2893" s="10">
        <f t="shared" si="629"/>
        <v>0</v>
      </c>
    </row>
    <row r="2894" spans="9:17">
      <c r="I2894" s="147"/>
      <c r="J2894" s="147"/>
      <c r="K2894" s="47"/>
      <c r="L2894" s="47"/>
      <c r="N2894" s="10" t="str">
        <f t="shared" si="626"/>
        <v/>
      </c>
      <c r="O2894" s="10">
        <f t="shared" si="627"/>
        <v>0</v>
      </c>
      <c r="P2894" s="10">
        <f t="shared" si="628"/>
        <v>0</v>
      </c>
      <c r="Q2894" s="10">
        <f t="shared" si="629"/>
        <v>0</v>
      </c>
    </row>
    <row r="2895" spans="9:17">
      <c r="I2895" s="147"/>
      <c r="J2895" s="147"/>
      <c r="K2895" s="47"/>
      <c r="L2895" s="47"/>
      <c r="N2895" s="10" t="str">
        <f t="shared" si="626"/>
        <v/>
      </c>
      <c r="O2895" s="10">
        <f t="shared" si="627"/>
        <v>0</v>
      </c>
      <c r="P2895" s="10">
        <f t="shared" si="628"/>
        <v>0</v>
      </c>
      <c r="Q2895" s="10">
        <f t="shared" si="629"/>
        <v>0</v>
      </c>
    </row>
    <row r="2896" spans="9:17">
      <c r="I2896" s="147"/>
      <c r="J2896" s="147"/>
      <c r="K2896" s="47"/>
      <c r="L2896" s="47"/>
      <c r="N2896" s="10" t="str">
        <f t="shared" si="626"/>
        <v/>
      </c>
      <c r="O2896" s="10">
        <f t="shared" si="627"/>
        <v>0</v>
      </c>
      <c r="P2896" s="10">
        <f t="shared" si="628"/>
        <v>0</v>
      </c>
      <c r="Q2896" s="10">
        <f t="shared" si="629"/>
        <v>0</v>
      </c>
    </row>
    <row r="2897" spans="9:17">
      <c r="I2897" s="147"/>
      <c r="J2897" s="147"/>
      <c r="K2897" s="47"/>
      <c r="L2897" s="47"/>
      <c r="N2897" s="10" t="str">
        <f t="shared" si="626"/>
        <v/>
      </c>
      <c r="O2897" s="10">
        <f t="shared" si="627"/>
        <v>0</v>
      </c>
      <c r="P2897" s="10">
        <f t="shared" si="628"/>
        <v>0</v>
      </c>
      <c r="Q2897" s="10">
        <f t="shared" si="629"/>
        <v>0</v>
      </c>
    </row>
    <row r="2898" spans="9:17">
      <c r="I2898" s="147"/>
      <c r="J2898" s="147"/>
      <c r="K2898" s="47"/>
      <c r="L2898" s="47"/>
      <c r="N2898" s="10" t="str">
        <f t="shared" ref="N2898:N2961" si="630">CONCATENATE(C2898,A2898)</f>
        <v/>
      </c>
      <c r="O2898" s="10">
        <f t="shared" ref="O2898:O2961" si="631">D2898</f>
        <v>0</v>
      </c>
      <c r="P2898" s="10">
        <f t="shared" ref="P2898:P2961" si="632">I2898</f>
        <v>0</v>
      </c>
      <c r="Q2898" s="10">
        <f t="shared" ref="Q2898:Q2961" si="633">J2898</f>
        <v>0</v>
      </c>
    </row>
    <row r="2899" spans="9:17">
      <c r="I2899" s="147"/>
      <c r="J2899" s="147"/>
      <c r="K2899" s="47"/>
      <c r="L2899" s="47"/>
      <c r="N2899" s="10" t="str">
        <f t="shared" si="630"/>
        <v/>
      </c>
      <c r="O2899" s="10">
        <f t="shared" si="631"/>
        <v>0</v>
      </c>
      <c r="P2899" s="10">
        <f t="shared" si="632"/>
        <v>0</v>
      </c>
      <c r="Q2899" s="10">
        <f t="shared" si="633"/>
        <v>0</v>
      </c>
    </row>
    <row r="2900" spans="9:17">
      <c r="I2900" s="147"/>
      <c r="J2900" s="147"/>
      <c r="K2900" s="47"/>
      <c r="L2900" s="47"/>
      <c r="N2900" s="10" t="str">
        <f t="shared" si="630"/>
        <v/>
      </c>
      <c r="O2900" s="10">
        <f t="shared" si="631"/>
        <v>0</v>
      </c>
      <c r="P2900" s="10">
        <f t="shared" si="632"/>
        <v>0</v>
      </c>
      <c r="Q2900" s="10">
        <f t="shared" si="633"/>
        <v>0</v>
      </c>
    </row>
    <row r="2901" spans="9:17">
      <c r="I2901" s="147"/>
      <c r="J2901" s="147"/>
      <c r="K2901" s="47"/>
      <c r="L2901" s="47"/>
      <c r="N2901" s="10" t="str">
        <f t="shared" si="630"/>
        <v/>
      </c>
      <c r="O2901" s="10">
        <f t="shared" si="631"/>
        <v>0</v>
      </c>
      <c r="P2901" s="10">
        <f t="shared" si="632"/>
        <v>0</v>
      </c>
      <c r="Q2901" s="10">
        <f t="shared" si="633"/>
        <v>0</v>
      </c>
    </row>
    <row r="2902" spans="9:17">
      <c r="I2902" s="147"/>
      <c r="J2902" s="147"/>
      <c r="K2902" s="47"/>
      <c r="L2902" s="47"/>
      <c r="N2902" s="10" t="str">
        <f t="shared" si="630"/>
        <v/>
      </c>
      <c r="O2902" s="10">
        <f t="shared" si="631"/>
        <v>0</v>
      </c>
      <c r="P2902" s="10">
        <f t="shared" si="632"/>
        <v>0</v>
      </c>
      <c r="Q2902" s="10">
        <f t="shared" si="633"/>
        <v>0</v>
      </c>
    </row>
    <row r="2903" spans="9:17">
      <c r="I2903" s="147"/>
      <c r="J2903" s="147"/>
      <c r="K2903" s="47"/>
      <c r="L2903" s="47"/>
      <c r="N2903" s="10" t="str">
        <f t="shared" si="630"/>
        <v/>
      </c>
      <c r="O2903" s="10">
        <f t="shared" si="631"/>
        <v>0</v>
      </c>
      <c r="P2903" s="10">
        <f t="shared" si="632"/>
        <v>0</v>
      </c>
      <c r="Q2903" s="10">
        <f t="shared" si="633"/>
        <v>0</v>
      </c>
    </row>
    <row r="2904" spans="9:17">
      <c r="I2904" s="147"/>
      <c r="J2904" s="147"/>
      <c r="K2904" s="47"/>
      <c r="L2904" s="47"/>
      <c r="N2904" s="10" t="str">
        <f t="shared" si="630"/>
        <v/>
      </c>
      <c r="O2904" s="10">
        <f t="shared" si="631"/>
        <v>0</v>
      </c>
      <c r="P2904" s="10">
        <f t="shared" si="632"/>
        <v>0</v>
      </c>
      <c r="Q2904" s="10">
        <f t="shared" si="633"/>
        <v>0</v>
      </c>
    </row>
    <row r="2905" spans="9:17">
      <c r="I2905" s="147"/>
      <c r="J2905" s="147"/>
      <c r="K2905" s="47"/>
      <c r="L2905" s="47"/>
      <c r="N2905" s="10" t="str">
        <f t="shared" si="630"/>
        <v/>
      </c>
      <c r="O2905" s="10">
        <f t="shared" si="631"/>
        <v>0</v>
      </c>
      <c r="P2905" s="10">
        <f t="shared" si="632"/>
        <v>0</v>
      </c>
      <c r="Q2905" s="10">
        <f t="shared" si="633"/>
        <v>0</v>
      </c>
    </row>
    <row r="2906" spans="9:17">
      <c r="I2906" s="147"/>
      <c r="J2906" s="147"/>
      <c r="K2906" s="47"/>
      <c r="L2906" s="47"/>
      <c r="N2906" s="10" t="str">
        <f t="shared" si="630"/>
        <v/>
      </c>
      <c r="O2906" s="10">
        <f t="shared" si="631"/>
        <v>0</v>
      </c>
      <c r="P2906" s="10">
        <f t="shared" si="632"/>
        <v>0</v>
      </c>
      <c r="Q2906" s="10">
        <f t="shared" si="633"/>
        <v>0</v>
      </c>
    </row>
    <row r="2907" spans="9:17">
      <c r="I2907" s="147"/>
      <c r="J2907" s="147"/>
      <c r="K2907" s="47"/>
      <c r="L2907" s="47"/>
      <c r="N2907" s="10" t="str">
        <f t="shared" si="630"/>
        <v/>
      </c>
      <c r="O2907" s="10">
        <f t="shared" si="631"/>
        <v>0</v>
      </c>
      <c r="P2907" s="10">
        <f t="shared" si="632"/>
        <v>0</v>
      </c>
      <c r="Q2907" s="10">
        <f t="shared" si="633"/>
        <v>0</v>
      </c>
    </row>
    <row r="2908" spans="9:17">
      <c r="I2908" s="147"/>
      <c r="J2908" s="147"/>
      <c r="K2908" s="47"/>
      <c r="L2908" s="47"/>
      <c r="N2908" s="10" t="str">
        <f t="shared" si="630"/>
        <v/>
      </c>
      <c r="O2908" s="10">
        <f t="shared" si="631"/>
        <v>0</v>
      </c>
      <c r="P2908" s="10">
        <f t="shared" si="632"/>
        <v>0</v>
      </c>
      <c r="Q2908" s="10">
        <f t="shared" si="633"/>
        <v>0</v>
      </c>
    </row>
    <row r="2909" spans="9:17">
      <c r="I2909" s="147"/>
      <c r="J2909" s="147"/>
      <c r="K2909" s="47"/>
      <c r="L2909" s="47"/>
      <c r="N2909" s="10" t="str">
        <f t="shared" si="630"/>
        <v/>
      </c>
      <c r="O2909" s="10">
        <f t="shared" si="631"/>
        <v>0</v>
      </c>
      <c r="P2909" s="10">
        <f t="shared" si="632"/>
        <v>0</v>
      </c>
      <c r="Q2909" s="10">
        <f t="shared" si="633"/>
        <v>0</v>
      </c>
    </row>
    <row r="2910" spans="9:17">
      <c r="I2910" s="147"/>
      <c r="J2910" s="147"/>
      <c r="K2910" s="47"/>
      <c r="L2910" s="47"/>
      <c r="N2910" s="10" t="str">
        <f t="shared" si="630"/>
        <v/>
      </c>
      <c r="O2910" s="10">
        <f t="shared" si="631"/>
        <v>0</v>
      </c>
      <c r="P2910" s="10">
        <f t="shared" si="632"/>
        <v>0</v>
      </c>
      <c r="Q2910" s="10">
        <f t="shared" si="633"/>
        <v>0</v>
      </c>
    </row>
    <row r="2911" spans="9:17">
      <c r="I2911" s="147"/>
      <c r="J2911" s="147"/>
      <c r="K2911" s="47"/>
      <c r="L2911" s="47"/>
      <c r="N2911" s="10" t="str">
        <f t="shared" si="630"/>
        <v/>
      </c>
      <c r="O2911" s="10">
        <f t="shared" si="631"/>
        <v>0</v>
      </c>
      <c r="P2911" s="10">
        <f t="shared" si="632"/>
        <v>0</v>
      </c>
      <c r="Q2911" s="10">
        <f t="shared" si="633"/>
        <v>0</v>
      </c>
    </row>
    <row r="2912" spans="9:17">
      <c r="I2912" s="147"/>
      <c r="J2912" s="147"/>
      <c r="K2912" s="47"/>
      <c r="L2912" s="47"/>
      <c r="N2912" s="10" t="str">
        <f t="shared" si="630"/>
        <v/>
      </c>
      <c r="O2912" s="10">
        <f t="shared" si="631"/>
        <v>0</v>
      </c>
      <c r="P2912" s="10">
        <f t="shared" si="632"/>
        <v>0</v>
      </c>
      <c r="Q2912" s="10">
        <f t="shared" si="633"/>
        <v>0</v>
      </c>
    </row>
    <row r="2913" spans="9:17">
      <c r="I2913" s="147"/>
      <c r="J2913" s="147"/>
      <c r="K2913" s="47"/>
      <c r="L2913" s="47"/>
      <c r="N2913" s="10" t="str">
        <f t="shared" si="630"/>
        <v/>
      </c>
      <c r="O2913" s="10">
        <f t="shared" si="631"/>
        <v>0</v>
      </c>
      <c r="P2913" s="10">
        <f t="shared" si="632"/>
        <v>0</v>
      </c>
      <c r="Q2913" s="10">
        <f t="shared" si="633"/>
        <v>0</v>
      </c>
    </row>
    <row r="2914" spans="9:17">
      <c r="I2914" s="147"/>
      <c r="J2914" s="147"/>
      <c r="K2914" s="47"/>
      <c r="L2914" s="47"/>
      <c r="N2914" s="10" t="str">
        <f t="shared" si="630"/>
        <v/>
      </c>
      <c r="O2914" s="10">
        <f t="shared" si="631"/>
        <v>0</v>
      </c>
      <c r="P2914" s="10">
        <f t="shared" si="632"/>
        <v>0</v>
      </c>
      <c r="Q2914" s="10">
        <f t="shared" si="633"/>
        <v>0</v>
      </c>
    </row>
    <row r="2915" spans="9:17">
      <c r="I2915" s="147"/>
      <c r="J2915" s="147"/>
      <c r="K2915" s="47"/>
      <c r="L2915" s="47"/>
      <c r="N2915" s="10" t="str">
        <f t="shared" si="630"/>
        <v/>
      </c>
      <c r="O2915" s="10">
        <f t="shared" si="631"/>
        <v>0</v>
      </c>
      <c r="P2915" s="10">
        <f t="shared" si="632"/>
        <v>0</v>
      </c>
      <c r="Q2915" s="10">
        <f t="shared" si="633"/>
        <v>0</v>
      </c>
    </row>
    <row r="2916" spans="9:17">
      <c r="I2916" s="147"/>
      <c r="J2916" s="147"/>
      <c r="K2916" s="47"/>
      <c r="L2916" s="47"/>
      <c r="N2916" s="10" t="str">
        <f t="shared" si="630"/>
        <v/>
      </c>
      <c r="O2916" s="10">
        <f t="shared" si="631"/>
        <v>0</v>
      </c>
      <c r="P2916" s="10">
        <f t="shared" si="632"/>
        <v>0</v>
      </c>
      <c r="Q2916" s="10">
        <f t="shared" si="633"/>
        <v>0</v>
      </c>
    </row>
    <row r="2917" spans="9:17">
      <c r="I2917" s="147"/>
      <c r="J2917" s="147"/>
      <c r="K2917" s="47"/>
      <c r="L2917" s="47"/>
      <c r="N2917" s="10" t="str">
        <f t="shared" si="630"/>
        <v/>
      </c>
      <c r="O2917" s="10">
        <f t="shared" si="631"/>
        <v>0</v>
      </c>
      <c r="P2917" s="10">
        <f t="shared" si="632"/>
        <v>0</v>
      </c>
      <c r="Q2917" s="10">
        <f t="shared" si="633"/>
        <v>0</v>
      </c>
    </row>
    <row r="2918" spans="9:17">
      <c r="I2918" s="147"/>
      <c r="J2918" s="147"/>
      <c r="K2918" s="47"/>
      <c r="L2918" s="47"/>
      <c r="N2918" s="10" t="str">
        <f t="shared" si="630"/>
        <v/>
      </c>
      <c r="O2918" s="10">
        <f t="shared" si="631"/>
        <v>0</v>
      </c>
      <c r="P2918" s="10">
        <f t="shared" si="632"/>
        <v>0</v>
      </c>
      <c r="Q2918" s="10">
        <f t="shared" si="633"/>
        <v>0</v>
      </c>
    </row>
    <row r="2919" spans="9:17">
      <c r="I2919" s="147"/>
      <c r="J2919" s="147"/>
      <c r="K2919" s="47"/>
      <c r="L2919" s="47"/>
      <c r="N2919" s="10" t="str">
        <f t="shared" si="630"/>
        <v/>
      </c>
      <c r="O2919" s="10">
        <f t="shared" si="631"/>
        <v>0</v>
      </c>
      <c r="P2919" s="10">
        <f t="shared" si="632"/>
        <v>0</v>
      </c>
      <c r="Q2919" s="10">
        <f t="shared" si="633"/>
        <v>0</v>
      </c>
    </row>
    <row r="2920" spans="9:17">
      <c r="I2920" s="147"/>
      <c r="J2920" s="147"/>
      <c r="K2920" s="47"/>
      <c r="L2920" s="47"/>
      <c r="N2920" s="10" t="str">
        <f t="shared" si="630"/>
        <v/>
      </c>
      <c r="O2920" s="10">
        <f t="shared" si="631"/>
        <v>0</v>
      </c>
      <c r="P2920" s="10">
        <f t="shared" si="632"/>
        <v>0</v>
      </c>
      <c r="Q2920" s="10">
        <f t="shared" si="633"/>
        <v>0</v>
      </c>
    </row>
    <row r="2921" spans="9:17">
      <c r="I2921" s="147"/>
      <c r="J2921" s="147"/>
      <c r="K2921" s="47"/>
      <c r="L2921" s="47"/>
      <c r="N2921" s="10" t="str">
        <f t="shared" si="630"/>
        <v/>
      </c>
      <c r="O2921" s="10">
        <f t="shared" si="631"/>
        <v>0</v>
      </c>
      <c r="P2921" s="10">
        <f t="shared" si="632"/>
        <v>0</v>
      </c>
      <c r="Q2921" s="10">
        <f t="shared" si="633"/>
        <v>0</v>
      </c>
    </row>
    <row r="2922" spans="9:17">
      <c r="I2922" s="147"/>
      <c r="J2922" s="147"/>
      <c r="K2922" s="47"/>
      <c r="L2922" s="47"/>
      <c r="N2922" s="10" t="str">
        <f t="shared" si="630"/>
        <v/>
      </c>
      <c r="O2922" s="10">
        <f t="shared" si="631"/>
        <v>0</v>
      </c>
      <c r="P2922" s="10">
        <f t="shared" si="632"/>
        <v>0</v>
      </c>
      <c r="Q2922" s="10">
        <f t="shared" si="633"/>
        <v>0</v>
      </c>
    </row>
    <row r="2923" spans="9:17">
      <c r="I2923" s="147"/>
      <c r="J2923" s="147"/>
      <c r="K2923" s="47"/>
      <c r="L2923" s="47"/>
      <c r="N2923" s="10" t="str">
        <f t="shared" si="630"/>
        <v/>
      </c>
      <c r="O2923" s="10">
        <f t="shared" si="631"/>
        <v>0</v>
      </c>
      <c r="P2923" s="10">
        <f t="shared" si="632"/>
        <v>0</v>
      </c>
      <c r="Q2923" s="10">
        <f t="shared" si="633"/>
        <v>0</v>
      </c>
    </row>
    <row r="2924" spans="9:17">
      <c r="I2924" s="147"/>
      <c r="J2924" s="147"/>
      <c r="K2924" s="47"/>
      <c r="L2924" s="47"/>
      <c r="N2924" s="10" t="str">
        <f t="shared" si="630"/>
        <v/>
      </c>
      <c r="O2924" s="10">
        <f t="shared" si="631"/>
        <v>0</v>
      </c>
      <c r="P2924" s="10">
        <f t="shared" si="632"/>
        <v>0</v>
      </c>
      <c r="Q2924" s="10">
        <f t="shared" si="633"/>
        <v>0</v>
      </c>
    </row>
    <row r="2925" spans="9:17">
      <c r="I2925" s="147"/>
      <c r="J2925" s="147"/>
      <c r="K2925" s="47"/>
      <c r="L2925" s="47"/>
      <c r="N2925" s="10" t="str">
        <f t="shared" si="630"/>
        <v/>
      </c>
      <c r="O2925" s="10">
        <f t="shared" si="631"/>
        <v>0</v>
      </c>
      <c r="P2925" s="10">
        <f t="shared" si="632"/>
        <v>0</v>
      </c>
      <c r="Q2925" s="10">
        <f t="shared" si="633"/>
        <v>0</v>
      </c>
    </row>
    <row r="2926" spans="9:17">
      <c r="I2926" s="147"/>
      <c r="J2926" s="147"/>
      <c r="K2926" s="47"/>
      <c r="L2926" s="47"/>
      <c r="N2926" s="10" t="str">
        <f t="shared" si="630"/>
        <v/>
      </c>
      <c r="O2926" s="10">
        <f t="shared" si="631"/>
        <v>0</v>
      </c>
      <c r="P2926" s="10">
        <f t="shared" si="632"/>
        <v>0</v>
      </c>
      <c r="Q2926" s="10">
        <f t="shared" si="633"/>
        <v>0</v>
      </c>
    </row>
    <row r="2927" spans="9:17">
      <c r="I2927" s="147"/>
      <c r="J2927" s="147"/>
      <c r="K2927" s="47"/>
      <c r="L2927" s="47"/>
      <c r="N2927" s="10" t="str">
        <f t="shared" si="630"/>
        <v/>
      </c>
      <c r="O2927" s="10">
        <f t="shared" si="631"/>
        <v>0</v>
      </c>
      <c r="P2927" s="10">
        <f t="shared" si="632"/>
        <v>0</v>
      </c>
      <c r="Q2927" s="10">
        <f t="shared" si="633"/>
        <v>0</v>
      </c>
    </row>
    <row r="2928" spans="9:17">
      <c r="I2928" s="147"/>
      <c r="J2928" s="147"/>
      <c r="K2928" s="47"/>
      <c r="L2928" s="47"/>
      <c r="N2928" s="10" t="str">
        <f t="shared" si="630"/>
        <v/>
      </c>
      <c r="O2928" s="10">
        <f t="shared" si="631"/>
        <v>0</v>
      </c>
      <c r="P2928" s="10">
        <f t="shared" si="632"/>
        <v>0</v>
      </c>
      <c r="Q2928" s="10">
        <f t="shared" si="633"/>
        <v>0</v>
      </c>
    </row>
    <row r="2929" spans="9:17">
      <c r="I2929" s="147"/>
      <c r="J2929" s="147"/>
      <c r="K2929" s="47"/>
      <c r="L2929" s="47"/>
      <c r="N2929" s="10" t="str">
        <f t="shared" si="630"/>
        <v/>
      </c>
      <c r="O2929" s="10">
        <f t="shared" si="631"/>
        <v>0</v>
      </c>
      <c r="P2929" s="10">
        <f t="shared" si="632"/>
        <v>0</v>
      </c>
      <c r="Q2929" s="10">
        <f t="shared" si="633"/>
        <v>0</v>
      </c>
    </row>
    <row r="2930" spans="9:17">
      <c r="I2930" s="147"/>
      <c r="J2930" s="147"/>
      <c r="K2930" s="47"/>
      <c r="L2930" s="47"/>
      <c r="N2930" s="10" t="str">
        <f t="shared" si="630"/>
        <v/>
      </c>
      <c r="O2930" s="10">
        <f t="shared" si="631"/>
        <v>0</v>
      </c>
      <c r="P2930" s="10">
        <f t="shared" si="632"/>
        <v>0</v>
      </c>
      <c r="Q2930" s="10">
        <f t="shared" si="633"/>
        <v>0</v>
      </c>
    </row>
    <row r="2931" spans="9:17">
      <c r="I2931" s="147"/>
      <c r="J2931" s="147"/>
      <c r="K2931" s="47"/>
      <c r="L2931" s="47"/>
      <c r="N2931" s="10" t="str">
        <f t="shared" si="630"/>
        <v/>
      </c>
      <c r="O2931" s="10">
        <f t="shared" si="631"/>
        <v>0</v>
      </c>
      <c r="P2931" s="10">
        <f t="shared" si="632"/>
        <v>0</v>
      </c>
      <c r="Q2931" s="10">
        <f t="shared" si="633"/>
        <v>0</v>
      </c>
    </row>
    <row r="2932" spans="9:17">
      <c r="I2932" s="147"/>
      <c r="J2932" s="147"/>
      <c r="K2932" s="47"/>
      <c r="L2932" s="47"/>
      <c r="N2932" s="10" t="str">
        <f t="shared" si="630"/>
        <v/>
      </c>
      <c r="O2932" s="10">
        <f t="shared" si="631"/>
        <v>0</v>
      </c>
      <c r="P2932" s="10">
        <f t="shared" si="632"/>
        <v>0</v>
      </c>
      <c r="Q2932" s="10">
        <f t="shared" si="633"/>
        <v>0</v>
      </c>
    </row>
    <row r="2933" spans="9:17">
      <c r="I2933" s="147"/>
      <c r="J2933" s="147"/>
      <c r="K2933" s="47"/>
      <c r="L2933" s="47"/>
      <c r="N2933" s="10" t="str">
        <f t="shared" si="630"/>
        <v/>
      </c>
      <c r="O2933" s="10">
        <f t="shared" si="631"/>
        <v>0</v>
      </c>
      <c r="P2933" s="10">
        <f t="shared" si="632"/>
        <v>0</v>
      </c>
      <c r="Q2933" s="10">
        <f t="shared" si="633"/>
        <v>0</v>
      </c>
    </row>
    <row r="2934" spans="9:17">
      <c r="I2934" s="147"/>
      <c r="J2934" s="147"/>
      <c r="K2934" s="47"/>
      <c r="L2934" s="47"/>
      <c r="N2934" s="10" t="str">
        <f t="shared" si="630"/>
        <v/>
      </c>
      <c r="O2934" s="10">
        <f t="shared" si="631"/>
        <v>0</v>
      </c>
      <c r="P2934" s="10">
        <f t="shared" si="632"/>
        <v>0</v>
      </c>
      <c r="Q2934" s="10">
        <f t="shared" si="633"/>
        <v>0</v>
      </c>
    </row>
    <row r="2935" spans="9:17">
      <c r="I2935" s="147"/>
      <c r="J2935" s="147"/>
      <c r="K2935" s="47"/>
      <c r="L2935" s="47"/>
      <c r="N2935" s="10" t="str">
        <f t="shared" si="630"/>
        <v/>
      </c>
      <c r="O2935" s="10">
        <f t="shared" si="631"/>
        <v>0</v>
      </c>
      <c r="P2935" s="10">
        <f t="shared" si="632"/>
        <v>0</v>
      </c>
      <c r="Q2935" s="10">
        <f t="shared" si="633"/>
        <v>0</v>
      </c>
    </row>
    <row r="2936" spans="9:17">
      <c r="I2936" s="147"/>
      <c r="J2936" s="147"/>
      <c r="K2936" s="47"/>
      <c r="L2936" s="47"/>
      <c r="N2936" s="10" t="str">
        <f t="shared" si="630"/>
        <v/>
      </c>
      <c r="O2936" s="10">
        <f t="shared" si="631"/>
        <v>0</v>
      </c>
      <c r="P2936" s="10">
        <f t="shared" si="632"/>
        <v>0</v>
      </c>
      <c r="Q2936" s="10">
        <f t="shared" si="633"/>
        <v>0</v>
      </c>
    </row>
    <row r="2937" spans="9:17">
      <c r="I2937" s="147"/>
      <c r="J2937" s="147"/>
      <c r="K2937" s="47"/>
      <c r="L2937" s="47"/>
      <c r="N2937" s="10" t="str">
        <f t="shared" si="630"/>
        <v/>
      </c>
      <c r="O2937" s="10">
        <f t="shared" si="631"/>
        <v>0</v>
      </c>
      <c r="P2937" s="10">
        <f t="shared" si="632"/>
        <v>0</v>
      </c>
      <c r="Q2937" s="10">
        <f t="shared" si="633"/>
        <v>0</v>
      </c>
    </row>
    <row r="2938" spans="9:17">
      <c r="I2938" s="147"/>
      <c r="J2938" s="147"/>
      <c r="K2938" s="47"/>
      <c r="L2938" s="47"/>
      <c r="N2938" s="10" t="str">
        <f t="shared" si="630"/>
        <v/>
      </c>
      <c r="O2938" s="10">
        <f t="shared" si="631"/>
        <v>0</v>
      </c>
      <c r="P2938" s="10">
        <f t="shared" si="632"/>
        <v>0</v>
      </c>
      <c r="Q2938" s="10">
        <f t="shared" si="633"/>
        <v>0</v>
      </c>
    </row>
    <row r="2939" spans="9:17">
      <c r="I2939" s="147"/>
      <c r="J2939" s="147"/>
      <c r="K2939" s="47"/>
      <c r="L2939" s="47"/>
      <c r="N2939" s="10" t="str">
        <f t="shared" si="630"/>
        <v/>
      </c>
      <c r="O2939" s="10">
        <f t="shared" si="631"/>
        <v>0</v>
      </c>
      <c r="P2939" s="10">
        <f t="shared" si="632"/>
        <v>0</v>
      </c>
      <c r="Q2939" s="10">
        <f t="shared" si="633"/>
        <v>0</v>
      </c>
    </row>
    <row r="2940" spans="9:17">
      <c r="I2940" s="147"/>
      <c r="J2940" s="147"/>
      <c r="K2940" s="47"/>
      <c r="L2940" s="47"/>
      <c r="N2940" s="10" t="str">
        <f t="shared" si="630"/>
        <v/>
      </c>
      <c r="O2940" s="10">
        <f t="shared" si="631"/>
        <v>0</v>
      </c>
      <c r="P2940" s="10">
        <f t="shared" si="632"/>
        <v>0</v>
      </c>
      <c r="Q2940" s="10">
        <f t="shared" si="633"/>
        <v>0</v>
      </c>
    </row>
    <row r="2941" spans="9:17">
      <c r="I2941" s="147"/>
      <c r="J2941" s="147"/>
      <c r="K2941" s="47"/>
      <c r="L2941" s="47"/>
      <c r="N2941" s="10" t="str">
        <f t="shared" si="630"/>
        <v/>
      </c>
      <c r="O2941" s="10">
        <f t="shared" si="631"/>
        <v>0</v>
      </c>
      <c r="P2941" s="10">
        <f t="shared" si="632"/>
        <v>0</v>
      </c>
      <c r="Q2941" s="10">
        <f t="shared" si="633"/>
        <v>0</v>
      </c>
    </row>
    <row r="2942" spans="9:17">
      <c r="I2942" s="147"/>
      <c r="J2942" s="147"/>
      <c r="K2942" s="47"/>
      <c r="L2942" s="47"/>
      <c r="N2942" s="10" t="str">
        <f t="shared" si="630"/>
        <v/>
      </c>
      <c r="O2942" s="10">
        <f t="shared" si="631"/>
        <v>0</v>
      </c>
      <c r="P2942" s="10">
        <f t="shared" si="632"/>
        <v>0</v>
      </c>
      <c r="Q2942" s="10">
        <f t="shared" si="633"/>
        <v>0</v>
      </c>
    </row>
    <row r="2943" spans="9:17">
      <c r="I2943" s="147"/>
      <c r="J2943" s="147"/>
      <c r="K2943" s="47"/>
      <c r="L2943" s="47"/>
      <c r="N2943" s="10" t="str">
        <f t="shared" si="630"/>
        <v/>
      </c>
      <c r="O2943" s="10">
        <f t="shared" si="631"/>
        <v>0</v>
      </c>
      <c r="P2943" s="10">
        <f t="shared" si="632"/>
        <v>0</v>
      </c>
      <c r="Q2943" s="10">
        <f t="shared" si="633"/>
        <v>0</v>
      </c>
    </row>
    <row r="2944" spans="9:17">
      <c r="I2944" s="147"/>
      <c r="J2944" s="147"/>
      <c r="K2944" s="47"/>
      <c r="L2944" s="47"/>
      <c r="N2944" s="10" t="str">
        <f t="shared" si="630"/>
        <v/>
      </c>
      <c r="O2944" s="10">
        <f t="shared" si="631"/>
        <v>0</v>
      </c>
      <c r="P2944" s="10">
        <f t="shared" si="632"/>
        <v>0</v>
      </c>
      <c r="Q2944" s="10">
        <f t="shared" si="633"/>
        <v>0</v>
      </c>
    </row>
    <row r="2945" spans="9:17">
      <c r="I2945" s="147"/>
      <c r="J2945" s="147"/>
      <c r="K2945" s="47"/>
      <c r="L2945" s="47"/>
      <c r="N2945" s="10" t="str">
        <f t="shared" si="630"/>
        <v/>
      </c>
      <c r="O2945" s="10">
        <f t="shared" si="631"/>
        <v>0</v>
      </c>
      <c r="P2945" s="10">
        <f t="shared" si="632"/>
        <v>0</v>
      </c>
      <c r="Q2945" s="10">
        <f t="shared" si="633"/>
        <v>0</v>
      </c>
    </row>
    <row r="2946" spans="9:17">
      <c r="I2946" s="147"/>
      <c r="J2946" s="147"/>
      <c r="K2946" s="47"/>
      <c r="L2946" s="47"/>
      <c r="N2946" s="10" t="str">
        <f t="shared" si="630"/>
        <v/>
      </c>
      <c r="O2946" s="10">
        <f t="shared" si="631"/>
        <v>0</v>
      </c>
      <c r="P2946" s="10">
        <f t="shared" si="632"/>
        <v>0</v>
      </c>
      <c r="Q2946" s="10">
        <f t="shared" si="633"/>
        <v>0</v>
      </c>
    </row>
    <row r="2947" spans="9:17">
      <c r="I2947" s="147"/>
      <c r="J2947" s="147"/>
      <c r="K2947" s="47"/>
      <c r="L2947" s="47"/>
      <c r="N2947" s="10" t="str">
        <f t="shared" si="630"/>
        <v/>
      </c>
      <c r="O2947" s="10">
        <f t="shared" si="631"/>
        <v>0</v>
      </c>
      <c r="P2947" s="10">
        <f t="shared" si="632"/>
        <v>0</v>
      </c>
      <c r="Q2947" s="10">
        <f t="shared" si="633"/>
        <v>0</v>
      </c>
    </row>
    <row r="2948" spans="9:17">
      <c r="I2948" s="147"/>
      <c r="J2948" s="147"/>
      <c r="K2948" s="47"/>
      <c r="L2948" s="47"/>
      <c r="N2948" s="10" t="str">
        <f t="shared" si="630"/>
        <v/>
      </c>
      <c r="O2948" s="10">
        <f t="shared" si="631"/>
        <v>0</v>
      </c>
      <c r="P2948" s="10">
        <f t="shared" si="632"/>
        <v>0</v>
      </c>
      <c r="Q2948" s="10">
        <f t="shared" si="633"/>
        <v>0</v>
      </c>
    </row>
    <row r="2949" spans="9:17">
      <c r="I2949" s="147"/>
      <c r="J2949" s="147"/>
      <c r="K2949" s="47"/>
      <c r="L2949" s="47"/>
      <c r="N2949" s="10" t="str">
        <f t="shared" si="630"/>
        <v/>
      </c>
      <c r="O2949" s="10">
        <f t="shared" si="631"/>
        <v>0</v>
      </c>
      <c r="P2949" s="10">
        <f t="shared" si="632"/>
        <v>0</v>
      </c>
      <c r="Q2949" s="10">
        <f t="shared" si="633"/>
        <v>0</v>
      </c>
    </row>
    <row r="2950" spans="9:17">
      <c r="I2950" s="147"/>
      <c r="J2950" s="147"/>
      <c r="K2950" s="47"/>
      <c r="L2950" s="47"/>
      <c r="N2950" s="10" t="str">
        <f t="shared" si="630"/>
        <v/>
      </c>
      <c r="O2950" s="10">
        <f t="shared" si="631"/>
        <v>0</v>
      </c>
      <c r="P2950" s="10">
        <f t="shared" si="632"/>
        <v>0</v>
      </c>
      <c r="Q2950" s="10">
        <f t="shared" si="633"/>
        <v>0</v>
      </c>
    </row>
    <row r="2951" spans="9:17">
      <c r="I2951" s="147"/>
      <c r="J2951" s="147"/>
      <c r="K2951" s="47"/>
      <c r="L2951" s="47"/>
      <c r="N2951" s="10" t="str">
        <f t="shared" si="630"/>
        <v/>
      </c>
      <c r="O2951" s="10">
        <f t="shared" si="631"/>
        <v>0</v>
      </c>
      <c r="P2951" s="10">
        <f t="shared" si="632"/>
        <v>0</v>
      </c>
      <c r="Q2951" s="10">
        <f t="shared" si="633"/>
        <v>0</v>
      </c>
    </row>
    <row r="2952" spans="9:17">
      <c r="I2952" s="147"/>
      <c r="J2952" s="147"/>
      <c r="K2952" s="47"/>
      <c r="L2952" s="47"/>
      <c r="N2952" s="10" t="str">
        <f t="shared" si="630"/>
        <v/>
      </c>
      <c r="O2952" s="10">
        <f t="shared" si="631"/>
        <v>0</v>
      </c>
      <c r="P2952" s="10">
        <f t="shared" si="632"/>
        <v>0</v>
      </c>
      <c r="Q2952" s="10">
        <f t="shared" si="633"/>
        <v>0</v>
      </c>
    </row>
    <row r="2953" spans="9:17">
      <c r="I2953" s="147"/>
      <c r="J2953" s="147"/>
      <c r="K2953" s="47"/>
      <c r="L2953" s="47"/>
      <c r="N2953" s="10" t="str">
        <f t="shared" si="630"/>
        <v/>
      </c>
      <c r="O2953" s="10">
        <f t="shared" si="631"/>
        <v>0</v>
      </c>
      <c r="P2953" s="10">
        <f t="shared" si="632"/>
        <v>0</v>
      </c>
      <c r="Q2953" s="10">
        <f t="shared" si="633"/>
        <v>0</v>
      </c>
    </row>
    <row r="2954" spans="9:17">
      <c r="I2954" s="147"/>
      <c r="J2954" s="147"/>
      <c r="K2954" s="47"/>
      <c r="L2954" s="47"/>
      <c r="N2954" s="10" t="str">
        <f t="shared" si="630"/>
        <v/>
      </c>
      <c r="O2954" s="10">
        <f t="shared" si="631"/>
        <v>0</v>
      </c>
      <c r="P2954" s="10">
        <f t="shared" si="632"/>
        <v>0</v>
      </c>
      <c r="Q2954" s="10">
        <f t="shared" si="633"/>
        <v>0</v>
      </c>
    </row>
    <row r="2955" spans="9:17">
      <c r="I2955" s="147"/>
      <c r="J2955" s="147"/>
      <c r="K2955" s="47"/>
      <c r="L2955" s="47"/>
      <c r="N2955" s="10" t="str">
        <f t="shared" si="630"/>
        <v/>
      </c>
      <c r="O2955" s="10">
        <f t="shared" si="631"/>
        <v>0</v>
      </c>
      <c r="P2955" s="10">
        <f t="shared" si="632"/>
        <v>0</v>
      </c>
      <c r="Q2955" s="10">
        <f t="shared" si="633"/>
        <v>0</v>
      </c>
    </row>
    <row r="2956" spans="9:17">
      <c r="I2956" s="147"/>
      <c r="J2956" s="147"/>
      <c r="K2956" s="47"/>
      <c r="L2956" s="47"/>
      <c r="N2956" s="10" t="str">
        <f t="shared" si="630"/>
        <v/>
      </c>
      <c r="O2956" s="10">
        <f t="shared" si="631"/>
        <v>0</v>
      </c>
      <c r="P2956" s="10">
        <f t="shared" si="632"/>
        <v>0</v>
      </c>
      <c r="Q2956" s="10">
        <f t="shared" si="633"/>
        <v>0</v>
      </c>
    </row>
    <row r="2957" spans="9:17">
      <c r="I2957" s="147"/>
      <c r="J2957" s="147"/>
      <c r="K2957" s="47"/>
      <c r="L2957" s="47"/>
      <c r="N2957" s="10" t="str">
        <f t="shared" si="630"/>
        <v/>
      </c>
      <c r="O2957" s="10">
        <f t="shared" si="631"/>
        <v>0</v>
      </c>
      <c r="P2957" s="10">
        <f t="shared" si="632"/>
        <v>0</v>
      </c>
      <c r="Q2957" s="10">
        <f t="shared" si="633"/>
        <v>0</v>
      </c>
    </row>
    <row r="2958" spans="9:17">
      <c r="I2958" s="147"/>
      <c r="J2958" s="147"/>
      <c r="K2958" s="47"/>
      <c r="L2958" s="47"/>
      <c r="N2958" s="10" t="str">
        <f t="shared" si="630"/>
        <v/>
      </c>
      <c r="O2958" s="10">
        <f t="shared" si="631"/>
        <v>0</v>
      </c>
      <c r="P2958" s="10">
        <f t="shared" si="632"/>
        <v>0</v>
      </c>
      <c r="Q2958" s="10">
        <f t="shared" si="633"/>
        <v>0</v>
      </c>
    </row>
    <row r="2959" spans="9:17">
      <c r="I2959" s="147"/>
      <c r="J2959" s="147"/>
      <c r="K2959" s="47"/>
      <c r="L2959" s="47"/>
      <c r="N2959" s="10" t="str">
        <f t="shared" si="630"/>
        <v/>
      </c>
      <c r="O2959" s="10">
        <f t="shared" si="631"/>
        <v>0</v>
      </c>
      <c r="P2959" s="10">
        <f t="shared" si="632"/>
        <v>0</v>
      </c>
      <c r="Q2959" s="10">
        <f t="shared" si="633"/>
        <v>0</v>
      </c>
    </row>
    <row r="2960" spans="9:17">
      <c r="I2960" s="147"/>
      <c r="J2960" s="147"/>
      <c r="K2960" s="47"/>
      <c r="L2960" s="47"/>
      <c r="N2960" s="10" t="str">
        <f t="shared" si="630"/>
        <v/>
      </c>
      <c r="O2960" s="10">
        <f t="shared" si="631"/>
        <v>0</v>
      </c>
      <c r="P2960" s="10">
        <f t="shared" si="632"/>
        <v>0</v>
      </c>
      <c r="Q2960" s="10">
        <f t="shared" si="633"/>
        <v>0</v>
      </c>
    </row>
    <row r="2961" spans="9:17">
      <c r="I2961" s="147"/>
      <c r="J2961" s="147"/>
      <c r="K2961" s="47"/>
      <c r="L2961" s="47"/>
      <c r="N2961" s="10" t="str">
        <f t="shared" si="630"/>
        <v/>
      </c>
      <c r="O2961" s="10">
        <f t="shared" si="631"/>
        <v>0</v>
      </c>
      <c r="P2961" s="10">
        <f t="shared" si="632"/>
        <v>0</v>
      </c>
      <c r="Q2961" s="10">
        <f t="shared" si="633"/>
        <v>0</v>
      </c>
    </row>
    <row r="2962" spans="9:17">
      <c r="I2962" s="147"/>
      <c r="J2962" s="147"/>
      <c r="K2962" s="47"/>
      <c r="L2962" s="47"/>
      <c r="N2962" s="10" t="str">
        <f t="shared" ref="N2962:N3025" si="634">CONCATENATE(C2962,A2962)</f>
        <v/>
      </c>
      <c r="O2962" s="10">
        <f t="shared" ref="O2962:O3025" si="635">D2962</f>
        <v>0</v>
      </c>
      <c r="P2962" s="10">
        <f t="shared" ref="P2962:P3025" si="636">I2962</f>
        <v>0</v>
      </c>
      <c r="Q2962" s="10">
        <f t="shared" ref="Q2962:Q3025" si="637">J2962</f>
        <v>0</v>
      </c>
    </row>
    <row r="2963" spans="9:17">
      <c r="I2963" s="147"/>
      <c r="J2963" s="147"/>
      <c r="K2963" s="47"/>
      <c r="L2963" s="47"/>
      <c r="N2963" s="10" t="str">
        <f t="shared" si="634"/>
        <v/>
      </c>
      <c r="O2963" s="10">
        <f t="shared" si="635"/>
        <v>0</v>
      </c>
      <c r="P2963" s="10">
        <f t="shared" si="636"/>
        <v>0</v>
      </c>
      <c r="Q2963" s="10">
        <f t="shared" si="637"/>
        <v>0</v>
      </c>
    </row>
    <row r="2964" spans="9:17">
      <c r="I2964" s="147"/>
      <c r="J2964" s="147"/>
      <c r="K2964" s="47"/>
      <c r="L2964" s="47"/>
      <c r="N2964" s="10" t="str">
        <f t="shared" si="634"/>
        <v/>
      </c>
      <c r="O2964" s="10">
        <f t="shared" si="635"/>
        <v>0</v>
      </c>
      <c r="P2964" s="10">
        <f t="shared" si="636"/>
        <v>0</v>
      </c>
      <c r="Q2964" s="10">
        <f t="shared" si="637"/>
        <v>0</v>
      </c>
    </row>
    <row r="2965" spans="9:17">
      <c r="I2965" s="147"/>
      <c r="J2965" s="147"/>
      <c r="K2965" s="47"/>
      <c r="L2965" s="47"/>
      <c r="N2965" s="10" t="str">
        <f t="shared" si="634"/>
        <v/>
      </c>
      <c r="O2965" s="10">
        <f t="shared" si="635"/>
        <v>0</v>
      </c>
      <c r="P2965" s="10">
        <f t="shared" si="636"/>
        <v>0</v>
      </c>
      <c r="Q2965" s="10">
        <f t="shared" si="637"/>
        <v>0</v>
      </c>
    </row>
    <row r="2966" spans="9:17">
      <c r="I2966" s="147"/>
      <c r="J2966" s="147"/>
      <c r="K2966" s="47"/>
      <c r="L2966" s="47"/>
      <c r="N2966" s="10" t="str">
        <f t="shared" si="634"/>
        <v/>
      </c>
      <c r="O2966" s="10">
        <f t="shared" si="635"/>
        <v>0</v>
      </c>
      <c r="P2966" s="10">
        <f t="shared" si="636"/>
        <v>0</v>
      </c>
      <c r="Q2966" s="10">
        <f t="shared" si="637"/>
        <v>0</v>
      </c>
    </row>
    <row r="2967" spans="9:17">
      <c r="I2967" s="147"/>
      <c r="J2967" s="147"/>
      <c r="K2967" s="47"/>
      <c r="L2967" s="47"/>
      <c r="N2967" s="10" t="str">
        <f t="shared" si="634"/>
        <v/>
      </c>
      <c r="O2967" s="10">
        <f t="shared" si="635"/>
        <v>0</v>
      </c>
      <c r="P2967" s="10">
        <f t="shared" si="636"/>
        <v>0</v>
      </c>
      <c r="Q2967" s="10">
        <f t="shared" si="637"/>
        <v>0</v>
      </c>
    </row>
    <row r="2968" spans="9:17">
      <c r="I2968" s="147"/>
      <c r="J2968" s="147"/>
      <c r="K2968" s="47"/>
      <c r="L2968" s="47"/>
      <c r="N2968" s="10" t="str">
        <f t="shared" si="634"/>
        <v/>
      </c>
      <c r="O2968" s="10">
        <f t="shared" si="635"/>
        <v>0</v>
      </c>
      <c r="P2968" s="10">
        <f t="shared" si="636"/>
        <v>0</v>
      </c>
      <c r="Q2968" s="10">
        <f t="shared" si="637"/>
        <v>0</v>
      </c>
    </row>
    <row r="2969" spans="9:17">
      <c r="I2969" s="147"/>
      <c r="J2969" s="147"/>
      <c r="K2969" s="47"/>
      <c r="L2969" s="47"/>
      <c r="N2969" s="10" t="str">
        <f t="shared" si="634"/>
        <v/>
      </c>
      <c r="O2969" s="10">
        <f t="shared" si="635"/>
        <v>0</v>
      </c>
      <c r="P2969" s="10">
        <f t="shared" si="636"/>
        <v>0</v>
      </c>
      <c r="Q2969" s="10">
        <f t="shared" si="637"/>
        <v>0</v>
      </c>
    </row>
    <row r="2970" spans="9:17">
      <c r="I2970" s="147"/>
      <c r="J2970" s="147"/>
      <c r="K2970" s="47"/>
      <c r="L2970" s="47"/>
      <c r="N2970" s="10" t="str">
        <f t="shared" si="634"/>
        <v/>
      </c>
      <c r="O2970" s="10">
        <f t="shared" si="635"/>
        <v>0</v>
      </c>
      <c r="P2970" s="10">
        <f t="shared" si="636"/>
        <v>0</v>
      </c>
      <c r="Q2970" s="10">
        <f t="shared" si="637"/>
        <v>0</v>
      </c>
    </row>
    <row r="2971" spans="9:17">
      <c r="I2971" s="147"/>
      <c r="J2971" s="147"/>
      <c r="K2971" s="47"/>
      <c r="L2971" s="47"/>
      <c r="N2971" s="10" t="str">
        <f t="shared" si="634"/>
        <v/>
      </c>
      <c r="O2971" s="10">
        <f t="shared" si="635"/>
        <v>0</v>
      </c>
      <c r="P2971" s="10">
        <f t="shared" si="636"/>
        <v>0</v>
      </c>
      <c r="Q2971" s="10">
        <f t="shared" si="637"/>
        <v>0</v>
      </c>
    </row>
    <row r="2972" spans="9:17">
      <c r="I2972" s="147"/>
      <c r="J2972" s="147"/>
      <c r="K2972" s="47"/>
      <c r="L2972" s="47"/>
      <c r="N2972" s="10" t="str">
        <f t="shared" si="634"/>
        <v/>
      </c>
      <c r="O2972" s="10">
        <f t="shared" si="635"/>
        <v>0</v>
      </c>
      <c r="P2972" s="10">
        <f t="shared" si="636"/>
        <v>0</v>
      </c>
      <c r="Q2972" s="10">
        <f t="shared" si="637"/>
        <v>0</v>
      </c>
    </row>
    <row r="2973" spans="9:17">
      <c r="I2973" s="147"/>
      <c r="J2973" s="147"/>
      <c r="K2973" s="47"/>
      <c r="L2973" s="47"/>
      <c r="N2973" s="10" t="str">
        <f t="shared" si="634"/>
        <v/>
      </c>
      <c r="O2973" s="10">
        <f t="shared" si="635"/>
        <v>0</v>
      </c>
      <c r="P2973" s="10">
        <f t="shared" si="636"/>
        <v>0</v>
      </c>
      <c r="Q2973" s="10">
        <f t="shared" si="637"/>
        <v>0</v>
      </c>
    </row>
    <row r="2974" spans="9:17">
      <c r="I2974" s="147"/>
      <c r="J2974" s="147"/>
      <c r="K2974" s="47"/>
      <c r="L2974" s="47"/>
      <c r="N2974" s="10" t="str">
        <f t="shared" si="634"/>
        <v/>
      </c>
      <c r="O2974" s="10">
        <f t="shared" si="635"/>
        <v>0</v>
      </c>
      <c r="P2974" s="10">
        <f t="shared" si="636"/>
        <v>0</v>
      </c>
      <c r="Q2974" s="10">
        <f t="shared" si="637"/>
        <v>0</v>
      </c>
    </row>
    <row r="2975" spans="9:17">
      <c r="I2975" s="147"/>
      <c r="J2975" s="147"/>
      <c r="K2975" s="47"/>
      <c r="L2975" s="47"/>
      <c r="N2975" s="10" t="str">
        <f t="shared" si="634"/>
        <v/>
      </c>
      <c r="O2975" s="10">
        <f t="shared" si="635"/>
        <v>0</v>
      </c>
      <c r="P2975" s="10">
        <f t="shared" si="636"/>
        <v>0</v>
      </c>
      <c r="Q2975" s="10">
        <f t="shared" si="637"/>
        <v>0</v>
      </c>
    </row>
    <row r="2976" spans="9:17">
      <c r="I2976" s="147"/>
      <c r="J2976" s="147"/>
      <c r="K2976" s="47"/>
      <c r="L2976" s="47"/>
      <c r="N2976" s="10" t="str">
        <f t="shared" si="634"/>
        <v/>
      </c>
      <c r="O2976" s="10">
        <f t="shared" si="635"/>
        <v>0</v>
      </c>
      <c r="P2976" s="10">
        <f t="shared" si="636"/>
        <v>0</v>
      </c>
      <c r="Q2976" s="10">
        <f t="shared" si="637"/>
        <v>0</v>
      </c>
    </row>
    <row r="2977" spans="9:17">
      <c r="I2977" s="147"/>
      <c r="J2977" s="147"/>
      <c r="K2977" s="47"/>
      <c r="L2977" s="47"/>
      <c r="N2977" s="10" t="str">
        <f t="shared" si="634"/>
        <v/>
      </c>
      <c r="O2977" s="10">
        <f t="shared" si="635"/>
        <v>0</v>
      </c>
      <c r="P2977" s="10">
        <f t="shared" si="636"/>
        <v>0</v>
      </c>
      <c r="Q2977" s="10">
        <f t="shared" si="637"/>
        <v>0</v>
      </c>
    </row>
    <row r="2978" spans="9:17">
      <c r="I2978" s="147"/>
      <c r="J2978" s="147"/>
      <c r="K2978" s="47"/>
      <c r="L2978" s="47"/>
      <c r="N2978" s="10" t="str">
        <f t="shared" si="634"/>
        <v/>
      </c>
      <c r="O2978" s="10">
        <f t="shared" si="635"/>
        <v>0</v>
      </c>
      <c r="P2978" s="10">
        <f t="shared" si="636"/>
        <v>0</v>
      </c>
      <c r="Q2978" s="10">
        <f t="shared" si="637"/>
        <v>0</v>
      </c>
    </row>
    <row r="2979" spans="9:17">
      <c r="I2979" s="147"/>
      <c r="J2979" s="147"/>
      <c r="K2979" s="47"/>
      <c r="L2979" s="47"/>
      <c r="N2979" s="10" t="str">
        <f t="shared" si="634"/>
        <v/>
      </c>
      <c r="O2979" s="10">
        <f t="shared" si="635"/>
        <v>0</v>
      </c>
      <c r="P2979" s="10">
        <f t="shared" si="636"/>
        <v>0</v>
      </c>
      <c r="Q2979" s="10">
        <f t="shared" si="637"/>
        <v>0</v>
      </c>
    </row>
    <row r="2980" spans="9:17">
      <c r="I2980" s="147"/>
      <c r="J2980" s="147"/>
      <c r="K2980" s="47"/>
      <c r="L2980" s="47"/>
      <c r="N2980" s="10" t="str">
        <f t="shared" si="634"/>
        <v/>
      </c>
      <c r="O2980" s="10">
        <f t="shared" si="635"/>
        <v>0</v>
      </c>
      <c r="P2980" s="10">
        <f t="shared" si="636"/>
        <v>0</v>
      </c>
      <c r="Q2980" s="10">
        <f t="shared" si="637"/>
        <v>0</v>
      </c>
    </row>
    <row r="2981" spans="9:17">
      <c r="I2981" s="147"/>
      <c r="J2981" s="147"/>
      <c r="K2981" s="47"/>
      <c r="L2981" s="47"/>
      <c r="N2981" s="10" t="str">
        <f t="shared" si="634"/>
        <v/>
      </c>
      <c r="O2981" s="10">
        <f t="shared" si="635"/>
        <v>0</v>
      </c>
      <c r="P2981" s="10">
        <f t="shared" si="636"/>
        <v>0</v>
      </c>
      <c r="Q2981" s="10">
        <f t="shared" si="637"/>
        <v>0</v>
      </c>
    </row>
    <row r="2982" spans="9:17">
      <c r="I2982" s="147"/>
      <c r="J2982" s="147"/>
      <c r="K2982" s="47"/>
      <c r="L2982" s="47"/>
      <c r="N2982" s="10" t="str">
        <f t="shared" si="634"/>
        <v/>
      </c>
      <c r="O2982" s="10">
        <f t="shared" si="635"/>
        <v>0</v>
      </c>
      <c r="P2982" s="10">
        <f t="shared" si="636"/>
        <v>0</v>
      </c>
      <c r="Q2982" s="10">
        <f t="shared" si="637"/>
        <v>0</v>
      </c>
    </row>
    <row r="2983" spans="9:17">
      <c r="I2983" s="147"/>
      <c r="J2983" s="147"/>
      <c r="K2983" s="47"/>
      <c r="L2983" s="47"/>
      <c r="N2983" s="10" t="str">
        <f t="shared" si="634"/>
        <v/>
      </c>
      <c r="O2983" s="10">
        <f t="shared" si="635"/>
        <v>0</v>
      </c>
      <c r="P2983" s="10">
        <f t="shared" si="636"/>
        <v>0</v>
      </c>
      <c r="Q2983" s="10">
        <f t="shared" si="637"/>
        <v>0</v>
      </c>
    </row>
    <row r="2984" spans="9:17">
      <c r="I2984" s="147"/>
      <c r="J2984" s="147"/>
      <c r="K2984" s="47"/>
      <c r="L2984" s="47"/>
      <c r="N2984" s="10" t="str">
        <f t="shared" si="634"/>
        <v/>
      </c>
      <c r="O2984" s="10">
        <f t="shared" si="635"/>
        <v>0</v>
      </c>
      <c r="P2984" s="10">
        <f t="shared" si="636"/>
        <v>0</v>
      </c>
      <c r="Q2984" s="10">
        <f t="shared" si="637"/>
        <v>0</v>
      </c>
    </row>
    <row r="2985" spans="9:17">
      <c r="I2985" s="147"/>
      <c r="J2985" s="147"/>
      <c r="K2985" s="47"/>
      <c r="L2985" s="47"/>
      <c r="N2985" s="10" t="str">
        <f t="shared" si="634"/>
        <v/>
      </c>
      <c r="O2985" s="10">
        <f t="shared" si="635"/>
        <v>0</v>
      </c>
      <c r="P2985" s="10">
        <f t="shared" si="636"/>
        <v>0</v>
      </c>
      <c r="Q2985" s="10">
        <f t="shared" si="637"/>
        <v>0</v>
      </c>
    </row>
    <row r="2986" spans="9:17">
      <c r="I2986" s="147"/>
      <c r="J2986" s="147"/>
      <c r="K2986" s="47"/>
      <c r="L2986" s="47"/>
      <c r="N2986" s="10" t="str">
        <f t="shared" si="634"/>
        <v/>
      </c>
      <c r="O2986" s="10">
        <f t="shared" si="635"/>
        <v>0</v>
      </c>
      <c r="P2986" s="10">
        <f t="shared" si="636"/>
        <v>0</v>
      </c>
      <c r="Q2986" s="10">
        <f t="shared" si="637"/>
        <v>0</v>
      </c>
    </row>
    <row r="2987" spans="9:17">
      <c r="I2987" s="147"/>
      <c r="J2987" s="147"/>
      <c r="K2987" s="47"/>
      <c r="L2987" s="47"/>
      <c r="N2987" s="10" t="str">
        <f t="shared" si="634"/>
        <v/>
      </c>
      <c r="O2987" s="10">
        <f t="shared" si="635"/>
        <v>0</v>
      </c>
      <c r="P2987" s="10">
        <f t="shared" si="636"/>
        <v>0</v>
      </c>
      <c r="Q2987" s="10">
        <f t="shared" si="637"/>
        <v>0</v>
      </c>
    </row>
    <row r="2988" spans="9:17">
      <c r="I2988" s="147"/>
      <c r="J2988" s="147"/>
      <c r="K2988" s="47"/>
      <c r="L2988" s="47"/>
      <c r="N2988" s="10" t="str">
        <f t="shared" si="634"/>
        <v/>
      </c>
      <c r="O2988" s="10">
        <f t="shared" si="635"/>
        <v>0</v>
      </c>
      <c r="P2988" s="10">
        <f t="shared" si="636"/>
        <v>0</v>
      </c>
      <c r="Q2988" s="10">
        <f t="shared" si="637"/>
        <v>0</v>
      </c>
    </row>
    <row r="2989" spans="9:17">
      <c r="I2989" s="147"/>
      <c r="J2989" s="147"/>
      <c r="K2989" s="47"/>
      <c r="L2989" s="47"/>
      <c r="N2989" s="10" t="str">
        <f t="shared" si="634"/>
        <v/>
      </c>
      <c r="O2989" s="10">
        <f t="shared" si="635"/>
        <v>0</v>
      </c>
      <c r="P2989" s="10">
        <f t="shared" si="636"/>
        <v>0</v>
      </c>
      <c r="Q2989" s="10">
        <f t="shared" si="637"/>
        <v>0</v>
      </c>
    </row>
    <row r="2990" spans="9:17">
      <c r="I2990" s="147"/>
      <c r="J2990" s="147"/>
      <c r="K2990" s="47"/>
      <c r="L2990" s="47"/>
      <c r="N2990" s="10" t="str">
        <f t="shared" si="634"/>
        <v/>
      </c>
      <c r="O2990" s="10">
        <f t="shared" si="635"/>
        <v>0</v>
      </c>
      <c r="P2990" s="10">
        <f t="shared" si="636"/>
        <v>0</v>
      </c>
      <c r="Q2990" s="10">
        <f t="shared" si="637"/>
        <v>0</v>
      </c>
    </row>
    <row r="2991" spans="9:17">
      <c r="I2991" s="147"/>
      <c r="J2991" s="147"/>
      <c r="K2991" s="47"/>
      <c r="L2991" s="47"/>
      <c r="N2991" s="10" t="str">
        <f t="shared" si="634"/>
        <v/>
      </c>
      <c r="O2991" s="10">
        <f t="shared" si="635"/>
        <v>0</v>
      </c>
      <c r="P2991" s="10">
        <f t="shared" si="636"/>
        <v>0</v>
      </c>
      <c r="Q2991" s="10">
        <f t="shared" si="637"/>
        <v>0</v>
      </c>
    </row>
    <row r="2992" spans="9:17">
      <c r="I2992" s="147"/>
      <c r="J2992" s="147"/>
      <c r="K2992" s="47"/>
      <c r="L2992" s="47"/>
      <c r="N2992" s="10" t="str">
        <f t="shared" si="634"/>
        <v/>
      </c>
      <c r="O2992" s="10">
        <f t="shared" si="635"/>
        <v>0</v>
      </c>
      <c r="P2992" s="10">
        <f t="shared" si="636"/>
        <v>0</v>
      </c>
      <c r="Q2992" s="10">
        <f t="shared" si="637"/>
        <v>0</v>
      </c>
    </row>
    <row r="2993" spans="1:17">
      <c r="I2993" s="147"/>
      <c r="J2993" s="147"/>
      <c r="K2993" s="47"/>
      <c r="L2993" s="47"/>
      <c r="N2993" s="10" t="str">
        <f t="shared" si="634"/>
        <v/>
      </c>
      <c r="O2993" s="10">
        <f t="shared" si="635"/>
        <v>0</v>
      </c>
      <c r="P2993" s="10">
        <f t="shared" si="636"/>
        <v>0</v>
      </c>
      <c r="Q2993" s="10">
        <f t="shared" si="637"/>
        <v>0</v>
      </c>
    </row>
    <row r="2994" spans="1:17">
      <c r="I2994" s="147"/>
      <c r="J2994" s="147"/>
      <c r="K2994" s="47"/>
      <c r="L2994" s="47"/>
      <c r="N2994" s="10" t="str">
        <f t="shared" si="634"/>
        <v/>
      </c>
      <c r="O2994" s="10">
        <f t="shared" si="635"/>
        <v>0</v>
      </c>
      <c r="P2994" s="10">
        <f t="shared" si="636"/>
        <v>0</v>
      </c>
      <c r="Q2994" s="10">
        <f t="shared" si="637"/>
        <v>0</v>
      </c>
    </row>
    <row r="2995" spans="1:17">
      <c r="I2995" s="147"/>
      <c r="J2995" s="147"/>
      <c r="K2995" s="47"/>
      <c r="L2995" s="47"/>
      <c r="N2995" s="10" t="str">
        <f t="shared" si="634"/>
        <v/>
      </c>
      <c r="O2995" s="10">
        <f t="shared" si="635"/>
        <v>0</v>
      </c>
      <c r="P2995" s="10">
        <f t="shared" si="636"/>
        <v>0</v>
      </c>
      <c r="Q2995" s="10">
        <f t="shared" si="637"/>
        <v>0</v>
      </c>
    </row>
    <row r="2996" spans="1:17">
      <c r="I2996" s="147"/>
      <c r="J2996" s="147"/>
      <c r="K2996" s="47"/>
      <c r="L2996" s="47"/>
      <c r="N2996" s="10" t="str">
        <f t="shared" si="634"/>
        <v/>
      </c>
      <c r="O2996" s="10">
        <f t="shared" si="635"/>
        <v>0</v>
      </c>
      <c r="P2996" s="10">
        <f t="shared" si="636"/>
        <v>0</v>
      </c>
      <c r="Q2996" s="10">
        <f t="shared" si="637"/>
        <v>0</v>
      </c>
    </row>
    <row r="2997" spans="1:17">
      <c r="I2997" s="147"/>
      <c r="J2997" s="147"/>
      <c r="K2997" s="47"/>
      <c r="L2997" s="47"/>
      <c r="N2997" s="10" t="str">
        <f t="shared" si="634"/>
        <v/>
      </c>
      <c r="O2997" s="10">
        <f t="shared" si="635"/>
        <v>0</v>
      </c>
      <c r="P2997" s="10">
        <f t="shared" si="636"/>
        <v>0</v>
      </c>
      <c r="Q2997" s="10">
        <f t="shared" si="637"/>
        <v>0</v>
      </c>
    </row>
    <row r="2998" spans="1:17">
      <c r="I2998" s="147"/>
      <c r="J2998" s="147"/>
      <c r="K2998" s="47"/>
      <c r="L2998" s="47"/>
      <c r="N2998" s="10" t="str">
        <f t="shared" si="634"/>
        <v/>
      </c>
      <c r="O2998" s="10">
        <f t="shared" si="635"/>
        <v>0</v>
      </c>
      <c r="P2998" s="10">
        <f t="shared" si="636"/>
        <v>0</v>
      </c>
      <c r="Q2998" s="10">
        <f t="shared" si="637"/>
        <v>0</v>
      </c>
    </row>
    <row r="2999" spans="1:17">
      <c r="I2999" s="147"/>
      <c r="J2999" s="147"/>
      <c r="K2999" s="47"/>
      <c r="L2999" s="47"/>
      <c r="N2999" s="10" t="str">
        <f t="shared" si="634"/>
        <v/>
      </c>
      <c r="O2999" s="10">
        <f t="shared" si="635"/>
        <v>0</v>
      </c>
      <c r="P2999" s="10">
        <f t="shared" si="636"/>
        <v>0</v>
      </c>
      <c r="Q2999" s="10">
        <f t="shared" si="637"/>
        <v>0</v>
      </c>
    </row>
    <row r="3000" spans="1:17">
      <c r="A3000" s="15">
        <f>B44</f>
        <v>1</v>
      </c>
      <c r="B3000" s="15"/>
      <c r="C3000" s="17" t="str">
        <f>Fixture!E5</f>
        <v>Philadelphia Union</v>
      </c>
      <c r="D3000" s="18">
        <f>IF(E3000=0,0,IF(Fixture!D5&lt;Fixture!F5,3,IF(Fixture!F5&lt;Fixture!D5,0,1)))</f>
        <v>0</v>
      </c>
      <c r="E3000" s="18">
        <f t="shared" ref="E3000:E3063" si="638">E2001</f>
        <v>1</v>
      </c>
      <c r="F3000" s="18">
        <f>IF(E3000=0,0,IF(Fixture!D5&lt;Fixture!F5,1,IF(Fixture!F5&lt;Fixture!D5,0,0)))</f>
        <v>0</v>
      </c>
      <c r="G3000" s="18">
        <f>IF(E3000=0,0,IF(Fixture!D5&lt;Fixture!F5,0,IF(Fixture!F5&lt;Fixture!D5,0,1)))</f>
        <v>0</v>
      </c>
      <c r="H3000" s="18">
        <f t="shared" ref="H3000:H3063" si="639">IF(E3000=0,0,IF(D3000&lt;&gt;0,0,1))</f>
        <v>1</v>
      </c>
      <c r="I3000" s="64">
        <f t="shared" ref="I3000:I3063" si="640">J2001</f>
        <v>0</v>
      </c>
      <c r="J3000" s="64">
        <f t="shared" ref="J3000:J3063" si="641">I2001</f>
        <v>2</v>
      </c>
      <c r="K3000" s="63">
        <f t="shared" ref="K3000:K3063" si="642">IF(E3000=0,0,IF(I3000&gt;0,0,1))</f>
        <v>1</v>
      </c>
      <c r="L3000" s="63">
        <f t="shared" ref="L3000:L3063" si="643">IF(E3000=0,0,IF(J3000&gt;0,0,1))</f>
        <v>0</v>
      </c>
      <c r="N3000" s="10" t="str">
        <f t="shared" si="634"/>
        <v>Philadelphia Union1</v>
      </c>
      <c r="O3000" s="10">
        <f t="shared" si="635"/>
        <v>0</v>
      </c>
      <c r="P3000" s="10">
        <f t="shared" si="636"/>
        <v>0</v>
      </c>
      <c r="Q3000" s="10">
        <f t="shared" si="637"/>
        <v>2</v>
      </c>
    </row>
    <row r="3001" spans="1:17">
      <c r="A3001" s="15">
        <f t="shared" ref="A3001:A3064" si="644">B45</f>
        <v>1</v>
      </c>
      <c r="B3001" s="15"/>
      <c r="C3001" s="17" t="str">
        <f>Fixture!E6</f>
        <v>Colorado</v>
      </c>
      <c r="D3001" s="18">
        <f>IF(E3001=0,0,IF(Fixture!D6&lt;Fixture!F6,3,IF(Fixture!F6&lt;Fixture!D6,0,1)))</f>
        <v>3</v>
      </c>
      <c r="E3001" s="18">
        <f t="shared" si="638"/>
        <v>1</v>
      </c>
      <c r="F3001" s="18">
        <f>IF(E3001=0,0,IF(Fixture!D6&lt;Fixture!F6,1,IF(Fixture!F6&lt;Fixture!D6,0,0)))</f>
        <v>1</v>
      </c>
      <c r="G3001" s="18">
        <f>IF(E3001=0,0,IF(Fixture!D6&lt;Fixture!F6,0,IF(Fixture!F6&lt;Fixture!D6,0,1)))</f>
        <v>0</v>
      </c>
      <c r="H3001" s="18">
        <f t="shared" si="639"/>
        <v>0</v>
      </c>
      <c r="I3001" s="64">
        <f t="shared" si="640"/>
        <v>1</v>
      </c>
      <c r="J3001" s="64">
        <f t="shared" si="641"/>
        <v>0</v>
      </c>
      <c r="K3001" s="63">
        <f t="shared" si="642"/>
        <v>0</v>
      </c>
      <c r="L3001" s="63">
        <f t="shared" si="643"/>
        <v>1</v>
      </c>
      <c r="N3001" s="10" t="str">
        <f t="shared" si="634"/>
        <v>Colorado1</v>
      </c>
      <c r="O3001" s="10">
        <f t="shared" si="635"/>
        <v>3</v>
      </c>
      <c r="P3001" s="10">
        <f t="shared" si="636"/>
        <v>1</v>
      </c>
      <c r="Q3001" s="10">
        <f t="shared" si="637"/>
        <v>0</v>
      </c>
    </row>
    <row r="3002" spans="1:17">
      <c r="A3002" s="15">
        <f t="shared" si="644"/>
        <v>1</v>
      </c>
      <c r="B3002" s="15"/>
      <c r="C3002" s="17" t="str">
        <f>Fixture!E7</f>
        <v>Houston</v>
      </c>
      <c r="D3002" s="18">
        <f>IF(E3002=0,0,IF(Fixture!D7&lt;Fixture!F7,3,IF(Fixture!F7&lt;Fixture!D7,0,1)))</f>
        <v>1</v>
      </c>
      <c r="E3002" s="18">
        <f t="shared" si="638"/>
        <v>1</v>
      </c>
      <c r="F3002" s="18">
        <f>IF(E3002=0,0,IF(Fixture!D7&lt;Fixture!F7,1,IF(Fixture!F7&lt;Fixture!D7,0,0)))</f>
        <v>0</v>
      </c>
      <c r="G3002" s="18">
        <f>IF(E3002=0,0,IF(Fixture!D7&lt;Fixture!F7,0,IF(Fixture!F7&lt;Fixture!D7,0,1)))</f>
        <v>1</v>
      </c>
      <c r="H3002" s="18">
        <f t="shared" si="639"/>
        <v>0</v>
      </c>
      <c r="I3002" s="64">
        <f t="shared" si="640"/>
        <v>1</v>
      </c>
      <c r="J3002" s="64">
        <f t="shared" si="641"/>
        <v>1</v>
      </c>
      <c r="K3002" s="63">
        <f t="shared" si="642"/>
        <v>0</v>
      </c>
      <c r="L3002" s="63">
        <f t="shared" si="643"/>
        <v>0</v>
      </c>
      <c r="N3002" s="10" t="str">
        <f t="shared" si="634"/>
        <v>Houston1</v>
      </c>
      <c r="O3002" s="10">
        <f t="shared" si="635"/>
        <v>1</v>
      </c>
      <c r="P3002" s="10">
        <f t="shared" si="636"/>
        <v>1</v>
      </c>
      <c r="Q3002" s="10">
        <f t="shared" si="637"/>
        <v>1</v>
      </c>
    </row>
    <row r="3003" spans="1:17">
      <c r="A3003" s="15">
        <f t="shared" si="644"/>
        <v>1</v>
      </c>
      <c r="B3003" s="15"/>
      <c r="C3003" s="17" t="str">
        <f>Fixture!E8</f>
        <v>Toronto FC</v>
      </c>
      <c r="D3003" s="18">
        <f>IF(E3003=0,0,IF(Fixture!D8&lt;Fixture!F8,3,IF(Fixture!F8&lt;Fixture!D8,0,1)))</f>
        <v>0</v>
      </c>
      <c r="E3003" s="18">
        <f t="shared" si="638"/>
        <v>1</v>
      </c>
      <c r="F3003" s="18">
        <f>IF(E3003=0,0,IF(Fixture!D8&lt;Fixture!F8,1,IF(Fixture!F8&lt;Fixture!D8,0,0)))</f>
        <v>0</v>
      </c>
      <c r="G3003" s="18">
        <f>IF(E3003=0,0,IF(Fixture!D8&lt;Fixture!F8,0,IF(Fixture!F8&lt;Fixture!D8,0,1)))</f>
        <v>0</v>
      </c>
      <c r="H3003" s="18">
        <f t="shared" si="639"/>
        <v>1</v>
      </c>
      <c r="I3003" s="64">
        <f t="shared" si="640"/>
        <v>0</v>
      </c>
      <c r="J3003" s="64">
        <f t="shared" si="641"/>
        <v>2</v>
      </c>
      <c r="K3003" s="63">
        <f t="shared" si="642"/>
        <v>1</v>
      </c>
      <c r="L3003" s="63">
        <f t="shared" si="643"/>
        <v>0</v>
      </c>
      <c r="N3003" s="10" t="str">
        <f t="shared" si="634"/>
        <v>Toronto FC1</v>
      </c>
      <c r="O3003" s="10">
        <f t="shared" si="635"/>
        <v>0</v>
      </c>
      <c r="P3003" s="10">
        <f t="shared" si="636"/>
        <v>0</v>
      </c>
      <c r="Q3003" s="10">
        <f t="shared" si="637"/>
        <v>2</v>
      </c>
    </row>
    <row r="3004" spans="1:17">
      <c r="A3004" s="15">
        <f t="shared" si="644"/>
        <v>1</v>
      </c>
      <c r="B3004" s="15"/>
      <c r="C3004" s="17" t="str">
        <f>Fixture!E9</f>
        <v>Chicago</v>
      </c>
      <c r="D3004" s="18">
        <f>IF(E3004=0,0,IF(Fixture!D9&lt;Fixture!F9,3,IF(Fixture!F9&lt;Fixture!D9,0,1)))</f>
        <v>0</v>
      </c>
      <c r="E3004" s="18">
        <f t="shared" si="638"/>
        <v>1</v>
      </c>
      <c r="F3004" s="18">
        <f>IF(E3004=0,0,IF(Fixture!D9&lt;Fixture!F9,1,IF(Fixture!F9&lt;Fixture!D9,0,0)))</f>
        <v>0</v>
      </c>
      <c r="G3004" s="18">
        <f>IF(E3004=0,0,IF(Fixture!D9&lt;Fixture!F9,0,IF(Fixture!F9&lt;Fixture!D9,0,1)))</f>
        <v>0</v>
      </c>
      <c r="H3004" s="18">
        <f t="shared" si="639"/>
        <v>1</v>
      </c>
      <c r="I3004" s="64">
        <f t="shared" si="640"/>
        <v>0</v>
      </c>
      <c r="J3004" s="64">
        <f t="shared" si="641"/>
        <v>1</v>
      </c>
      <c r="K3004" s="63">
        <f t="shared" si="642"/>
        <v>1</v>
      </c>
      <c r="L3004" s="63">
        <f t="shared" si="643"/>
        <v>0</v>
      </c>
      <c r="N3004" s="10" t="str">
        <f t="shared" si="634"/>
        <v>Chicago1</v>
      </c>
      <c r="O3004" s="10">
        <f t="shared" si="635"/>
        <v>0</v>
      </c>
      <c r="P3004" s="10">
        <f t="shared" si="636"/>
        <v>0</v>
      </c>
      <c r="Q3004" s="10">
        <f t="shared" si="637"/>
        <v>1</v>
      </c>
    </row>
    <row r="3005" spans="1:17">
      <c r="A3005" s="15">
        <f t="shared" si="644"/>
        <v>1</v>
      </c>
      <c r="B3005" s="15"/>
      <c r="C3005" s="17" t="str">
        <f>Fixture!E10</f>
        <v>DC United</v>
      </c>
      <c r="D3005" s="18">
        <f>IF(E3005=0,0,IF(Fixture!D10&lt;Fixture!F10,3,IF(Fixture!F10&lt;Fixture!D10,0,1)))</f>
        <v>0</v>
      </c>
      <c r="E3005" s="18">
        <f t="shared" si="638"/>
        <v>1</v>
      </c>
      <c r="F3005" s="18">
        <f>IF(E3005=0,0,IF(Fixture!D10&lt;Fixture!F10,1,IF(Fixture!F10&lt;Fixture!D10,0,0)))</f>
        <v>0</v>
      </c>
      <c r="G3005" s="18">
        <f>IF(E3005=0,0,IF(Fixture!D10&lt;Fixture!F10,0,IF(Fixture!F10&lt;Fixture!D10,0,1)))</f>
        <v>0</v>
      </c>
      <c r="H3005" s="18">
        <f t="shared" si="639"/>
        <v>1</v>
      </c>
      <c r="I3005" s="64">
        <f t="shared" si="640"/>
        <v>0</v>
      </c>
      <c r="J3005" s="64">
        <f t="shared" si="641"/>
        <v>4</v>
      </c>
      <c r="K3005" s="63">
        <f t="shared" si="642"/>
        <v>1</v>
      </c>
      <c r="L3005" s="63">
        <f t="shared" si="643"/>
        <v>0</v>
      </c>
      <c r="N3005" s="10" t="str">
        <f t="shared" si="634"/>
        <v>DC United1</v>
      </c>
      <c r="O3005" s="10">
        <f t="shared" si="635"/>
        <v>0</v>
      </c>
      <c r="P3005" s="10">
        <f t="shared" si="636"/>
        <v>0</v>
      </c>
      <c r="Q3005" s="10">
        <f t="shared" si="637"/>
        <v>4</v>
      </c>
    </row>
    <row r="3006" spans="1:17">
      <c r="A3006" s="15">
        <f t="shared" si="644"/>
        <v>1</v>
      </c>
      <c r="B3006" s="15"/>
      <c r="C3006" s="17" t="str">
        <f>Fixture!E11</f>
        <v>Real Salt Lake</v>
      </c>
      <c r="D3006" s="18">
        <f>IF(E3006=0,0,IF(Fixture!D11&lt;Fixture!F11,3,IF(Fixture!F11&lt;Fixture!D11,0,1)))</f>
        <v>3</v>
      </c>
      <c r="E3006" s="18">
        <f t="shared" si="638"/>
        <v>1</v>
      </c>
      <c r="F3006" s="18">
        <f>IF(E3006=0,0,IF(Fixture!D11&lt;Fixture!F11,1,IF(Fixture!F11&lt;Fixture!D11,0,0)))</f>
        <v>1</v>
      </c>
      <c r="G3006" s="18">
        <f>IF(E3006=0,0,IF(Fixture!D11&lt;Fixture!F11,0,IF(Fixture!F11&lt;Fixture!D11,0,1)))</f>
        <v>0</v>
      </c>
      <c r="H3006" s="18">
        <f t="shared" si="639"/>
        <v>0</v>
      </c>
      <c r="I3006" s="64">
        <f t="shared" si="640"/>
        <v>3</v>
      </c>
      <c r="J3006" s="64">
        <f t="shared" si="641"/>
        <v>0</v>
      </c>
      <c r="K3006" s="63">
        <f t="shared" si="642"/>
        <v>0</v>
      </c>
      <c r="L3006" s="63">
        <f t="shared" si="643"/>
        <v>1</v>
      </c>
      <c r="N3006" s="10" t="str">
        <f t="shared" si="634"/>
        <v>Real Salt Lake1</v>
      </c>
      <c r="O3006" s="10">
        <f t="shared" si="635"/>
        <v>3</v>
      </c>
      <c r="P3006" s="10">
        <f t="shared" si="636"/>
        <v>3</v>
      </c>
      <c r="Q3006" s="10">
        <f t="shared" si="637"/>
        <v>0</v>
      </c>
    </row>
    <row r="3007" spans="1:17">
      <c r="A3007" s="15">
        <f t="shared" si="644"/>
        <v>1</v>
      </c>
      <c r="B3007" s="15"/>
      <c r="C3007" s="17" t="str">
        <f>Fixture!E12</f>
        <v>New England</v>
      </c>
      <c r="D3007" s="18">
        <f>IF(E3007=0,0,IF(Fixture!D12&lt;Fixture!F12,3,IF(Fixture!F12&lt;Fixture!D12,0,1)))</f>
        <v>0</v>
      </c>
      <c r="E3007" s="18">
        <f t="shared" si="638"/>
        <v>1</v>
      </c>
      <c r="F3007" s="18">
        <f>IF(E3007=0,0,IF(Fixture!D12&lt;Fixture!F12,1,IF(Fixture!F12&lt;Fixture!D12,0,0)))</f>
        <v>0</v>
      </c>
      <c r="G3007" s="18">
        <f>IF(E3007=0,0,IF(Fixture!D12&lt;Fixture!F12,0,IF(Fixture!F12&lt;Fixture!D12,0,1)))</f>
        <v>0</v>
      </c>
      <c r="H3007" s="18">
        <f t="shared" si="639"/>
        <v>1</v>
      </c>
      <c r="I3007" s="64">
        <f t="shared" si="640"/>
        <v>0</v>
      </c>
      <c r="J3007" s="64">
        <f t="shared" si="641"/>
        <v>1</v>
      </c>
      <c r="K3007" s="63">
        <f t="shared" si="642"/>
        <v>1</v>
      </c>
      <c r="L3007" s="63">
        <f t="shared" si="643"/>
        <v>0</v>
      </c>
      <c r="N3007" s="10" t="str">
        <f t="shared" si="634"/>
        <v>New England1</v>
      </c>
      <c r="O3007" s="10">
        <f t="shared" si="635"/>
        <v>0</v>
      </c>
      <c r="P3007" s="10">
        <f t="shared" si="636"/>
        <v>0</v>
      </c>
      <c r="Q3007" s="10">
        <f t="shared" si="637"/>
        <v>1</v>
      </c>
    </row>
    <row r="3008" spans="1:17">
      <c r="A3008" s="15">
        <f t="shared" si="644"/>
        <v>2</v>
      </c>
      <c r="B3008" s="15"/>
      <c r="C3008" s="17" t="str">
        <f>Fixture!E13</f>
        <v>Real Salt Lake</v>
      </c>
      <c r="D3008" s="18">
        <f>IF(E3008=0,0,IF(Fixture!D13&lt;Fixture!F13,3,IF(Fixture!F13&lt;Fixture!D13,0,1)))</f>
        <v>0</v>
      </c>
      <c r="E3008" s="18">
        <f t="shared" si="638"/>
        <v>1</v>
      </c>
      <c r="F3008" s="18">
        <f>IF(E3008=0,0,IF(Fixture!D13&lt;Fixture!F13,1,IF(Fixture!F13&lt;Fixture!D13,0,0)))</f>
        <v>0</v>
      </c>
      <c r="G3008" s="18">
        <f>IF(E3008=0,0,IF(Fixture!D13&lt;Fixture!F13,0,IF(Fixture!F13&lt;Fixture!D13,0,1)))</f>
        <v>0</v>
      </c>
      <c r="H3008" s="18">
        <f t="shared" si="639"/>
        <v>1</v>
      </c>
      <c r="I3008" s="64">
        <f t="shared" si="640"/>
        <v>1</v>
      </c>
      <c r="J3008" s="64">
        <f t="shared" si="641"/>
        <v>2</v>
      </c>
      <c r="K3008" s="63">
        <f t="shared" si="642"/>
        <v>0</v>
      </c>
      <c r="L3008" s="63">
        <f t="shared" si="643"/>
        <v>0</v>
      </c>
      <c r="N3008" s="10" t="str">
        <f t="shared" si="634"/>
        <v>Real Salt Lake2</v>
      </c>
      <c r="O3008" s="10">
        <f t="shared" si="635"/>
        <v>0</v>
      </c>
      <c r="P3008" s="10">
        <f t="shared" si="636"/>
        <v>1</v>
      </c>
      <c r="Q3008" s="10">
        <f t="shared" si="637"/>
        <v>2</v>
      </c>
    </row>
    <row r="3009" spans="1:17">
      <c r="A3009" s="15">
        <f t="shared" si="644"/>
        <v>2</v>
      </c>
      <c r="B3009" s="15"/>
      <c r="C3009" s="17" t="str">
        <f>Fixture!E14</f>
        <v>Chivas USA</v>
      </c>
      <c r="D3009" s="18">
        <f>IF(E3009=0,0,IF(Fixture!D14&lt;Fixture!F14,3,IF(Fixture!F14&lt;Fixture!D14,0,1)))</f>
        <v>0</v>
      </c>
      <c r="E3009" s="18">
        <f t="shared" si="638"/>
        <v>1</v>
      </c>
      <c r="F3009" s="18">
        <f>IF(E3009=0,0,IF(Fixture!D14&lt;Fixture!F14,1,IF(Fixture!F14&lt;Fixture!D14,0,0)))</f>
        <v>0</v>
      </c>
      <c r="G3009" s="18">
        <f>IF(E3009=0,0,IF(Fixture!D14&lt;Fixture!F14,0,IF(Fixture!F14&lt;Fixture!D14,0,1)))</f>
        <v>0</v>
      </c>
      <c r="H3009" s="18">
        <f t="shared" si="639"/>
        <v>1</v>
      </c>
      <c r="I3009" s="64">
        <f t="shared" si="640"/>
        <v>0</v>
      </c>
      <c r="J3009" s="64">
        <f t="shared" si="641"/>
        <v>2</v>
      </c>
      <c r="K3009" s="63">
        <f t="shared" si="642"/>
        <v>1</v>
      </c>
      <c r="L3009" s="63">
        <f t="shared" si="643"/>
        <v>0</v>
      </c>
      <c r="N3009" s="10" t="str">
        <f t="shared" si="634"/>
        <v>Chivas USA2</v>
      </c>
      <c r="O3009" s="10">
        <f t="shared" si="635"/>
        <v>0</v>
      </c>
      <c r="P3009" s="10">
        <f t="shared" si="636"/>
        <v>0</v>
      </c>
      <c r="Q3009" s="10">
        <f t="shared" si="637"/>
        <v>2</v>
      </c>
    </row>
    <row r="3010" spans="1:17">
      <c r="A3010" s="15">
        <f t="shared" si="644"/>
        <v>2</v>
      </c>
      <c r="B3010" s="15"/>
      <c r="C3010" s="17" t="str">
        <f>Fixture!E15</f>
        <v>Chicago</v>
      </c>
      <c r="D3010" s="18">
        <f>IF(E3010=0,0,IF(Fixture!D15&lt;Fixture!F15,3,IF(Fixture!F15&lt;Fixture!D15,0,1)))</f>
        <v>1</v>
      </c>
      <c r="E3010" s="18">
        <f t="shared" si="638"/>
        <v>1</v>
      </c>
      <c r="F3010" s="18">
        <f>IF(E3010=0,0,IF(Fixture!D15&lt;Fixture!F15,1,IF(Fixture!F15&lt;Fixture!D15,0,0)))</f>
        <v>0</v>
      </c>
      <c r="G3010" s="18">
        <f>IF(E3010=0,0,IF(Fixture!D15&lt;Fixture!F15,0,IF(Fixture!F15&lt;Fixture!D15,0,1)))</f>
        <v>1</v>
      </c>
      <c r="H3010" s="18">
        <f t="shared" si="639"/>
        <v>0</v>
      </c>
      <c r="I3010" s="64">
        <f t="shared" si="640"/>
        <v>2</v>
      </c>
      <c r="J3010" s="64">
        <f t="shared" si="641"/>
        <v>2</v>
      </c>
      <c r="K3010" s="63">
        <f t="shared" si="642"/>
        <v>0</v>
      </c>
      <c r="L3010" s="63">
        <f t="shared" si="643"/>
        <v>0</v>
      </c>
      <c r="N3010" s="10" t="str">
        <f t="shared" si="634"/>
        <v>Chicago2</v>
      </c>
      <c r="O3010" s="10">
        <f t="shared" si="635"/>
        <v>1</v>
      </c>
      <c r="P3010" s="10">
        <f t="shared" si="636"/>
        <v>2</v>
      </c>
      <c r="Q3010" s="10">
        <f t="shared" si="637"/>
        <v>2</v>
      </c>
    </row>
    <row r="3011" spans="1:17">
      <c r="A3011" s="15">
        <f t="shared" si="644"/>
        <v>2</v>
      </c>
      <c r="B3011" s="15"/>
      <c r="C3011" s="17" t="str">
        <f>Fixture!E16</f>
        <v>New England</v>
      </c>
      <c r="D3011" s="18">
        <f>IF(E3011=0,0,IF(Fixture!D16&lt;Fixture!F16,3,IF(Fixture!F16&lt;Fixture!D16,0,1)))</f>
        <v>3</v>
      </c>
      <c r="E3011" s="18">
        <f t="shared" si="638"/>
        <v>1</v>
      </c>
      <c r="F3011" s="18">
        <f>IF(E3011=0,0,IF(Fixture!D16&lt;Fixture!F16,1,IF(Fixture!F16&lt;Fixture!D16,0,0)))</f>
        <v>1</v>
      </c>
      <c r="G3011" s="18">
        <f>IF(E3011=0,0,IF(Fixture!D16&lt;Fixture!F16,0,IF(Fixture!F16&lt;Fixture!D16,0,1)))</f>
        <v>0</v>
      </c>
      <c r="H3011" s="18">
        <f t="shared" si="639"/>
        <v>0</v>
      </c>
      <c r="I3011" s="64">
        <f t="shared" si="640"/>
        <v>2</v>
      </c>
      <c r="J3011" s="64">
        <f t="shared" si="641"/>
        <v>0</v>
      </c>
      <c r="K3011" s="63">
        <f t="shared" si="642"/>
        <v>0</v>
      </c>
      <c r="L3011" s="63">
        <f t="shared" si="643"/>
        <v>1</v>
      </c>
      <c r="N3011" s="10" t="str">
        <f t="shared" si="634"/>
        <v>New England2</v>
      </c>
      <c r="O3011" s="10">
        <f t="shared" si="635"/>
        <v>3</v>
      </c>
      <c r="P3011" s="10">
        <f t="shared" si="636"/>
        <v>2</v>
      </c>
      <c r="Q3011" s="10">
        <f t="shared" si="637"/>
        <v>0</v>
      </c>
    </row>
    <row r="3012" spans="1:17">
      <c r="A3012" s="15">
        <f t="shared" si="644"/>
        <v>2</v>
      </c>
      <c r="B3012" s="15"/>
      <c r="C3012" s="17" t="str">
        <f>Fixture!E17</f>
        <v>New York Red Bulls</v>
      </c>
      <c r="D3012" s="18">
        <f>IF(E3012=0,0,IF(Fixture!D17&lt;Fixture!F17,3,IF(Fixture!F17&lt;Fixture!D17,0,1)))</f>
        <v>3</v>
      </c>
      <c r="E3012" s="18">
        <f t="shared" si="638"/>
        <v>1</v>
      </c>
      <c r="F3012" s="18">
        <f>IF(E3012=0,0,IF(Fixture!D17&lt;Fixture!F17,1,IF(Fixture!F17&lt;Fixture!D17,0,0)))</f>
        <v>1</v>
      </c>
      <c r="G3012" s="18">
        <f>IF(E3012=0,0,IF(Fixture!D17&lt;Fixture!F17,0,IF(Fixture!F17&lt;Fixture!D17,0,1)))</f>
        <v>0</v>
      </c>
      <c r="H3012" s="18">
        <f t="shared" si="639"/>
        <v>0</v>
      </c>
      <c r="I3012" s="64">
        <f t="shared" si="640"/>
        <v>1</v>
      </c>
      <c r="J3012" s="64">
        <f t="shared" si="641"/>
        <v>0</v>
      </c>
      <c r="K3012" s="63">
        <f t="shared" si="642"/>
        <v>0</v>
      </c>
      <c r="L3012" s="63">
        <f t="shared" si="643"/>
        <v>1</v>
      </c>
      <c r="N3012" s="10" t="str">
        <f t="shared" si="634"/>
        <v>New York Red Bulls2</v>
      </c>
      <c r="O3012" s="10">
        <f t="shared" si="635"/>
        <v>3</v>
      </c>
      <c r="P3012" s="10">
        <f t="shared" si="636"/>
        <v>1</v>
      </c>
      <c r="Q3012" s="10">
        <f t="shared" si="637"/>
        <v>0</v>
      </c>
    </row>
    <row r="3013" spans="1:17">
      <c r="A3013" s="15">
        <f t="shared" si="644"/>
        <v>3</v>
      </c>
      <c r="B3013" s="15"/>
      <c r="C3013" s="17" t="str">
        <f>Fixture!E18</f>
        <v>New York Red Bulls</v>
      </c>
      <c r="D3013" s="18">
        <f>IF(E3013=0,0,IF(Fixture!D18&lt;Fixture!F18,3,IF(Fixture!F18&lt;Fixture!D18,0,1)))</f>
        <v>0</v>
      </c>
      <c r="E3013" s="18">
        <f t="shared" si="638"/>
        <v>1</v>
      </c>
      <c r="F3013" s="18">
        <f>IF(E3013=0,0,IF(Fixture!D18&lt;Fixture!F18,1,IF(Fixture!F18&lt;Fixture!D18,0,0)))</f>
        <v>0</v>
      </c>
      <c r="G3013" s="18">
        <f>IF(E3013=0,0,IF(Fixture!D18&lt;Fixture!F18,0,IF(Fixture!F18&lt;Fixture!D18,0,1)))</f>
        <v>0</v>
      </c>
      <c r="H3013" s="18">
        <f t="shared" si="639"/>
        <v>1</v>
      </c>
      <c r="I3013" s="64">
        <f t="shared" si="640"/>
        <v>0</v>
      </c>
      <c r="J3013" s="64">
        <f t="shared" si="641"/>
        <v>2</v>
      </c>
      <c r="K3013" s="63">
        <f t="shared" si="642"/>
        <v>1</v>
      </c>
      <c r="L3013" s="63">
        <f t="shared" si="643"/>
        <v>0</v>
      </c>
      <c r="N3013" s="10" t="str">
        <f t="shared" si="634"/>
        <v>New York Red Bulls3</v>
      </c>
      <c r="O3013" s="10">
        <f t="shared" si="635"/>
        <v>0</v>
      </c>
      <c r="P3013" s="10">
        <f t="shared" si="636"/>
        <v>0</v>
      </c>
      <c r="Q3013" s="10">
        <f t="shared" si="637"/>
        <v>2</v>
      </c>
    </row>
    <row r="3014" spans="1:17">
      <c r="A3014" s="15">
        <f t="shared" si="644"/>
        <v>3</v>
      </c>
      <c r="B3014" s="15"/>
      <c r="C3014" s="17" t="str">
        <f>Fixture!E19</f>
        <v>DC United</v>
      </c>
      <c r="D3014" s="18">
        <f>IF(E3014=0,0,IF(Fixture!D19&lt;Fixture!F19,3,IF(Fixture!F19&lt;Fixture!D19,0,1)))</f>
        <v>0</v>
      </c>
      <c r="E3014" s="18">
        <f t="shared" si="638"/>
        <v>1</v>
      </c>
      <c r="F3014" s="18">
        <f>IF(E3014=0,0,IF(Fixture!D19&lt;Fixture!F19,1,IF(Fixture!F19&lt;Fixture!D19,0,0)))</f>
        <v>0</v>
      </c>
      <c r="G3014" s="18">
        <f>IF(E3014=0,0,IF(Fixture!D19&lt;Fixture!F19,0,IF(Fixture!F19&lt;Fixture!D19,0,1)))</f>
        <v>0</v>
      </c>
      <c r="H3014" s="18">
        <f t="shared" si="639"/>
        <v>1</v>
      </c>
      <c r="I3014" s="64">
        <f t="shared" si="640"/>
        <v>2</v>
      </c>
      <c r="J3014" s="64">
        <f t="shared" si="641"/>
        <v>3</v>
      </c>
      <c r="K3014" s="63">
        <f t="shared" si="642"/>
        <v>0</v>
      </c>
      <c r="L3014" s="63">
        <f t="shared" si="643"/>
        <v>0</v>
      </c>
      <c r="N3014" s="10" t="str">
        <f t="shared" si="634"/>
        <v>DC United3</v>
      </c>
      <c r="O3014" s="10">
        <f t="shared" si="635"/>
        <v>0</v>
      </c>
      <c r="P3014" s="10">
        <f t="shared" si="636"/>
        <v>2</v>
      </c>
      <c r="Q3014" s="10">
        <f t="shared" si="637"/>
        <v>3</v>
      </c>
    </row>
    <row r="3015" spans="1:17">
      <c r="A3015" s="15">
        <f t="shared" si="644"/>
        <v>2</v>
      </c>
      <c r="B3015" s="15"/>
      <c r="C3015" s="17" t="str">
        <f>Fixture!E20</f>
        <v>Toronto FC</v>
      </c>
      <c r="D3015" s="18">
        <f>IF(E3015=0,0,IF(Fixture!D20&lt;Fixture!F20,3,IF(Fixture!F20&lt;Fixture!D20,0,1)))</f>
        <v>0</v>
      </c>
      <c r="E3015" s="18">
        <f t="shared" si="638"/>
        <v>1</v>
      </c>
      <c r="F3015" s="18">
        <f>IF(E3015=0,0,IF(Fixture!D20&lt;Fixture!F20,1,IF(Fixture!F20&lt;Fixture!D20,0,0)))</f>
        <v>0</v>
      </c>
      <c r="G3015" s="18">
        <f>IF(E3015=0,0,IF(Fixture!D20&lt;Fixture!F20,0,IF(Fixture!F20&lt;Fixture!D20,0,1)))</f>
        <v>0</v>
      </c>
      <c r="H3015" s="18">
        <f t="shared" si="639"/>
        <v>1</v>
      </c>
      <c r="I3015" s="64">
        <f t="shared" si="640"/>
        <v>1</v>
      </c>
      <c r="J3015" s="64">
        <f t="shared" si="641"/>
        <v>4</v>
      </c>
      <c r="K3015" s="63">
        <f t="shared" si="642"/>
        <v>0</v>
      </c>
      <c r="L3015" s="63">
        <f t="shared" si="643"/>
        <v>0</v>
      </c>
      <c r="N3015" s="10" t="str">
        <f t="shared" si="634"/>
        <v>Toronto FC2</v>
      </c>
      <c r="O3015" s="10">
        <f t="shared" si="635"/>
        <v>0</v>
      </c>
      <c r="P3015" s="10">
        <f t="shared" si="636"/>
        <v>1</v>
      </c>
      <c r="Q3015" s="10">
        <f t="shared" si="637"/>
        <v>4</v>
      </c>
    </row>
    <row r="3016" spans="1:17">
      <c r="A3016" s="15">
        <f t="shared" si="644"/>
        <v>2</v>
      </c>
      <c r="B3016" s="15"/>
      <c r="C3016" s="17" t="str">
        <f>Fixture!E21</f>
        <v>San Jose</v>
      </c>
      <c r="D3016" s="18">
        <f>IF(E3016=0,0,IF(Fixture!D21&lt;Fixture!F21,3,IF(Fixture!F21&lt;Fixture!D21,0,1)))</f>
        <v>3</v>
      </c>
      <c r="E3016" s="18">
        <f t="shared" si="638"/>
        <v>1</v>
      </c>
      <c r="F3016" s="18">
        <f>IF(E3016=0,0,IF(Fixture!D21&lt;Fixture!F21,1,IF(Fixture!F21&lt;Fixture!D21,0,0)))</f>
        <v>1</v>
      </c>
      <c r="G3016" s="18">
        <f>IF(E3016=0,0,IF(Fixture!D21&lt;Fixture!F21,0,IF(Fixture!F21&lt;Fixture!D21,0,1)))</f>
        <v>0</v>
      </c>
      <c r="H3016" s="18">
        <f t="shared" si="639"/>
        <v>0</v>
      </c>
      <c r="I3016" s="64">
        <f t="shared" si="640"/>
        <v>2</v>
      </c>
      <c r="J3016" s="64">
        <f t="shared" si="641"/>
        <v>1</v>
      </c>
      <c r="K3016" s="63">
        <f t="shared" si="642"/>
        <v>0</v>
      </c>
      <c r="L3016" s="63">
        <f t="shared" si="643"/>
        <v>0</v>
      </c>
      <c r="N3016" s="10" t="str">
        <f t="shared" si="634"/>
        <v>San Jose2</v>
      </c>
      <c r="O3016" s="10">
        <f t="shared" si="635"/>
        <v>3</v>
      </c>
      <c r="P3016" s="10">
        <f t="shared" si="636"/>
        <v>2</v>
      </c>
      <c r="Q3016" s="10">
        <f t="shared" si="637"/>
        <v>1</v>
      </c>
    </row>
    <row r="3017" spans="1:17">
      <c r="A3017" s="15">
        <f t="shared" si="644"/>
        <v>2</v>
      </c>
      <c r="B3017" s="15"/>
      <c r="C3017" s="17" t="str">
        <f>Fixture!E22</f>
        <v>Columbus</v>
      </c>
      <c r="D3017" s="18">
        <f>IF(E3017=0,0,IF(Fixture!D22&lt;Fixture!F22,3,IF(Fixture!F22&lt;Fixture!D22,0,1)))</f>
        <v>1</v>
      </c>
      <c r="E3017" s="18">
        <f t="shared" si="638"/>
        <v>1</v>
      </c>
      <c r="F3017" s="18">
        <f>IF(E3017=0,0,IF(Fixture!D22&lt;Fixture!F22,1,IF(Fixture!F22&lt;Fixture!D22,0,0)))</f>
        <v>0</v>
      </c>
      <c r="G3017" s="18">
        <f>IF(E3017=0,0,IF(Fixture!D22&lt;Fixture!F22,0,IF(Fixture!F22&lt;Fixture!D22,0,1)))</f>
        <v>1</v>
      </c>
      <c r="H3017" s="18">
        <f t="shared" si="639"/>
        <v>0</v>
      </c>
      <c r="I3017" s="64">
        <f t="shared" si="640"/>
        <v>2</v>
      </c>
      <c r="J3017" s="64">
        <f t="shared" si="641"/>
        <v>2</v>
      </c>
      <c r="K3017" s="63">
        <f t="shared" si="642"/>
        <v>0</v>
      </c>
      <c r="L3017" s="63">
        <f t="shared" si="643"/>
        <v>0</v>
      </c>
      <c r="N3017" s="10" t="str">
        <f t="shared" si="634"/>
        <v>Columbus2</v>
      </c>
      <c r="O3017" s="10">
        <f t="shared" si="635"/>
        <v>1</v>
      </c>
      <c r="P3017" s="10">
        <f t="shared" si="636"/>
        <v>2</v>
      </c>
      <c r="Q3017" s="10">
        <f t="shared" si="637"/>
        <v>2</v>
      </c>
    </row>
    <row r="3018" spans="1:17">
      <c r="A3018" s="15">
        <f t="shared" si="644"/>
        <v>3</v>
      </c>
      <c r="B3018" s="15"/>
      <c r="C3018" s="17" t="str">
        <f>Fixture!E23</f>
        <v>Los Angeles</v>
      </c>
      <c r="D3018" s="18">
        <f>IF(E3018=0,0,IF(Fixture!D23&lt;Fixture!F23,3,IF(Fixture!F23&lt;Fixture!D23,0,1)))</f>
        <v>3</v>
      </c>
      <c r="E3018" s="18">
        <f t="shared" si="638"/>
        <v>1</v>
      </c>
      <c r="F3018" s="18">
        <f>IF(E3018=0,0,IF(Fixture!D23&lt;Fixture!F23,1,IF(Fixture!F23&lt;Fixture!D23,0,0)))</f>
        <v>1</v>
      </c>
      <c r="G3018" s="18">
        <f>IF(E3018=0,0,IF(Fixture!D23&lt;Fixture!F23,0,IF(Fixture!F23&lt;Fixture!D23,0,1)))</f>
        <v>0</v>
      </c>
      <c r="H3018" s="18">
        <f t="shared" si="639"/>
        <v>0</v>
      </c>
      <c r="I3018" s="64">
        <f t="shared" si="640"/>
        <v>2</v>
      </c>
      <c r="J3018" s="64">
        <f t="shared" si="641"/>
        <v>0</v>
      </c>
      <c r="K3018" s="63">
        <f t="shared" si="642"/>
        <v>0</v>
      </c>
      <c r="L3018" s="63">
        <f t="shared" si="643"/>
        <v>1</v>
      </c>
      <c r="N3018" s="10" t="str">
        <f t="shared" si="634"/>
        <v>Los Angeles3</v>
      </c>
      <c r="O3018" s="10">
        <f t="shared" si="635"/>
        <v>3</v>
      </c>
      <c r="P3018" s="10">
        <f t="shared" si="636"/>
        <v>2</v>
      </c>
      <c r="Q3018" s="10">
        <f t="shared" si="637"/>
        <v>0</v>
      </c>
    </row>
    <row r="3019" spans="1:17">
      <c r="A3019" s="15">
        <f t="shared" si="644"/>
        <v>3</v>
      </c>
      <c r="B3019" s="15"/>
      <c r="C3019" s="17" t="str">
        <f>Fixture!E24</f>
        <v>Colorado</v>
      </c>
      <c r="D3019" s="18">
        <f>IF(E3019=0,0,IF(Fixture!D24&lt;Fixture!F24,3,IF(Fixture!F24&lt;Fixture!D24,0,1)))</f>
        <v>0</v>
      </c>
      <c r="E3019" s="18">
        <f t="shared" si="638"/>
        <v>1</v>
      </c>
      <c r="F3019" s="18">
        <f>IF(E3019=0,0,IF(Fixture!D24&lt;Fixture!F24,1,IF(Fixture!F24&lt;Fixture!D24,0,0)))</f>
        <v>0</v>
      </c>
      <c r="G3019" s="18">
        <f>IF(E3019=0,0,IF(Fixture!D24&lt;Fixture!F24,0,IF(Fixture!F24&lt;Fixture!D24,0,1)))</f>
        <v>0</v>
      </c>
      <c r="H3019" s="18">
        <f t="shared" si="639"/>
        <v>1</v>
      </c>
      <c r="I3019" s="64">
        <f t="shared" si="640"/>
        <v>0</v>
      </c>
      <c r="J3019" s="64">
        <f t="shared" si="641"/>
        <v>1</v>
      </c>
      <c r="K3019" s="63">
        <f t="shared" si="642"/>
        <v>1</v>
      </c>
      <c r="L3019" s="63">
        <f t="shared" si="643"/>
        <v>0</v>
      </c>
      <c r="N3019" s="10" t="str">
        <f t="shared" si="634"/>
        <v>Colorado3</v>
      </c>
      <c r="O3019" s="10">
        <f t="shared" si="635"/>
        <v>0</v>
      </c>
      <c r="P3019" s="10">
        <f t="shared" si="636"/>
        <v>0</v>
      </c>
      <c r="Q3019" s="10">
        <f t="shared" si="637"/>
        <v>1</v>
      </c>
    </row>
    <row r="3020" spans="1:17">
      <c r="A3020" s="15">
        <f t="shared" si="644"/>
        <v>3</v>
      </c>
      <c r="B3020" s="15"/>
      <c r="C3020" s="17" t="str">
        <f>Fixture!E25</f>
        <v>Seattle Sounders FC</v>
      </c>
      <c r="D3020" s="18">
        <f>IF(E3020=0,0,IF(Fixture!D25&lt;Fixture!F25,3,IF(Fixture!F25&lt;Fixture!D25,0,1)))</f>
        <v>1</v>
      </c>
      <c r="E3020" s="18">
        <f t="shared" si="638"/>
        <v>1</v>
      </c>
      <c r="F3020" s="18">
        <f>IF(E3020=0,0,IF(Fixture!D25&lt;Fixture!F25,1,IF(Fixture!F25&lt;Fixture!D25,0,0)))</f>
        <v>0</v>
      </c>
      <c r="G3020" s="18">
        <f>IF(E3020=0,0,IF(Fixture!D25&lt;Fixture!F25,0,IF(Fixture!F25&lt;Fixture!D25,0,1)))</f>
        <v>1</v>
      </c>
      <c r="H3020" s="18">
        <f t="shared" si="639"/>
        <v>0</v>
      </c>
      <c r="I3020" s="64">
        <f t="shared" si="640"/>
        <v>2</v>
      </c>
      <c r="J3020" s="64">
        <f t="shared" si="641"/>
        <v>2</v>
      </c>
      <c r="K3020" s="63">
        <f t="shared" si="642"/>
        <v>0</v>
      </c>
      <c r="L3020" s="63">
        <f t="shared" si="643"/>
        <v>0</v>
      </c>
      <c r="N3020" s="10" t="str">
        <f t="shared" si="634"/>
        <v>Seattle Sounders FC3</v>
      </c>
      <c r="O3020" s="10">
        <f t="shared" si="635"/>
        <v>1</v>
      </c>
      <c r="P3020" s="10">
        <f t="shared" si="636"/>
        <v>2</v>
      </c>
      <c r="Q3020" s="10">
        <f t="shared" si="637"/>
        <v>2</v>
      </c>
    </row>
    <row r="3021" spans="1:17">
      <c r="A3021" s="15">
        <f t="shared" si="644"/>
        <v>3</v>
      </c>
      <c r="B3021" s="15"/>
      <c r="C3021" s="17" t="str">
        <f>Fixture!E26</f>
        <v>Philadelphia Union</v>
      </c>
      <c r="D3021" s="18">
        <f>IF(E3021=0,0,IF(Fixture!D26&lt;Fixture!F26,3,IF(Fixture!F26&lt;Fixture!D26,0,1)))</f>
        <v>0</v>
      </c>
      <c r="E3021" s="18">
        <f t="shared" si="638"/>
        <v>1</v>
      </c>
      <c r="F3021" s="18">
        <f>IF(E3021=0,0,IF(Fixture!D26&lt;Fixture!F26,1,IF(Fixture!F26&lt;Fixture!D26,0,0)))</f>
        <v>0</v>
      </c>
      <c r="G3021" s="18">
        <f>IF(E3021=0,0,IF(Fixture!D26&lt;Fixture!F26,0,IF(Fixture!F26&lt;Fixture!D26,0,1)))</f>
        <v>0</v>
      </c>
      <c r="H3021" s="18">
        <f t="shared" si="639"/>
        <v>1</v>
      </c>
      <c r="I3021" s="64">
        <f t="shared" si="640"/>
        <v>1</v>
      </c>
      <c r="J3021" s="64">
        <f t="shared" si="641"/>
        <v>2</v>
      </c>
      <c r="K3021" s="63">
        <f t="shared" si="642"/>
        <v>0</v>
      </c>
      <c r="L3021" s="63">
        <f t="shared" si="643"/>
        <v>0</v>
      </c>
      <c r="N3021" s="10" t="str">
        <f t="shared" si="634"/>
        <v>Philadelphia Union3</v>
      </c>
      <c r="O3021" s="10">
        <f t="shared" si="635"/>
        <v>0</v>
      </c>
      <c r="P3021" s="10">
        <f t="shared" si="636"/>
        <v>1</v>
      </c>
      <c r="Q3021" s="10">
        <f t="shared" si="637"/>
        <v>2</v>
      </c>
    </row>
    <row r="3022" spans="1:17">
      <c r="A3022" s="15">
        <f t="shared" si="644"/>
        <v>4</v>
      </c>
      <c r="B3022" s="15"/>
      <c r="C3022" s="17" t="str">
        <f>Fixture!E27</f>
        <v>Real Salt Lake</v>
      </c>
      <c r="D3022" s="18">
        <f>IF(E3022=0,0,IF(Fixture!D27&lt;Fixture!F27,3,IF(Fixture!F27&lt;Fixture!D27,0,1)))</f>
        <v>0</v>
      </c>
      <c r="E3022" s="18">
        <f t="shared" si="638"/>
        <v>1</v>
      </c>
      <c r="F3022" s="18">
        <f>IF(E3022=0,0,IF(Fixture!D27&lt;Fixture!F27,1,IF(Fixture!F27&lt;Fixture!D27,0,0)))</f>
        <v>0</v>
      </c>
      <c r="G3022" s="18">
        <f>IF(E3022=0,0,IF(Fixture!D27&lt;Fixture!F27,0,IF(Fixture!F27&lt;Fixture!D27,0,1)))</f>
        <v>0</v>
      </c>
      <c r="H3022" s="18">
        <f t="shared" si="639"/>
        <v>1</v>
      </c>
      <c r="I3022" s="64">
        <f t="shared" si="640"/>
        <v>1</v>
      </c>
      <c r="J3022" s="64">
        <f t="shared" si="641"/>
        <v>2</v>
      </c>
      <c r="K3022" s="63">
        <f t="shared" si="642"/>
        <v>0</v>
      </c>
      <c r="L3022" s="63">
        <f t="shared" si="643"/>
        <v>0</v>
      </c>
      <c r="N3022" s="10" t="str">
        <f t="shared" si="634"/>
        <v>Real Salt Lake4</v>
      </c>
      <c r="O3022" s="10">
        <f t="shared" si="635"/>
        <v>0</v>
      </c>
      <c r="P3022" s="10">
        <f t="shared" si="636"/>
        <v>1</v>
      </c>
      <c r="Q3022" s="10">
        <f t="shared" si="637"/>
        <v>2</v>
      </c>
    </row>
    <row r="3023" spans="1:17">
      <c r="A3023" s="15">
        <f t="shared" si="644"/>
        <v>3</v>
      </c>
      <c r="B3023" s="15"/>
      <c r="C3023" s="17" t="str">
        <f>Fixture!E28</f>
        <v>Kansas City</v>
      </c>
      <c r="D3023" s="18">
        <f>IF(E3023=0,0,IF(Fixture!D28&lt;Fixture!F28,3,IF(Fixture!F28&lt;Fixture!D28,0,1)))</f>
        <v>0</v>
      </c>
      <c r="E3023" s="18">
        <f t="shared" si="638"/>
        <v>1</v>
      </c>
      <c r="F3023" s="18">
        <f>IF(E3023=0,0,IF(Fixture!D28&lt;Fixture!F28,1,IF(Fixture!F28&lt;Fixture!D28,0,0)))</f>
        <v>0</v>
      </c>
      <c r="G3023" s="18">
        <f>IF(E3023=0,0,IF(Fixture!D28&lt;Fixture!F28,0,IF(Fixture!F28&lt;Fixture!D28,0,1)))</f>
        <v>0</v>
      </c>
      <c r="H3023" s="18">
        <f t="shared" si="639"/>
        <v>1</v>
      </c>
      <c r="I3023" s="64">
        <f t="shared" si="640"/>
        <v>0</v>
      </c>
      <c r="J3023" s="64">
        <f t="shared" si="641"/>
        <v>1</v>
      </c>
      <c r="K3023" s="63">
        <f t="shared" si="642"/>
        <v>1</v>
      </c>
      <c r="L3023" s="63">
        <f t="shared" si="643"/>
        <v>0</v>
      </c>
      <c r="N3023" s="10" t="str">
        <f t="shared" si="634"/>
        <v>Kansas City3</v>
      </c>
      <c r="O3023" s="10">
        <f t="shared" si="635"/>
        <v>0</v>
      </c>
      <c r="P3023" s="10">
        <f t="shared" si="636"/>
        <v>0</v>
      </c>
      <c r="Q3023" s="10">
        <f t="shared" si="637"/>
        <v>1</v>
      </c>
    </row>
    <row r="3024" spans="1:17">
      <c r="A3024" s="15">
        <f t="shared" si="644"/>
        <v>4</v>
      </c>
      <c r="B3024" s="15"/>
      <c r="C3024" s="17" t="str">
        <f>Fixture!E29</f>
        <v>Chivas USA</v>
      </c>
      <c r="D3024" s="18">
        <f>IF(E3024=0,0,IF(Fixture!D29&lt;Fixture!F29,3,IF(Fixture!F29&lt;Fixture!D29,0,1)))</f>
        <v>0</v>
      </c>
      <c r="E3024" s="18">
        <f t="shared" si="638"/>
        <v>1</v>
      </c>
      <c r="F3024" s="18">
        <f>IF(E3024=0,0,IF(Fixture!D29&lt;Fixture!F29,1,IF(Fixture!F29&lt;Fixture!D29,0,0)))</f>
        <v>0</v>
      </c>
      <c r="G3024" s="18">
        <f>IF(E3024=0,0,IF(Fixture!D29&lt;Fixture!F29,0,IF(Fixture!F29&lt;Fixture!D29,0,1)))</f>
        <v>0</v>
      </c>
      <c r="H3024" s="18">
        <f t="shared" si="639"/>
        <v>1</v>
      </c>
      <c r="I3024" s="64">
        <f t="shared" si="640"/>
        <v>0</v>
      </c>
      <c r="J3024" s="64">
        <f t="shared" si="641"/>
        <v>3</v>
      </c>
      <c r="K3024" s="63">
        <f t="shared" si="642"/>
        <v>1</v>
      </c>
      <c r="L3024" s="63">
        <f t="shared" si="643"/>
        <v>0</v>
      </c>
      <c r="N3024" s="10" t="str">
        <f t="shared" si="634"/>
        <v>Chivas USA4</v>
      </c>
      <c r="O3024" s="10">
        <f t="shared" si="635"/>
        <v>0</v>
      </c>
      <c r="P3024" s="10">
        <f t="shared" si="636"/>
        <v>0</v>
      </c>
      <c r="Q3024" s="10">
        <f t="shared" si="637"/>
        <v>3</v>
      </c>
    </row>
    <row r="3025" spans="1:17">
      <c r="A3025" s="15">
        <f t="shared" si="644"/>
        <v>4</v>
      </c>
      <c r="B3025" s="15"/>
      <c r="C3025" s="17" t="str">
        <f>Fixture!E30</f>
        <v>Chicago</v>
      </c>
      <c r="D3025" s="18">
        <f>IF(E3025=0,0,IF(Fixture!D30&lt;Fixture!F30,3,IF(Fixture!F30&lt;Fixture!D30,0,1)))</f>
        <v>3</v>
      </c>
      <c r="E3025" s="18">
        <f t="shared" si="638"/>
        <v>1</v>
      </c>
      <c r="F3025" s="18">
        <f>IF(E3025=0,0,IF(Fixture!D30&lt;Fixture!F30,1,IF(Fixture!F30&lt;Fixture!D30,0,0)))</f>
        <v>1</v>
      </c>
      <c r="G3025" s="18">
        <f>IF(E3025=0,0,IF(Fixture!D30&lt;Fixture!F30,0,IF(Fixture!F30&lt;Fixture!D30,0,1)))</f>
        <v>0</v>
      </c>
      <c r="H3025" s="18">
        <f t="shared" si="639"/>
        <v>0</v>
      </c>
      <c r="I3025" s="64">
        <f t="shared" si="640"/>
        <v>2</v>
      </c>
      <c r="J3025" s="64">
        <f t="shared" si="641"/>
        <v>0</v>
      </c>
      <c r="K3025" s="63">
        <f t="shared" si="642"/>
        <v>0</v>
      </c>
      <c r="L3025" s="63">
        <f t="shared" si="643"/>
        <v>1</v>
      </c>
      <c r="N3025" s="10" t="str">
        <f t="shared" si="634"/>
        <v>Chicago4</v>
      </c>
      <c r="O3025" s="10">
        <f t="shared" si="635"/>
        <v>3</v>
      </c>
      <c r="P3025" s="10">
        <f t="shared" si="636"/>
        <v>2</v>
      </c>
      <c r="Q3025" s="10">
        <f t="shared" si="637"/>
        <v>0</v>
      </c>
    </row>
    <row r="3026" spans="1:17">
      <c r="A3026" s="15">
        <f t="shared" si="644"/>
        <v>3</v>
      </c>
      <c r="B3026" s="15"/>
      <c r="C3026" s="17" t="str">
        <f>Fixture!E31</f>
        <v>Dallas</v>
      </c>
      <c r="D3026" s="18">
        <f>IF(E3026=0,0,IF(Fixture!D31&lt;Fixture!F31,3,IF(Fixture!F31&lt;Fixture!D31,0,1)))</f>
        <v>0</v>
      </c>
      <c r="E3026" s="18">
        <f t="shared" si="638"/>
        <v>1</v>
      </c>
      <c r="F3026" s="18">
        <f>IF(E3026=0,0,IF(Fixture!D31&lt;Fixture!F31,1,IF(Fixture!F31&lt;Fixture!D31,0,0)))</f>
        <v>0</v>
      </c>
      <c r="G3026" s="18">
        <f>IF(E3026=0,0,IF(Fixture!D31&lt;Fixture!F31,0,IF(Fixture!F31&lt;Fixture!D31,0,1)))</f>
        <v>0</v>
      </c>
      <c r="H3026" s="18">
        <f t="shared" si="639"/>
        <v>1</v>
      </c>
      <c r="I3026" s="64">
        <f t="shared" si="640"/>
        <v>1</v>
      </c>
      <c r="J3026" s="64">
        <f t="shared" si="641"/>
        <v>2</v>
      </c>
      <c r="K3026" s="63">
        <f t="shared" si="642"/>
        <v>0</v>
      </c>
      <c r="L3026" s="63">
        <f t="shared" si="643"/>
        <v>0</v>
      </c>
      <c r="N3026" s="10" t="str">
        <f t="shared" ref="N3026:N3089" si="645">CONCATENATE(C3026,A3026)</f>
        <v>Dallas3</v>
      </c>
      <c r="O3026" s="10">
        <f t="shared" ref="O3026:O3089" si="646">D3026</f>
        <v>0</v>
      </c>
      <c r="P3026" s="10">
        <f t="shared" ref="P3026:P3089" si="647">I3026</f>
        <v>1</v>
      </c>
      <c r="Q3026" s="10">
        <f t="shared" ref="Q3026:Q3089" si="648">J3026</f>
        <v>2</v>
      </c>
    </row>
    <row r="3027" spans="1:17">
      <c r="A3027" s="15">
        <f t="shared" si="644"/>
        <v>4</v>
      </c>
      <c r="B3027" s="15"/>
      <c r="C3027" s="17" t="str">
        <f>Fixture!E32</f>
        <v>New England</v>
      </c>
      <c r="D3027" s="18">
        <f>IF(E3027=0,0,IF(Fixture!D32&lt;Fixture!F32,3,IF(Fixture!F32&lt;Fixture!D32,0,1)))</f>
        <v>0</v>
      </c>
      <c r="E3027" s="18">
        <f t="shared" si="638"/>
        <v>1</v>
      </c>
      <c r="F3027" s="18">
        <f>IF(E3027=0,0,IF(Fixture!D32&lt;Fixture!F32,1,IF(Fixture!F32&lt;Fixture!D32,0,0)))</f>
        <v>0</v>
      </c>
      <c r="G3027" s="18">
        <f>IF(E3027=0,0,IF(Fixture!D32&lt;Fixture!F32,0,IF(Fixture!F32&lt;Fixture!D32,0,1)))</f>
        <v>0</v>
      </c>
      <c r="H3027" s="18">
        <f t="shared" si="639"/>
        <v>1</v>
      </c>
      <c r="I3027" s="64">
        <f t="shared" si="640"/>
        <v>0</v>
      </c>
      <c r="J3027" s="64">
        <f t="shared" si="641"/>
        <v>2</v>
      </c>
      <c r="K3027" s="63">
        <f t="shared" si="642"/>
        <v>1</v>
      </c>
      <c r="L3027" s="63">
        <f t="shared" si="643"/>
        <v>0</v>
      </c>
      <c r="N3027" s="10" t="str">
        <f t="shared" si="645"/>
        <v>New England4</v>
      </c>
      <c r="O3027" s="10">
        <f t="shared" si="646"/>
        <v>0</v>
      </c>
      <c r="P3027" s="10">
        <f t="shared" si="647"/>
        <v>0</v>
      </c>
      <c r="Q3027" s="10">
        <f t="shared" si="648"/>
        <v>2</v>
      </c>
    </row>
    <row r="3028" spans="1:17">
      <c r="A3028" s="15">
        <f t="shared" si="644"/>
        <v>4</v>
      </c>
      <c r="B3028" s="15"/>
      <c r="C3028" s="17" t="str">
        <f>Fixture!E33</f>
        <v>Toronto FC</v>
      </c>
      <c r="D3028" s="18">
        <f>IF(E3028=0,0,IF(Fixture!D33&lt;Fixture!F33,3,IF(Fixture!F33&lt;Fixture!D33,0,1)))</f>
        <v>0</v>
      </c>
      <c r="E3028" s="18">
        <f t="shared" si="638"/>
        <v>1</v>
      </c>
      <c r="F3028" s="18">
        <f>IF(E3028=0,0,IF(Fixture!D33&lt;Fixture!F33,1,IF(Fixture!F33&lt;Fixture!D33,0,0)))</f>
        <v>0</v>
      </c>
      <c r="G3028" s="18">
        <f>IF(E3028=0,0,IF(Fixture!D33&lt;Fixture!F33,0,IF(Fixture!F33&lt;Fixture!D33,0,1)))</f>
        <v>0</v>
      </c>
      <c r="H3028" s="18">
        <f t="shared" si="639"/>
        <v>1</v>
      </c>
      <c r="I3028" s="64">
        <f t="shared" si="640"/>
        <v>1</v>
      </c>
      <c r="J3028" s="64">
        <f t="shared" si="641"/>
        <v>3</v>
      </c>
      <c r="K3028" s="63">
        <f t="shared" si="642"/>
        <v>0</v>
      </c>
      <c r="L3028" s="63">
        <f t="shared" si="643"/>
        <v>0</v>
      </c>
      <c r="N3028" s="10" t="str">
        <f t="shared" si="645"/>
        <v>Toronto FC4</v>
      </c>
      <c r="O3028" s="10">
        <f t="shared" si="646"/>
        <v>0</v>
      </c>
      <c r="P3028" s="10">
        <f t="shared" si="647"/>
        <v>1</v>
      </c>
      <c r="Q3028" s="10">
        <f t="shared" si="648"/>
        <v>3</v>
      </c>
    </row>
    <row r="3029" spans="1:17">
      <c r="A3029" s="15">
        <f t="shared" si="644"/>
        <v>5</v>
      </c>
      <c r="B3029" s="15"/>
      <c r="C3029" s="17" t="str">
        <f>Fixture!E34</f>
        <v>Seattle Sounders FC</v>
      </c>
      <c r="D3029" s="18">
        <f>IF(E3029=0,0,IF(Fixture!D34&lt;Fixture!F34,3,IF(Fixture!F34&lt;Fixture!D34,0,1)))</f>
        <v>1</v>
      </c>
      <c r="E3029" s="18">
        <f t="shared" si="638"/>
        <v>1</v>
      </c>
      <c r="F3029" s="18">
        <f>IF(E3029=0,0,IF(Fixture!D34&lt;Fixture!F34,1,IF(Fixture!F34&lt;Fixture!D34,0,0)))</f>
        <v>0</v>
      </c>
      <c r="G3029" s="18">
        <f>IF(E3029=0,0,IF(Fixture!D34&lt;Fixture!F34,0,IF(Fixture!F34&lt;Fixture!D34,0,1)))</f>
        <v>1</v>
      </c>
      <c r="H3029" s="18">
        <f t="shared" si="639"/>
        <v>0</v>
      </c>
      <c r="I3029" s="64">
        <f t="shared" si="640"/>
        <v>2</v>
      </c>
      <c r="J3029" s="64">
        <f t="shared" si="641"/>
        <v>2</v>
      </c>
      <c r="K3029" s="63">
        <f t="shared" si="642"/>
        <v>0</v>
      </c>
      <c r="L3029" s="63">
        <f t="shared" si="643"/>
        <v>0</v>
      </c>
      <c r="N3029" s="10" t="str">
        <f t="shared" si="645"/>
        <v>Seattle Sounders FC5</v>
      </c>
      <c r="O3029" s="10">
        <f t="shared" si="646"/>
        <v>1</v>
      </c>
      <c r="P3029" s="10">
        <f t="shared" si="647"/>
        <v>2</v>
      </c>
      <c r="Q3029" s="10">
        <f t="shared" si="648"/>
        <v>2</v>
      </c>
    </row>
    <row r="3030" spans="1:17">
      <c r="A3030" s="15">
        <f t="shared" si="644"/>
        <v>4</v>
      </c>
      <c r="B3030" s="15"/>
      <c r="C3030" s="17" t="str">
        <f>Fixture!E35</f>
        <v>Philadelphia Union</v>
      </c>
      <c r="D3030" s="18">
        <f>IF(E3030=0,0,IF(Fixture!D35&lt;Fixture!F35,3,IF(Fixture!F35&lt;Fixture!D35,0,1)))</f>
        <v>0</v>
      </c>
      <c r="E3030" s="18">
        <f t="shared" si="638"/>
        <v>1</v>
      </c>
      <c r="F3030" s="18">
        <f>IF(E3030=0,0,IF(Fixture!D35&lt;Fixture!F35,1,IF(Fixture!F35&lt;Fixture!D35,0,0)))</f>
        <v>0</v>
      </c>
      <c r="G3030" s="18">
        <f>IF(E3030=0,0,IF(Fixture!D35&lt;Fixture!F35,0,IF(Fixture!F35&lt;Fixture!D35,0,1)))</f>
        <v>0</v>
      </c>
      <c r="H3030" s="18">
        <f t="shared" si="639"/>
        <v>1</v>
      </c>
      <c r="I3030" s="64">
        <f t="shared" si="640"/>
        <v>1</v>
      </c>
      <c r="J3030" s="64">
        <f t="shared" si="641"/>
        <v>2</v>
      </c>
      <c r="K3030" s="63">
        <f t="shared" si="642"/>
        <v>0</v>
      </c>
      <c r="L3030" s="63">
        <f t="shared" si="643"/>
        <v>0</v>
      </c>
      <c r="N3030" s="10" t="str">
        <f t="shared" si="645"/>
        <v>Philadelphia Union4</v>
      </c>
      <c r="O3030" s="10">
        <f t="shared" si="646"/>
        <v>0</v>
      </c>
      <c r="P3030" s="10">
        <f t="shared" si="647"/>
        <v>1</v>
      </c>
      <c r="Q3030" s="10">
        <f t="shared" si="648"/>
        <v>2</v>
      </c>
    </row>
    <row r="3031" spans="1:17">
      <c r="A3031" s="15">
        <f t="shared" si="644"/>
        <v>5</v>
      </c>
      <c r="B3031" s="15"/>
      <c r="C3031" s="17" t="str">
        <f>Fixture!E36</f>
        <v>Real Salt Lake</v>
      </c>
      <c r="D3031" s="18">
        <f>IF(E3031=0,0,IF(Fixture!D36&lt;Fixture!F36,3,IF(Fixture!F36&lt;Fixture!D36,0,1)))</f>
        <v>0</v>
      </c>
      <c r="E3031" s="18">
        <f t="shared" si="638"/>
        <v>1</v>
      </c>
      <c r="F3031" s="18">
        <f>IF(E3031=0,0,IF(Fixture!D36&lt;Fixture!F36,1,IF(Fixture!F36&lt;Fixture!D36,0,0)))</f>
        <v>0</v>
      </c>
      <c r="G3031" s="18">
        <f>IF(E3031=0,0,IF(Fixture!D36&lt;Fixture!F36,0,IF(Fixture!F36&lt;Fixture!D36,0,1)))</f>
        <v>0</v>
      </c>
      <c r="H3031" s="18">
        <f t="shared" si="639"/>
        <v>1</v>
      </c>
      <c r="I3031" s="64">
        <f t="shared" si="640"/>
        <v>0</v>
      </c>
      <c r="J3031" s="64">
        <f t="shared" si="641"/>
        <v>1</v>
      </c>
      <c r="K3031" s="63">
        <f t="shared" si="642"/>
        <v>1</v>
      </c>
      <c r="L3031" s="63">
        <f t="shared" si="643"/>
        <v>0</v>
      </c>
      <c r="N3031" s="10" t="str">
        <f t="shared" si="645"/>
        <v>Real Salt Lake5</v>
      </c>
      <c r="O3031" s="10">
        <f t="shared" si="646"/>
        <v>0</v>
      </c>
      <c r="P3031" s="10">
        <f t="shared" si="647"/>
        <v>0</v>
      </c>
      <c r="Q3031" s="10">
        <f t="shared" si="648"/>
        <v>1</v>
      </c>
    </row>
    <row r="3032" spans="1:17">
      <c r="A3032" s="15">
        <f t="shared" si="644"/>
        <v>5</v>
      </c>
      <c r="B3032" s="15"/>
      <c r="C3032" s="17" t="str">
        <f>Fixture!E37</f>
        <v>Colorado</v>
      </c>
      <c r="D3032" s="18">
        <f>IF(E3032=0,0,IF(Fixture!D37&lt;Fixture!F37,3,IF(Fixture!F37&lt;Fixture!D37,0,1)))</f>
        <v>3</v>
      </c>
      <c r="E3032" s="18">
        <f t="shared" si="638"/>
        <v>1</v>
      </c>
      <c r="F3032" s="18">
        <f>IF(E3032=0,0,IF(Fixture!D37&lt;Fixture!F37,1,IF(Fixture!F37&lt;Fixture!D37,0,0)))</f>
        <v>1</v>
      </c>
      <c r="G3032" s="18">
        <f>IF(E3032=0,0,IF(Fixture!D37&lt;Fixture!F37,0,IF(Fixture!F37&lt;Fixture!D37,0,1)))</f>
        <v>0</v>
      </c>
      <c r="H3032" s="18">
        <f t="shared" si="639"/>
        <v>0</v>
      </c>
      <c r="I3032" s="64">
        <f t="shared" si="640"/>
        <v>2</v>
      </c>
      <c r="J3032" s="64">
        <f t="shared" si="641"/>
        <v>1</v>
      </c>
      <c r="K3032" s="63">
        <f t="shared" si="642"/>
        <v>0</v>
      </c>
      <c r="L3032" s="63">
        <f t="shared" si="643"/>
        <v>0</v>
      </c>
      <c r="N3032" s="10" t="str">
        <f t="shared" si="645"/>
        <v>Colorado5</v>
      </c>
      <c r="O3032" s="10">
        <f t="shared" si="646"/>
        <v>3</v>
      </c>
      <c r="P3032" s="10">
        <f t="shared" si="647"/>
        <v>2</v>
      </c>
      <c r="Q3032" s="10">
        <f t="shared" si="648"/>
        <v>1</v>
      </c>
    </row>
    <row r="3033" spans="1:17">
      <c r="A3033" s="15">
        <f t="shared" si="644"/>
        <v>5</v>
      </c>
      <c r="B3033" s="15"/>
      <c r="C3033" s="17" t="str">
        <f>Fixture!E38</f>
        <v>Houston</v>
      </c>
      <c r="D3033" s="18">
        <f>IF(E3033=0,0,IF(Fixture!D38&lt;Fixture!F38,3,IF(Fixture!F38&lt;Fixture!D38,0,1)))</f>
        <v>0</v>
      </c>
      <c r="E3033" s="18">
        <f t="shared" si="638"/>
        <v>1</v>
      </c>
      <c r="F3033" s="18">
        <f>IF(E3033=0,0,IF(Fixture!D38&lt;Fixture!F38,1,IF(Fixture!F38&lt;Fixture!D38,0,0)))</f>
        <v>0</v>
      </c>
      <c r="G3033" s="18">
        <f>IF(E3033=0,0,IF(Fixture!D38&lt;Fixture!F38,0,IF(Fixture!F38&lt;Fixture!D38,0,1)))</f>
        <v>0</v>
      </c>
      <c r="H3033" s="18">
        <f t="shared" si="639"/>
        <v>1</v>
      </c>
      <c r="I3033" s="64">
        <f t="shared" si="640"/>
        <v>0</v>
      </c>
      <c r="J3033" s="64">
        <f t="shared" si="641"/>
        <v>2</v>
      </c>
      <c r="K3033" s="63">
        <f t="shared" si="642"/>
        <v>1</v>
      </c>
      <c r="L3033" s="63">
        <f t="shared" si="643"/>
        <v>0</v>
      </c>
      <c r="N3033" s="10" t="str">
        <f t="shared" si="645"/>
        <v>Houston5</v>
      </c>
      <c r="O3033" s="10">
        <f t="shared" si="646"/>
        <v>0</v>
      </c>
      <c r="P3033" s="10">
        <f t="shared" si="647"/>
        <v>0</v>
      </c>
      <c r="Q3033" s="10">
        <f t="shared" si="648"/>
        <v>2</v>
      </c>
    </row>
    <row r="3034" spans="1:17">
      <c r="A3034" s="15">
        <f t="shared" si="644"/>
        <v>5</v>
      </c>
      <c r="B3034" s="15"/>
      <c r="C3034" s="17" t="str">
        <f>Fixture!E39</f>
        <v>Los Angeles</v>
      </c>
      <c r="D3034" s="18">
        <f>IF(E3034=0,0,IF(Fixture!D39&lt;Fixture!F39,3,IF(Fixture!F39&lt;Fixture!D39,0,1)))</f>
        <v>1</v>
      </c>
      <c r="E3034" s="18">
        <f t="shared" si="638"/>
        <v>1</v>
      </c>
      <c r="F3034" s="18">
        <f>IF(E3034=0,0,IF(Fixture!D39&lt;Fixture!F39,1,IF(Fixture!F39&lt;Fixture!D39,0,0)))</f>
        <v>0</v>
      </c>
      <c r="G3034" s="18">
        <f>IF(E3034=0,0,IF(Fixture!D39&lt;Fixture!F39,0,IF(Fixture!F39&lt;Fixture!D39,0,1)))</f>
        <v>1</v>
      </c>
      <c r="H3034" s="18">
        <f t="shared" si="639"/>
        <v>0</v>
      </c>
      <c r="I3034" s="64">
        <f t="shared" si="640"/>
        <v>0</v>
      </c>
      <c r="J3034" s="64">
        <f t="shared" si="641"/>
        <v>0</v>
      </c>
      <c r="K3034" s="63">
        <f t="shared" si="642"/>
        <v>1</v>
      </c>
      <c r="L3034" s="63">
        <f t="shared" si="643"/>
        <v>1</v>
      </c>
      <c r="N3034" s="10" t="str">
        <f t="shared" si="645"/>
        <v>Los Angeles5</v>
      </c>
      <c r="O3034" s="10">
        <f t="shared" si="646"/>
        <v>1</v>
      </c>
      <c r="P3034" s="10">
        <f t="shared" si="647"/>
        <v>0</v>
      </c>
      <c r="Q3034" s="10">
        <f t="shared" si="648"/>
        <v>0</v>
      </c>
    </row>
    <row r="3035" spans="1:17">
      <c r="A3035" s="15">
        <f t="shared" si="644"/>
        <v>4</v>
      </c>
      <c r="B3035" s="15"/>
      <c r="C3035" s="17" t="str">
        <f>Fixture!E40</f>
        <v>San Jose</v>
      </c>
      <c r="D3035" s="18">
        <f>IF(E3035=0,0,IF(Fixture!D40&lt;Fixture!F40,3,IF(Fixture!F40&lt;Fixture!D40,0,1)))</f>
        <v>0</v>
      </c>
      <c r="E3035" s="18">
        <f t="shared" si="638"/>
        <v>1</v>
      </c>
      <c r="F3035" s="18">
        <f>IF(E3035=0,0,IF(Fixture!D40&lt;Fixture!F40,1,IF(Fixture!F40&lt;Fixture!D40,0,0)))</f>
        <v>0</v>
      </c>
      <c r="G3035" s="18">
        <f>IF(E3035=0,0,IF(Fixture!D40&lt;Fixture!F40,0,IF(Fixture!F40&lt;Fixture!D40,0,1)))</f>
        <v>0</v>
      </c>
      <c r="H3035" s="18">
        <f t="shared" si="639"/>
        <v>1</v>
      </c>
      <c r="I3035" s="64">
        <f t="shared" si="640"/>
        <v>2</v>
      </c>
      <c r="J3035" s="64">
        <f t="shared" si="641"/>
        <v>3</v>
      </c>
      <c r="K3035" s="63">
        <f t="shared" si="642"/>
        <v>0</v>
      </c>
      <c r="L3035" s="63">
        <f t="shared" si="643"/>
        <v>0</v>
      </c>
      <c r="N3035" s="10" t="str">
        <f t="shared" si="645"/>
        <v>San Jose4</v>
      </c>
      <c r="O3035" s="10">
        <f t="shared" si="646"/>
        <v>0</v>
      </c>
      <c r="P3035" s="10">
        <f t="shared" si="647"/>
        <v>2</v>
      </c>
      <c r="Q3035" s="10">
        <f t="shared" si="648"/>
        <v>3</v>
      </c>
    </row>
    <row r="3036" spans="1:17">
      <c r="A3036" s="15">
        <f t="shared" si="644"/>
        <v>6</v>
      </c>
      <c r="B3036" s="15"/>
      <c r="C3036" s="17" t="str">
        <f>Fixture!E41</f>
        <v>Seattle Sounders FC</v>
      </c>
      <c r="D3036" s="18">
        <f>IF(E3036=0,0,IF(Fixture!D41&lt;Fixture!F41,3,IF(Fixture!F41&lt;Fixture!D41,0,1)))</f>
        <v>0</v>
      </c>
      <c r="E3036" s="18">
        <f t="shared" si="638"/>
        <v>1</v>
      </c>
      <c r="F3036" s="18">
        <f>IF(E3036=0,0,IF(Fixture!D41&lt;Fixture!F41,1,IF(Fixture!F41&lt;Fixture!D41,0,0)))</f>
        <v>0</v>
      </c>
      <c r="G3036" s="18">
        <f>IF(E3036=0,0,IF(Fixture!D41&lt;Fixture!F41,0,IF(Fixture!F41&lt;Fixture!D41,0,1)))</f>
        <v>0</v>
      </c>
      <c r="H3036" s="18">
        <f t="shared" si="639"/>
        <v>1</v>
      </c>
      <c r="I3036" s="64">
        <f t="shared" si="640"/>
        <v>0</v>
      </c>
      <c r="J3036" s="64">
        <f t="shared" si="641"/>
        <v>2</v>
      </c>
      <c r="K3036" s="63">
        <f t="shared" si="642"/>
        <v>1</v>
      </c>
      <c r="L3036" s="63">
        <f t="shared" si="643"/>
        <v>0</v>
      </c>
      <c r="N3036" s="10" t="str">
        <f t="shared" si="645"/>
        <v>Seattle Sounders FC6</v>
      </c>
      <c r="O3036" s="10">
        <f t="shared" si="646"/>
        <v>0</v>
      </c>
      <c r="P3036" s="10">
        <f t="shared" si="647"/>
        <v>0</v>
      </c>
      <c r="Q3036" s="10">
        <f t="shared" si="648"/>
        <v>2</v>
      </c>
    </row>
    <row r="3037" spans="1:17">
      <c r="A3037" s="15">
        <f t="shared" si="644"/>
        <v>6</v>
      </c>
      <c r="B3037" s="15"/>
      <c r="C3037" s="17" t="str">
        <f>Fixture!E42</f>
        <v>New York Red Bulls</v>
      </c>
      <c r="D3037" s="18">
        <f>IF(E3037=0,0,IF(Fixture!D42&lt;Fixture!F42,3,IF(Fixture!F42&lt;Fixture!D42,0,1)))</f>
        <v>3</v>
      </c>
      <c r="E3037" s="18">
        <f t="shared" si="638"/>
        <v>1</v>
      </c>
      <c r="F3037" s="18">
        <f>IF(E3037=0,0,IF(Fixture!D42&lt;Fixture!F42,1,IF(Fixture!F42&lt;Fixture!D42,0,0)))</f>
        <v>1</v>
      </c>
      <c r="G3037" s="18">
        <f>IF(E3037=0,0,IF(Fixture!D42&lt;Fixture!F42,0,IF(Fixture!F42&lt;Fixture!D42,0,1)))</f>
        <v>0</v>
      </c>
      <c r="H3037" s="18">
        <f t="shared" si="639"/>
        <v>0</v>
      </c>
      <c r="I3037" s="64">
        <f t="shared" si="640"/>
        <v>2</v>
      </c>
      <c r="J3037" s="64">
        <f t="shared" si="641"/>
        <v>0</v>
      </c>
      <c r="K3037" s="63">
        <f t="shared" si="642"/>
        <v>0</v>
      </c>
      <c r="L3037" s="63">
        <f t="shared" si="643"/>
        <v>1</v>
      </c>
      <c r="N3037" s="10" t="str">
        <f t="shared" si="645"/>
        <v>New York Red Bulls6</v>
      </c>
      <c r="O3037" s="10">
        <f t="shared" si="646"/>
        <v>3</v>
      </c>
      <c r="P3037" s="10">
        <f t="shared" si="647"/>
        <v>2</v>
      </c>
      <c r="Q3037" s="10">
        <f t="shared" si="648"/>
        <v>0</v>
      </c>
    </row>
    <row r="3038" spans="1:17">
      <c r="A3038" s="15">
        <f t="shared" si="644"/>
        <v>5</v>
      </c>
      <c r="B3038" s="15"/>
      <c r="C3038" s="17" t="str">
        <f>Fixture!E43</f>
        <v>Dallas</v>
      </c>
      <c r="D3038" s="18">
        <f>IF(E3038=0,0,IF(Fixture!D43&lt;Fixture!F43,3,IF(Fixture!F43&lt;Fixture!D43,0,1)))</f>
        <v>1</v>
      </c>
      <c r="E3038" s="18">
        <f t="shared" si="638"/>
        <v>1</v>
      </c>
      <c r="F3038" s="18">
        <f>IF(E3038=0,0,IF(Fixture!D43&lt;Fixture!F43,1,IF(Fixture!F43&lt;Fixture!D43,0,0)))</f>
        <v>0</v>
      </c>
      <c r="G3038" s="18">
        <f>IF(E3038=0,0,IF(Fixture!D43&lt;Fixture!F43,0,IF(Fixture!F43&lt;Fixture!D43,0,1)))</f>
        <v>1</v>
      </c>
      <c r="H3038" s="18">
        <f t="shared" si="639"/>
        <v>0</v>
      </c>
      <c r="I3038" s="64">
        <f t="shared" si="640"/>
        <v>1</v>
      </c>
      <c r="J3038" s="64">
        <f t="shared" si="641"/>
        <v>1</v>
      </c>
      <c r="K3038" s="63">
        <f t="shared" si="642"/>
        <v>0</v>
      </c>
      <c r="L3038" s="63">
        <f t="shared" si="643"/>
        <v>0</v>
      </c>
      <c r="N3038" s="10" t="str">
        <f t="shared" si="645"/>
        <v>Dallas5</v>
      </c>
      <c r="O3038" s="10">
        <f t="shared" si="646"/>
        <v>1</v>
      </c>
      <c r="P3038" s="10">
        <f t="shared" si="647"/>
        <v>1</v>
      </c>
      <c r="Q3038" s="10">
        <f t="shared" si="648"/>
        <v>1</v>
      </c>
    </row>
    <row r="3039" spans="1:17">
      <c r="A3039" s="15">
        <f t="shared" si="644"/>
        <v>6</v>
      </c>
      <c r="B3039" s="15"/>
      <c r="C3039" s="17" t="str">
        <f>Fixture!E44</f>
        <v>Chivas USA</v>
      </c>
      <c r="D3039" s="18">
        <f>IF(E3039=0,0,IF(Fixture!D44&lt;Fixture!F44,3,IF(Fixture!F44&lt;Fixture!D44,0,1)))</f>
        <v>1</v>
      </c>
      <c r="E3039" s="18">
        <f t="shared" si="638"/>
        <v>1</v>
      </c>
      <c r="F3039" s="18">
        <f>IF(E3039=0,0,IF(Fixture!D44&lt;Fixture!F44,1,IF(Fixture!F44&lt;Fixture!D44,0,0)))</f>
        <v>0</v>
      </c>
      <c r="G3039" s="18">
        <f>IF(E3039=0,0,IF(Fixture!D44&lt;Fixture!F44,0,IF(Fixture!F44&lt;Fixture!D44,0,1)))</f>
        <v>1</v>
      </c>
      <c r="H3039" s="18">
        <f t="shared" si="639"/>
        <v>0</v>
      </c>
      <c r="I3039" s="64">
        <f t="shared" si="640"/>
        <v>1</v>
      </c>
      <c r="J3039" s="64">
        <f t="shared" si="641"/>
        <v>1</v>
      </c>
      <c r="K3039" s="63">
        <f t="shared" si="642"/>
        <v>0</v>
      </c>
      <c r="L3039" s="63">
        <f t="shared" si="643"/>
        <v>0</v>
      </c>
      <c r="N3039" s="10" t="str">
        <f t="shared" si="645"/>
        <v>Chivas USA6</v>
      </c>
      <c r="O3039" s="10">
        <f t="shared" si="646"/>
        <v>1</v>
      </c>
      <c r="P3039" s="10">
        <f t="shared" si="647"/>
        <v>1</v>
      </c>
      <c r="Q3039" s="10">
        <f t="shared" si="648"/>
        <v>1</v>
      </c>
    </row>
    <row r="3040" spans="1:17">
      <c r="A3040" s="15">
        <f t="shared" si="644"/>
        <v>5</v>
      </c>
      <c r="B3040" s="15"/>
      <c r="C3040" s="17" t="str">
        <f>Fixture!E45</f>
        <v>Kansas City</v>
      </c>
      <c r="D3040" s="18">
        <f>IF(E3040=0,0,IF(Fixture!D45&lt;Fixture!F45,3,IF(Fixture!F45&lt;Fixture!D45,0,1)))</f>
        <v>0</v>
      </c>
      <c r="E3040" s="18">
        <f t="shared" si="638"/>
        <v>1</v>
      </c>
      <c r="F3040" s="18">
        <f>IF(E3040=0,0,IF(Fixture!D45&lt;Fixture!F45,1,IF(Fixture!F45&lt;Fixture!D45,0,0)))</f>
        <v>0</v>
      </c>
      <c r="G3040" s="18">
        <f>IF(E3040=0,0,IF(Fixture!D45&lt;Fixture!F45,0,IF(Fixture!F45&lt;Fixture!D45,0,1)))</f>
        <v>0</v>
      </c>
      <c r="H3040" s="18">
        <f t="shared" si="639"/>
        <v>1</v>
      </c>
      <c r="I3040" s="64">
        <f t="shared" si="640"/>
        <v>0</v>
      </c>
      <c r="J3040" s="64">
        <f t="shared" si="641"/>
        <v>3</v>
      </c>
      <c r="K3040" s="63">
        <f t="shared" si="642"/>
        <v>1</v>
      </c>
      <c r="L3040" s="63">
        <f t="shared" si="643"/>
        <v>0</v>
      </c>
      <c r="N3040" s="10" t="str">
        <f t="shared" si="645"/>
        <v>Kansas City5</v>
      </c>
      <c r="O3040" s="10">
        <f t="shared" si="646"/>
        <v>0</v>
      </c>
      <c r="P3040" s="10">
        <f t="shared" si="647"/>
        <v>0</v>
      </c>
      <c r="Q3040" s="10">
        <f t="shared" si="648"/>
        <v>3</v>
      </c>
    </row>
    <row r="3041" spans="1:17">
      <c r="A3041" s="15">
        <f t="shared" si="644"/>
        <v>6</v>
      </c>
      <c r="B3041" s="15"/>
      <c r="C3041" s="17" t="str">
        <f>Fixture!E46</f>
        <v>Toronto FC</v>
      </c>
      <c r="D3041" s="18">
        <f>IF(E3041=0,0,IF(Fixture!D46&lt;Fixture!F46,3,IF(Fixture!F46&lt;Fixture!D46,0,1)))</f>
        <v>0</v>
      </c>
      <c r="E3041" s="18">
        <f t="shared" si="638"/>
        <v>1</v>
      </c>
      <c r="F3041" s="18">
        <f>IF(E3041=0,0,IF(Fixture!D46&lt;Fixture!F46,1,IF(Fixture!F46&lt;Fixture!D46,0,0)))</f>
        <v>0</v>
      </c>
      <c r="G3041" s="18">
        <f>IF(E3041=0,0,IF(Fixture!D46&lt;Fixture!F46,0,IF(Fixture!F46&lt;Fixture!D46,0,1)))</f>
        <v>0</v>
      </c>
      <c r="H3041" s="18">
        <f t="shared" si="639"/>
        <v>1</v>
      </c>
      <c r="I3041" s="64">
        <f t="shared" si="640"/>
        <v>1</v>
      </c>
      <c r="J3041" s="64">
        <f t="shared" si="641"/>
        <v>2</v>
      </c>
      <c r="K3041" s="63">
        <f t="shared" si="642"/>
        <v>0</v>
      </c>
      <c r="L3041" s="63">
        <f t="shared" si="643"/>
        <v>0</v>
      </c>
      <c r="N3041" s="10" t="str">
        <f t="shared" si="645"/>
        <v>Toronto FC6</v>
      </c>
      <c r="O3041" s="10">
        <f t="shared" si="646"/>
        <v>0</v>
      </c>
      <c r="P3041" s="10">
        <f t="shared" si="647"/>
        <v>1</v>
      </c>
      <c r="Q3041" s="10">
        <f t="shared" si="648"/>
        <v>2</v>
      </c>
    </row>
    <row r="3042" spans="1:17">
      <c r="A3042" s="15">
        <f t="shared" si="644"/>
        <v>6</v>
      </c>
      <c r="B3042" s="15"/>
      <c r="C3042" s="17" t="str">
        <f>Fixture!E47</f>
        <v>Colorado</v>
      </c>
      <c r="D3042" s="18">
        <f>IF(E3042=0,0,IF(Fixture!D47&lt;Fixture!F47,3,IF(Fixture!F47&lt;Fixture!D47,0,1)))</f>
        <v>0</v>
      </c>
      <c r="E3042" s="18">
        <f t="shared" si="638"/>
        <v>1</v>
      </c>
      <c r="F3042" s="18">
        <f>IF(E3042=0,0,IF(Fixture!D47&lt;Fixture!F47,1,IF(Fixture!F47&lt;Fixture!D47,0,0)))</f>
        <v>0</v>
      </c>
      <c r="G3042" s="18">
        <f>IF(E3042=0,0,IF(Fixture!D47&lt;Fixture!F47,0,IF(Fixture!F47&lt;Fixture!D47,0,1)))</f>
        <v>0</v>
      </c>
      <c r="H3042" s="18">
        <f t="shared" si="639"/>
        <v>1</v>
      </c>
      <c r="I3042" s="64">
        <f t="shared" si="640"/>
        <v>0</v>
      </c>
      <c r="J3042" s="64">
        <f t="shared" si="641"/>
        <v>1</v>
      </c>
      <c r="K3042" s="63">
        <f t="shared" si="642"/>
        <v>1</v>
      </c>
      <c r="L3042" s="63">
        <f t="shared" si="643"/>
        <v>0</v>
      </c>
      <c r="N3042" s="10" t="str">
        <f t="shared" si="645"/>
        <v>Colorado6</v>
      </c>
      <c r="O3042" s="10">
        <f t="shared" si="646"/>
        <v>0</v>
      </c>
      <c r="P3042" s="10">
        <f t="shared" si="647"/>
        <v>0</v>
      </c>
      <c r="Q3042" s="10">
        <f t="shared" si="648"/>
        <v>1</v>
      </c>
    </row>
    <row r="3043" spans="1:17">
      <c r="A3043" s="15">
        <f t="shared" si="644"/>
        <v>5</v>
      </c>
      <c r="B3043" s="15"/>
      <c r="C3043" s="17" t="str">
        <f>Fixture!E48</f>
        <v>Philadelphia Union</v>
      </c>
      <c r="D3043" s="18">
        <f>IF(E3043=0,0,IF(Fixture!D48&lt;Fixture!F48,3,IF(Fixture!F48&lt;Fixture!D48,0,1)))</f>
        <v>0</v>
      </c>
      <c r="E3043" s="18">
        <f t="shared" si="638"/>
        <v>1</v>
      </c>
      <c r="F3043" s="18">
        <f>IF(E3043=0,0,IF(Fixture!D48&lt;Fixture!F48,1,IF(Fixture!F48&lt;Fixture!D48,0,0)))</f>
        <v>0</v>
      </c>
      <c r="G3043" s="18">
        <f>IF(E3043=0,0,IF(Fixture!D48&lt;Fixture!F48,0,IF(Fixture!F48&lt;Fixture!D48,0,1)))</f>
        <v>0</v>
      </c>
      <c r="H3043" s="18">
        <f t="shared" si="639"/>
        <v>1</v>
      </c>
      <c r="I3043" s="64">
        <f t="shared" si="640"/>
        <v>1</v>
      </c>
      <c r="J3043" s="64">
        <f t="shared" si="641"/>
        <v>3</v>
      </c>
      <c r="K3043" s="63">
        <f t="shared" si="642"/>
        <v>0</v>
      </c>
      <c r="L3043" s="63">
        <f t="shared" si="643"/>
        <v>0</v>
      </c>
      <c r="N3043" s="10" t="str">
        <f t="shared" si="645"/>
        <v>Philadelphia Union5</v>
      </c>
      <c r="O3043" s="10">
        <f t="shared" si="646"/>
        <v>0</v>
      </c>
      <c r="P3043" s="10">
        <f t="shared" si="647"/>
        <v>1</v>
      </c>
      <c r="Q3043" s="10">
        <f t="shared" si="648"/>
        <v>3</v>
      </c>
    </row>
    <row r="3044" spans="1:17">
      <c r="A3044" s="15">
        <f t="shared" si="644"/>
        <v>4</v>
      </c>
      <c r="B3044" s="15"/>
      <c r="C3044" s="17" t="str">
        <f>Fixture!E49</f>
        <v>Columbus</v>
      </c>
      <c r="D3044" s="18">
        <f>IF(E3044=0,0,IF(Fixture!D49&lt;Fixture!F49,3,IF(Fixture!F49&lt;Fixture!D49,0,1)))</f>
        <v>1</v>
      </c>
      <c r="E3044" s="18">
        <f t="shared" si="638"/>
        <v>1</v>
      </c>
      <c r="F3044" s="18">
        <f>IF(E3044=0,0,IF(Fixture!D49&lt;Fixture!F49,1,IF(Fixture!F49&lt;Fixture!D49,0,0)))</f>
        <v>0</v>
      </c>
      <c r="G3044" s="18">
        <f>IF(E3044=0,0,IF(Fixture!D49&lt;Fixture!F49,0,IF(Fixture!F49&lt;Fixture!D49,0,1)))</f>
        <v>1</v>
      </c>
      <c r="H3044" s="18">
        <f t="shared" si="639"/>
        <v>0</v>
      </c>
      <c r="I3044" s="64">
        <f t="shared" si="640"/>
        <v>1</v>
      </c>
      <c r="J3044" s="64">
        <f t="shared" si="641"/>
        <v>1</v>
      </c>
      <c r="K3044" s="63">
        <f t="shared" si="642"/>
        <v>0</v>
      </c>
      <c r="L3044" s="63">
        <f t="shared" si="643"/>
        <v>0</v>
      </c>
      <c r="N3044" s="10" t="str">
        <f t="shared" si="645"/>
        <v>Columbus4</v>
      </c>
      <c r="O3044" s="10">
        <f t="shared" si="646"/>
        <v>1</v>
      </c>
      <c r="P3044" s="10">
        <f t="shared" si="647"/>
        <v>1</v>
      </c>
      <c r="Q3044" s="10">
        <f t="shared" si="648"/>
        <v>1</v>
      </c>
    </row>
    <row r="3045" spans="1:17">
      <c r="A3045" s="15">
        <f t="shared" si="644"/>
        <v>6</v>
      </c>
      <c r="B3045" s="15"/>
      <c r="C3045" s="17" t="str">
        <f>Fixture!E50</f>
        <v>Kansas City</v>
      </c>
      <c r="D3045" s="18">
        <f>IF(E3045=0,0,IF(Fixture!D50&lt;Fixture!F50,3,IF(Fixture!F50&lt;Fixture!D50,0,1)))</f>
        <v>0</v>
      </c>
      <c r="E3045" s="18">
        <f t="shared" si="638"/>
        <v>1</v>
      </c>
      <c r="F3045" s="18">
        <f>IF(E3045=0,0,IF(Fixture!D50&lt;Fixture!F50,1,IF(Fixture!F50&lt;Fixture!D50,0,0)))</f>
        <v>0</v>
      </c>
      <c r="G3045" s="18">
        <f>IF(E3045=0,0,IF(Fixture!D50&lt;Fixture!F50,0,IF(Fixture!F50&lt;Fixture!D50,0,1)))</f>
        <v>0</v>
      </c>
      <c r="H3045" s="18">
        <f t="shared" si="639"/>
        <v>1</v>
      </c>
      <c r="I3045" s="64">
        <f t="shared" si="640"/>
        <v>1</v>
      </c>
      <c r="J3045" s="64">
        <f t="shared" si="641"/>
        <v>2</v>
      </c>
      <c r="K3045" s="63">
        <f t="shared" si="642"/>
        <v>0</v>
      </c>
      <c r="L3045" s="63">
        <f t="shared" si="643"/>
        <v>0</v>
      </c>
      <c r="N3045" s="10" t="str">
        <f t="shared" si="645"/>
        <v>Kansas City6</v>
      </c>
      <c r="O3045" s="10">
        <f t="shared" si="646"/>
        <v>0</v>
      </c>
      <c r="P3045" s="10">
        <f t="shared" si="647"/>
        <v>1</v>
      </c>
      <c r="Q3045" s="10">
        <f t="shared" si="648"/>
        <v>2</v>
      </c>
    </row>
    <row r="3046" spans="1:17">
      <c r="A3046" s="15">
        <f t="shared" si="644"/>
        <v>7</v>
      </c>
      <c r="B3046" s="15"/>
      <c r="C3046" s="17" t="str">
        <f>Fixture!E51</f>
        <v>Chivas USA</v>
      </c>
      <c r="D3046" s="18">
        <f>IF(E3046=0,0,IF(Fixture!D51&lt;Fixture!F51,3,IF(Fixture!F51&lt;Fixture!D51,0,1)))</f>
        <v>3</v>
      </c>
      <c r="E3046" s="18">
        <f t="shared" si="638"/>
        <v>1</v>
      </c>
      <c r="F3046" s="18">
        <f>IF(E3046=0,0,IF(Fixture!D51&lt;Fixture!F51,1,IF(Fixture!F51&lt;Fixture!D51,0,0)))</f>
        <v>1</v>
      </c>
      <c r="G3046" s="18">
        <f>IF(E3046=0,0,IF(Fixture!D51&lt;Fixture!F51,0,IF(Fixture!F51&lt;Fixture!D51,0,1)))</f>
        <v>0</v>
      </c>
      <c r="H3046" s="18">
        <f t="shared" si="639"/>
        <v>0</v>
      </c>
      <c r="I3046" s="64">
        <f t="shared" si="640"/>
        <v>4</v>
      </c>
      <c r="J3046" s="64">
        <f t="shared" si="641"/>
        <v>0</v>
      </c>
      <c r="K3046" s="63">
        <f t="shared" si="642"/>
        <v>0</v>
      </c>
      <c r="L3046" s="63">
        <f t="shared" si="643"/>
        <v>1</v>
      </c>
      <c r="N3046" s="10" t="str">
        <f t="shared" si="645"/>
        <v>Chivas USA7</v>
      </c>
      <c r="O3046" s="10">
        <f t="shared" si="646"/>
        <v>3</v>
      </c>
      <c r="P3046" s="10">
        <f t="shared" si="647"/>
        <v>4</v>
      </c>
      <c r="Q3046" s="10">
        <f t="shared" si="648"/>
        <v>0</v>
      </c>
    </row>
    <row r="3047" spans="1:17">
      <c r="A3047" s="15">
        <f t="shared" si="644"/>
        <v>6</v>
      </c>
      <c r="B3047" s="15"/>
      <c r="C3047" s="17" t="str">
        <f>Fixture!E52</f>
        <v>Dallas</v>
      </c>
      <c r="D3047" s="18">
        <f>IF(E3047=0,0,IF(Fixture!D52&lt;Fixture!F52,3,IF(Fixture!F52&lt;Fixture!D52,0,1)))</f>
        <v>3</v>
      </c>
      <c r="E3047" s="18">
        <f t="shared" si="638"/>
        <v>1</v>
      </c>
      <c r="F3047" s="18">
        <f>IF(E3047=0,0,IF(Fixture!D52&lt;Fixture!F52,1,IF(Fixture!F52&lt;Fixture!D52,0,0)))</f>
        <v>1</v>
      </c>
      <c r="G3047" s="18">
        <f>IF(E3047=0,0,IF(Fixture!D52&lt;Fixture!F52,0,IF(Fixture!F52&lt;Fixture!D52,0,1)))</f>
        <v>0</v>
      </c>
      <c r="H3047" s="18">
        <f t="shared" si="639"/>
        <v>0</v>
      </c>
      <c r="I3047" s="64">
        <f t="shared" si="640"/>
        <v>1</v>
      </c>
      <c r="J3047" s="64">
        <f t="shared" si="641"/>
        <v>0</v>
      </c>
      <c r="K3047" s="63">
        <f t="shared" si="642"/>
        <v>0</v>
      </c>
      <c r="L3047" s="63">
        <f t="shared" si="643"/>
        <v>1</v>
      </c>
      <c r="N3047" s="10" t="str">
        <f t="shared" si="645"/>
        <v>Dallas6</v>
      </c>
      <c r="O3047" s="10">
        <f t="shared" si="646"/>
        <v>3</v>
      </c>
      <c r="P3047" s="10">
        <f t="shared" si="647"/>
        <v>1</v>
      </c>
      <c r="Q3047" s="10">
        <f t="shared" si="648"/>
        <v>0</v>
      </c>
    </row>
    <row r="3048" spans="1:17">
      <c r="A3048" s="15">
        <f t="shared" si="644"/>
        <v>7</v>
      </c>
      <c r="B3048" s="15"/>
      <c r="C3048" s="17" t="str">
        <f>Fixture!E53</f>
        <v>Los Angeles</v>
      </c>
      <c r="D3048" s="18">
        <f>IF(E3048=0,0,IF(Fixture!D53&lt;Fixture!F53,3,IF(Fixture!F53&lt;Fixture!D53,0,1)))</f>
        <v>3</v>
      </c>
      <c r="E3048" s="18">
        <f t="shared" si="638"/>
        <v>1</v>
      </c>
      <c r="F3048" s="18">
        <f>IF(E3048=0,0,IF(Fixture!D53&lt;Fixture!F53,1,IF(Fixture!F53&lt;Fixture!D53,0,0)))</f>
        <v>1</v>
      </c>
      <c r="G3048" s="18">
        <f>IF(E3048=0,0,IF(Fixture!D53&lt;Fixture!F53,0,IF(Fixture!F53&lt;Fixture!D53,0,1)))</f>
        <v>0</v>
      </c>
      <c r="H3048" s="18">
        <f t="shared" si="639"/>
        <v>0</v>
      </c>
      <c r="I3048" s="64">
        <f t="shared" si="640"/>
        <v>1</v>
      </c>
      <c r="J3048" s="64">
        <f t="shared" si="641"/>
        <v>0</v>
      </c>
      <c r="K3048" s="63">
        <f t="shared" si="642"/>
        <v>0</v>
      </c>
      <c r="L3048" s="63">
        <f t="shared" si="643"/>
        <v>1</v>
      </c>
      <c r="N3048" s="10" t="str">
        <f t="shared" si="645"/>
        <v>Los Angeles7</v>
      </c>
      <c r="O3048" s="10">
        <f t="shared" si="646"/>
        <v>3</v>
      </c>
      <c r="P3048" s="10">
        <f t="shared" si="647"/>
        <v>1</v>
      </c>
      <c r="Q3048" s="10">
        <f t="shared" si="648"/>
        <v>0</v>
      </c>
    </row>
    <row r="3049" spans="1:17">
      <c r="A3049" s="15">
        <f t="shared" si="644"/>
        <v>6</v>
      </c>
      <c r="B3049" s="15"/>
      <c r="C3049" s="17" t="str">
        <f>Fixture!E54</f>
        <v>Philadelphia Union</v>
      </c>
      <c r="D3049" s="18">
        <f>IF(E3049=0,0,IF(Fixture!D54&lt;Fixture!F54,3,IF(Fixture!F54&lt;Fixture!D54,0,1)))</f>
        <v>0</v>
      </c>
      <c r="E3049" s="18">
        <f t="shared" si="638"/>
        <v>1</v>
      </c>
      <c r="F3049" s="18">
        <f>IF(E3049=0,0,IF(Fixture!D54&lt;Fixture!F54,1,IF(Fixture!F54&lt;Fixture!D54,0,0)))</f>
        <v>0</v>
      </c>
      <c r="G3049" s="18">
        <f>IF(E3049=0,0,IF(Fixture!D54&lt;Fixture!F54,0,IF(Fixture!F54&lt;Fixture!D54,0,1)))</f>
        <v>0</v>
      </c>
      <c r="H3049" s="18">
        <f t="shared" si="639"/>
        <v>1</v>
      </c>
      <c r="I3049" s="64">
        <f t="shared" si="640"/>
        <v>0</v>
      </c>
      <c r="J3049" s="64">
        <f t="shared" si="641"/>
        <v>3</v>
      </c>
      <c r="K3049" s="63">
        <f t="shared" si="642"/>
        <v>1</v>
      </c>
      <c r="L3049" s="63">
        <f t="shared" si="643"/>
        <v>0</v>
      </c>
      <c r="N3049" s="10" t="str">
        <f t="shared" si="645"/>
        <v>Philadelphia Union6</v>
      </c>
      <c r="O3049" s="10">
        <f t="shared" si="646"/>
        <v>0</v>
      </c>
      <c r="P3049" s="10">
        <f t="shared" si="647"/>
        <v>0</v>
      </c>
      <c r="Q3049" s="10">
        <f t="shared" si="648"/>
        <v>3</v>
      </c>
    </row>
    <row r="3050" spans="1:17">
      <c r="A3050" s="15">
        <f t="shared" si="644"/>
        <v>8</v>
      </c>
      <c r="B3050" s="15"/>
      <c r="C3050" s="17" t="str">
        <f>Fixture!E55</f>
        <v>Los Angeles</v>
      </c>
      <c r="D3050" s="18">
        <f>IF(E3050=0,0,IF(Fixture!D55&lt;Fixture!F55,3,IF(Fixture!F55&lt;Fixture!D55,0,1)))</f>
        <v>3</v>
      </c>
      <c r="E3050" s="18">
        <f t="shared" si="638"/>
        <v>1</v>
      </c>
      <c r="F3050" s="18">
        <f>IF(E3050=0,0,IF(Fixture!D55&lt;Fixture!F55,1,IF(Fixture!F55&lt;Fixture!D55,0,0)))</f>
        <v>1</v>
      </c>
      <c r="G3050" s="18">
        <f>IF(E3050=0,0,IF(Fixture!D55&lt;Fixture!F55,0,IF(Fixture!F55&lt;Fixture!D55,0,1)))</f>
        <v>0</v>
      </c>
      <c r="H3050" s="18">
        <f t="shared" si="639"/>
        <v>0</v>
      </c>
      <c r="I3050" s="64">
        <f t="shared" si="640"/>
        <v>4</v>
      </c>
      <c r="J3050" s="64">
        <f t="shared" si="641"/>
        <v>0</v>
      </c>
      <c r="K3050" s="63">
        <f t="shared" si="642"/>
        <v>0</v>
      </c>
      <c r="L3050" s="63">
        <f t="shared" si="643"/>
        <v>1</v>
      </c>
      <c r="N3050" s="10" t="str">
        <f t="shared" si="645"/>
        <v>Los Angeles8</v>
      </c>
      <c r="O3050" s="10">
        <f t="shared" si="646"/>
        <v>3</v>
      </c>
      <c r="P3050" s="10">
        <f t="shared" si="647"/>
        <v>4</v>
      </c>
      <c r="Q3050" s="10">
        <f t="shared" si="648"/>
        <v>0</v>
      </c>
    </row>
    <row r="3051" spans="1:17">
      <c r="A3051" s="15">
        <f t="shared" si="644"/>
        <v>7</v>
      </c>
      <c r="B3051" s="15"/>
      <c r="C3051" s="17" t="str">
        <f>Fixture!E56</f>
        <v>Chicago</v>
      </c>
      <c r="D3051" s="18">
        <f>IF(E3051=0,0,IF(Fixture!D56&lt;Fixture!F56,3,IF(Fixture!F56&lt;Fixture!D56,0,1)))</f>
        <v>0</v>
      </c>
      <c r="E3051" s="18">
        <f t="shared" si="638"/>
        <v>1</v>
      </c>
      <c r="F3051" s="18">
        <f>IF(E3051=0,0,IF(Fixture!D56&lt;Fixture!F56,1,IF(Fixture!F56&lt;Fixture!D56,0,0)))</f>
        <v>0</v>
      </c>
      <c r="G3051" s="18">
        <f>IF(E3051=0,0,IF(Fixture!D56&lt;Fixture!F56,0,IF(Fixture!F56&lt;Fixture!D56,0,1)))</f>
        <v>0</v>
      </c>
      <c r="H3051" s="18">
        <f t="shared" si="639"/>
        <v>1</v>
      </c>
      <c r="I3051" s="64">
        <f t="shared" si="640"/>
        <v>1</v>
      </c>
      <c r="J3051" s="64">
        <f t="shared" si="641"/>
        <v>4</v>
      </c>
      <c r="K3051" s="63">
        <f t="shared" si="642"/>
        <v>0</v>
      </c>
      <c r="L3051" s="63">
        <f t="shared" si="643"/>
        <v>0</v>
      </c>
      <c r="N3051" s="10" t="str">
        <f t="shared" si="645"/>
        <v>Chicago7</v>
      </c>
      <c r="O3051" s="10">
        <f t="shared" si="646"/>
        <v>0</v>
      </c>
      <c r="P3051" s="10">
        <f t="shared" si="647"/>
        <v>1</v>
      </c>
      <c r="Q3051" s="10">
        <f t="shared" si="648"/>
        <v>4</v>
      </c>
    </row>
    <row r="3052" spans="1:17">
      <c r="A3052" s="15">
        <f t="shared" si="644"/>
        <v>8</v>
      </c>
      <c r="B3052" s="15"/>
      <c r="C3052" s="17" t="str">
        <f>Fixture!E57</f>
        <v>New England</v>
      </c>
      <c r="D3052" s="18">
        <f>IF(E3052=0,0,IF(Fixture!D57&lt;Fixture!F57,3,IF(Fixture!F57&lt;Fixture!D57,0,1)))</f>
        <v>0</v>
      </c>
      <c r="E3052" s="18">
        <f t="shared" si="638"/>
        <v>1</v>
      </c>
      <c r="F3052" s="18">
        <f>IF(E3052=0,0,IF(Fixture!D57&lt;Fixture!F57,1,IF(Fixture!F57&lt;Fixture!D57,0,0)))</f>
        <v>0</v>
      </c>
      <c r="G3052" s="18">
        <f>IF(E3052=0,0,IF(Fixture!D57&lt;Fixture!F57,0,IF(Fixture!F57&lt;Fixture!D57,0,1)))</f>
        <v>0</v>
      </c>
      <c r="H3052" s="18">
        <f t="shared" si="639"/>
        <v>1</v>
      </c>
      <c r="I3052" s="64">
        <f t="shared" si="640"/>
        <v>2</v>
      </c>
      <c r="J3052" s="64">
        <f t="shared" si="641"/>
        <v>3</v>
      </c>
      <c r="K3052" s="63">
        <f t="shared" si="642"/>
        <v>0</v>
      </c>
      <c r="L3052" s="63">
        <f t="shared" si="643"/>
        <v>0</v>
      </c>
      <c r="N3052" s="10" t="str">
        <f t="shared" si="645"/>
        <v>New England8</v>
      </c>
      <c r="O3052" s="10">
        <f t="shared" si="646"/>
        <v>0</v>
      </c>
      <c r="P3052" s="10">
        <f t="shared" si="647"/>
        <v>2</v>
      </c>
      <c r="Q3052" s="10">
        <f t="shared" si="648"/>
        <v>3</v>
      </c>
    </row>
    <row r="3053" spans="1:17">
      <c r="A3053" s="15">
        <f t="shared" si="644"/>
        <v>7</v>
      </c>
      <c r="B3053" s="15"/>
      <c r="C3053" s="17" t="str">
        <f>Fixture!E58</f>
        <v>DC United</v>
      </c>
      <c r="D3053" s="18">
        <f>IF(E3053=0,0,IF(Fixture!D58&lt;Fixture!F58,3,IF(Fixture!F58&lt;Fixture!D58,0,1)))</f>
        <v>0</v>
      </c>
      <c r="E3053" s="18">
        <f t="shared" si="638"/>
        <v>1</v>
      </c>
      <c r="F3053" s="18">
        <f>IF(E3053=0,0,IF(Fixture!D58&lt;Fixture!F58,1,IF(Fixture!F58&lt;Fixture!D58,0,0)))</f>
        <v>0</v>
      </c>
      <c r="G3053" s="18">
        <f>IF(E3053=0,0,IF(Fixture!D58&lt;Fixture!F58,0,IF(Fixture!F58&lt;Fixture!D58,0,1)))</f>
        <v>0</v>
      </c>
      <c r="H3053" s="18">
        <f t="shared" si="639"/>
        <v>1</v>
      </c>
      <c r="I3053" s="64">
        <f t="shared" si="640"/>
        <v>0</v>
      </c>
      <c r="J3053" s="64">
        <f t="shared" si="641"/>
        <v>1</v>
      </c>
      <c r="K3053" s="63">
        <f t="shared" si="642"/>
        <v>1</v>
      </c>
      <c r="L3053" s="63">
        <f t="shared" si="643"/>
        <v>0</v>
      </c>
      <c r="N3053" s="10" t="str">
        <f t="shared" si="645"/>
        <v>DC United7</v>
      </c>
      <c r="O3053" s="10">
        <f t="shared" si="646"/>
        <v>0</v>
      </c>
      <c r="P3053" s="10">
        <f t="shared" si="647"/>
        <v>0</v>
      </c>
      <c r="Q3053" s="10">
        <f t="shared" si="648"/>
        <v>1</v>
      </c>
    </row>
    <row r="3054" spans="1:17">
      <c r="A3054" s="15">
        <f t="shared" si="644"/>
        <v>7</v>
      </c>
      <c r="B3054" s="15"/>
      <c r="C3054" s="17" t="str">
        <f>Fixture!E59</f>
        <v>New York Red Bulls</v>
      </c>
      <c r="D3054" s="18">
        <f>IF(E3054=0,0,IF(Fixture!D59&lt;Fixture!F59,3,IF(Fixture!F59&lt;Fixture!D59,0,1)))</f>
        <v>0</v>
      </c>
      <c r="E3054" s="18">
        <f t="shared" si="638"/>
        <v>1</v>
      </c>
      <c r="F3054" s="18">
        <f>IF(E3054=0,0,IF(Fixture!D59&lt;Fixture!F59,1,IF(Fixture!F59&lt;Fixture!D59,0,0)))</f>
        <v>0</v>
      </c>
      <c r="G3054" s="18">
        <f>IF(E3054=0,0,IF(Fixture!D59&lt;Fixture!F59,0,IF(Fixture!F59&lt;Fixture!D59,0,1)))</f>
        <v>0</v>
      </c>
      <c r="H3054" s="18">
        <f t="shared" si="639"/>
        <v>1</v>
      </c>
      <c r="I3054" s="64">
        <f t="shared" si="640"/>
        <v>0</v>
      </c>
      <c r="J3054" s="64">
        <f t="shared" si="641"/>
        <v>4</v>
      </c>
      <c r="K3054" s="63">
        <f t="shared" si="642"/>
        <v>1</v>
      </c>
      <c r="L3054" s="63">
        <f t="shared" si="643"/>
        <v>0</v>
      </c>
      <c r="N3054" s="10" t="str">
        <f t="shared" si="645"/>
        <v>New York Red Bulls7</v>
      </c>
      <c r="O3054" s="10">
        <f t="shared" si="646"/>
        <v>0</v>
      </c>
      <c r="P3054" s="10">
        <f t="shared" si="647"/>
        <v>0</v>
      </c>
      <c r="Q3054" s="10">
        <f t="shared" si="648"/>
        <v>4</v>
      </c>
    </row>
    <row r="3055" spans="1:17">
      <c r="A3055" s="15">
        <f t="shared" si="644"/>
        <v>8</v>
      </c>
      <c r="B3055" s="15"/>
      <c r="C3055" s="17" t="str">
        <f>Fixture!E60</f>
        <v>Houston</v>
      </c>
      <c r="D3055" s="18">
        <f>IF(E3055=0,0,IF(Fixture!D60&lt;Fixture!F60,3,IF(Fixture!F60&lt;Fixture!D60,0,1)))</f>
        <v>3</v>
      </c>
      <c r="E3055" s="18">
        <f t="shared" si="638"/>
        <v>1</v>
      </c>
      <c r="F3055" s="18">
        <f>IF(E3055=0,0,IF(Fixture!D60&lt;Fixture!F60,1,IF(Fixture!F60&lt;Fixture!D60,0,0)))</f>
        <v>1</v>
      </c>
      <c r="G3055" s="18">
        <f>IF(E3055=0,0,IF(Fixture!D60&lt;Fixture!F60,0,IF(Fixture!F60&lt;Fixture!D60,0,1)))</f>
        <v>0</v>
      </c>
      <c r="H3055" s="18">
        <f t="shared" si="639"/>
        <v>0</v>
      </c>
      <c r="I3055" s="64">
        <f t="shared" si="640"/>
        <v>2</v>
      </c>
      <c r="J3055" s="64">
        <f t="shared" si="641"/>
        <v>0</v>
      </c>
      <c r="K3055" s="63">
        <f t="shared" si="642"/>
        <v>0</v>
      </c>
      <c r="L3055" s="63">
        <f t="shared" si="643"/>
        <v>1</v>
      </c>
      <c r="N3055" s="10" t="str">
        <f t="shared" si="645"/>
        <v>Houston8</v>
      </c>
      <c r="O3055" s="10">
        <f t="shared" si="646"/>
        <v>3</v>
      </c>
      <c r="P3055" s="10">
        <f t="shared" si="647"/>
        <v>2</v>
      </c>
      <c r="Q3055" s="10">
        <f t="shared" si="648"/>
        <v>0</v>
      </c>
    </row>
    <row r="3056" spans="1:17">
      <c r="A3056" s="15">
        <f t="shared" si="644"/>
        <v>9</v>
      </c>
      <c r="B3056" s="15"/>
      <c r="C3056" s="17" t="str">
        <f>Fixture!E61</f>
        <v>Houston</v>
      </c>
      <c r="D3056" s="18">
        <f>IF(E3056=0,0,IF(Fixture!D61&lt;Fixture!F61,3,IF(Fixture!F61&lt;Fixture!D61,0,1)))</f>
        <v>0</v>
      </c>
      <c r="E3056" s="18">
        <f t="shared" si="638"/>
        <v>1</v>
      </c>
      <c r="F3056" s="18">
        <f>IF(E3056=0,0,IF(Fixture!D61&lt;Fixture!F61,1,IF(Fixture!F61&lt;Fixture!D61,0,0)))</f>
        <v>0</v>
      </c>
      <c r="G3056" s="18">
        <f>IF(E3056=0,0,IF(Fixture!D61&lt;Fixture!F61,0,IF(Fixture!F61&lt;Fixture!D61,0,1)))</f>
        <v>0</v>
      </c>
      <c r="H3056" s="18">
        <f t="shared" si="639"/>
        <v>1</v>
      </c>
      <c r="I3056" s="64">
        <f t="shared" si="640"/>
        <v>1</v>
      </c>
      <c r="J3056" s="64">
        <f t="shared" si="641"/>
        <v>3</v>
      </c>
      <c r="K3056" s="63">
        <f t="shared" si="642"/>
        <v>0</v>
      </c>
      <c r="L3056" s="63">
        <f t="shared" si="643"/>
        <v>0</v>
      </c>
      <c r="N3056" s="10" t="str">
        <f t="shared" si="645"/>
        <v>Houston9</v>
      </c>
      <c r="O3056" s="10">
        <f t="shared" si="646"/>
        <v>0</v>
      </c>
      <c r="P3056" s="10">
        <f t="shared" si="647"/>
        <v>1</v>
      </c>
      <c r="Q3056" s="10">
        <f t="shared" si="648"/>
        <v>3</v>
      </c>
    </row>
    <row r="3057" spans="1:17">
      <c r="A3057" s="15">
        <f t="shared" si="644"/>
        <v>8</v>
      </c>
      <c r="B3057" s="15"/>
      <c r="C3057" s="17" t="str">
        <f>Fixture!E62</f>
        <v>Dallas</v>
      </c>
      <c r="D3057" s="18">
        <f>IF(E3057=0,0,IF(Fixture!D62&lt;Fixture!F62,3,IF(Fixture!F62&lt;Fixture!D62,0,1)))</f>
        <v>1</v>
      </c>
      <c r="E3057" s="18">
        <f t="shared" si="638"/>
        <v>1</v>
      </c>
      <c r="F3057" s="18">
        <f>IF(E3057=0,0,IF(Fixture!D62&lt;Fixture!F62,1,IF(Fixture!F62&lt;Fixture!D62,0,0)))</f>
        <v>0</v>
      </c>
      <c r="G3057" s="18">
        <f>IF(E3057=0,0,IF(Fixture!D62&lt;Fixture!F62,0,IF(Fixture!F62&lt;Fixture!D62,0,1)))</f>
        <v>1</v>
      </c>
      <c r="H3057" s="18">
        <f t="shared" si="639"/>
        <v>0</v>
      </c>
      <c r="I3057" s="64">
        <f t="shared" si="640"/>
        <v>1</v>
      </c>
      <c r="J3057" s="64">
        <f t="shared" si="641"/>
        <v>1</v>
      </c>
      <c r="K3057" s="63">
        <f t="shared" si="642"/>
        <v>0</v>
      </c>
      <c r="L3057" s="63">
        <f t="shared" si="643"/>
        <v>0</v>
      </c>
      <c r="N3057" s="10" t="str">
        <f t="shared" si="645"/>
        <v>Dallas8</v>
      </c>
      <c r="O3057" s="10">
        <f t="shared" si="646"/>
        <v>1</v>
      </c>
      <c r="P3057" s="10">
        <f t="shared" si="647"/>
        <v>1</v>
      </c>
      <c r="Q3057" s="10">
        <f t="shared" si="648"/>
        <v>1</v>
      </c>
    </row>
    <row r="3058" spans="1:17">
      <c r="A3058" s="15">
        <f t="shared" si="644"/>
        <v>7</v>
      </c>
      <c r="B3058" s="15"/>
      <c r="C3058" s="17" t="str">
        <f>Fixture!E63</f>
        <v>San Jose</v>
      </c>
      <c r="D3058" s="18">
        <f>IF(E3058=0,0,IF(Fixture!D63&lt;Fixture!F63,3,IF(Fixture!F63&lt;Fixture!D63,0,1)))</f>
        <v>1</v>
      </c>
      <c r="E3058" s="18">
        <f t="shared" si="638"/>
        <v>1</v>
      </c>
      <c r="F3058" s="18">
        <f>IF(E3058=0,0,IF(Fixture!D63&lt;Fixture!F63,1,IF(Fixture!F63&lt;Fixture!D63,0,0)))</f>
        <v>0</v>
      </c>
      <c r="G3058" s="18">
        <f>IF(E3058=0,0,IF(Fixture!D63&lt;Fixture!F63,0,IF(Fixture!F63&lt;Fixture!D63,0,1)))</f>
        <v>1</v>
      </c>
      <c r="H3058" s="18">
        <f t="shared" si="639"/>
        <v>0</v>
      </c>
      <c r="I3058" s="64">
        <f t="shared" si="640"/>
        <v>0</v>
      </c>
      <c r="J3058" s="64">
        <f t="shared" si="641"/>
        <v>0</v>
      </c>
      <c r="K3058" s="63">
        <f t="shared" si="642"/>
        <v>1</v>
      </c>
      <c r="L3058" s="63">
        <f t="shared" si="643"/>
        <v>1</v>
      </c>
      <c r="N3058" s="10" t="str">
        <f t="shared" si="645"/>
        <v>San Jose7</v>
      </c>
      <c r="O3058" s="10">
        <f t="shared" si="646"/>
        <v>1</v>
      </c>
      <c r="P3058" s="10">
        <f t="shared" si="647"/>
        <v>0</v>
      </c>
      <c r="Q3058" s="10">
        <f t="shared" si="648"/>
        <v>0</v>
      </c>
    </row>
    <row r="3059" spans="1:17">
      <c r="A3059" s="15">
        <f t="shared" si="644"/>
        <v>9</v>
      </c>
      <c r="B3059" s="15"/>
      <c r="C3059" s="17" t="str">
        <f>Fixture!E64</f>
        <v>Chivas USA</v>
      </c>
      <c r="D3059" s="18">
        <f>IF(E3059=0,0,IF(Fixture!D64&lt;Fixture!F64,3,IF(Fixture!F64&lt;Fixture!D64,0,1)))</f>
        <v>0</v>
      </c>
      <c r="E3059" s="18">
        <f t="shared" si="638"/>
        <v>1</v>
      </c>
      <c r="F3059" s="18">
        <f>IF(E3059=0,0,IF(Fixture!D64&lt;Fixture!F64,1,IF(Fixture!F64&lt;Fixture!D64,0,0)))</f>
        <v>0</v>
      </c>
      <c r="G3059" s="18">
        <f>IF(E3059=0,0,IF(Fixture!D64&lt;Fixture!F64,0,IF(Fixture!F64&lt;Fixture!D64,0,1)))</f>
        <v>0</v>
      </c>
      <c r="H3059" s="18">
        <f t="shared" si="639"/>
        <v>1</v>
      </c>
      <c r="I3059" s="64">
        <f t="shared" si="640"/>
        <v>0</v>
      </c>
      <c r="J3059" s="64">
        <f t="shared" si="641"/>
        <v>1</v>
      </c>
      <c r="K3059" s="63">
        <f t="shared" si="642"/>
        <v>1</v>
      </c>
      <c r="L3059" s="63">
        <f t="shared" si="643"/>
        <v>0</v>
      </c>
      <c r="N3059" s="10" t="str">
        <f t="shared" si="645"/>
        <v>Chivas USA9</v>
      </c>
      <c r="O3059" s="10">
        <f t="shared" si="646"/>
        <v>0</v>
      </c>
      <c r="P3059" s="10">
        <f t="shared" si="647"/>
        <v>0</v>
      </c>
      <c r="Q3059" s="10">
        <f t="shared" si="648"/>
        <v>1</v>
      </c>
    </row>
    <row r="3060" spans="1:17">
      <c r="A3060" s="15">
        <f t="shared" si="644"/>
        <v>8</v>
      </c>
      <c r="B3060" s="15"/>
      <c r="C3060" s="17" t="str">
        <f>Fixture!E65</f>
        <v>Colorado</v>
      </c>
      <c r="D3060" s="18">
        <f>IF(E3060=0,0,IF(Fixture!D65&lt;Fixture!F65,3,IF(Fixture!F65&lt;Fixture!D65,0,1)))</f>
        <v>3</v>
      </c>
      <c r="E3060" s="18">
        <f t="shared" si="638"/>
        <v>1</v>
      </c>
      <c r="F3060" s="18">
        <f>IF(E3060=0,0,IF(Fixture!D65&lt;Fixture!F65,1,IF(Fixture!F65&lt;Fixture!D65,0,0)))</f>
        <v>1</v>
      </c>
      <c r="G3060" s="18">
        <f>IF(E3060=0,0,IF(Fixture!D65&lt;Fixture!F65,0,IF(Fixture!F65&lt;Fixture!D65,0,1)))</f>
        <v>0</v>
      </c>
      <c r="H3060" s="18">
        <f t="shared" si="639"/>
        <v>0</v>
      </c>
      <c r="I3060" s="64">
        <f t="shared" si="640"/>
        <v>1</v>
      </c>
      <c r="J3060" s="64">
        <f t="shared" si="641"/>
        <v>0</v>
      </c>
      <c r="K3060" s="63">
        <f t="shared" si="642"/>
        <v>0</v>
      </c>
      <c r="L3060" s="63">
        <f t="shared" si="643"/>
        <v>1</v>
      </c>
      <c r="N3060" s="10" t="str">
        <f t="shared" si="645"/>
        <v>Colorado8</v>
      </c>
      <c r="O3060" s="10">
        <f t="shared" si="646"/>
        <v>3</v>
      </c>
      <c r="P3060" s="10">
        <f t="shared" si="647"/>
        <v>1</v>
      </c>
      <c r="Q3060" s="10">
        <f t="shared" si="648"/>
        <v>0</v>
      </c>
    </row>
    <row r="3061" spans="1:17">
      <c r="A3061" s="15">
        <f t="shared" si="644"/>
        <v>9</v>
      </c>
      <c r="B3061" s="15"/>
      <c r="C3061" s="17" t="str">
        <f>Fixture!E66</f>
        <v>Seattle Sounders FC</v>
      </c>
      <c r="D3061" s="18">
        <f>IF(E3061=0,0,IF(Fixture!D66&lt;Fixture!F66,3,IF(Fixture!F66&lt;Fixture!D66,0,1)))</f>
        <v>3</v>
      </c>
      <c r="E3061" s="18">
        <f t="shared" si="638"/>
        <v>1</v>
      </c>
      <c r="F3061" s="18">
        <f>IF(E3061=0,0,IF(Fixture!D66&lt;Fixture!F66,1,IF(Fixture!F66&lt;Fixture!D66,0,0)))</f>
        <v>1</v>
      </c>
      <c r="G3061" s="18">
        <f>IF(E3061=0,0,IF(Fixture!D66&lt;Fixture!F66,0,IF(Fixture!F66&lt;Fixture!D66,0,1)))</f>
        <v>0</v>
      </c>
      <c r="H3061" s="18">
        <f t="shared" si="639"/>
        <v>0</v>
      </c>
      <c r="I3061" s="64">
        <f t="shared" si="640"/>
        <v>1</v>
      </c>
      <c r="J3061" s="64">
        <f t="shared" si="641"/>
        <v>0</v>
      </c>
      <c r="K3061" s="63">
        <f t="shared" si="642"/>
        <v>0</v>
      </c>
      <c r="L3061" s="63">
        <f t="shared" si="643"/>
        <v>1</v>
      </c>
      <c r="N3061" s="10" t="str">
        <f t="shared" si="645"/>
        <v>Seattle Sounders FC9</v>
      </c>
      <c r="O3061" s="10">
        <f t="shared" si="646"/>
        <v>3</v>
      </c>
      <c r="P3061" s="10">
        <f t="shared" si="647"/>
        <v>1</v>
      </c>
      <c r="Q3061" s="10">
        <f t="shared" si="648"/>
        <v>0</v>
      </c>
    </row>
    <row r="3062" spans="1:17">
      <c r="A3062" s="15">
        <f t="shared" si="644"/>
        <v>8</v>
      </c>
      <c r="B3062" s="15"/>
      <c r="C3062" s="17" t="str">
        <f>Fixture!E67</f>
        <v>Chicago</v>
      </c>
      <c r="D3062" s="18">
        <f>IF(E3062=0,0,IF(Fixture!D67&lt;Fixture!F67,3,IF(Fixture!F67&lt;Fixture!D67,0,1)))</f>
        <v>1</v>
      </c>
      <c r="E3062" s="18">
        <f t="shared" si="638"/>
        <v>1</v>
      </c>
      <c r="F3062" s="18">
        <f>IF(E3062=0,0,IF(Fixture!D67&lt;Fixture!F67,1,IF(Fixture!F67&lt;Fixture!D67,0,0)))</f>
        <v>0</v>
      </c>
      <c r="G3062" s="18">
        <f>IF(E3062=0,0,IF(Fixture!D67&lt;Fixture!F67,0,IF(Fixture!F67&lt;Fixture!D67,0,1)))</f>
        <v>1</v>
      </c>
      <c r="H3062" s="18">
        <f t="shared" si="639"/>
        <v>0</v>
      </c>
      <c r="I3062" s="64">
        <f t="shared" si="640"/>
        <v>2</v>
      </c>
      <c r="J3062" s="64">
        <f t="shared" si="641"/>
        <v>2</v>
      </c>
      <c r="K3062" s="63">
        <f t="shared" si="642"/>
        <v>0</v>
      </c>
      <c r="L3062" s="63">
        <f t="shared" si="643"/>
        <v>0</v>
      </c>
      <c r="N3062" s="10" t="str">
        <f t="shared" si="645"/>
        <v>Chicago8</v>
      </c>
      <c r="O3062" s="10">
        <f t="shared" si="646"/>
        <v>1</v>
      </c>
      <c r="P3062" s="10">
        <f t="shared" si="647"/>
        <v>2</v>
      </c>
      <c r="Q3062" s="10">
        <f t="shared" si="648"/>
        <v>2</v>
      </c>
    </row>
    <row r="3063" spans="1:17">
      <c r="A3063" s="15">
        <f t="shared" si="644"/>
        <v>8</v>
      </c>
      <c r="B3063" s="15"/>
      <c r="C3063" s="17" t="str">
        <f>Fixture!E68</f>
        <v>Toronto FC</v>
      </c>
      <c r="D3063" s="18">
        <f>IF(E3063=0,0,IF(Fixture!D68&lt;Fixture!F68,3,IF(Fixture!F68&lt;Fixture!D68,0,1)))</f>
        <v>1</v>
      </c>
      <c r="E3063" s="18">
        <f t="shared" si="638"/>
        <v>1</v>
      </c>
      <c r="F3063" s="18">
        <f>IF(E3063=0,0,IF(Fixture!D68&lt;Fixture!F68,1,IF(Fixture!F68&lt;Fixture!D68,0,0)))</f>
        <v>0</v>
      </c>
      <c r="G3063" s="18">
        <f>IF(E3063=0,0,IF(Fixture!D68&lt;Fixture!F68,0,IF(Fixture!F68&lt;Fixture!D68,0,1)))</f>
        <v>1</v>
      </c>
      <c r="H3063" s="18">
        <f t="shared" si="639"/>
        <v>0</v>
      </c>
      <c r="I3063" s="64">
        <f t="shared" si="640"/>
        <v>0</v>
      </c>
      <c r="J3063" s="64">
        <f t="shared" si="641"/>
        <v>0</v>
      </c>
      <c r="K3063" s="63">
        <f t="shared" si="642"/>
        <v>1</v>
      </c>
      <c r="L3063" s="63">
        <f t="shared" si="643"/>
        <v>1</v>
      </c>
      <c r="N3063" s="10" t="str">
        <f t="shared" si="645"/>
        <v>Toronto FC8</v>
      </c>
      <c r="O3063" s="10">
        <f t="shared" si="646"/>
        <v>1</v>
      </c>
      <c r="P3063" s="10">
        <f t="shared" si="647"/>
        <v>0</v>
      </c>
      <c r="Q3063" s="10">
        <f t="shared" si="648"/>
        <v>0</v>
      </c>
    </row>
    <row r="3064" spans="1:17">
      <c r="A3064" s="15">
        <f t="shared" si="644"/>
        <v>7</v>
      </c>
      <c r="B3064" s="15"/>
      <c r="C3064" s="17" t="str">
        <f>Fixture!E69</f>
        <v>Columbus</v>
      </c>
      <c r="D3064" s="18">
        <f>IF(E3064=0,0,IF(Fixture!D69&lt;Fixture!F69,3,IF(Fixture!F69&lt;Fixture!D69,0,1)))</f>
        <v>3</v>
      </c>
      <c r="E3064" s="18">
        <f t="shared" ref="E3064:E3127" si="649">E2065</f>
        <v>1</v>
      </c>
      <c r="F3064" s="18">
        <f>IF(E3064=0,0,IF(Fixture!D69&lt;Fixture!F69,1,IF(Fixture!F69&lt;Fixture!D69,0,0)))</f>
        <v>1</v>
      </c>
      <c r="G3064" s="18">
        <f>IF(E3064=0,0,IF(Fixture!D69&lt;Fixture!F69,0,IF(Fixture!F69&lt;Fixture!D69,0,1)))</f>
        <v>0</v>
      </c>
      <c r="H3064" s="18">
        <f t="shared" ref="H3064:H3127" si="650">IF(E3064=0,0,IF(D3064&lt;&gt;0,0,1))</f>
        <v>0</v>
      </c>
      <c r="I3064" s="64">
        <f t="shared" ref="I3064:I3127" si="651">J2065</f>
        <v>3</v>
      </c>
      <c r="J3064" s="64">
        <f t="shared" ref="J3064:J3127" si="652">I2065</f>
        <v>1</v>
      </c>
      <c r="K3064" s="63">
        <f t="shared" ref="K3064:K3127" si="653">IF(E3064=0,0,IF(I3064&gt;0,0,1))</f>
        <v>0</v>
      </c>
      <c r="L3064" s="63">
        <f t="shared" ref="L3064:L3127" si="654">IF(E3064=0,0,IF(J3064&gt;0,0,1))</f>
        <v>0</v>
      </c>
      <c r="N3064" s="10" t="str">
        <f t="shared" si="645"/>
        <v>Columbus7</v>
      </c>
      <c r="O3064" s="10">
        <f t="shared" si="646"/>
        <v>3</v>
      </c>
      <c r="P3064" s="10">
        <f t="shared" si="647"/>
        <v>3</v>
      </c>
      <c r="Q3064" s="10">
        <f t="shared" si="648"/>
        <v>1</v>
      </c>
    </row>
    <row r="3065" spans="1:17">
      <c r="A3065" s="15">
        <f t="shared" ref="A3065:A3128" si="655">B109</f>
        <v>10</v>
      </c>
      <c r="B3065" s="15"/>
      <c r="C3065" s="17" t="str">
        <f>Fixture!E70</f>
        <v>Los Angeles</v>
      </c>
      <c r="D3065" s="18">
        <f>IF(E3065=0,0,IF(Fixture!D70&lt;Fixture!F70,3,IF(Fixture!F70&lt;Fixture!D70,0,1)))</f>
        <v>3</v>
      </c>
      <c r="E3065" s="18">
        <f t="shared" si="649"/>
        <v>1</v>
      </c>
      <c r="F3065" s="18">
        <f>IF(E3065=0,0,IF(Fixture!D70&lt;Fixture!F70,1,IF(Fixture!F70&lt;Fixture!D70,0,0)))</f>
        <v>1</v>
      </c>
      <c r="G3065" s="18">
        <f>IF(E3065=0,0,IF(Fixture!D70&lt;Fixture!F70,0,IF(Fixture!F70&lt;Fixture!D70,0,1)))</f>
        <v>0</v>
      </c>
      <c r="H3065" s="18">
        <f t="shared" si="650"/>
        <v>0</v>
      </c>
      <c r="I3065" s="64">
        <f t="shared" si="651"/>
        <v>1</v>
      </c>
      <c r="J3065" s="64">
        <f t="shared" si="652"/>
        <v>0</v>
      </c>
      <c r="K3065" s="63">
        <f t="shared" si="653"/>
        <v>0</v>
      </c>
      <c r="L3065" s="63">
        <f t="shared" si="654"/>
        <v>1</v>
      </c>
      <c r="N3065" s="10" t="str">
        <f t="shared" si="645"/>
        <v>Los Angeles10</v>
      </c>
      <c r="O3065" s="10">
        <f t="shared" si="646"/>
        <v>3</v>
      </c>
      <c r="P3065" s="10">
        <f t="shared" si="647"/>
        <v>1</v>
      </c>
      <c r="Q3065" s="10">
        <f t="shared" si="648"/>
        <v>0</v>
      </c>
    </row>
    <row r="3066" spans="1:17">
      <c r="A3066" s="15">
        <f t="shared" si="655"/>
        <v>10</v>
      </c>
      <c r="B3066" s="15"/>
      <c r="C3066" s="17" t="str">
        <f>Fixture!E71</f>
        <v>New England</v>
      </c>
      <c r="D3066" s="18">
        <f>IF(E3066=0,0,IF(Fixture!D71&lt;Fixture!F71,3,IF(Fixture!F71&lt;Fixture!D71,0,1)))</f>
        <v>0</v>
      </c>
      <c r="E3066" s="18">
        <f t="shared" si="649"/>
        <v>1</v>
      </c>
      <c r="F3066" s="18">
        <f>IF(E3066=0,0,IF(Fixture!D71&lt;Fixture!F71,1,IF(Fixture!F71&lt;Fixture!D71,0,0)))</f>
        <v>0</v>
      </c>
      <c r="G3066" s="18">
        <f>IF(E3066=0,0,IF(Fixture!D71&lt;Fixture!F71,0,IF(Fixture!F71&lt;Fixture!D71,0,1)))</f>
        <v>0</v>
      </c>
      <c r="H3066" s="18">
        <f t="shared" si="650"/>
        <v>1</v>
      </c>
      <c r="I3066" s="64">
        <f t="shared" si="651"/>
        <v>0</v>
      </c>
      <c r="J3066" s="64">
        <f t="shared" si="652"/>
        <v>1</v>
      </c>
      <c r="K3066" s="63">
        <f t="shared" si="653"/>
        <v>1</v>
      </c>
      <c r="L3066" s="63">
        <f t="shared" si="654"/>
        <v>0</v>
      </c>
      <c r="N3066" s="10" t="str">
        <f t="shared" si="645"/>
        <v>New England10</v>
      </c>
      <c r="O3066" s="10">
        <f t="shared" si="646"/>
        <v>0</v>
      </c>
      <c r="P3066" s="10">
        <f t="shared" si="647"/>
        <v>0</v>
      </c>
      <c r="Q3066" s="10">
        <f t="shared" si="648"/>
        <v>1</v>
      </c>
    </row>
    <row r="3067" spans="1:17">
      <c r="A3067" s="15">
        <f t="shared" si="655"/>
        <v>8</v>
      </c>
      <c r="B3067" s="15"/>
      <c r="C3067" s="17" t="str">
        <f>Fixture!E72</f>
        <v>San Jose</v>
      </c>
      <c r="D3067" s="18">
        <f>IF(E3067=0,0,IF(Fixture!D72&lt;Fixture!F72,3,IF(Fixture!F72&lt;Fixture!D72,0,1)))</f>
        <v>3</v>
      </c>
      <c r="E3067" s="18">
        <f t="shared" si="649"/>
        <v>1</v>
      </c>
      <c r="F3067" s="18">
        <f>IF(E3067=0,0,IF(Fixture!D72&lt;Fixture!F72,1,IF(Fixture!F72&lt;Fixture!D72,0,0)))</f>
        <v>1</v>
      </c>
      <c r="G3067" s="18">
        <f>IF(E3067=0,0,IF(Fixture!D72&lt;Fixture!F72,0,IF(Fixture!F72&lt;Fixture!D72,0,1)))</f>
        <v>0</v>
      </c>
      <c r="H3067" s="18">
        <f t="shared" si="650"/>
        <v>0</v>
      </c>
      <c r="I3067" s="64">
        <f t="shared" si="651"/>
        <v>1</v>
      </c>
      <c r="J3067" s="64">
        <f t="shared" si="652"/>
        <v>0</v>
      </c>
      <c r="K3067" s="63">
        <f t="shared" si="653"/>
        <v>0</v>
      </c>
      <c r="L3067" s="63">
        <f t="shared" si="654"/>
        <v>1</v>
      </c>
      <c r="N3067" s="10" t="str">
        <f t="shared" si="645"/>
        <v>San Jose8</v>
      </c>
      <c r="O3067" s="10">
        <f t="shared" si="646"/>
        <v>3</v>
      </c>
      <c r="P3067" s="10">
        <f t="shared" si="647"/>
        <v>1</v>
      </c>
      <c r="Q3067" s="10">
        <f t="shared" si="648"/>
        <v>0</v>
      </c>
    </row>
    <row r="3068" spans="1:17">
      <c r="A3068" s="15">
        <f t="shared" si="655"/>
        <v>9</v>
      </c>
      <c r="B3068" s="15"/>
      <c r="C3068" s="17" t="str">
        <f>Fixture!E73</f>
        <v>DC United</v>
      </c>
      <c r="D3068" s="18">
        <f>IF(E3068=0,0,IF(Fixture!D73&lt;Fixture!F73,3,IF(Fixture!F73&lt;Fixture!D73,0,1)))</f>
        <v>0</v>
      </c>
      <c r="E3068" s="18">
        <f t="shared" si="649"/>
        <v>1</v>
      </c>
      <c r="F3068" s="18">
        <f>IF(E3068=0,0,IF(Fixture!D73&lt;Fixture!F73,1,IF(Fixture!F73&lt;Fixture!D73,0,0)))</f>
        <v>0</v>
      </c>
      <c r="G3068" s="18">
        <f>IF(E3068=0,0,IF(Fixture!D73&lt;Fixture!F73,0,IF(Fixture!F73&lt;Fixture!D73,0,1)))</f>
        <v>0</v>
      </c>
      <c r="H3068" s="18">
        <f t="shared" si="650"/>
        <v>1</v>
      </c>
      <c r="I3068" s="64">
        <f t="shared" si="651"/>
        <v>0</v>
      </c>
      <c r="J3068" s="64">
        <f t="shared" si="652"/>
        <v>2</v>
      </c>
      <c r="K3068" s="63">
        <f t="shared" si="653"/>
        <v>1</v>
      </c>
      <c r="L3068" s="63">
        <f t="shared" si="654"/>
        <v>0</v>
      </c>
      <c r="N3068" s="10" t="str">
        <f t="shared" si="645"/>
        <v>DC United9</v>
      </c>
      <c r="O3068" s="10">
        <f t="shared" si="646"/>
        <v>0</v>
      </c>
      <c r="P3068" s="10">
        <f t="shared" si="647"/>
        <v>0</v>
      </c>
      <c r="Q3068" s="10">
        <f t="shared" si="648"/>
        <v>2</v>
      </c>
    </row>
    <row r="3069" spans="1:17">
      <c r="A3069" s="15">
        <f t="shared" si="655"/>
        <v>9</v>
      </c>
      <c r="B3069" s="15"/>
      <c r="C3069" s="17" t="str">
        <f>Fixture!E74</f>
        <v>Real Salt Lake</v>
      </c>
      <c r="D3069" s="18">
        <f>IF(E3069=0,0,IF(Fixture!D74&lt;Fixture!F74,3,IF(Fixture!F74&lt;Fixture!D74,0,1)))</f>
        <v>3</v>
      </c>
      <c r="E3069" s="18">
        <f t="shared" si="649"/>
        <v>1</v>
      </c>
      <c r="F3069" s="18">
        <f>IF(E3069=0,0,IF(Fixture!D74&lt;Fixture!F74,1,IF(Fixture!F74&lt;Fixture!D74,0,0)))</f>
        <v>1</v>
      </c>
      <c r="G3069" s="18">
        <f>IF(E3069=0,0,IF(Fixture!D74&lt;Fixture!F74,0,IF(Fixture!F74&lt;Fixture!D74,0,1)))</f>
        <v>0</v>
      </c>
      <c r="H3069" s="18">
        <f t="shared" si="650"/>
        <v>0</v>
      </c>
      <c r="I3069" s="64">
        <f t="shared" si="651"/>
        <v>2</v>
      </c>
      <c r="J3069" s="64">
        <f t="shared" si="652"/>
        <v>1</v>
      </c>
      <c r="K3069" s="63">
        <f t="shared" si="653"/>
        <v>0</v>
      </c>
      <c r="L3069" s="63">
        <f t="shared" si="654"/>
        <v>0</v>
      </c>
      <c r="N3069" s="10" t="str">
        <f t="shared" si="645"/>
        <v>Real Salt Lake9</v>
      </c>
      <c r="O3069" s="10">
        <f t="shared" si="646"/>
        <v>3</v>
      </c>
      <c r="P3069" s="10">
        <f t="shared" si="647"/>
        <v>2</v>
      </c>
      <c r="Q3069" s="10">
        <f t="shared" si="648"/>
        <v>1</v>
      </c>
    </row>
    <row r="3070" spans="1:17">
      <c r="A3070" s="15">
        <f t="shared" si="655"/>
        <v>8</v>
      </c>
      <c r="B3070" s="15"/>
      <c r="C3070" s="17" t="str">
        <f>Fixture!E75</f>
        <v>Columbus</v>
      </c>
      <c r="D3070" s="18">
        <f>IF(E3070=0,0,IF(Fixture!D75&lt;Fixture!F75,3,IF(Fixture!F75&lt;Fixture!D75,0,1)))</f>
        <v>3</v>
      </c>
      <c r="E3070" s="18">
        <f t="shared" si="649"/>
        <v>1</v>
      </c>
      <c r="F3070" s="18">
        <f>IF(E3070=0,0,IF(Fixture!D75&lt;Fixture!F75,1,IF(Fixture!F75&lt;Fixture!D75,0,0)))</f>
        <v>1</v>
      </c>
      <c r="G3070" s="18">
        <f>IF(E3070=0,0,IF(Fixture!D75&lt;Fixture!F75,0,IF(Fixture!F75&lt;Fixture!D75,0,1)))</f>
        <v>0</v>
      </c>
      <c r="H3070" s="18">
        <f t="shared" si="650"/>
        <v>0</v>
      </c>
      <c r="I3070" s="64">
        <f t="shared" si="651"/>
        <v>1</v>
      </c>
      <c r="J3070" s="64">
        <f t="shared" si="652"/>
        <v>0</v>
      </c>
      <c r="K3070" s="63">
        <f t="shared" si="653"/>
        <v>0</v>
      </c>
      <c r="L3070" s="63">
        <f t="shared" si="654"/>
        <v>1</v>
      </c>
      <c r="N3070" s="10" t="str">
        <f t="shared" si="645"/>
        <v>Columbus8</v>
      </c>
      <c r="O3070" s="10">
        <f t="shared" si="646"/>
        <v>3</v>
      </c>
      <c r="P3070" s="10">
        <f t="shared" si="647"/>
        <v>1</v>
      </c>
      <c r="Q3070" s="10">
        <f t="shared" si="648"/>
        <v>0</v>
      </c>
    </row>
    <row r="3071" spans="1:17">
      <c r="A3071" s="15">
        <f t="shared" si="655"/>
        <v>10</v>
      </c>
      <c r="B3071" s="15"/>
      <c r="C3071" s="17" t="str">
        <f>Fixture!E76</f>
        <v>Dallas</v>
      </c>
      <c r="D3071" s="18">
        <f>IF(E3071=0,0,IF(Fixture!D76&lt;Fixture!F76,3,IF(Fixture!F76&lt;Fixture!D76,0,1)))</f>
        <v>1</v>
      </c>
      <c r="E3071" s="18">
        <f t="shared" si="649"/>
        <v>1</v>
      </c>
      <c r="F3071" s="18">
        <f>IF(E3071=0,0,IF(Fixture!D76&lt;Fixture!F76,1,IF(Fixture!F76&lt;Fixture!D76,0,0)))</f>
        <v>0</v>
      </c>
      <c r="G3071" s="18">
        <f>IF(E3071=0,0,IF(Fixture!D76&lt;Fixture!F76,0,IF(Fixture!F76&lt;Fixture!D76,0,1)))</f>
        <v>1</v>
      </c>
      <c r="H3071" s="18">
        <f t="shared" si="650"/>
        <v>0</v>
      </c>
      <c r="I3071" s="64">
        <f t="shared" si="651"/>
        <v>1</v>
      </c>
      <c r="J3071" s="64">
        <f t="shared" si="652"/>
        <v>1</v>
      </c>
      <c r="K3071" s="63">
        <f t="shared" si="653"/>
        <v>0</v>
      </c>
      <c r="L3071" s="63">
        <f t="shared" si="654"/>
        <v>0</v>
      </c>
      <c r="N3071" s="10" t="str">
        <f t="shared" si="645"/>
        <v>Dallas10</v>
      </c>
      <c r="O3071" s="10">
        <f t="shared" si="646"/>
        <v>1</v>
      </c>
      <c r="P3071" s="10">
        <f t="shared" si="647"/>
        <v>1</v>
      </c>
      <c r="Q3071" s="10">
        <f t="shared" si="648"/>
        <v>1</v>
      </c>
    </row>
    <row r="3072" spans="1:17">
      <c r="A3072" s="15">
        <f t="shared" si="655"/>
        <v>11</v>
      </c>
      <c r="B3072" s="15"/>
      <c r="C3072" s="17" t="str">
        <f>Fixture!E77</f>
        <v>Los Angeles</v>
      </c>
      <c r="D3072" s="18">
        <f>IF(E3072=0,0,IF(Fixture!D77&lt;Fixture!F77,3,IF(Fixture!F77&lt;Fixture!D77,0,1)))</f>
        <v>3</v>
      </c>
      <c r="E3072" s="18">
        <f t="shared" si="649"/>
        <v>1</v>
      </c>
      <c r="F3072" s="18">
        <f>IF(E3072=0,0,IF(Fixture!D77&lt;Fixture!F77,1,IF(Fixture!F77&lt;Fixture!D77,0,0)))</f>
        <v>1</v>
      </c>
      <c r="G3072" s="18">
        <f>IF(E3072=0,0,IF(Fixture!D77&lt;Fixture!F77,0,IF(Fixture!F77&lt;Fixture!D77,0,1)))</f>
        <v>0</v>
      </c>
      <c r="H3072" s="18">
        <f t="shared" si="650"/>
        <v>0</v>
      </c>
      <c r="I3072" s="64">
        <f t="shared" si="651"/>
        <v>2</v>
      </c>
      <c r="J3072" s="64">
        <f t="shared" si="652"/>
        <v>0</v>
      </c>
      <c r="K3072" s="63">
        <f t="shared" si="653"/>
        <v>0</v>
      </c>
      <c r="L3072" s="63">
        <f t="shared" si="654"/>
        <v>1</v>
      </c>
      <c r="N3072" s="10" t="str">
        <f t="shared" si="645"/>
        <v>Los Angeles11</v>
      </c>
      <c r="O3072" s="10">
        <f t="shared" si="646"/>
        <v>3</v>
      </c>
      <c r="P3072" s="10">
        <f t="shared" si="647"/>
        <v>2</v>
      </c>
      <c r="Q3072" s="10">
        <f t="shared" si="648"/>
        <v>0</v>
      </c>
    </row>
    <row r="3073" spans="1:17">
      <c r="A3073" s="15">
        <f t="shared" si="655"/>
        <v>11</v>
      </c>
      <c r="B3073" s="15"/>
      <c r="C3073" s="17" t="str">
        <f>Fixture!E78</f>
        <v>Chivas USA</v>
      </c>
      <c r="D3073" s="18">
        <f>IF(E3073=0,0,IF(Fixture!D78&lt;Fixture!F78,3,IF(Fixture!F78&lt;Fixture!D78,0,1)))</f>
        <v>0</v>
      </c>
      <c r="E3073" s="18">
        <f t="shared" si="649"/>
        <v>1</v>
      </c>
      <c r="F3073" s="18">
        <f>IF(E3073=0,0,IF(Fixture!D78&lt;Fixture!F78,1,IF(Fixture!F78&lt;Fixture!D78,0,0)))</f>
        <v>0</v>
      </c>
      <c r="G3073" s="18">
        <f>IF(E3073=0,0,IF(Fixture!D78&lt;Fixture!F78,0,IF(Fixture!F78&lt;Fixture!D78,0,1)))</f>
        <v>0</v>
      </c>
      <c r="H3073" s="18">
        <f t="shared" si="650"/>
        <v>1</v>
      </c>
      <c r="I3073" s="64">
        <f t="shared" si="651"/>
        <v>2</v>
      </c>
      <c r="J3073" s="64">
        <f t="shared" si="652"/>
        <v>3</v>
      </c>
      <c r="K3073" s="63">
        <f t="shared" si="653"/>
        <v>0</v>
      </c>
      <c r="L3073" s="63">
        <f t="shared" si="654"/>
        <v>0</v>
      </c>
      <c r="N3073" s="10" t="str">
        <f t="shared" si="645"/>
        <v>Chivas USA11</v>
      </c>
      <c r="O3073" s="10">
        <f t="shared" si="646"/>
        <v>0</v>
      </c>
      <c r="P3073" s="10">
        <f t="shared" si="647"/>
        <v>2</v>
      </c>
      <c r="Q3073" s="10">
        <f t="shared" si="648"/>
        <v>3</v>
      </c>
    </row>
    <row r="3074" spans="1:17">
      <c r="A3074" s="15">
        <f t="shared" si="655"/>
        <v>10</v>
      </c>
      <c r="B3074" s="15"/>
      <c r="C3074" s="17" t="str">
        <f>Fixture!E79</f>
        <v>New York Red Bulls</v>
      </c>
      <c r="D3074" s="18">
        <f>IF(E3074=0,0,IF(Fixture!D79&lt;Fixture!F79,3,IF(Fixture!F79&lt;Fixture!D79,0,1)))</f>
        <v>0</v>
      </c>
      <c r="E3074" s="18">
        <f t="shared" si="649"/>
        <v>1</v>
      </c>
      <c r="F3074" s="18">
        <f>IF(E3074=0,0,IF(Fixture!D79&lt;Fixture!F79,1,IF(Fixture!F79&lt;Fixture!D79,0,0)))</f>
        <v>0</v>
      </c>
      <c r="G3074" s="18">
        <f>IF(E3074=0,0,IF(Fixture!D79&lt;Fixture!F79,0,IF(Fixture!F79&lt;Fixture!D79,0,1)))</f>
        <v>0</v>
      </c>
      <c r="H3074" s="18">
        <f t="shared" si="650"/>
        <v>1</v>
      </c>
      <c r="I3074" s="64">
        <f t="shared" si="651"/>
        <v>2</v>
      </c>
      <c r="J3074" s="64">
        <f t="shared" si="652"/>
        <v>3</v>
      </c>
      <c r="K3074" s="63">
        <f t="shared" si="653"/>
        <v>0</v>
      </c>
      <c r="L3074" s="63">
        <f t="shared" si="654"/>
        <v>0</v>
      </c>
      <c r="N3074" s="10" t="str">
        <f t="shared" si="645"/>
        <v>New York Red Bulls10</v>
      </c>
      <c r="O3074" s="10">
        <f t="shared" si="646"/>
        <v>0</v>
      </c>
      <c r="P3074" s="10">
        <f t="shared" si="647"/>
        <v>2</v>
      </c>
      <c r="Q3074" s="10">
        <f t="shared" si="648"/>
        <v>3</v>
      </c>
    </row>
    <row r="3075" spans="1:17">
      <c r="A3075" s="15">
        <f t="shared" si="655"/>
        <v>8</v>
      </c>
      <c r="B3075" s="15"/>
      <c r="C3075" s="17" t="str">
        <f>Fixture!E80</f>
        <v>Philadelphia Union</v>
      </c>
      <c r="D3075" s="18">
        <f>IF(E3075=0,0,IF(Fixture!D80&lt;Fixture!F80,3,IF(Fixture!F80&lt;Fixture!D80,0,1)))</f>
        <v>3</v>
      </c>
      <c r="E3075" s="18">
        <f t="shared" si="649"/>
        <v>1</v>
      </c>
      <c r="F3075" s="18">
        <f>IF(E3075=0,0,IF(Fixture!D80&lt;Fixture!F80,1,IF(Fixture!F80&lt;Fixture!D80,0,0)))</f>
        <v>1</v>
      </c>
      <c r="G3075" s="18">
        <f>IF(E3075=0,0,IF(Fixture!D80&lt;Fixture!F80,0,IF(Fixture!F80&lt;Fixture!D80,0,1)))</f>
        <v>0</v>
      </c>
      <c r="H3075" s="18">
        <f t="shared" si="650"/>
        <v>0</v>
      </c>
      <c r="I3075" s="64">
        <f t="shared" si="651"/>
        <v>3</v>
      </c>
      <c r="J3075" s="64">
        <f t="shared" si="652"/>
        <v>1</v>
      </c>
      <c r="K3075" s="63">
        <f t="shared" si="653"/>
        <v>0</v>
      </c>
      <c r="L3075" s="63">
        <f t="shared" si="654"/>
        <v>0</v>
      </c>
      <c r="N3075" s="10" t="str">
        <f t="shared" si="645"/>
        <v>Philadelphia Union8</v>
      </c>
      <c r="O3075" s="10">
        <f t="shared" si="646"/>
        <v>3</v>
      </c>
      <c r="P3075" s="10">
        <f t="shared" si="647"/>
        <v>3</v>
      </c>
      <c r="Q3075" s="10">
        <f t="shared" si="648"/>
        <v>1</v>
      </c>
    </row>
    <row r="3076" spans="1:17">
      <c r="A3076" s="15">
        <f t="shared" si="655"/>
        <v>11</v>
      </c>
      <c r="B3076" s="15"/>
      <c r="C3076" s="17" t="str">
        <f>Fixture!E81</f>
        <v>Seattle Sounders FC</v>
      </c>
      <c r="D3076" s="18">
        <f>IF(E3076=0,0,IF(Fixture!D81&lt;Fixture!F81,3,IF(Fixture!F81&lt;Fixture!D81,0,1)))</f>
        <v>0</v>
      </c>
      <c r="E3076" s="18">
        <f t="shared" si="649"/>
        <v>1</v>
      </c>
      <c r="F3076" s="18">
        <f>IF(E3076=0,0,IF(Fixture!D81&lt;Fixture!F81,1,IF(Fixture!F81&lt;Fixture!D81,0,0)))</f>
        <v>0</v>
      </c>
      <c r="G3076" s="18">
        <f>IF(E3076=0,0,IF(Fixture!D81&lt;Fixture!F81,0,IF(Fixture!F81&lt;Fixture!D81,0,1)))</f>
        <v>0</v>
      </c>
      <c r="H3076" s="18">
        <f t="shared" si="650"/>
        <v>1</v>
      </c>
      <c r="I3076" s="64">
        <f t="shared" si="651"/>
        <v>0</v>
      </c>
      <c r="J3076" s="64">
        <f t="shared" si="652"/>
        <v>1</v>
      </c>
      <c r="K3076" s="63">
        <f t="shared" si="653"/>
        <v>1</v>
      </c>
      <c r="L3076" s="63">
        <f t="shared" si="654"/>
        <v>0</v>
      </c>
      <c r="N3076" s="10" t="str">
        <f t="shared" si="645"/>
        <v>Seattle Sounders FC11</v>
      </c>
      <c r="O3076" s="10">
        <f t="shared" si="646"/>
        <v>0</v>
      </c>
      <c r="P3076" s="10">
        <f t="shared" si="647"/>
        <v>0</v>
      </c>
      <c r="Q3076" s="10">
        <f t="shared" si="648"/>
        <v>1</v>
      </c>
    </row>
    <row r="3077" spans="1:17">
      <c r="A3077" s="15">
        <f t="shared" si="655"/>
        <v>9</v>
      </c>
      <c r="B3077" s="15"/>
      <c r="C3077" s="17" t="str">
        <f>Fixture!E82</f>
        <v>Kansas City</v>
      </c>
      <c r="D3077" s="18">
        <f>IF(E3077=0,0,IF(Fixture!D82&lt;Fixture!F82,3,IF(Fixture!F82&lt;Fixture!D82,0,1)))</f>
        <v>0</v>
      </c>
      <c r="E3077" s="18">
        <f t="shared" si="649"/>
        <v>1</v>
      </c>
      <c r="F3077" s="18">
        <f>IF(E3077=0,0,IF(Fixture!D82&lt;Fixture!F82,1,IF(Fixture!F82&lt;Fixture!D82,0,0)))</f>
        <v>0</v>
      </c>
      <c r="G3077" s="18">
        <f>IF(E3077=0,0,IF(Fixture!D82&lt;Fixture!F82,0,IF(Fixture!F82&lt;Fixture!D82,0,1)))</f>
        <v>0</v>
      </c>
      <c r="H3077" s="18">
        <f t="shared" si="650"/>
        <v>1</v>
      </c>
      <c r="I3077" s="64">
        <f t="shared" si="651"/>
        <v>1</v>
      </c>
      <c r="J3077" s="64">
        <f t="shared" si="652"/>
        <v>4</v>
      </c>
      <c r="K3077" s="63">
        <f t="shared" si="653"/>
        <v>0</v>
      </c>
      <c r="L3077" s="63">
        <f t="shared" si="654"/>
        <v>0</v>
      </c>
      <c r="N3077" s="10" t="str">
        <f t="shared" si="645"/>
        <v>Kansas City9</v>
      </c>
      <c r="O3077" s="10">
        <f t="shared" si="646"/>
        <v>0</v>
      </c>
      <c r="P3077" s="10">
        <f t="shared" si="647"/>
        <v>1</v>
      </c>
      <c r="Q3077" s="10">
        <f t="shared" si="648"/>
        <v>4</v>
      </c>
    </row>
    <row r="3078" spans="1:17">
      <c r="A3078" s="15">
        <f t="shared" si="655"/>
        <v>10</v>
      </c>
      <c r="B3078" s="15"/>
      <c r="C3078" s="17" t="str">
        <f>Fixture!E83</f>
        <v>Toronto FC</v>
      </c>
      <c r="D3078" s="18">
        <f>IF(E3078=0,0,IF(Fixture!D83&lt;Fixture!F83,3,IF(Fixture!F83&lt;Fixture!D83,0,1)))</f>
        <v>3</v>
      </c>
      <c r="E3078" s="18">
        <f t="shared" si="649"/>
        <v>1</v>
      </c>
      <c r="F3078" s="18">
        <f>IF(E3078=0,0,IF(Fixture!D83&lt;Fixture!F83,1,IF(Fixture!F83&lt;Fixture!D83,0,0)))</f>
        <v>1</v>
      </c>
      <c r="G3078" s="18">
        <f>IF(E3078=0,0,IF(Fixture!D83&lt;Fixture!F83,0,IF(Fixture!F83&lt;Fixture!D83,0,1)))</f>
        <v>0</v>
      </c>
      <c r="H3078" s="18">
        <f t="shared" si="650"/>
        <v>0</v>
      </c>
      <c r="I3078" s="64">
        <f t="shared" si="651"/>
        <v>3</v>
      </c>
      <c r="J3078" s="64">
        <f t="shared" si="652"/>
        <v>1</v>
      </c>
      <c r="K3078" s="63">
        <f t="shared" si="653"/>
        <v>0</v>
      </c>
      <c r="L3078" s="63">
        <f t="shared" si="654"/>
        <v>0</v>
      </c>
      <c r="N3078" s="10" t="str">
        <f t="shared" si="645"/>
        <v>Toronto FC10</v>
      </c>
      <c r="O3078" s="10">
        <f t="shared" si="646"/>
        <v>3</v>
      </c>
      <c r="P3078" s="10">
        <f t="shared" si="647"/>
        <v>3</v>
      </c>
      <c r="Q3078" s="10">
        <f t="shared" si="648"/>
        <v>1</v>
      </c>
    </row>
    <row r="3079" spans="1:17">
      <c r="A3079" s="15">
        <f t="shared" si="655"/>
        <v>12</v>
      </c>
      <c r="B3079" s="15"/>
      <c r="C3079" s="17" t="str">
        <f>Fixture!E84</f>
        <v>Houston</v>
      </c>
      <c r="D3079" s="18">
        <f>IF(E3079=0,0,IF(Fixture!D84&lt;Fixture!F84,3,IF(Fixture!F84&lt;Fixture!D84,0,1)))</f>
        <v>0</v>
      </c>
      <c r="E3079" s="18">
        <f t="shared" si="649"/>
        <v>1</v>
      </c>
      <c r="F3079" s="18">
        <f>IF(E3079=0,0,IF(Fixture!D84&lt;Fixture!F84,1,IF(Fixture!F84&lt;Fixture!D84,0,0)))</f>
        <v>0</v>
      </c>
      <c r="G3079" s="18">
        <f>IF(E3079=0,0,IF(Fixture!D84&lt;Fixture!F84,0,IF(Fixture!F84&lt;Fixture!D84,0,1)))</f>
        <v>0</v>
      </c>
      <c r="H3079" s="18">
        <f t="shared" si="650"/>
        <v>1</v>
      </c>
      <c r="I3079" s="64">
        <f t="shared" si="651"/>
        <v>1</v>
      </c>
      <c r="J3079" s="64">
        <f t="shared" si="652"/>
        <v>2</v>
      </c>
      <c r="K3079" s="63">
        <f t="shared" si="653"/>
        <v>0</v>
      </c>
      <c r="L3079" s="63">
        <f t="shared" si="654"/>
        <v>0</v>
      </c>
      <c r="N3079" s="10" t="str">
        <f t="shared" si="645"/>
        <v>Houston12</v>
      </c>
      <c r="O3079" s="10">
        <f t="shared" si="646"/>
        <v>0</v>
      </c>
      <c r="P3079" s="10">
        <f t="shared" si="647"/>
        <v>1</v>
      </c>
      <c r="Q3079" s="10">
        <f t="shared" si="648"/>
        <v>2</v>
      </c>
    </row>
    <row r="3080" spans="1:17">
      <c r="A3080" s="15">
        <f t="shared" si="655"/>
        <v>10</v>
      </c>
      <c r="B3080" s="15"/>
      <c r="C3080" s="17" t="str">
        <f>Fixture!E85</f>
        <v>Columbus</v>
      </c>
      <c r="D3080" s="18">
        <f>IF(E3080=0,0,IF(Fixture!D85&lt;Fixture!F85,3,IF(Fixture!F85&lt;Fixture!D85,0,1)))</f>
        <v>1</v>
      </c>
      <c r="E3080" s="18">
        <f t="shared" si="649"/>
        <v>1</v>
      </c>
      <c r="F3080" s="18">
        <f>IF(E3080=0,0,IF(Fixture!D85&lt;Fixture!F85,1,IF(Fixture!F85&lt;Fixture!D85,0,0)))</f>
        <v>0</v>
      </c>
      <c r="G3080" s="18">
        <f>IF(E3080=0,0,IF(Fixture!D85&lt;Fixture!F85,0,IF(Fixture!F85&lt;Fixture!D85,0,1)))</f>
        <v>1</v>
      </c>
      <c r="H3080" s="18">
        <f t="shared" si="650"/>
        <v>0</v>
      </c>
      <c r="I3080" s="64">
        <f t="shared" si="651"/>
        <v>2</v>
      </c>
      <c r="J3080" s="64">
        <f t="shared" si="652"/>
        <v>2</v>
      </c>
      <c r="K3080" s="63">
        <f t="shared" si="653"/>
        <v>0</v>
      </c>
      <c r="L3080" s="63">
        <f t="shared" si="654"/>
        <v>0</v>
      </c>
      <c r="N3080" s="10" t="str">
        <f t="shared" si="645"/>
        <v>Columbus10</v>
      </c>
      <c r="O3080" s="10">
        <f t="shared" si="646"/>
        <v>1</v>
      </c>
      <c r="P3080" s="10">
        <f t="shared" si="647"/>
        <v>2</v>
      </c>
      <c r="Q3080" s="10">
        <f t="shared" si="648"/>
        <v>2</v>
      </c>
    </row>
    <row r="3081" spans="1:17">
      <c r="A3081" s="15">
        <f t="shared" si="655"/>
        <v>10</v>
      </c>
      <c r="B3081" s="15"/>
      <c r="C3081" s="17" t="str">
        <f>Fixture!E86</f>
        <v>Kansas City</v>
      </c>
      <c r="D3081" s="18">
        <f>IF(E3081=0,0,IF(Fixture!D86&lt;Fixture!F86,3,IF(Fixture!F86&lt;Fixture!D86,0,1)))</f>
        <v>1</v>
      </c>
      <c r="E3081" s="18">
        <f t="shared" si="649"/>
        <v>1</v>
      </c>
      <c r="F3081" s="18">
        <f>IF(E3081=0,0,IF(Fixture!D86&lt;Fixture!F86,1,IF(Fixture!F86&lt;Fixture!D86,0,0)))</f>
        <v>0</v>
      </c>
      <c r="G3081" s="18">
        <f>IF(E3081=0,0,IF(Fixture!D86&lt;Fixture!F86,0,IF(Fixture!F86&lt;Fixture!D86,0,1)))</f>
        <v>1</v>
      </c>
      <c r="H3081" s="18">
        <f t="shared" si="650"/>
        <v>0</v>
      </c>
      <c r="I3081" s="64">
        <f t="shared" si="651"/>
        <v>0</v>
      </c>
      <c r="J3081" s="64">
        <f t="shared" si="652"/>
        <v>0</v>
      </c>
      <c r="K3081" s="63">
        <f t="shared" si="653"/>
        <v>1</v>
      </c>
      <c r="L3081" s="63">
        <f t="shared" si="654"/>
        <v>1</v>
      </c>
      <c r="N3081" s="10" t="str">
        <f t="shared" si="645"/>
        <v>Kansas City10</v>
      </c>
      <c r="O3081" s="10">
        <f t="shared" si="646"/>
        <v>1</v>
      </c>
      <c r="P3081" s="10">
        <f t="shared" si="647"/>
        <v>0</v>
      </c>
      <c r="Q3081" s="10">
        <f t="shared" si="648"/>
        <v>0</v>
      </c>
    </row>
    <row r="3082" spans="1:17">
      <c r="A3082" s="15">
        <f t="shared" si="655"/>
        <v>11</v>
      </c>
      <c r="B3082" s="15"/>
      <c r="C3082" s="17" t="str">
        <f>Fixture!E87</f>
        <v>Real Salt Lake</v>
      </c>
      <c r="D3082" s="18">
        <f>IF(E3082=0,0,IF(Fixture!D87&lt;Fixture!F87,3,IF(Fixture!F87&lt;Fixture!D87,0,1)))</f>
        <v>1</v>
      </c>
      <c r="E3082" s="18">
        <f t="shared" si="649"/>
        <v>1</v>
      </c>
      <c r="F3082" s="18">
        <f>IF(E3082=0,0,IF(Fixture!D87&lt;Fixture!F87,1,IF(Fixture!F87&lt;Fixture!D87,0,0)))</f>
        <v>0</v>
      </c>
      <c r="G3082" s="18">
        <f>IF(E3082=0,0,IF(Fixture!D87&lt;Fixture!F87,0,IF(Fixture!F87&lt;Fixture!D87,0,1)))</f>
        <v>1</v>
      </c>
      <c r="H3082" s="18">
        <f t="shared" si="650"/>
        <v>0</v>
      </c>
      <c r="I3082" s="64">
        <f t="shared" si="651"/>
        <v>0</v>
      </c>
      <c r="J3082" s="64">
        <f t="shared" si="652"/>
        <v>0</v>
      </c>
      <c r="K3082" s="63">
        <f t="shared" si="653"/>
        <v>1</v>
      </c>
      <c r="L3082" s="63">
        <f t="shared" si="654"/>
        <v>1</v>
      </c>
      <c r="N3082" s="10" t="str">
        <f t="shared" si="645"/>
        <v>Real Salt Lake11</v>
      </c>
      <c r="O3082" s="10">
        <f t="shared" si="646"/>
        <v>1</v>
      </c>
      <c r="P3082" s="10">
        <f t="shared" si="647"/>
        <v>0</v>
      </c>
      <c r="Q3082" s="10">
        <f t="shared" si="648"/>
        <v>0</v>
      </c>
    </row>
    <row r="3083" spans="1:17">
      <c r="A3083" s="15">
        <f t="shared" si="655"/>
        <v>12</v>
      </c>
      <c r="B3083" s="15"/>
      <c r="C3083" s="17" t="str">
        <f>Fixture!E88</f>
        <v>Chivas USA</v>
      </c>
      <c r="D3083" s="18">
        <f>IF(E3083=0,0,IF(Fixture!D88&lt;Fixture!F88,3,IF(Fixture!F88&lt;Fixture!D88,0,1)))</f>
        <v>0</v>
      </c>
      <c r="E3083" s="18">
        <f t="shared" si="649"/>
        <v>1</v>
      </c>
      <c r="F3083" s="18">
        <f>IF(E3083=0,0,IF(Fixture!D88&lt;Fixture!F88,1,IF(Fixture!F88&lt;Fixture!D88,0,0)))</f>
        <v>0</v>
      </c>
      <c r="G3083" s="18">
        <f>IF(E3083=0,0,IF(Fixture!D88&lt;Fixture!F88,0,IF(Fixture!F88&lt;Fixture!D88,0,1)))</f>
        <v>0</v>
      </c>
      <c r="H3083" s="18">
        <f t="shared" si="650"/>
        <v>1</v>
      </c>
      <c r="I3083" s="64">
        <f t="shared" si="651"/>
        <v>0</v>
      </c>
      <c r="J3083" s="64">
        <f t="shared" si="652"/>
        <v>1</v>
      </c>
      <c r="K3083" s="63">
        <f t="shared" si="653"/>
        <v>1</v>
      </c>
      <c r="L3083" s="63">
        <f t="shared" si="654"/>
        <v>0</v>
      </c>
      <c r="N3083" s="10" t="str">
        <f t="shared" si="645"/>
        <v>Chivas USA12</v>
      </c>
      <c r="O3083" s="10">
        <f t="shared" si="646"/>
        <v>0</v>
      </c>
      <c r="P3083" s="10">
        <f t="shared" si="647"/>
        <v>0</v>
      </c>
      <c r="Q3083" s="10">
        <f t="shared" si="648"/>
        <v>1</v>
      </c>
    </row>
    <row r="3084" spans="1:17">
      <c r="A3084" s="15">
        <f t="shared" si="655"/>
        <v>13</v>
      </c>
      <c r="B3084" s="15"/>
      <c r="C3084" s="17" t="str">
        <f>Fixture!E89</f>
        <v>Houston</v>
      </c>
      <c r="D3084" s="18">
        <f>IF(E3084=0,0,IF(Fixture!D89&lt;Fixture!F89,3,IF(Fixture!F89&lt;Fixture!D89,0,1)))</f>
        <v>0</v>
      </c>
      <c r="E3084" s="18">
        <f t="shared" si="649"/>
        <v>1</v>
      </c>
      <c r="F3084" s="18">
        <f>IF(E3084=0,0,IF(Fixture!D89&lt;Fixture!F89,1,IF(Fixture!F89&lt;Fixture!D89,0,0)))</f>
        <v>0</v>
      </c>
      <c r="G3084" s="18">
        <f>IF(E3084=0,0,IF(Fixture!D89&lt;Fixture!F89,0,IF(Fixture!F89&lt;Fixture!D89,0,1)))</f>
        <v>0</v>
      </c>
      <c r="H3084" s="18">
        <f t="shared" si="650"/>
        <v>1</v>
      </c>
      <c r="I3084" s="64">
        <f t="shared" si="651"/>
        <v>1</v>
      </c>
      <c r="J3084" s="64">
        <f t="shared" si="652"/>
        <v>4</v>
      </c>
      <c r="K3084" s="63">
        <f t="shared" si="653"/>
        <v>0</v>
      </c>
      <c r="L3084" s="63">
        <f t="shared" si="654"/>
        <v>0</v>
      </c>
      <c r="N3084" s="10" t="str">
        <f t="shared" si="645"/>
        <v>Houston13</v>
      </c>
      <c r="O3084" s="10">
        <f t="shared" si="646"/>
        <v>0</v>
      </c>
      <c r="P3084" s="10">
        <f t="shared" si="647"/>
        <v>1</v>
      </c>
      <c r="Q3084" s="10">
        <f t="shared" si="648"/>
        <v>4</v>
      </c>
    </row>
    <row r="3085" spans="1:17">
      <c r="A3085" s="15">
        <f t="shared" si="655"/>
        <v>9</v>
      </c>
      <c r="B3085" s="15"/>
      <c r="C3085" s="17" t="str">
        <f>Fixture!E90</f>
        <v>Philadelphia Union</v>
      </c>
      <c r="D3085" s="18">
        <f>IF(E3085=0,0,IF(Fixture!D90&lt;Fixture!F90,3,IF(Fixture!F90&lt;Fixture!D90,0,1)))</f>
        <v>0</v>
      </c>
      <c r="E3085" s="18">
        <f t="shared" si="649"/>
        <v>1</v>
      </c>
      <c r="F3085" s="18">
        <f>IF(E3085=0,0,IF(Fixture!D90&lt;Fixture!F90,1,IF(Fixture!F90&lt;Fixture!D90,0,0)))</f>
        <v>0</v>
      </c>
      <c r="G3085" s="18">
        <f>IF(E3085=0,0,IF(Fixture!D90&lt;Fixture!F90,0,IF(Fixture!F90&lt;Fixture!D90,0,1)))</f>
        <v>0</v>
      </c>
      <c r="H3085" s="18">
        <f t="shared" si="650"/>
        <v>1</v>
      </c>
      <c r="I3085" s="64">
        <f t="shared" si="651"/>
        <v>1</v>
      </c>
      <c r="J3085" s="64">
        <f t="shared" si="652"/>
        <v>2</v>
      </c>
      <c r="K3085" s="63">
        <f t="shared" si="653"/>
        <v>0</v>
      </c>
      <c r="L3085" s="63">
        <f t="shared" si="654"/>
        <v>0</v>
      </c>
      <c r="N3085" s="10" t="str">
        <f t="shared" si="645"/>
        <v>Philadelphia Union9</v>
      </c>
      <c r="O3085" s="10">
        <f t="shared" si="646"/>
        <v>0</v>
      </c>
      <c r="P3085" s="10">
        <f t="shared" si="647"/>
        <v>1</v>
      </c>
      <c r="Q3085" s="10">
        <f t="shared" si="648"/>
        <v>2</v>
      </c>
    </row>
    <row r="3086" spans="1:17">
      <c r="A3086" s="15">
        <f t="shared" si="655"/>
        <v>11</v>
      </c>
      <c r="B3086" s="15"/>
      <c r="C3086" s="17" t="str">
        <f>Fixture!E91</f>
        <v>San Jose</v>
      </c>
      <c r="D3086" s="18">
        <f>IF(E3086=0,0,IF(Fixture!D91&lt;Fixture!F91,3,IF(Fixture!F91&lt;Fixture!D91,0,1)))</f>
        <v>0</v>
      </c>
      <c r="E3086" s="18">
        <f t="shared" si="649"/>
        <v>1</v>
      </c>
      <c r="F3086" s="18">
        <f>IF(E3086=0,0,IF(Fixture!D91&lt;Fixture!F91,1,IF(Fixture!F91&lt;Fixture!D91,0,0)))</f>
        <v>0</v>
      </c>
      <c r="G3086" s="18">
        <f>IF(E3086=0,0,IF(Fixture!D91&lt;Fixture!F91,0,IF(Fixture!F91&lt;Fixture!D91,0,1)))</f>
        <v>0</v>
      </c>
      <c r="H3086" s="18">
        <f t="shared" si="650"/>
        <v>1</v>
      </c>
      <c r="I3086" s="64">
        <f t="shared" si="651"/>
        <v>0</v>
      </c>
      <c r="J3086" s="64">
        <f t="shared" si="652"/>
        <v>2</v>
      </c>
      <c r="K3086" s="63">
        <f t="shared" si="653"/>
        <v>1</v>
      </c>
      <c r="L3086" s="63">
        <f t="shared" si="654"/>
        <v>0</v>
      </c>
      <c r="N3086" s="10" t="str">
        <f t="shared" si="645"/>
        <v>San Jose11</v>
      </c>
      <c r="O3086" s="10">
        <f t="shared" si="646"/>
        <v>0</v>
      </c>
      <c r="P3086" s="10">
        <f t="shared" si="647"/>
        <v>0</v>
      </c>
      <c r="Q3086" s="10">
        <f t="shared" si="648"/>
        <v>2</v>
      </c>
    </row>
    <row r="3087" spans="1:17">
      <c r="A3087" s="15">
        <f t="shared" si="655"/>
        <v>11</v>
      </c>
      <c r="B3087" s="15"/>
      <c r="C3087" s="17" t="str">
        <f>Fixture!E92</f>
        <v>Columbus</v>
      </c>
      <c r="D3087" s="18">
        <f>IF(E3087=0,0,IF(Fixture!D92&lt;Fixture!F92,3,IF(Fixture!F92&lt;Fixture!D92,0,1)))</f>
        <v>0</v>
      </c>
      <c r="E3087" s="18">
        <f t="shared" si="649"/>
        <v>1</v>
      </c>
      <c r="F3087" s="18">
        <f>IF(E3087=0,0,IF(Fixture!D92&lt;Fixture!F92,1,IF(Fixture!F92&lt;Fixture!D92,0,0)))</f>
        <v>0</v>
      </c>
      <c r="G3087" s="18">
        <f>IF(E3087=0,0,IF(Fixture!D92&lt;Fixture!F92,0,IF(Fixture!F92&lt;Fixture!D92,0,1)))</f>
        <v>0</v>
      </c>
      <c r="H3087" s="18">
        <f t="shared" si="650"/>
        <v>1</v>
      </c>
      <c r="I3087" s="64">
        <f t="shared" si="651"/>
        <v>0</v>
      </c>
      <c r="J3087" s="64">
        <f t="shared" si="652"/>
        <v>1</v>
      </c>
      <c r="K3087" s="63">
        <f t="shared" si="653"/>
        <v>1</v>
      </c>
      <c r="L3087" s="63">
        <f t="shared" si="654"/>
        <v>0</v>
      </c>
      <c r="N3087" s="10" t="str">
        <f t="shared" si="645"/>
        <v>Columbus11</v>
      </c>
      <c r="O3087" s="10">
        <f t="shared" si="646"/>
        <v>0</v>
      </c>
      <c r="P3087" s="10">
        <f t="shared" si="647"/>
        <v>0</v>
      </c>
      <c r="Q3087" s="10">
        <f t="shared" si="648"/>
        <v>1</v>
      </c>
    </row>
    <row r="3088" spans="1:17">
      <c r="A3088" s="15">
        <f t="shared" si="655"/>
        <v>12</v>
      </c>
      <c r="B3088" s="15"/>
      <c r="C3088" s="17" t="str">
        <f>Fixture!E93</f>
        <v>New England</v>
      </c>
      <c r="D3088" s="18">
        <f>IF(E3088=0,0,IF(Fixture!D93&lt;Fixture!F93,3,IF(Fixture!F93&lt;Fixture!D93,0,1)))</f>
        <v>0</v>
      </c>
      <c r="E3088" s="18">
        <f t="shared" si="649"/>
        <v>1</v>
      </c>
      <c r="F3088" s="18">
        <f>IF(E3088=0,0,IF(Fixture!D93&lt;Fixture!F93,1,IF(Fixture!F93&lt;Fixture!D93,0,0)))</f>
        <v>0</v>
      </c>
      <c r="G3088" s="18">
        <f>IF(E3088=0,0,IF(Fixture!D93&lt;Fixture!F93,0,IF(Fixture!F93&lt;Fixture!D93,0,1)))</f>
        <v>0</v>
      </c>
      <c r="H3088" s="18">
        <f t="shared" si="650"/>
        <v>1</v>
      </c>
      <c r="I3088" s="64">
        <f t="shared" si="651"/>
        <v>0</v>
      </c>
      <c r="J3088" s="64">
        <f t="shared" si="652"/>
        <v>3</v>
      </c>
      <c r="K3088" s="63">
        <f t="shared" si="653"/>
        <v>1</v>
      </c>
      <c r="L3088" s="63">
        <f t="shared" si="654"/>
        <v>0</v>
      </c>
      <c r="N3088" s="10" t="str">
        <f t="shared" si="645"/>
        <v>New England12</v>
      </c>
      <c r="O3088" s="10">
        <f t="shared" si="646"/>
        <v>0</v>
      </c>
      <c r="P3088" s="10">
        <f t="shared" si="647"/>
        <v>0</v>
      </c>
      <c r="Q3088" s="10">
        <f t="shared" si="648"/>
        <v>3</v>
      </c>
    </row>
    <row r="3089" spans="1:17">
      <c r="A3089" s="15">
        <f t="shared" si="655"/>
        <v>11</v>
      </c>
      <c r="B3089" s="15"/>
      <c r="C3089" s="17" t="str">
        <f>Fixture!E94</f>
        <v>Colorado</v>
      </c>
      <c r="D3089" s="18">
        <f>IF(E3089=0,0,IF(Fixture!D94&lt;Fixture!F94,3,IF(Fixture!F94&lt;Fixture!D94,0,1)))</f>
        <v>1</v>
      </c>
      <c r="E3089" s="18">
        <f t="shared" si="649"/>
        <v>1</v>
      </c>
      <c r="F3089" s="18">
        <f>IF(E3089=0,0,IF(Fixture!D94&lt;Fixture!F94,1,IF(Fixture!F94&lt;Fixture!D94,0,0)))</f>
        <v>0</v>
      </c>
      <c r="G3089" s="18">
        <f>IF(E3089=0,0,IF(Fixture!D94&lt;Fixture!F94,0,IF(Fixture!F94&lt;Fixture!D94,0,1)))</f>
        <v>1</v>
      </c>
      <c r="H3089" s="18">
        <f t="shared" si="650"/>
        <v>0</v>
      </c>
      <c r="I3089" s="64">
        <f t="shared" si="651"/>
        <v>2</v>
      </c>
      <c r="J3089" s="64">
        <f t="shared" si="652"/>
        <v>2</v>
      </c>
      <c r="K3089" s="63">
        <f t="shared" si="653"/>
        <v>0</v>
      </c>
      <c r="L3089" s="63">
        <f t="shared" si="654"/>
        <v>0</v>
      </c>
      <c r="N3089" s="10" t="str">
        <f t="shared" si="645"/>
        <v>Colorado11</v>
      </c>
      <c r="O3089" s="10">
        <f t="shared" si="646"/>
        <v>1</v>
      </c>
      <c r="P3089" s="10">
        <f t="shared" si="647"/>
        <v>2</v>
      </c>
      <c r="Q3089" s="10">
        <f t="shared" si="648"/>
        <v>2</v>
      </c>
    </row>
    <row r="3090" spans="1:17">
      <c r="A3090" s="15">
        <f t="shared" si="655"/>
        <v>13</v>
      </c>
      <c r="B3090" s="15"/>
      <c r="C3090" s="17" t="str">
        <f>Fixture!E95</f>
        <v>Los Angeles</v>
      </c>
      <c r="D3090" s="18">
        <f>IF(E3090=0,0,IF(Fixture!D95&lt;Fixture!F95,3,IF(Fixture!F95&lt;Fixture!D95,0,1)))</f>
        <v>0</v>
      </c>
      <c r="E3090" s="18">
        <f t="shared" si="649"/>
        <v>1</v>
      </c>
      <c r="F3090" s="18">
        <f>IF(E3090=0,0,IF(Fixture!D95&lt;Fixture!F95,1,IF(Fixture!F95&lt;Fixture!D95,0,0)))</f>
        <v>0</v>
      </c>
      <c r="G3090" s="18">
        <f>IF(E3090=0,0,IF(Fixture!D95&lt;Fixture!F95,0,IF(Fixture!F95&lt;Fixture!D95,0,1)))</f>
        <v>0</v>
      </c>
      <c r="H3090" s="18">
        <f t="shared" si="650"/>
        <v>1</v>
      </c>
      <c r="I3090" s="64">
        <f t="shared" si="651"/>
        <v>0</v>
      </c>
      <c r="J3090" s="64">
        <f t="shared" si="652"/>
        <v>1</v>
      </c>
      <c r="K3090" s="63">
        <f t="shared" si="653"/>
        <v>1</v>
      </c>
      <c r="L3090" s="63">
        <f t="shared" si="654"/>
        <v>0</v>
      </c>
      <c r="N3090" s="10" t="str">
        <f t="shared" ref="N3090:N3153" si="656">CONCATENATE(C3090,A3090)</f>
        <v>Los Angeles13</v>
      </c>
      <c r="O3090" s="10">
        <f t="shared" ref="O3090:O3153" si="657">D3090</f>
        <v>0</v>
      </c>
      <c r="P3090" s="10">
        <f t="shared" ref="P3090:P3153" si="658">I3090</f>
        <v>0</v>
      </c>
      <c r="Q3090" s="10">
        <f t="shared" ref="Q3090:Q3153" si="659">J3090</f>
        <v>1</v>
      </c>
    </row>
    <row r="3091" spans="1:17">
      <c r="A3091" s="15">
        <f t="shared" si="655"/>
        <v>10</v>
      </c>
      <c r="B3091" s="15"/>
      <c r="C3091" s="17" t="str">
        <f>Fixture!E96</f>
        <v>Philadelphia Union</v>
      </c>
      <c r="D3091" s="18">
        <f>IF(E3091=0,0,IF(Fixture!D96&lt;Fixture!F96,3,IF(Fixture!F96&lt;Fixture!D96,0,1)))</f>
        <v>0</v>
      </c>
      <c r="E3091" s="18">
        <f t="shared" si="649"/>
        <v>1</v>
      </c>
      <c r="F3091" s="18">
        <f>IF(E3091=0,0,IF(Fixture!D96&lt;Fixture!F96,1,IF(Fixture!F96&lt;Fixture!D96,0,0)))</f>
        <v>0</v>
      </c>
      <c r="G3091" s="18">
        <f>IF(E3091=0,0,IF(Fixture!D96&lt;Fixture!F96,0,IF(Fixture!F96&lt;Fixture!D96,0,1)))</f>
        <v>0</v>
      </c>
      <c r="H3091" s="18">
        <f t="shared" si="650"/>
        <v>1</v>
      </c>
      <c r="I3091" s="64">
        <f t="shared" si="651"/>
        <v>0</v>
      </c>
      <c r="J3091" s="64">
        <f t="shared" si="652"/>
        <v>2</v>
      </c>
      <c r="K3091" s="63">
        <f t="shared" si="653"/>
        <v>1</v>
      </c>
      <c r="L3091" s="63">
        <f t="shared" si="654"/>
        <v>0</v>
      </c>
      <c r="N3091" s="10" t="str">
        <f t="shared" si="656"/>
        <v>Philadelphia Union10</v>
      </c>
      <c r="O3091" s="10">
        <f t="shared" si="657"/>
        <v>0</v>
      </c>
      <c r="P3091" s="10">
        <f t="shared" si="658"/>
        <v>0</v>
      </c>
      <c r="Q3091" s="10">
        <f t="shared" si="659"/>
        <v>2</v>
      </c>
    </row>
    <row r="3092" spans="1:17">
      <c r="A3092" s="15">
        <f t="shared" si="655"/>
        <v>12</v>
      </c>
      <c r="B3092" s="15"/>
      <c r="C3092" s="17" t="str">
        <f>Fixture!E97</f>
        <v>DC United</v>
      </c>
      <c r="D3092" s="18">
        <f>IF(E3092=0,0,IF(Fixture!D97&lt;Fixture!F97,3,IF(Fixture!F97&lt;Fixture!D97,0,1)))</f>
        <v>3</v>
      </c>
      <c r="E3092" s="18">
        <f t="shared" si="649"/>
        <v>1</v>
      </c>
      <c r="F3092" s="18">
        <f>IF(E3092=0,0,IF(Fixture!D97&lt;Fixture!F97,1,IF(Fixture!F97&lt;Fixture!D97,0,0)))</f>
        <v>1</v>
      </c>
      <c r="G3092" s="18">
        <f>IF(E3092=0,0,IF(Fixture!D97&lt;Fixture!F97,0,IF(Fixture!F97&lt;Fixture!D97,0,1)))</f>
        <v>0</v>
      </c>
      <c r="H3092" s="18">
        <f t="shared" si="650"/>
        <v>0</v>
      </c>
      <c r="I3092" s="64">
        <f t="shared" si="651"/>
        <v>3</v>
      </c>
      <c r="J3092" s="64">
        <f t="shared" si="652"/>
        <v>2</v>
      </c>
      <c r="K3092" s="63">
        <f t="shared" si="653"/>
        <v>0</v>
      </c>
      <c r="L3092" s="63">
        <f t="shared" si="654"/>
        <v>0</v>
      </c>
      <c r="N3092" s="10" t="str">
        <f t="shared" si="656"/>
        <v>DC United12</v>
      </c>
      <c r="O3092" s="10">
        <f t="shared" si="657"/>
        <v>3</v>
      </c>
      <c r="P3092" s="10">
        <f t="shared" si="658"/>
        <v>3</v>
      </c>
      <c r="Q3092" s="10">
        <f t="shared" si="659"/>
        <v>2</v>
      </c>
    </row>
    <row r="3093" spans="1:17">
      <c r="A3093" s="15">
        <f t="shared" si="655"/>
        <v>12</v>
      </c>
      <c r="B3093" s="15"/>
      <c r="C3093" s="17" t="str">
        <f>Fixture!E98</f>
        <v>San Jose</v>
      </c>
      <c r="D3093" s="18">
        <f>IF(E3093=0,0,IF(Fixture!D98&lt;Fixture!F98,3,IF(Fixture!F98&lt;Fixture!D98,0,1)))</f>
        <v>1</v>
      </c>
      <c r="E3093" s="18">
        <f t="shared" si="649"/>
        <v>1</v>
      </c>
      <c r="F3093" s="18">
        <f>IF(E3093=0,0,IF(Fixture!D98&lt;Fixture!F98,1,IF(Fixture!F98&lt;Fixture!D98,0,0)))</f>
        <v>0</v>
      </c>
      <c r="G3093" s="18">
        <f>IF(E3093=0,0,IF(Fixture!D98&lt;Fixture!F98,0,IF(Fixture!F98&lt;Fixture!D98,0,1)))</f>
        <v>1</v>
      </c>
      <c r="H3093" s="18">
        <f t="shared" si="650"/>
        <v>0</v>
      </c>
      <c r="I3093" s="64">
        <f t="shared" si="651"/>
        <v>0</v>
      </c>
      <c r="J3093" s="64">
        <f t="shared" si="652"/>
        <v>0</v>
      </c>
      <c r="K3093" s="63">
        <f t="shared" si="653"/>
        <v>1</v>
      </c>
      <c r="L3093" s="63">
        <f t="shared" si="654"/>
        <v>1</v>
      </c>
      <c r="N3093" s="10" t="str">
        <f t="shared" si="656"/>
        <v>San Jose12</v>
      </c>
      <c r="O3093" s="10">
        <f t="shared" si="657"/>
        <v>1</v>
      </c>
      <c r="P3093" s="10">
        <f t="shared" si="658"/>
        <v>0</v>
      </c>
      <c r="Q3093" s="10">
        <f t="shared" si="659"/>
        <v>0</v>
      </c>
    </row>
    <row r="3094" spans="1:17">
      <c r="A3094" s="15">
        <f t="shared" si="655"/>
        <v>13</v>
      </c>
      <c r="B3094" s="15"/>
      <c r="C3094" s="17" t="str">
        <f>Fixture!E99</f>
        <v>DC United</v>
      </c>
      <c r="D3094" s="18">
        <f>IF(E3094=0,0,IF(Fixture!D99&lt;Fixture!F99,3,IF(Fixture!F99&lt;Fixture!D99,0,1)))</f>
        <v>0</v>
      </c>
      <c r="E3094" s="18">
        <f t="shared" si="649"/>
        <v>1</v>
      </c>
      <c r="F3094" s="18">
        <f>IF(E3094=0,0,IF(Fixture!D99&lt;Fixture!F99,1,IF(Fixture!F99&lt;Fixture!D99,0,0)))</f>
        <v>0</v>
      </c>
      <c r="G3094" s="18">
        <f>IF(E3094=0,0,IF(Fixture!D99&lt;Fixture!F99,0,IF(Fixture!F99&lt;Fixture!D99,0,1)))</f>
        <v>0</v>
      </c>
      <c r="H3094" s="18">
        <f t="shared" si="650"/>
        <v>1</v>
      </c>
      <c r="I3094" s="64">
        <f t="shared" si="651"/>
        <v>0</v>
      </c>
      <c r="J3094" s="64">
        <f t="shared" si="652"/>
        <v>2</v>
      </c>
      <c r="K3094" s="63">
        <f t="shared" si="653"/>
        <v>1</v>
      </c>
      <c r="L3094" s="63">
        <f t="shared" si="654"/>
        <v>0</v>
      </c>
      <c r="N3094" s="10" t="str">
        <f t="shared" si="656"/>
        <v>DC United13</v>
      </c>
      <c r="O3094" s="10">
        <f t="shared" si="657"/>
        <v>0</v>
      </c>
      <c r="P3094" s="10">
        <f t="shared" si="658"/>
        <v>0</v>
      </c>
      <c r="Q3094" s="10">
        <f t="shared" si="659"/>
        <v>2</v>
      </c>
    </row>
    <row r="3095" spans="1:17">
      <c r="A3095" s="15">
        <f t="shared" si="655"/>
        <v>14</v>
      </c>
      <c r="B3095" s="15"/>
      <c r="C3095" s="17" t="str">
        <f>Fixture!E100</f>
        <v>Los Angeles</v>
      </c>
      <c r="D3095" s="18">
        <f>IF(E3095=0,0,IF(Fixture!D100&lt;Fixture!F100,3,IF(Fixture!F100&lt;Fixture!D100,0,1)))</f>
        <v>1</v>
      </c>
      <c r="E3095" s="18">
        <f t="shared" si="649"/>
        <v>1</v>
      </c>
      <c r="F3095" s="18">
        <f>IF(E3095=0,0,IF(Fixture!D100&lt;Fixture!F100,1,IF(Fixture!F100&lt;Fixture!D100,0,0)))</f>
        <v>0</v>
      </c>
      <c r="G3095" s="18">
        <f>IF(E3095=0,0,IF(Fixture!D100&lt;Fixture!F100,0,IF(Fixture!F100&lt;Fixture!D100,0,1)))</f>
        <v>1</v>
      </c>
      <c r="H3095" s="18">
        <f t="shared" si="650"/>
        <v>0</v>
      </c>
      <c r="I3095" s="64">
        <f t="shared" si="651"/>
        <v>0</v>
      </c>
      <c r="J3095" s="64">
        <f t="shared" si="652"/>
        <v>0</v>
      </c>
      <c r="K3095" s="63">
        <f t="shared" si="653"/>
        <v>1</v>
      </c>
      <c r="L3095" s="63">
        <f t="shared" si="654"/>
        <v>1</v>
      </c>
      <c r="N3095" s="10" t="str">
        <f t="shared" si="656"/>
        <v>Los Angeles14</v>
      </c>
      <c r="O3095" s="10">
        <f t="shared" si="657"/>
        <v>1</v>
      </c>
      <c r="P3095" s="10">
        <f t="shared" si="658"/>
        <v>0</v>
      </c>
      <c r="Q3095" s="10">
        <f t="shared" si="659"/>
        <v>0</v>
      </c>
    </row>
    <row r="3096" spans="1:17">
      <c r="A3096" s="15">
        <f t="shared" si="655"/>
        <v>12</v>
      </c>
      <c r="B3096" s="15"/>
      <c r="C3096" s="17" t="str">
        <f>Fixture!E101</f>
        <v>Colorado</v>
      </c>
      <c r="D3096" s="18">
        <f>IF(E3096=0,0,IF(Fixture!D101&lt;Fixture!F101,3,IF(Fixture!F101&lt;Fixture!D101,0,1)))</f>
        <v>1</v>
      </c>
      <c r="E3096" s="18">
        <f t="shared" si="649"/>
        <v>1</v>
      </c>
      <c r="F3096" s="18">
        <f>IF(E3096=0,0,IF(Fixture!D101&lt;Fixture!F101,1,IF(Fixture!F101&lt;Fixture!D101,0,0)))</f>
        <v>0</v>
      </c>
      <c r="G3096" s="18">
        <f>IF(E3096=0,0,IF(Fixture!D101&lt;Fixture!F101,0,IF(Fixture!F101&lt;Fixture!D101,0,1)))</f>
        <v>1</v>
      </c>
      <c r="H3096" s="18">
        <f t="shared" si="650"/>
        <v>0</v>
      </c>
      <c r="I3096" s="64">
        <f t="shared" si="651"/>
        <v>2</v>
      </c>
      <c r="J3096" s="64">
        <f t="shared" si="652"/>
        <v>2</v>
      </c>
      <c r="K3096" s="63">
        <f t="shared" si="653"/>
        <v>0</v>
      </c>
      <c r="L3096" s="63">
        <f t="shared" si="654"/>
        <v>0</v>
      </c>
      <c r="N3096" s="10" t="str">
        <f t="shared" si="656"/>
        <v>Colorado12</v>
      </c>
      <c r="O3096" s="10">
        <f t="shared" si="657"/>
        <v>1</v>
      </c>
      <c r="P3096" s="10">
        <f t="shared" si="658"/>
        <v>2</v>
      </c>
      <c r="Q3096" s="10">
        <f t="shared" si="659"/>
        <v>2</v>
      </c>
    </row>
    <row r="3097" spans="1:17">
      <c r="A3097" s="15">
        <f t="shared" si="655"/>
        <v>13</v>
      </c>
      <c r="B3097" s="15"/>
      <c r="C3097" s="17" t="str">
        <f>Fixture!E102</f>
        <v>New York Red Bulls</v>
      </c>
      <c r="D3097" s="18">
        <f>IF(E3097=0,0,IF(Fixture!D102&lt;Fixture!F102,3,IF(Fixture!F102&lt;Fixture!D102,0,1)))</f>
        <v>3</v>
      </c>
      <c r="E3097" s="18">
        <f t="shared" si="649"/>
        <v>1</v>
      </c>
      <c r="F3097" s="18">
        <f>IF(E3097=0,0,IF(Fixture!D102&lt;Fixture!F102,1,IF(Fixture!F102&lt;Fixture!D102,0,0)))</f>
        <v>1</v>
      </c>
      <c r="G3097" s="18">
        <f>IF(E3097=0,0,IF(Fixture!D102&lt;Fixture!F102,0,IF(Fixture!F102&lt;Fixture!D102,0,1)))</f>
        <v>0</v>
      </c>
      <c r="H3097" s="18">
        <f t="shared" si="650"/>
        <v>0</v>
      </c>
      <c r="I3097" s="64">
        <f t="shared" si="651"/>
        <v>3</v>
      </c>
      <c r="J3097" s="64">
        <f t="shared" si="652"/>
        <v>0</v>
      </c>
      <c r="K3097" s="63">
        <f t="shared" si="653"/>
        <v>0</v>
      </c>
      <c r="L3097" s="63">
        <f t="shared" si="654"/>
        <v>1</v>
      </c>
      <c r="N3097" s="10" t="str">
        <f t="shared" si="656"/>
        <v>New York Red Bulls13</v>
      </c>
      <c r="O3097" s="10">
        <f t="shared" si="657"/>
        <v>3</v>
      </c>
      <c r="P3097" s="10">
        <f t="shared" si="658"/>
        <v>3</v>
      </c>
      <c r="Q3097" s="10">
        <f t="shared" si="659"/>
        <v>0</v>
      </c>
    </row>
    <row r="3098" spans="1:17">
      <c r="A3098" s="15">
        <f t="shared" si="655"/>
        <v>12</v>
      </c>
      <c r="B3098" s="15"/>
      <c r="C3098" s="17" t="str">
        <f>Fixture!E103</f>
        <v>Dallas</v>
      </c>
      <c r="D3098" s="18">
        <f>IF(E3098=0,0,IF(Fixture!D103&lt;Fixture!F103,3,IF(Fixture!F103&lt;Fixture!D103,0,1)))</f>
        <v>3</v>
      </c>
      <c r="E3098" s="18">
        <f t="shared" si="649"/>
        <v>1</v>
      </c>
      <c r="F3098" s="18">
        <f>IF(E3098=0,0,IF(Fixture!D103&lt;Fixture!F103,1,IF(Fixture!F103&lt;Fixture!D103,0,0)))</f>
        <v>1</v>
      </c>
      <c r="G3098" s="18">
        <f>IF(E3098=0,0,IF(Fixture!D103&lt;Fixture!F103,0,IF(Fixture!F103&lt;Fixture!D103,0,1)))</f>
        <v>0</v>
      </c>
      <c r="H3098" s="18">
        <f t="shared" si="650"/>
        <v>0</v>
      </c>
      <c r="I3098" s="64">
        <f t="shared" si="651"/>
        <v>2</v>
      </c>
      <c r="J3098" s="64">
        <f t="shared" si="652"/>
        <v>1</v>
      </c>
      <c r="K3098" s="63">
        <f t="shared" si="653"/>
        <v>0</v>
      </c>
      <c r="L3098" s="63">
        <f t="shared" si="654"/>
        <v>0</v>
      </c>
      <c r="N3098" s="10" t="str">
        <f t="shared" si="656"/>
        <v>Dallas12</v>
      </c>
      <c r="O3098" s="10">
        <f t="shared" si="657"/>
        <v>3</v>
      </c>
      <c r="P3098" s="10">
        <f t="shared" si="658"/>
        <v>2</v>
      </c>
      <c r="Q3098" s="10">
        <f t="shared" si="659"/>
        <v>1</v>
      </c>
    </row>
    <row r="3099" spans="1:17">
      <c r="A3099" s="15">
        <f t="shared" si="655"/>
        <v>14</v>
      </c>
      <c r="B3099" s="15"/>
      <c r="C3099" s="17" t="str">
        <f>Fixture!E104</f>
        <v>Seattle Sounders FC</v>
      </c>
      <c r="D3099" s="18">
        <f>IF(E3099=0,0,IF(Fixture!D104&lt;Fixture!F104,3,IF(Fixture!F104&lt;Fixture!D104,0,1)))</f>
        <v>0</v>
      </c>
      <c r="E3099" s="18">
        <f t="shared" si="649"/>
        <v>1</v>
      </c>
      <c r="F3099" s="18">
        <f>IF(E3099=0,0,IF(Fixture!D104&lt;Fixture!F104,1,IF(Fixture!F104&lt;Fixture!D104,0,0)))</f>
        <v>0</v>
      </c>
      <c r="G3099" s="18">
        <f>IF(E3099=0,0,IF(Fixture!D104&lt;Fixture!F104,0,IF(Fixture!F104&lt;Fixture!D104,0,1)))</f>
        <v>0</v>
      </c>
      <c r="H3099" s="18">
        <f t="shared" si="650"/>
        <v>1</v>
      </c>
      <c r="I3099" s="64">
        <f t="shared" si="651"/>
        <v>1</v>
      </c>
      <c r="J3099" s="64">
        <f t="shared" si="652"/>
        <v>3</v>
      </c>
      <c r="K3099" s="63">
        <f t="shared" si="653"/>
        <v>0</v>
      </c>
      <c r="L3099" s="63">
        <f t="shared" si="654"/>
        <v>0</v>
      </c>
      <c r="N3099" s="10" t="str">
        <f t="shared" si="656"/>
        <v>Seattle Sounders FC14</v>
      </c>
      <c r="O3099" s="10">
        <f t="shared" si="657"/>
        <v>0</v>
      </c>
      <c r="P3099" s="10">
        <f t="shared" si="658"/>
        <v>1</v>
      </c>
      <c r="Q3099" s="10">
        <f t="shared" si="659"/>
        <v>3</v>
      </c>
    </row>
    <row r="3100" spans="1:17">
      <c r="A3100" s="15">
        <f t="shared" si="655"/>
        <v>12</v>
      </c>
      <c r="B3100" s="15"/>
      <c r="C3100" s="17" t="str">
        <f>Fixture!E105</f>
        <v>Chicago</v>
      </c>
      <c r="D3100" s="18">
        <f>IF(E3100=0,0,IF(Fixture!D105&lt;Fixture!F105,3,IF(Fixture!F105&lt;Fixture!D105,0,1)))</f>
        <v>3</v>
      </c>
      <c r="E3100" s="18">
        <f t="shared" si="649"/>
        <v>1</v>
      </c>
      <c r="F3100" s="18">
        <f>IF(E3100=0,0,IF(Fixture!D105&lt;Fixture!F105,1,IF(Fixture!F105&lt;Fixture!D105,0,0)))</f>
        <v>1</v>
      </c>
      <c r="G3100" s="18">
        <f>IF(E3100=0,0,IF(Fixture!D105&lt;Fixture!F105,0,IF(Fixture!F105&lt;Fixture!D105,0,1)))</f>
        <v>0</v>
      </c>
      <c r="H3100" s="18">
        <f t="shared" si="650"/>
        <v>0</v>
      </c>
      <c r="I3100" s="64">
        <f t="shared" si="651"/>
        <v>1</v>
      </c>
      <c r="J3100" s="64">
        <f t="shared" si="652"/>
        <v>0</v>
      </c>
      <c r="K3100" s="63">
        <f t="shared" si="653"/>
        <v>0</v>
      </c>
      <c r="L3100" s="63">
        <f t="shared" si="654"/>
        <v>1</v>
      </c>
      <c r="N3100" s="10" t="str">
        <f t="shared" si="656"/>
        <v>Chicago12</v>
      </c>
      <c r="O3100" s="10">
        <f t="shared" si="657"/>
        <v>3</v>
      </c>
      <c r="P3100" s="10">
        <f t="shared" si="658"/>
        <v>1</v>
      </c>
      <c r="Q3100" s="10">
        <f t="shared" si="659"/>
        <v>0</v>
      </c>
    </row>
    <row r="3101" spans="1:17">
      <c r="A3101" s="15">
        <f t="shared" si="655"/>
        <v>15</v>
      </c>
      <c r="B3101" s="15"/>
      <c r="C3101" s="17" t="str">
        <f>Fixture!E106</f>
        <v>Houston</v>
      </c>
      <c r="D3101" s="18">
        <f>IF(E3101=0,0,IF(Fixture!D106&lt;Fixture!F106,3,IF(Fixture!F106&lt;Fixture!D106,0,1)))</f>
        <v>1</v>
      </c>
      <c r="E3101" s="18">
        <f t="shared" si="649"/>
        <v>1</v>
      </c>
      <c r="F3101" s="18">
        <f>IF(E3101=0,0,IF(Fixture!D106&lt;Fixture!F106,1,IF(Fixture!F106&lt;Fixture!D106,0,0)))</f>
        <v>0</v>
      </c>
      <c r="G3101" s="18">
        <f>IF(E3101=0,0,IF(Fixture!D106&lt;Fixture!F106,0,IF(Fixture!F106&lt;Fixture!D106,0,1)))</f>
        <v>1</v>
      </c>
      <c r="H3101" s="18">
        <f t="shared" si="650"/>
        <v>0</v>
      </c>
      <c r="I3101" s="64">
        <f t="shared" si="651"/>
        <v>1</v>
      </c>
      <c r="J3101" s="64">
        <f t="shared" si="652"/>
        <v>1</v>
      </c>
      <c r="K3101" s="63">
        <f t="shared" si="653"/>
        <v>0</v>
      </c>
      <c r="L3101" s="63">
        <f t="shared" si="654"/>
        <v>0</v>
      </c>
      <c r="N3101" s="10" t="str">
        <f t="shared" si="656"/>
        <v>Houston15</v>
      </c>
      <c r="O3101" s="10">
        <f t="shared" si="657"/>
        <v>1</v>
      </c>
      <c r="P3101" s="10">
        <f t="shared" si="658"/>
        <v>1</v>
      </c>
      <c r="Q3101" s="10">
        <f t="shared" si="659"/>
        <v>1</v>
      </c>
    </row>
    <row r="3102" spans="1:17">
      <c r="A3102" s="15">
        <f t="shared" si="655"/>
        <v>14</v>
      </c>
      <c r="B3102" s="15"/>
      <c r="C3102" s="17" t="str">
        <f>Fixture!E107</f>
        <v>New England</v>
      </c>
      <c r="D3102" s="18">
        <f>IF(E3102=0,0,IF(Fixture!D107&lt;Fixture!F107,3,IF(Fixture!F107&lt;Fixture!D107,0,1)))</f>
        <v>0</v>
      </c>
      <c r="E3102" s="18">
        <f t="shared" si="649"/>
        <v>1</v>
      </c>
      <c r="F3102" s="18">
        <f>IF(E3102=0,0,IF(Fixture!D107&lt;Fixture!F107,1,IF(Fixture!F107&lt;Fixture!D107,0,0)))</f>
        <v>0</v>
      </c>
      <c r="G3102" s="18">
        <f>IF(E3102=0,0,IF(Fixture!D107&lt;Fixture!F107,0,IF(Fixture!F107&lt;Fixture!D107,0,1)))</f>
        <v>0</v>
      </c>
      <c r="H3102" s="18">
        <f t="shared" si="650"/>
        <v>1</v>
      </c>
      <c r="I3102" s="64">
        <f t="shared" si="651"/>
        <v>0</v>
      </c>
      <c r="J3102" s="64">
        <f t="shared" si="652"/>
        <v>5</v>
      </c>
      <c r="K3102" s="63">
        <f t="shared" si="653"/>
        <v>1</v>
      </c>
      <c r="L3102" s="63">
        <f t="shared" si="654"/>
        <v>0</v>
      </c>
      <c r="N3102" s="10" t="str">
        <f t="shared" si="656"/>
        <v>New England14</v>
      </c>
      <c r="O3102" s="10">
        <f t="shared" si="657"/>
        <v>0</v>
      </c>
      <c r="P3102" s="10">
        <f t="shared" si="658"/>
        <v>0</v>
      </c>
      <c r="Q3102" s="10">
        <f t="shared" si="659"/>
        <v>5</v>
      </c>
    </row>
    <row r="3103" spans="1:17">
      <c r="A3103" s="15">
        <f t="shared" si="655"/>
        <v>13</v>
      </c>
      <c r="B3103" s="15"/>
      <c r="C3103" s="17" t="str">
        <f>Fixture!E108</f>
        <v>Chicago</v>
      </c>
      <c r="D3103" s="18">
        <f>IF(E3103=0,0,IF(Fixture!D108&lt;Fixture!F108,3,IF(Fixture!F108&lt;Fixture!D108,0,1)))</f>
        <v>0</v>
      </c>
      <c r="E3103" s="18">
        <f t="shared" si="649"/>
        <v>1</v>
      </c>
      <c r="F3103" s="18">
        <f>IF(E3103=0,0,IF(Fixture!D108&lt;Fixture!F108,1,IF(Fixture!F108&lt;Fixture!D108,0,0)))</f>
        <v>0</v>
      </c>
      <c r="G3103" s="18">
        <f>IF(E3103=0,0,IF(Fixture!D108&lt;Fixture!F108,0,IF(Fixture!F108&lt;Fixture!D108,0,1)))</f>
        <v>0</v>
      </c>
      <c r="H3103" s="18">
        <f t="shared" si="650"/>
        <v>1</v>
      </c>
      <c r="I3103" s="64">
        <f t="shared" si="651"/>
        <v>1</v>
      </c>
      <c r="J3103" s="64">
        <f t="shared" si="652"/>
        <v>2</v>
      </c>
      <c r="K3103" s="63">
        <f t="shared" si="653"/>
        <v>0</v>
      </c>
      <c r="L3103" s="63">
        <f t="shared" si="654"/>
        <v>0</v>
      </c>
      <c r="N3103" s="10" t="str">
        <f t="shared" si="656"/>
        <v>Chicago13</v>
      </c>
      <c r="O3103" s="10">
        <f t="shared" si="657"/>
        <v>0</v>
      </c>
      <c r="P3103" s="10">
        <f t="shared" si="658"/>
        <v>1</v>
      </c>
      <c r="Q3103" s="10">
        <f t="shared" si="659"/>
        <v>2</v>
      </c>
    </row>
    <row r="3104" spans="1:17">
      <c r="A3104" s="15">
        <f t="shared" si="655"/>
        <v>13</v>
      </c>
      <c r="B3104" s="15"/>
      <c r="C3104" s="17" t="str">
        <f>Fixture!E109</f>
        <v>Kansas City</v>
      </c>
      <c r="D3104" s="18">
        <f>IF(E3104=0,0,IF(Fixture!D109&lt;Fixture!F109,3,IF(Fixture!F109&lt;Fixture!D109,0,1)))</f>
        <v>0</v>
      </c>
      <c r="E3104" s="18">
        <f t="shared" si="649"/>
        <v>1</v>
      </c>
      <c r="F3104" s="18">
        <f>IF(E3104=0,0,IF(Fixture!D109&lt;Fixture!F109,1,IF(Fixture!F109&lt;Fixture!D109,0,0)))</f>
        <v>0</v>
      </c>
      <c r="G3104" s="18">
        <f>IF(E3104=0,0,IF(Fixture!D109&lt;Fixture!F109,0,IF(Fixture!F109&lt;Fixture!D109,0,1)))</f>
        <v>0</v>
      </c>
      <c r="H3104" s="18">
        <f t="shared" si="650"/>
        <v>1</v>
      </c>
      <c r="I3104" s="64">
        <f t="shared" si="651"/>
        <v>0</v>
      </c>
      <c r="J3104" s="64">
        <f t="shared" si="652"/>
        <v>1</v>
      </c>
      <c r="K3104" s="63">
        <f t="shared" si="653"/>
        <v>1</v>
      </c>
      <c r="L3104" s="63">
        <f t="shared" si="654"/>
        <v>0</v>
      </c>
      <c r="N3104" s="10" t="str">
        <f t="shared" si="656"/>
        <v>Kansas City13</v>
      </c>
      <c r="O3104" s="10">
        <f t="shared" si="657"/>
        <v>0</v>
      </c>
      <c r="P3104" s="10">
        <f t="shared" si="658"/>
        <v>0</v>
      </c>
      <c r="Q3104" s="10">
        <f t="shared" si="659"/>
        <v>1</v>
      </c>
    </row>
    <row r="3105" spans="1:17">
      <c r="A3105" s="15">
        <f t="shared" si="655"/>
        <v>14</v>
      </c>
      <c r="B3105" s="15"/>
      <c r="C3105" s="17" t="str">
        <f>Fixture!E110</f>
        <v>DC United</v>
      </c>
      <c r="D3105" s="18">
        <f>IF(E3105=0,0,IF(Fixture!D110&lt;Fixture!F110,3,IF(Fixture!F110&lt;Fixture!D110,0,1)))</f>
        <v>1</v>
      </c>
      <c r="E3105" s="18">
        <f t="shared" si="649"/>
        <v>1</v>
      </c>
      <c r="F3105" s="18">
        <f>IF(E3105=0,0,IF(Fixture!D110&lt;Fixture!F110,1,IF(Fixture!F110&lt;Fixture!D110,0,0)))</f>
        <v>0</v>
      </c>
      <c r="G3105" s="18">
        <f>IF(E3105=0,0,IF(Fixture!D110&lt;Fixture!F110,0,IF(Fixture!F110&lt;Fixture!D110,0,1)))</f>
        <v>1</v>
      </c>
      <c r="H3105" s="18">
        <f t="shared" si="650"/>
        <v>0</v>
      </c>
      <c r="I3105" s="64">
        <f t="shared" si="651"/>
        <v>1</v>
      </c>
      <c r="J3105" s="64">
        <f t="shared" si="652"/>
        <v>1</v>
      </c>
      <c r="K3105" s="63">
        <f t="shared" si="653"/>
        <v>0</v>
      </c>
      <c r="L3105" s="63">
        <f t="shared" si="654"/>
        <v>0</v>
      </c>
      <c r="N3105" s="10" t="str">
        <f t="shared" si="656"/>
        <v>DC United14</v>
      </c>
      <c r="O3105" s="10">
        <f t="shared" si="657"/>
        <v>1</v>
      </c>
      <c r="P3105" s="10">
        <f t="shared" si="658"/>
        <v>1</v>
      </c>
      <c r="Q3105" s="10">
        <f t="shared" si="659"/>
        <v>1</v>
      </c>
    </row>
    <row r="3106" spans="1:17">
      <c r="A3106" s="15">
        <f t="shared" si="655"/>
        <v>12</v>
      </c>
      <c r="B3106" s="15"/>
      <c r="C3106" s="17" t="str">
        <f>Fixture!E111</f>
        <v>Philadelphia Union</v>
      </c>
      <c r="D3106" s="18">
        <f>IF(E3106=0,0,IF(Fixture!D111&lt;Fixture!F111,3,IF(Fixture!F111&lt;Fixture!D111,0,1)))</f>
        <v>1</v>
      </c>
      <c r="E3106" s="18">
        <f t="shared" si="649"/>
        <v>1</v>
      </c>
      <c r="F3106" s="18">
        <f>IF(E3106=0,0,IF(Fixture!D111&lt;Fixture!F111,1,IF(Fixture!F111&lt;Fixture!D111,0,0)))</f>
        <v>0</v>
      </c>
      <c r="G3106" s="18">
        <f>IF(E3106=0,0,IF(Fixture!D111&lt;Fixture!F111,0,IF(Fixture!F111&lt;Fixture!D111,0,1)))</f>
        <v>1</v>
      </c>
      <c r="H3106" s="18">
        <f t="shared" si="650"/>
        <v>0</v>
      </c>
      <c r="I3106" s="64">
        <f t="shared" si="651"/>
        <v>1</v>
      </c>
      <c r="J3106" s="64">
        <f t="shared" si="652"/>
        <v>1</v>
      </c>
      <c r="K3106" s="63">
        <f t="shared" si="653"/>
        <v>0</v>
      </c>
      <c r="L3106" s="63">
        <f t="shared" si="654"/>
        <v>0</v>
      </c>
      <c r="N3106" s="10" t="str">
        <f t="shared" si="656"/>
        <v>Philadelphia Union12</v>
      </c>
      <c r="O3106" s="10">
        <f t="shared" si="657"/>
        <v>1</v>
      </c>
      <c r="P3106" s="10">
        <f t="shared" si="658"/>
        <v>1</v>
      </c>
      <c r="Q3106" s="10">
        <f t="shared" si="659"/>
        <v>1</v>
      </c>
    </row>
    <row r="3107" spans="1:17">
      <c r="A3107" s="15">
        <f t="shared" si="655"/>
        <v>14</v>
      </c>
      <c r="B3107" s="15"/>
      <c r="C3107" s="17" t="str">
        <f>Fixture!E112</f>
        <v>New York Red Bulls</v>
      </c>
      <c r="D3107" s="18">
        <f>IF(E3107=0,0,IF(Fixture!D112&lt;Fixture!F112,3,IF(Fixture!F112&lt;Fixture!D112,0,1)))</f>
        <v>1</v>
      </c>
      <c r="E3107" s="18">
        <f t="shared" si="649"/>
        <v>1</v>
      </c>
      <c r="F3107" s="18">
        <f>IF(E3107=0,0,IF(Fixture!D112&lt;Fixture!F112,1,IF(Fixture!F112&lt;Fixture!D112,0,0)))</f>
        <v>0</v>
      </c>
      <c r="G3107" s="18">
        <f>IF(E3107=0,0,IF(Fixture!D112&lt;Fixture!F112,0,IF(Fixture!F112&lt;Fixture!D112,0,1)))</f>
        <v>1</v>
      </c>
      <c r="H3107" s="18">
        <f t="shared" si="650"/>
        <v>0</v>
      </c>
      <c r="I3107" s="64">
        <f t="shared" si="651"/>
        <v>1</v>
      </c>
      <c r="J3107" s="64">
        <f t="shared" si="652"/>
        <v>1</v>
      </c>
      <c r="K3107" s="63">
        <f t="shared" si="653"/>
        <v>0</v>
      </c>
      <c r="L3107" s="63">
        <f t="shared" si="654"/>
        <v>0</v>
      </c>
      <c r="N3107" s="10" t="str">
        <f t="shared" si="656"/>
        <v>New York Red Bulls14</v>
      </c>
      <c r="O3107" s="10">
        <f t="shared" si="657"/>
        <v>1</v>
      </c>
      <c r="P3107" s="10">
        <f t="shared" si="658"/>
        <v>1</v>
      </c>
      <c r="Q3107" s="10">
        <f t="shared" si="659"/>
        <v>1</v>
      </c>
    </row>
    <row r="3108" spans="1:17">
      <c r="A3108" s="15">
        <f t="shared" si="655"/>
        <v>15</v>
      </c>
      <c r="B3108" s="15"/>
      <c r="C3108" s="17" t="str">
        <f>Fixture!E113</f>
        <v>Seattle Sounders FC</v>
      </c>
      <c r="D3108" s="18">
        <f>IF(E3108=0,0,IF(Fixture!D113&lt;Fixture!F113,3,IF(Fixture!F113&lt;Fixture!D113,0,1)))</f>
        <v>0</v>
      </c>
      <c r="E3108" s="18">
        <f t="shared" si="649"/>
        <v>1</v>
      </c>
      <c r="F3108" s="18">
        <f>IF(E3108=0,0,IF(Fixture!D113&lt;Fixture!F113,1,IF(Fixture!F113&lt;Fixture!D113,0,0)))</f>
        <v>0</v>
      </c>
      <c r="G3108" s="18">
        <f>IF(E3108=0,0,IF(Fixture!D113&lt;Fixture!F113,0,IF(Fixture!F113&lt;Fixture!D113,0,1)))</f>
        <v>0</v>
      </c>
      <c r="H3108" s="18">
        <f t="shared" si="650"/>
        <v>1</v>
      </c>
      <c r="I3108" s="64">
        <f t="shared" si="651"/>
        <v>1</v>
      </c>
      <c r="J3108" s="64">
        <f t="shared" si="652"/>
        <v>3</v>
      </c>
      <c r="K3108" s="63">
        <f t="shared" si="653"/>
        <v>0</v>
      </c>
      <c r="L3108" s="63">
        <f t="shared" si="654"/>
        <v>0</v>
      </c>
      <c r="N3108" s="10" t="str">
        <f t="shared" si="656"/>
        <v>Seattle Sounders FC15</v>
      </c>
      <c r="O3108" s="10">
        <f t="shared" si="657"/>
        <v>0</v>
      </c>
      <c r="P3108" s="10">
        <f t="shared" si="658"/>
        <v>1</v>
      </c>
      <c r="Q3108" s="10">
        <f t="shared" si="659"/>
        <v>3</v>
      </c>
    </row>
    <row r="3109" spans="1:17">
      <c r="A3109" s="15">
        <f t="shared" si="655"/>
        <v>15</v>
      </c>
      <c r="B3109" s="15"/>
      <c r="C3109" s="17" t="str">
        <f>Fixture!E114</f>
        <v>Real Salt Lake</v>
      </c>
      <c r="D3109" s="18">
        <f>IF(E3109=0,0,IF(Fixture!D114&lt;Fixture!F114,3,IF(Fixture!F114&lt;Fixture!D114,0,1)))</f>
        <v>3</v>
      </c>
      <c r="E3109" s="18">
        <f t="shared" si="649"/>
        <v>1</v>
      </c>
      <c r="F3109" s="18">
        <f>IF(E3109=0,0,IF(Fixture!D114&lt;Fixture!F114,1,IF(Fixture!F114&lt;Fixture!D114,0,0)))</f>
        <v>1</v>
      </c>
      <c r="G3109" s="18">
        <f>IF(E3109=0,0,IF(Fixture!D114&lt;Fixture!F114,0,IF(Fixture!F114&lt;Fixture!D114,0,1)))</f>
        <v>0</v>
      </c>
      <c r="H3109" s="18">
        <f t="shared" si="650"/>
        <v>0</v>
      </c>
      <c r="I3109" s="64">
        <f t="shared" si="651"/>
        <v>1</v>
      </c>
      <c r="J3109" s="64">
        <f t="shared" si="652"/>
        <v>0</v>
      </c>
      <c r="K3109" s="63">
        <f t="shared" si="653"/>
        <v>0</v>
      </c>
      <c r="L3109" s="63">
        <f t="shared" si="654"/>
        <v>1</v>
      </c>
      <c r="N3109" s="10" t="str">
        <f t="shared" si="656"/>
        <v>Real Salt Lake15</v>
      </c>
      <c r="O3109" s="10">
        <f t="shared" si="657"/>
        <v>3</v>
      </c>
      <c r="P3109" s="10">
        <f t="shared" si="658"/>
        <v>1</v>
      </c>
      <c r="Q3109" s="10">
        <f t="shared" si="659"/>
        <v>0</v>
      </c>
    </row>
    <row r="3110" spans="1:17">
      <c r="A3110" s="15">
        <f t="shared" si="655"/>
        <v>14</v>
      </c>
      <c r="B3110" s="15"/>
      <c r="C3110" s="17" t="str">
        <f>Fixture!E115</f>
        <v>Colorado</v>
      </c>
      <c r="D3110" s="18">
        <f>IF(E3110=0,0,IF(Fixture!D115&lt;Fixture!F115,3,IF(Fixture!F115&lt;Fixture!D115,0,1)))</f>
        <v>0</v>
      </c>
      <c r="E3110" s="18">
        <f t="shared" si="649"/>
        <v>1</v>
      </c>
      <c r="F3110" s="18">
        <f>IF(E3110=0,0,IF(Fixture!D115&lt;Fixture!F115,1,IF(Fixture!F115&lt;Fixture!D115,0,0)))</f>
        <v>0</v>
      </c>
      <c r="G3110" s="18">
        <f>IF(E3110=0,0,IF(Fixture!D115&lt;Fixture!F115,0,IF(Fixture!F115&lt;Fixture!D115,0,1)))</f>
        <v>0</v>
      </c>
      <c r="H3110" s="18">
        <f t="shared" si="650"/>
        <v>1</v>
      </c>
      <c r="I3110" s="64">
        <f t="shared" si="651"/>
        <v>0</v>
      </c>
      <c r="J3110" s="64">
        <f t="shared" si="652"/>
        <v>1</v>
      </c>
      <c r="K3110" s="63">
        <f t="shared" si="653"/>
        <v>1</v>
      </c>
      <c r="L3110" s="63">
        <f t="shared" si="654"/>
        <v>0</v>
      </c>
      <c r="N3110" s="10" t="str">
        <f t="shared" si="656"/>
        <v>Colorado14</v>
      </c>
      <c r="O3110" s="10">
        <f t="shared" si="657"/>
        <v>0</v>
      </c>
      <c r="P3110" s="10">
        <f t="shared" si="658"/>
        <v>0</v>
      </c>
      <c r="Q3110" s="10">
        <f t="shared" si="659"/>
        <v>1</v>
      </c>
    </row>
    <row r="3111" spans="1:17">
      <c r="A3111" s="15">
        <f t="shared" si="655"/>
        <v>14</v>
      </c>
      <c r="B3111" s="15"/>
      <c r="C3111" s="17" t="str">
        <f>Fixture!E116</f>
        <v>San Jose</v>
      </c>
      <c r="D3111" s="18">
        <f>IF(E3111=0,0,IF(Fixture!D116&lt;Fixture!F116,3,IF(Fixture!F116&lt;Fixture!D116,0,1)))</f>
        <v>3</v>
      </c>
      <c r="E3111" s="18">
        <f t="shared" si="649"/>
        <v>1</v>
      </c>
      <c r="F3111" s="18">
        <f>IF(E3111=0,0,IF(Fixture!D116&lt;Fixture!F116,1,IF(Fixture!F116&lt;Fixture!D116,0,0)))</f>
        <v>1</v>
      </c>
      <c r="G3111" s="18">
        <f>IF(E3111=0,0,IF(Fixture!D116&lt;Fixture!F116,0,IF(Fixture!F116&lt;Fixture!D116,0,1)))</f>
        <v>0</v>
      </c>
      <c r="H3111" s="18">
        <f t="shared" si="650"/>
        <v>0</v>
      </c>
      <c r="I3111" s="64">
        <f t="shared" si="651"/>
        <v>2</v>
      </c>
      <c r="J3111" s="64">
        <f t="shared" si="652"/>
        <v>1</v>
      </c>
      <c r="K3111" s="63">
        <f t="shared" si="653"/>
        <v>0</v>
      </c>
      <c r="L3111" s="63">
        <f t="shared" si="654"/>
        <v>0</v>
      </c>
      <c r="N3111" s="10" t="str">
        <f t="shared" si="656"/>
        <v>San Jose14</v>
      </c>
      <c r="O3111" s="10">
        <f t="shared" si="657"/>
        <v>3</v>
      </c>
      <c r="P3111" s="10">
        <f t="shared" si="658"/>
        <v>2</v>
      </c>
      <c r="Q3111" s="10">
        <f t="shared" si="659"/>
        <v>1</v>
      </c>
    </row>
    <row r="3112" spans="1:17">
      <c r="A3112" s="15">
        <f t="shared" si="655"/>
        <v>16</v>
      </c>
      <c r="B3112" s="15"/>
      <c r="C3112" s="17" t="str">
        <f>Fixture!E117</f>
        <v>Los Angeles</v>
      </c>
      <c r="D3112" s="18">
        <f>IF(E3112=0,0,IF(Fixture!D117&lt;Fixture!F117,3,IF(Fixture!F117&lt;Fixture!D117,0,1)))</f>
        <v>0</v>
      </c>
      <c r="E3112" s="18">
        <f t="shared" si="649"/>
        <v>1</v>
      </c>
      <c r="F3112" s="18">
        <f>IF(E3112=0,0,IF(Fixture!D117&lt;Fixture!F117,1,IF(Fixture!F117&lt;Fixture!D117,0,0)))</f>
        <v>0</v>
      </c>
      <c r="G3112" s="18">
        <f>IF(E3112=0,0,IF(Fixture!D117&lt;Fixture!F117,0,IF(Fixture!F117&lt;Fixture!D117,0,1)))</f>
        <v>0</v>
      </c>
      <c r="H3112" s="18">
        <f t="shared" si="650"/>
        <v>1</v>
      </c>
      <c r="I3112" s="64">
        <f t="shared" si="651"/>
        <v>0</v>
      </c>
      <c r="J3112" s="64">
        <f t="shared" si="652"/>
        <v>2</v>
      </c>
      <c r="K3112" s="63">
        <f t="shared" si="653"/>
        <v>1</v>
      </c>
      <c r="L3112" s="63">
        <f t="shared" si="654"/>
        <v>0</v>
      </c>
      <c r="N3112" s="10" t="str">
        <f t="shared" si="656"/>
        <v>Los Angeles16</v>
      </c>
      <c r="O3112" s="10">
        <f t="shared" si="657"/>
        <v>0</v>
      </c>
      <c r="P3112" s="10">
        <f t="shared" si="658"/>
        <v>0</v>
      </c>
      <c r="Q3112" s="10">
        <f t="shared" si="659"/>
        <v>2</v>
      </c>
    </row>
    <row r="3113" spans="1:17">
      <c r="A3113" s="15">
        <f t="shared" si="655"/>
        <v>15</v>
      </c>
      <c r="B3113" s="15"/>
      <c r="C3113" s="17" t="str">
        <f>Fixture!E118</f>
        <v>DC United</v>
      </c>
      <c r="D3113" s="18">
        <f>IF(E3113=0,0,IF(Fixture!D118&lt;Fixture!F118,3,IF(Fixture!F118&lt;Fixture!D118,0,1)))</f>
        <v>1</v>
      </c>
      <c r="E3113" s="18">
        <f t="shared" si="649"/>
        <v>1</v>
      </c>
      <c r="F3113" s="18">
        <f>IF(E3113=0,0,IF(Fixture!D118&lt;Fixture!F118,1,IF(Fixture!F118&lt;Fixture!D118,0,0)))</f>
        <v>0</v>
      </c>
      <c r="G3113" s="18">
        <f>IF(E3113=0,0,IF(Fixture!D118&lt;Fixture!F118,0,IF(Fixture!F118&lt;Fixture!D118,0,1)))</f>
        <v>1</v>
      </c>
      <c r="H3113" s="18">
        <f t="shared" si="650"/>
        <v>0</v>
      </c>
      <c r="I3113" s="64">
        <f t="shared" si="651"/>
        <v>0</v>
      </c>
      <c r="J3113" s="64">
        <f t="shared" si="652"/>
        <v>0</v>
      </c>
      <c r="K3113" s="63">
        <f t="shared" si="653"/>
        <v>1</v>
      </c>
      <c r="L3113" s="63">
        <f t="shared" si="654"/>
        <v>1</v>
      </c>
      <c r="N3113" s="10" t="str">
        <f t="shared" si="656"/>
        <v>DC United15</v>
      </c>
      <c r="O3113" s="10">
        <f t="shared" si="657"/>
        <v>1</v>
      </c>
      <c r="P3113" s="10">
        <f t="shared" si="658"/>
        <v>0</v>
      </c>
      <c r="Q3113" s="10">
        <f t="shared" si="659"/>
        <v>0</v>
      </c>
    </row>
    <row r="3114" spans="1:17">
      <c r="A3114" s="15">
        <f t="shared" si="655"/>
        <v>14</v>
      </c>
      <c r="B3114" s="15"/>
      <c r="C3114" s="17" t="str">
        <f>Fixture!E119</f>
        <v>Columbus</v>
      </c>
      <c r="D3114" s="18">
        <f>IF(E3114=0,0,IF(Fixture!D119&lt;Fixture!F119,3,IF(Fixture!F119&lt;Fixture!D119,0,1)))</f>
        <v>1</v>
      </c>
      <c r="E3114" s="18">
        <f t="shared" si="649"/>
        <v>1</v>
      </c>
      <c r="F3114" s="18">
        <f>IF(E3114=0,0,IF(Fixture!D119&lt;Fixture!F119,1,IF(Fixture!F119&lt;Fixture!D119,0,0)))</f>
        <v>0</v>
      </c>
      <c r="G3114" s="18">
        <f>IF(E3114=0,0,IF(Fixture!D119&lt;Fixture!F119,0,IF(Fixture!F119&lt;Fixture!D119,0,1)))</f>
        <v>1</v>
      </c>
      <c r="H3114" s="18">
        <f t="shared" si="650"/>
        <v>0</v>
      </c>
      <c r="I3114" s="64">
        <f t="shared" si="651"/>
        <v>0</v>
      </c>
      <c r="J3114" s="64">
        <f t="shared" si="652"/>
        <v>0</v>
      </c>
      <c r="K3114" s="63">
        <f t="shared" si="653"/>
        <v>1</v>
      </c>
      <c r="L3114" s="63">
        <f t="shared" si="654"/>
        <v>1</v>
      </c>
      <c r="N3114" s="10" t="str">
        <f t="shared" si="656"/>
        <v>Columbus14</v>
      </c>
      <c r="O3114" s="10">
        <f t="shared" si="657"/>
        <v>1</v>
      </c>
      <c r="P3114" s="10">
        <f t="shared" si="658"/>
        <v>0</v>
      </c>
      <c r="Q3114" s="10">
        <f t="shared" si="659"/>
        <v>0</v>
      </c>
    </row>
    <row r="3115" spans="1:17">
      <c r="A3115" s="15">
        <f t="shared" si="655"/>
        <v>15</v>
      </c>
      <c r="B3115" s="15"/>
      <c r="C3115" s="17" t="str">
        <f>Fixture!E120</f>
        <v>Chivas USA</v>
      </c>
      <c r="D3115" s="18">
        <f>IF(E3115=0,0,IF(Fixture!D120&lt;Fixture!F120,3,IF(Fixture!F120&lt;Fixture!D120,0,1)))</f>
        <v>3</v>
      </c>
      <c r="E3115" s="18">
        <f t="shared" si="649"/>
        <v>1</v>
      </c>
      <c r="F3115" s="18">
        <f>IF(E3115=0,0,IF(Fixture!D120&lt;Fixture!F120,1,IF(Fixture!F120&lt;Fixture!D120,0,0)))</f>
        <v>1</v>
      </c>
      <c r="G3115" s="18">
        <f>IF(E3115=0,0,IF(Fixture!D120&lt;Fixture!F120,0,IF(Fixture!F120&lt;Fixture!D120,0,1)))</f>
        <v>0</v>
      </c>
      <c r="H3115" s="18">
        <f t="shared" si="650"/>
        <v>0</v>
      </c>
      <c r="I3115" s="64">
        <f t="shared" si="651"/>
        <v>2</v>
      </c>
      <c r="J3115" s="64">
        <f t="shared" si="652"/>
        <v>0</v>
      </c>
      <c r="K3115" s="63">
        <f t="shared" si="653"/>
        <v>0</v>
      </c>
      <c r="L3115" s="63">
        <f t="shared" si="654"/>
        <v>1</v>
      </c>
      <c r="N3115" s="10" t="str">
        <f t="shared" si="656"/>
        <v>Chivas USA15</v>
      </c>
      <c r="O3115" s="10">
        <f t="shared" si="657"/>
        <v>3</v>
      </c>
      <c r="P3115" s="10">
        <f t="shared" si="658"/>
        <v>2</v>
      </c>
      <c r="Q3115" s="10">
        <f t="shared" si="659"/>
        <v>0</v>
      </c>
    </row>
    <row r="3116" spans="1:17">
      <c r="A3116" s="15">
        <f t="shared" si="655"/>
        <v>14</v>
      </c>
      <c r="B3116" s="15"/>
      <c r="C3116" s="17" t="str">
        <f>Fixture!E121</f>
        <v>Dallas</v>
      </c>
      <c r="D3116" s="18">
        <f>IF(E3116=0,0,IF(Fixture!D121&lt;Fixture!F121,3,IF(Fixture!F121&lt;Fixture!D121,0,1)))</f>
        <v>1</v>
      </c>
      <c r="E3116" s="18">
        <f t="shared" si="649"/>
        <v>1</v>
      </c>
      <c r="F3116" s="18">
        <f>IF(E3116=0,0,IF(Fixture!D121&lt;Fixture!F121,1,IF(Fixture!F121&lt;Fixture!D121,0,0)))</f>
        <v>0</v>
      </c>
      <c r="G3116" s="18">
        <f>IF(E3116=0,0,IF(Fixture!D121&lt;Fixture!F121,0,IF(Fixture!F121&lt;Fixture!D121,0,1)))</f>
        <v>1</v>
      </c>
      <c r="H3116" s="18">
        <f t="shared" si="650"/>
        <v>0</v>
      </c>
      <c r="I3116" s="64">
        <f t="shared" si="651"/>
        <v>1</v>
      </c>
      <c r="J3116" s="64">
        <f t="shared" si="652"/>
        <v>1</v>
      </c>
      <c r="K3116" s="63">
        <f t="shared" si="653"/>
        <v>0</v>
      </c>
      <c r="L3116" s="63">
        <f t="shared" si="654"/>
        <v>0</v>
      </c>
      <c r="N3116" s="10" t="str">
        <f t="shared" si="656"/>
        <v>Dallas14</v>
      </c>
      <c r="O3116" s="10">
        <f t="shared" si="657"/>
        <v>1</v>
      </c>
      <c r="P3116" s="10">
        <f t="shared" si="658"/>
        <v>1</v>
      </c>
      <c r="Q3116" s="10">
        <f t="shared" si="659"/>
        <v>1</v>
      </c>
    </row>
    <row r="3117" spans="1:17">
      <c r="A3117" s="15">
        <f t="shared" si="655"/>
        <v>15</v>
      </c>
      <c r="B3117" s="15"/>
      <c r="C3117" s="17" t="str">
        <f>Fixture!E122</f>
        <v>Kansas City</v>
      </c>
      <c r="D3117" s="18">
        <f>IF(E3117=0,0,IF(Fixture!D122&lt;Fixture!F122,3,IF(Fixture!F122&lt;Fixture!D122,0,1)))</f>
        <v>3</v>
      </c>
      <c r="E3117" s="18">
        <f t="shared" si="649"/>
        <v>1</v>
      </c>
      <c r="F3117" s="18">
        <f>IF(E3117=0,0,IF(Fixture!D122&lt;Fixture!F122,1,IF(Fixture!F122&lt;Fixture!D122,0,0)))</f>
        <v>1</v>
      </c>
      <c r="G3117" s="18">
        <f>IF(E3117=0,0,IF(Fixture!D122&lt;Fixture!F122,0,IF(Fixture!F122&lt;Fixture!D122,0,1)))</f>
        <v>0</v>
      </c>
      <c r="H3117" s="18">
        <f t="shared" si="650"/>
        <v>0</v>
      </c>
      <c r="I3117" s="64">
        <f t="shared" si="651"/>
        <v>1</v>
      </c>
      <c r="J3117" s="64">
        <f t="shared" si="652"/>
        <v>0</v>
      </c>
      <c r="K3117" s="63">
        <f t="shared" si="653"/>
        <v>0</v>
      </c>
      <c r="L3117" s="63">
        <f t="shared" si="654"/>
        <v>1</v>
      </c>
      <c r="N3117" s="10" t="str">
        <f t="shared" si="656"/>
        <v>Kansas City15</v>
      </c>
      <c r="O3117" s="10">
        <f t="shared" si="657"/>
        <v>3</v>
      </c>
      <c r="P3117" s="10">
        <f t="shared" si="658"/>
        <v>1</v>
      </c>
      <c r="Q3117" s="10">
        <f t="shared" si="659"/>
        <v>0</v>
      </c>
    </row>
    <row r="3118" spans="1:17">
      <c r="A3118" s="15">
        <f t="shared" si="655"/>
        <v>17</v>
      </c>
      <c r="B3118" s="15"/>
      <c r="C3118" s="17" t="str">
        <f>Fixture!E123</f>
        <v>Seattle Sounders FC</v>
      </c>
      <c r="D3118" s="18">
        <f>IF(E3118=0,0,IF(Fixture!D123&lt;Fixture!F123,3,IF(Fixture!F123&lt;Fixture!D123,0,1)))</f>
        <v>3</v>
      </c>
      <c r="E3118" s="18">
        <f t="shared" si="649"/>
        <v>1</v>
      </c>
      <c r="F3118" s="18">
        <f>IF(E3118=0,0,IF(Fixture!D123&lt;Fixture!F123,1,IF(Fixture!F123&lt;Fixture!D123,0,0)))</f>
        <v>1</v>
      </c>
      <c r="G3118" s="18">
        <f>IF(E3118=0,0,IF(Fixture!D123&lt;Fixture!F123,0,IF(Fixture!F123&lt;Fixture!D123,0,1)))</f>
        <v>0</v>
      </c>
      <c r="H3118" s="18">
        <f t="shared" si="650"/>
        <v>0</v>
      </c>
      <c r="I3118" s="64">
        <f t="shared" si="651"/>
        <v>1</v>
      </c>
      <c r="J3118" s="64">
        <f t="shared" si="652"/>
        <v>0</v>
      </c>
      <c r="K3118" s="63">
        <f t="shared" si="653"/>
        <v>0</v>
      </c>
      <c r="L3118" s="63">
        <f t="shared" si="654"/>
        <v>1</v>
      </c>
      <c r="N3118" s="10" t="str">
        <f t="shared" si="656"/>
        <v>Seattle Sounders FC17</v>
      </c>
      <c r="O3118" s="10">
        <f t="shared" si="657"/>
        <v>3</v>
      </c>
      <c r="P3118" s="10">
        <f t="shared" si="658"/>
        <v>1</v>
      </c>
      <c r="Q3118" s="10">
        <f t="shared" si="659"/>
        <v>0</v>
      </c>
    </row>
    <row r="3119" spans="1:17">
      <c r="A3119" s="15">
        <f t="shared" si="655"/>
        <v>15</v>
      </c>
      <c r="B3119" s="15"/>
      <c r="C3119" s="17" t="str">
        <f>Fixture!E124</f>
        <v>Toronto FC</v>
      </c>
      <c r="D3119" s="18">
        <f>IF(E3119=0,0,IF(Fixture!D124&lt;Fixture!F124,3,IF(Fixture!F124&lt;Fixture!D124,0,1)))</f>
        <v>0</v>
      </c>
      <c r="E3119" s="18">
        <f t="shared" si="649"/>
        <v>1</v>
      </c>
      <c r="F3119" s="18">
        <f>IF(E3119=0,0,IF(Fixture!D124&lt;Fixture!F124,1,IF(Fixture!F124&lt;Fixture!D124,0,0)))</f>
        <v>0</v>
      </c>
      <c r="G3119" s="18">
        <f>IF(E3119=0,0,IF(Fixture!D124&lt;Fixture!F124,0,IF(Fixture!F124&lt;Fixture!D124,0,1)))</f>
        <v>0</v>
      </c>
      <c r="H3119" s="18">
        <f t="shared" si="650"/>
        <v>1</v>
      </c>
      <c r="I3119" s="64">
        <f t="shared" si="651"/>
        <v>1</v>
      </c>
      <c r="J3119" s="64">
        <f t="shared" si="652"/>
        <v>2</v>
      </c>
      <c r="K3119" s="63">
        <f t="shared" si="653"/>
        <v>0</v>
      </c>
      <c r="L3119" s="63">
        <f t="shared" si="654"/>
        <v>0</v>
      </c>
      <c r="N3119" s="10" t="str">
        <f t="shared" si="656"/>
        <v>Toronto FC15</v>
      </c>
      <c r="O3119" s="10">
        <f t="shared" si="657"/>
        <v>0</v>
      </c>
      <c r="P3119" s="10">
        <f t="shared" si="658"/>
        <v>1</v>
      </c>
      <c r="Q3119" s="10">
        <f t="shared" si="659"/>
        <v>2</v>
      </c>
    </row>
    <row r="3120" spans="1:17">
      <c r="A3120" s="15">
        <f t="shared" si="655"/>
        <v>16</v>
      </c>
      <c r="B3120" s="15"/>
      <c r="C3120" s="17" t="str">
        <f>Fixture!E125</f>
        <v>New York Red Bulls</v>
      </c>
      <c r="D3120" s="18">
        <f>IF(E3120=0,0,IF(Fixture!D125&lt;Fixture!F125,3,IF(Fixture!F125&lt;Fixture!D125,0,1)))</f>
        <v>0</v>
      </c>
      <c r="E3120" s="18">
        <f t="shared" si="649"/>
        <v>1</v>
      </c>
      <c r="F3120" s="18">
        <f>IF(E3120=0,0,IF(Fixture!D125&lt;Fixture!F125,1,IF(Fixture!F125&lt;Fixture!D125,0,0)))</f>
        <v>0</v>
      </c>
      <c r="G3120" s="18">
        <f>IF(E3120=0,0,IF(Fixture!D125&lt;Fixture!F125,0,IF(Fixture!F125&lt;Fixture!D125,0,1)))</f>
        <v>0</v>
      </c>
      <c r="H3120" s="18">
        <f t="shared" si="650"/>
        <v>1</v>
      </c>
      <c r="I3120" s="64">
        <f t="shared" si="651"/>
        <v>0</v>
      </c>
      <c r="J3120" s="64">
        <f t="shared" si="652"/>
        <v>2</v>
      </c>
      <c r="K3120" s="63">
        <f t="shared" si="653"/>
        <v>1</v>
      </c>
      <c r="L3120" s="63">
        <f t="shared" si="654"/>
        <v>0</v>
      </c>
      <c r="N3120" s="10" t="str">
        <f t="shared" si="656"/>
        <v>New York Red Bulls16</v>
      </c>
      <c r="O3120" s="10">
        <f t="shared" si="657"/>
        <v>0</v>
      </c>
      <c r="P3120" s="10">
        <f t="shared" si="658"/>
        <v>0</v>
      </c>
      <c r="Q3120" s="10">
        <f t="shared" si="659"/>
        <v>2</v>
      </c>
    </row>
    <row r="3121" spans="1:17">
      <c r="A3121" s="15">
        <f t="shared" si="655"/>
        <v>16</v>
      </c>
      <c r="B3121" s="15"/>
      <c r="C3121" s="17" t="str">
        <f>Fixture!E126</f>
        <v>Real Salt Lake</v>
      </c>
      <c r="D3121" s="18">
        <f>IF(E3121=0,0,IF(Fixture!D126&lt;Fixture!F126,3,IF(Fixture!F126&lt;Fixture!D126,0,1)))</f>
        <v>0</v>
      </c>
      <c r="E3121" s="18">
        <f t="shared" si="649"/>
        <v>1</v>
      </c>
      <c r="F3121" s="18">
        <f>IF(E3121=0,0,IF(Fixture!D126&lt;Fixture!F126,1,IF(Fixture!F126&lt;Fixture!D126,0,0)))</f>
        <v>0</v>
      </c>
      <c r="G3121" s="18">
        <f>IF(E3121=0,0,IF(Fixture!D126&lt;Fixture!F126,0,IF(Fixture!F126&lt;Fixture!D126,0,1)))</f>
        <v>0</v>
      </c>
      <c r="H3121" s="18">
        <f t="shared" si="650"/>
        <v>1</v>
      </c>
      <c r="I3121" s="64">
        <f t="shared" si="651"/>
        <v>0</v>
      </c>
      <c r="J3121" s="64">
        <f t="shared" si="652"/>
        <v>2</v>
      </c>
      <c r="K3121" s="63">
        <f t="shared" si="653"/>
        <v>1</v>
      </c>
      <c r="L3121" s="63">
        <f t="shared" si="654"/>
        <v>0</v>
      </c>
      <c r="N3121" s="10" t="str">
        <f t="shared" si="656"/>
        <v>Real Salt Lake16</v>
      </c>
      <c r="O3121" s="10">
        <f t="shared" si="657"/>
        <v>0</v>
      </c>
      <c r="P3121" s="10">
        <f t="shared" si="658"/>
        <v>0</v>
      </c>
      <c r="Q3121" s="10">
        <f t="shared" si="659"/>
        <v>2</v>
      </c>
    </row>
    <row r="3122" spans="1:17">
      <c r="A3122" s="15">
        <f t="shared" si="655"/>
        <v>16</v>
      </c>
      <c r="B3122" s="15"/>
      <c r="C3122" s="17" t="str">
        <f>Fixture!E127</f>
        <v>Kansas City</v>
      </c>
      <c r="D3122" s="18">
        <f>IF(E3122=0,0,IF(Fixture!D127&lt;Fixture!F127,3,IF(Fixture!F127&lt;Fixture!D127,0,1)))</f>
        <v>1</v>
      </c>
      <c r="E3122" s="18">
        <f t="shared" si="649"/>
        <v>1</v>
      </c>
      <c r="F3122" s="18">
        <f>IF(E3122=0,0,IF(Fixture!D127&lt;Fixture!F127,1,IF(Fixture!F127&lt;Fixture!D127,0,0)))</f>
        <v>0</v>
      </c>
      <c r="G3122" s="18">
        <f>IF(E3122=0,0,IF(Fixture!D127&lt;Fixture!F127,0,IF(Fixture!F127&lt;Fixture!D127,0,1)))</f>
        <v>1</v>
      </c>
      <c r="H3122" s="18">
        <f t="shared" si="650"/>
        <v>0</v>
      </c>
      <c r="I3122" s="64">
        <f t="shared" si="651"/>
        <v>1</v>
      </c>
      <c r="J3122" s="64">
        <f t="shared" si="652"/>
        <v>1</v>
      </c>
      <c r="K3122" s="63">
        <f t="shared" si="653"/>
        <v>0</v>
      </c>
      <c r="L3122" s="63">
        <f t="shared" si="654"/>
        <v>0</v>
      </c>
      <c r="N3122" s="10" t="str">
        <f t="shared" si="656"/>
        <v>Kansas City16</v>
      </c>
      <c r="O3122" s="10">
        <f t="shared" si="657"/>
        <v>1</v>
      </c>
      <c r="P3122" s="10">
        <f t="shared" si="658"/>
        <v>1</v>
      </c>
      <c r="Q3122" s="10">
        <f t="shared" si="659"/>
        <v>1</v>
      </c>
    </row>
    <row r="3123" spans="1:17">
      <c r="A3123" s="15">
        <f t="shared" si="655"/>
        <v>17</v>
      </c>
      <c r="B3123" s="15"/>
      <c r="C3123" s="17" t="str">
        <f>Fixture!E128</f>
        <v>Los Angeles</v>
      </c>
      <c r="D3123" s="18">
        <f>IF(E3123=0,0,IF(Fixture!D128&lt;Fixture!F128,3,IF(Fixture!F128&lt;Fixture!D128,0,1)))</f>
        <v>3</v>
      </c>
      <c r="E3123" s="18">
        <f t="shared" si="649"/>
        <v>1</v>
      </c>
      <c r="F3123" s="18">
        <f>IF(E3123=0,0,IF(Fixture!D128&lt;Fixture!F128,1,IF(Fixture!F128&lt;Fixture!D128,0,0)))</f>
        <v>1</v>
      </c>
      <c r="G3123" s="18">
        <f>IF(E3123=0,0,IF(Fixture!D128&lt;Fixture!F128,0,IF(Fixture!F128&lt;Fixture!D128,0,1)))</f>
        <v>0</v>
      </c>
      <c r="H3123" s="18">
        <f t="shared" si="650"/>
        <v>0</v>
      </c>
      <c r="I3123" s="64">
        <f t="shared" si="651"/>
        <v>2</v>
      </c>
      <c r="J3123" s="64">
        <f t="shared" si="652"/>
        <v>1</v>
      </c>
      <c r="K3123" s="63">
        <f t="shared" si="653"/>
        <v>0</v>
      </c>
      <c r="L3123" s="63">
        <f t="shared" si="654"/>
        <v>0</v>
      </c>
      <c r="N3123" s="10" t="str">
        <f t="shared" si="656"/>
        <v>Los Angeles17</v>
      </c>
      <c r="O3123" s="10">
        <f t="shared" si="657"/>
        <v>3</v>
      </c>
      <c r="P3123" s="10">
        <f t="shared" si="658"/>
        <v>2</v>
      </c>
      <c r="Q3123" s="10">
        <f t="shared" si="659"/>
        <v>1</v>
      </c>
    </row>
    <row r="3124" spans="1:17">
      <c r="A3124" s="15">
        <f t="shared" si="655"/>
        <v>15</v>
      </c>
      <c r="B3124" s="15"/>
      <c r="C3124" s="17" t="str">
        <f>Fixture!E129</f>
        <v>San Jose</v>
      </c>
      <c r="D3124" s="18">
        <f>IF(E3124=0,0,IF(Fixture!D129&lt;Fixture!F129,3,IF(Fixture!F129&lt;Fixture!D129,0,1)))</f>
        <v>1</v>
      </c>
      <c r="E3124" s="18">
        <f t="shared" si="649"/>
        <v>1</v>
      </c>
      <c r="F3124" s="18">
        <f>IF(E3124=0,0,IF(Fixture!D129&lt;Fixture!F129,1,IF(Fixture!F129&lt;Fixture!D129,0,0)))</f>
        <v>0</v>
      </c>
      <c r="G3124" s="18">
        <f>IF(E3124=0,0,IF(Fixture!D129&lt;Fixture!F129,0,IF(Fixture!F129&lt;Fixture!D129,0,1)))</f>
        <v>1</v>
      </c>
      <c r="H3124" s="18">
        <f t="shared" si="650"/>
        <v>0</v>
      </c>
      <c r="I3124" s="64">
        <f t="shared" si="651"/>
        <v>2</v>
      </c>
      <c r="J3124" s="64">
        <f t="shared" si="652"/>
        <v>2</v>
      </c>
      <c r="K3124" s="63">
        <f t="shared" si="653"/>
        <v>0</v>
      </c>
      <c r="L3124" s="63">
        <f t="shared" si="654"/>
        <v>0</v>
      </c>
      <c r="N3124" s="10" t="str">
        <f t="shared" si="656"/>
        <v>San Jose15</v>
      </c>
      <c r="O3124" s="10">
        <f t="shared" si="657"/>
        <v>1</v>
      </c>
      <c r="P3124" s="10">
        <f t="shared" si="658"/>
        <v>2</v>
      </c>
      <c r="Q3124" s="10">
        <f t="shared" si="659"/>
        <v>2</v>
      </c>
    </row>
    <row r="3125" spans="1:17">
      <c r="A3125" s="15">
        <f t="shared" si="655"/>
        <v>16</v>
      </c>
      <c r="B3125" s="15"/>
      <c r="C3125" s="17" t="str">
        <f>Fixture!E130</f>
        <v>Dallas</v>
      </c>
      <c r="D3125" s="18">
        <f>IF(E3125=0,0,IF(Fixture!D130&lt;Fixture!F130,3,IF(Fixture!F130&lt;Fixture!D130,0,1)))</f>
        <v>1</v>
      </c>
      <c r="E3125" s="18">
        <f t="shared" si="649"/>
        <v>1</v>
      </c>
      <c r="F3125" s="18">
        <f>IF(E3125=0,0,IF(Fixture!D130&lt;Fixture!F130,1,IF(Fixture!F130&lt;Fixture!D130,0,0)))</f>
        <v>0</v>
      </c>
      <c r="G3125" s="18">
        <f>IF(E3125=0,0,IF(Fixture!D130&lt;Fixture!F130,0,IF(Fixture!F130&lt;Fixture!D130,0,1)))</f>
        <v>1</v>
      </c>
      <c r="H3125" s="18">
        <f t="shared" si="650"/>
        <v>0</v>
      </c>
      <c r="I3125" s="64">
        <f t="shared" si="651"/>
        <v>1</v>
      </c>
      <c r="J3125" s="64">
        <f t="shared" si="652"/>
        <v>1</v>
      </c>
      <c r="K3125" s="63">
        <f t="shared" si="653"/>
        <v>0</v>
      </c>
      <c r="L3125" s="63">
        <f t="shared" si="654"/>
        <v>0</v>
      </c>
      <c r="N3125" s="10" t="str">
        <f t="shared" si="656"/>
        <v>Dallas16</v>
      </c>
      <c r="O3125" s="10">
        <f t="shared" si="657"/>
        <v>1</v>
      </c>
      <c r="P3125" s="10">
        <f t="shared" si="658"/>
        <v>1</v>
      </c>
      <c r="Q3125" s="10">
        <f t="shared" si="659"/>
        <v>1</v>
      </c>
    </row>
    <row r="3126" spans="1:17">
      <c r="A3126" s="15">
        <f t="shared" si="655"/>
        <v>17</v>
      </c>
      <c r="B3126" s="15"/>
      <c r="C3126" s="17" t="str">
        <f>Fixture!E131</f>
        <v>Houston</v>
      </c>
      <c r="D3126" s="18">
        <f>IF(E3126=0,0,IF(Fixture!D131&lt;Fixture!F131,3,IF(Fixture!F131&lt;Fixture!D131,0,1)))</f>
        <v>0</v>
      </c>
      <c r="E3126" s="18">
        <f t="shared" si="649"/>
        <v>1</v>
      </c>
      <c r="F3126" s="18">
        <f>IF(E3126=0,0,IF(Fixture!D131&lt;Fixture!F131,1,IF(Fixture!F131&lt;Fixture!D131,0,0)))</f>
        <v>0</v>
      </c>
      <c r="G3126" s="18">
        <f>IF(E3126=0,0,IF(Fixture!D131&lt;Fixture!F131,0,IF(Fixture!F131&lt;Fixture!D131,0,1)))</f>
        <v>0</v>
      </c>
      <c r="H3126" s="18">
        <f t="shared" si="650"/>
        <v>1</v>
      </c>
      <c r="I3126" s="64">
        <f t="shared" si="651"/>
        <v>0</v>
      </c>
      <c r="J3126" s="64">
        <f t="shared" si="652"/>
        <v>3</v>
      </c>
      <c r="K3126" s="63">
        <f t="shared" si="653"/>
        <v>1</v>
      </c>
      <c r="L3126" s="63">
        <f t="shared" si="654"/>
        <v>0</v>
      </c>
      <c r="N3126" s="10" t="str">
        <f t="shared" si="656"/>
        <v>Houston17</v>
      </c>
      <c r="O3126" s="10">
        <f t="shared" si="657"/>
        <v>0</v>
      </c>
      <c r="P3126" s="10">
        <f t="shared" si="658"/>
        <v>0</v>
      </c>
      <c r="Q3126" s="10">
        <f t="shared" si="659"/>
        <v>3</v>
      </c>
    </row>
    <row r="3127" spans="1:17">
      <c r="A3127" s="15">
        <f t="shared" si="655"/>
        <v>16</v>
      </c>
      <c r="B3127" s="15"/>
      <c r="C3127" s="17" t="str">
        <f>Fixture!E132</f>
        <v>Chivas USA</v>
      </c>
      <c r="D3127" s="18">
        <f>IF(E3127=0,0,IF(Fixture!D132&lt;Fixture!F132,3,IF(Fixture!F132&lt;Fixture!D132,0,1)))</f>
        <v>1</v>
      </c>
      <c r="E3127" s="18">
        <f t="shared" si="649"/>
        <v>1</v>
      </c>
      <c r="F3127" s="18">
        <f>IF(E3127=0,0,IF(Fixture!D132&lt;Fixture!F132,1,IF(Fixture!F132&lt;Fixture!D132,0,0)))</f>
        <v>0</v>
      </c>
      <c r="G3127" s="18">
        <f>IF(E3127=0,0,IF(Fixture!D132&lt;Fixture!F132,0,IF(Fixture!F132&lt;Fixture!D132,0,1)))</f>
        <v>1</v>
      </c>
      <c r="H3127" s="18">
        <f t="shared" si="650"/>
        <v>0</v>
      </c>
      <c r="I3127" s="64">
        <f t="shared" si="651"/>
        <v>1</v>
      </c>
      <c r="J3127" s="64">
        <f t="shared" si="652"/>
        <v>1</v>
      </c>
      <c r="K3127" s="63">
        <f t="shared" si="653"/>
        <v>0</v>
      </c>
      <c r="L3127" s="63">
        <f t="shared" si="654"/>
        <v>0</v>
      </c>
      <c r="N3127" s="10" t="str">
        <f t="shared" si="656"/>
        <v>Chivas USA16</v>
      </c>
      <c r="O3127" s="10">
        <f t="shared" si="657"/>
        <v>1</v>
      </c>
      <c r="P3127" s="10">
        <f t="shared" si="658"/>
        <v>1</v>
      </c>
      <c r="Q3127" s="10">
        <f t="shared" si="659"/>
        <v>1</v>
      </c>
    </row>
    <row r="3128" spans="1:17">
      <c r="A3128" s="15">
        <f t="shared" si="655"/>
        <v>16</v>
      </c>
      <c r="B3128" s="15"/>
      <c r="C3128" s="17" t="str">
        <f>Fixture!E133</f>
        <v>Colorado</v>
      </c>
      <c r="D3128" s="18">
        <f>IF(E3128=0,0,IF(Fixture!D133&lt;Fixture!F133,3,IF(Fixture!F133&lt;Fixture!D133,0,1)))</f>
        <v>0</v>
      </c>
      <c r="E3128" s="18">
        <f t="shared" ref="E3128:E3191" si="660">E2129</f>
        <v>1</v>
      </c>
      <c r="F3128" s="18">
        <f>IF(E3128=0,0,IF(Fixture!D133&lt;Fixture!F133,1,IF(Fixture!F133&lt;Fixture!D133,0,0)))</f>
        <v>0</v>
      </c>
      <c r="G3128" s="18">
        <f>IF(E3128=0,0,IF(Fixture!D133&lt;Fixture!F133,0,IF(Fixture!F133&lt;Fixture!D133,0,1)))</f>
        <v>0</v>
      </c>
      <c r="H3128" s="18">
        <f t="shared" ref="H3128:H3191" si="661">IF(E3128=0,0,IF(D3128&lt;&gt;0,0,1))</f>
        <v>1</v>
      </c>
      <c r="I3128" s="64">
        <f t="shared" ref="I3128:I3191" si="662">J2129</f>
        <v>1</v>
      </c>
      <c r="J3128" s="64">
        <f t="shared" ref="J3128:J3191" si="663">I2129</f>
        <v>2</v>
      </c>
      <c r="K3128" s="63">
        <f t="shared" ref="K3128:K3191" si="664">IF(E3128=0,0,IF(I3128&gt;0,0,1))</f>
        <v>0</v>
      </c>
      <c r="L3128" s="63">
        <f t="shared" ref="L3128:L3191" si="665">IF(E3128=0,0,IF(J3128&gt;0,0,1))</f>
        <v>0</v>
      </c>
      <c r="N3128" s="10" t="str">
        <f t="shared" si="656"/>
        <v>Colorado16</v>
      </c>
      <c r="O3128" s="10">
        <f t="shared" si="657"/>
        <v>0</v>
      </c>
      <c r="P3128" s="10">
        <f t="shared" si="658"/>
        <v>1</v>
      </c>
      <c r="Q3128" s="10">
        <f t="shared" si="659"/>
        <v>2</v>
      </c>
    </row>
    <row r="3129" spans="1:17">
      <c r="A3129" s="15">
        <f t="shared" ref="A3129:A3192" si="666">B173</f>
        <v>16</v>
      </c>
      <c r="B3129" s="15"/>
      <c r="C3129" s="17" t="str">
        <f>Fixture!E134</f>
        <v>New England</v>
      </c>
      <c r="D3129" s="18">
        <f>IF(E3129=0,0,IF(Fixture!D134&lt;Fixture!F134,3,IF(Fixture!F134&lt;Fixture!D134,0,1)))</f>
        <v>1</v>
      </c>
      <c r="E3129" s="18">
        <f t="shared" si="660"/>
        <v>1</v>
      </c>
      <c r="F3129" s="18">
        <f>IF(E3129=0,0,IF(Fixture!D134&lt;Fixture!F134,1,IF(Fixture!F134&lt;Fixture!D134,0,0)))</f>
        <v>0</v>
      </c>
      <c r="G3129" s="18">
        <f>IF(E3129=0,0,IF(Fixture!D134&lt;Fixture!F134,0,IF(Fixture!F134&lt;Fixture!D134,0,1)))</f>
        <v>1</v>
      </c>
      <c r="H3129" s="18">
        <f t="shared" si="661"/>
        <v>0</v>
      </c>
      <c r="I3129" s="64">
        <f t="shared" si="662"/>
        <v>1</v>
      </c>
      <c r="J3129" s="64">
        <f t="shared" si="663"/>
        <v>1</v>
      </c>
      <c r="K3129" s="63">
        <f t="shared" si="664"/>
        <v>0</v>
      </c>
      <c r="L3129" s="63">
        <f t="shared" si="665"/>
        <v>0</v>
      </c>
      <c r="N3129" s="10" t="str">
        <f t="shared" si="656"/>
        <v>New England16</v>
      </c>
      <c r="O3129" s="10">
        <f t="shared" si="657"/>
        <v>1</v>
      </c>
      <c r="P3129" s="10">
        <f t="shared" si="658"/>
        <v>1</v>
      </c>
      <c r="Q3129" s="10">
        <f t="shared" si="659"/>
        <v>1</v>
      </c>
    </row>
    <row r="3130" spans="1:17">
      <c r="A3130" s="15">
        <f t="shared" si="666"/>
        <v>17</v>
      </c>
      <c r="B3130" s="15"/>
      <c r="C3130" s="17" t="str">
        <f>Fixture!E135</f>
        <v>Dallas</v>
      </c>
      <c r="D3130" s="18">
        <f>IF(E3130=0,0,IF(Fixture!D135&lt;Fixture!F135,3,IF(Fixture!F135&lt;Fixture!D135,0,1)))</f>
        <v>1</v>
      </c>
      <c r="E3130" s="18">
        <f t="shared" si="660"/>
        <v>1</v>
      </c>
      <c r="F3130" s="18">
        <f>IF(E3130=0,0,IF(Fixture!D135&lt;Fixture!F135,1,IF(Fixture!F135&lt;Fixture!D135,0,0)))</f>
        <v>0</v>
      </c>
      <c r="G3130" s="18">
        <f>IF(E3130=0,0,IF(Fixture!D135&lt;Fixture!F135,0,IF(Fixture!F135&lt;Fixture!D135,0,1)))</f>
        <v>1</v>
      </c>
      <c r="H3130" s="18">
        <f t="shared" si="661"/>
        <v>0</v>
      </c>
      <c r="I3130" s="64">
        <f t="shared" si="662"/>
        <v>1</v>
      </c>
      <c r="J3130" s="64">
        <f t="shared" si="663"/>
        <v>1</v>
      </c>
      <c r="K3130" s="63">
        <f t="shared" si="664"/>
        <v>0</v>
      </c>
      <c r="L3130" s="63">
        <f t="shared" si="665"/>
        <v>0</v>
      </c>
      <c r="N3130" s="10" t="str">
        <f t="shared" si="656"/>
        <v>Dallas17</v>
      </c>
      <c r="O3130" s="10">
        <f t="shared" si="657"/>
        <v>1</v>
      </c>
      <c r="P3130" s="10">
        <f t="shared" si="658"/>
        <v>1</v>
      </c>
      <c r="Q3130" s="10">
        <f t="shared" si="659"/>
        <v>1</v>
      </c>
    </row>
    <row r="3131" spans="1:17">
      <c r="A3131" s="15">
        <f t="shared" si="666"/>
        <v>17</v>
      </c>
      <c r="B3131" s="15"/>
      <c r="C3131" s="17" t="str">
        <f>Fixture!E136</f>
        <v>New York Red Bulls</v>
      </c>
      <c r="D3131" s="18">
        <f>IF(E3131=0,0,IF(Fixture!D136&lt;Fixture!F136,3,IF(Fixture!F136&lt;Fixture!D136,0,1)))</f>
        <v>1</v>
      </c>
      <c r="E3131" s="18">
        <f t="shared" si="660"/>
        <v>1</v>
      </c>
      <c r="F3131" s="18">
        <f>IF(E3131=0,0,IF(Fixture!D136&lt;Fixture!F136,1,IF(Fixture!F136&lt;Fixture!D136,0,0)))</f>
        <v>0</v>
      </c>
      <c r="G3131" s="18">
        <f>IF(E3131=0,0,IF(Fixture!D136&lt;Fixture!F136,0,IF(Fixture!F136&lt;Fixture!D136,0,1)))</f>
        <v>1</v>
      </c>
      <c r="H3131" s="18">
        <f t="shared" si="661"/>
        <v>0</v>
      </c>
      <c r="I3131" s="64">
        <f t="shared" si="662"/>
        <v>2</v>
      </c>
      <c r="J3131" s="64">
        <f t="shared" si="663"/>
        <v>2</v>
      </c>
      <c r="K3131" s="63">
        <f t="shared" si="664"/>
        <v>0</v>
      </c>
      <c r="L3131" s="63">
        <f t="shared" si="665"/>
        <v>0</v>
      </c>
      <c r="N3131" s="10" t="str">
        <f t="shared" si="656"/>
        <v>New York Red Bulls17</v>
      </c>
      <c r="O3131" s="10">
        <f t="shared" si="657"/>
        <v>1</v>
      </c>
      <c r="P3131" s="10">
        <f t="shared" si="658"/>
        <v>2</v>
      </c>
      <c r="Q3131" s="10">
        <f t="shared" si="659"/>
        <v>2</v>
      </c>
    </row>
    <row r="3132" spans="1:17">
      <c r="A3132" s="15">
        <f t="shared" si="666"/>
        <v>17</v>
      </c>
      <c r="B3132" s="15"/>
      <c r="C3132" s="17" t="str">
        <f>Fixture!E137</f>
        <v>Toronto FC</v>
      </c>
      <c r="D3132" s="18">
        <f>IF(E3132=0,0,IF(Fixture!D137&lt;Fixture!F137,3,IF(Fixture!F137&lt;Fixture!D137,0,1)))</f>
        <v>0</v>
      </c>
      <c r="E3132" s="18">
        <f t="shared" si="660"/>
        <v>1</v>
      </c>
      <c r="F3132" s="18">
        <f>IF(E3132=0,0,IF(Fixture!D137&lt;Fixture!F137,1,IF(Fixture!F137&lt;Fixture!D137,0,0)))</f>
        <v>0</v>
      </c>
      <c r="G3132" s="18">
        <f>IF(E3132=0,0,IF(Fixture!D137&lt;Fixture!F137,0,IF(Fixture!F137&lt;Fixture!D137,0,1)))</f>
        <v>0</v>
      </c>
      <c r="H3132" s="18">
        <f t="shared" si="661"/>
        <v>1</v>
      </c>
      <c r="I3132" s="64">
        <f t="shared" si="662"/>
        <v>0</v>
      </c>
      <c r="J3132" s="64">
        <f t="shared" si="663"/>
        <v>1</v>
      </c>
      <c r="K3132" s="63">
        <f t="shared" si="664"/>
        <v>1</v>
      </c>
      <c r="L3132" s="63">
        <f t="shared" si="665"/>
        <v>0</v>
      </c>
      <c r="N3132" s="10" t="str">
        <f t="shared" si="656"/>
        <v>Toronto FC17</v>
      </c>
      <c r="O3132" s="10">
        <f t="shared" si="657"/>
        <v>0</v>
      </c>
      <c r="P3132" s="10">
        <f t="shared" si="658"/>
        <v>0</v>
      </c>
      <c r="Q3132" s="10">
        <f t="shared" si="659"/>
        <v>1</v>
      </c>
    </row>
    <row r="3133" spans="1:17">
      <c r="A3133" s="15">
        <f t="shared" si="666"/>
        <v>18</v>
      </c>
      <c r="B3133" s="15"/>
      <c r="C3133" s="17" t="str">
        <f>Fixture!E138</f>
        <v>DC United</v>
      </c>
      <c r="D3133" s="18">
        <f>IF(E3133=0,0,IF(Fixture!D138&lt;Fixture!F138,3,IF(Fixture!F138&lt;Fixture!D138,0,1)))</f>
        <v>0</v>
      </c>
      <c r="E3133" s="18">
        <f t="shared" si="660"/>
        <v>1</v>
      </c>
      <c r="F3133" s="18">
        <f>IF(E3133=0,0,IF(Fixture!D138&lt;Fixture!F138,1,IF(Fixture!F138&lt;Fixture!D138,0,0)))</f>
        <v>0</v>
      </c>
      <c r="G3133" s="18">
        <f>IF(E3133=0,0,IF(Fixture!D138&lt;Fixture!F138,0,IF(Fixture!F138&lt;Fixture!D138,0,1)))</f>
        <v>0</v>
      </c>
      <c r="H3133" s="18">
        <f t="shared" si="661"/>
        <v>1</v>
      </c>
      <c r="I3133" s="64">
        <f t="shared" si="662"/>
        <v>0</v>
      </c>
      <c r="J3133" s="64">
        <f t="shared" si="663"/>
        <v>3</v>
      </c>
      <c r="K3133" s="63">
        <f t="shared" si="664"/>
        <v>1</v>
      </c>
      <c r="L3133" s="63">
        <f t="shared" si="665"/>
        <v>0</v>
      </c>
      <c r="N3133" s="10" t="str">
        <f t="shared" si="656"/>
        <v>DC United18</v>
      </c>
      <c r="O3133" s="10">
        <f t="shared" si="657"/>
        <v>0</v>
      </c>
      <c r="P3133" s="10">
        <f t="shared" si="658"/>
        <v>0</v>
      </c>
      <c r="Q3133" s="10">
        <f t="shared" si="659"/>
        <v>3</v>
      </c>
    </row>
    <row r="3134" spans="1:17">
      <c r="A3134" s="15">
        <f t="shared" si="666"/>
        <v>19</v>
      </c>
      <c r="B3134" s="15"/>
      <c r="C3134" s="17" t="str">
        <f>Fixture!E139</f>
        <v>Seattle Sounders FC</v>
      </c>
      <c r="D3134" s="18">
        <f>IF(E3134=0,0,IF(Fixture!D139&lt;Fixture!F139,3,IF(Fixture!F139&lt;Fixture!D139,0,1)))</f>
        <v>3</v>
      </c>
      <c r="E3134" s="18">
        <f t="shared" si="660"/>
        <v>1</v>
      </c>
      <c r="F3134" s="18">
        <f>IF(E3134=0,0,IF(Fixture!D139&lt;Fixture!F139,1,IF(Fixture!F139&lt;Fixture!D139,0,0)))</f>
        <v>1</v>
      </c>
      <c r="G3134" s="18">
        <f>IF(E3134=0,0,IF(Fixture!D139&lt;Fixture!F139,0,IF(Fixture!F139&lt;Fixture!D139,0,1)))</f>
        <v>0</v>
      </c>
      <c r="H3134" s="18">
        <f t="shared" si="661"/>
        <v>0</v>
      </c>
      <c r="I3134" s="64">
        <f t="shared" si="662"/>
        <v>1</v>
      </c>
      <c r="J3134" s="64">
        <f t="shared" si="663"/>
        <v>0</v>
      </c>
      <c r="K3134" s="63">
        <f t="shared" si="664"/>
        <v>0</v>
      </c>
      <c r="L3134" s="63">
        <f t="shared" si="665"/>
        <v>1</v>
      </c>
      <c r="N3134" s="10" t="str">
        <f t="shared" si="656"/>
        <v>Seattle Sounders FC19</v>
      </c>
      <c r="O3134" s="10">
        <f t="shared" si="657"/>
        <v>3</v>
      </c>
      <c r="P3134" s="10">
        <f t="shared" si="658"/>
        <v>1</v>
      </c>
      <c r="Q3134" s="10">
        <f t="shared" si="659"/>
        <v>0</v>
      </c>
    </row>
    <row r="3135" spans="1:17">
      <c r="A3135" s="15">
        <f t="shared" si="666"/>
        <v>18</v>
      </c>
      <c r="B3135" s="15"/>
      <c r="C3135" s="17" t="str">
        <f>Fixture!E140</f>
        <v>Columbus</v>
      </c>
      <c r="D3135" s="18">
        <f>IF(E3135=0,0,IF(Fixture!D140&lt;Fixture!F140,3,IF(Fixture!F140&lt;Fixture!D140,0,1)))</f>
        <v>0</v>
      </c>
      <c r="E3135" s="18">
        <f t="shared" si="660"/>
        <v>1</v>
      </c>
      <c r="F3135" s="18">
        <f>IF(E3135=0,0,IF(Fixture!D140&lt;Fixture!F140,1,IF(Fixture!F140&lt;Fixture!D140,0,0)))</f>
        <v>0</v>
      </c>
      <c r="G3135" s="18">
        <f>IF(E3135=0,0,IF(Fixture!D140&lt;Fixture!F140,0,IF(Fixture!F140&lt;Fixture!D140,0,1)))</f>
        <v>0</v>
      </c>
      <c r="H3135" s="18">
        <f t="shared" si="661"/>
        <v>1</v>
      </c>
      <c r="I3135" s="64">
        <f t="shared" si="662"/>
        <v>1</v>
      </c>
      <c r="J3135" s="64">
        <f t="shared" si="663"/>
        <v>3</v>
      </c>
      <c r="K3135" s="63">
        <f t="shared" si="664"/>
        <v>0</v>
      </c>
      <c r="L3135" s="63">
        <f t="shared" si="665"/>
        <v>0</v>
      </c>
      <c r="N3135" s="10" t="str">
        <f t="shared" si="656"/>
        <v>Columbus18</v>
      </c>
      <c r="O3135" s="10">
        <f t="shared" si="657"/>
        <v>0</v>
      </c>
      <c r="P3135" s="10">
        <f t="shared" si="658"/>
        <v>1</v>
      </c>
      <c r="Q3135" s="10">
        <f t="shared" si="659"/>
        <v>3</v>
      </c>
    </row>
    <row r="3136" spans="1:17">
      <c r="A3136" s="15">
        <f t="shared" si="666"/>
        <v>15</v>
      </c>
      <c r="B3136" s="15"/>
      <c r="C3136" s="17" t="str">
        <f>Fixture!E141</f>
        <v>Chicago</v>
      </c>
      <c r="D3136" s="18">
        <f>IF(E3136=0,0,IF(Fixture!D141&lt;Fixture!F141,3,IF(Fixture!F141&lt;Fixture!D141,0,1)))</f>
        <v>3</v>
      </c>
      <c r="E3136" s="18">
        <f t="shared" si="660"/>
        <v>1</v>
      </c>
      <c r="F3136" s="18">
        <f>IF(E3136=0,0,IF(Fixture!D141&lt;Fixture!F141,1,IF(Fixture!F141&lt;Fixture!D141,0,0)))</f>
        <v>1</v>
      </c>
      <c r="G3136" s="18">
        <f>IF(E3136=0,0,IF(Fixture!D141&lt;Fixture!F141,0,IF(Fixture!F141&lt;Fixture!D141,0,1)))</f>
        <v>0</v>
      </c>
      <c r="H3136" s="18">
        <f t="shared" si="661"/>
        <v>0</v>
      </c>
      <c r="I3136" s="64">
        <f t="shared" si="662"/>
        <v>3</v>
      </c>
      <c r="J3136" s="64">
        <f t="shared" si="663"/>
        <v>2</v>
      </c>
      <c r="K3136" s="63">
        <f t="shared" si="664"/>
        <v>0</v>
      </c>
      <c r="L3136" s="63">
        <f t="shared" si="665"/>
        <v>0</v>
      </c>
      <c r="N3136" s="10" t="str">
        <f t="shared" si="656"/>
        <v>Chicago15</v>
      </c>
      <c r="O3136" s="10">
        <f t="shared" si="657"/>
        <v>3</v>
      </c>
      <c r="P3136" s="10">
        <f t="shared" si="658"/>
        <v>3</v>
      </c>
      <c r="Q3136" s="10">
        <f t="shared" si="659"/>
        <v>2</v>
      </c>
    </row>
    <row r="3137" spans="1:17">
      <c r="A3137" s="15">
        <f t="shared" si="666"/>
        <v>19</v>
      </c>
      <c r="B3137" s="15"/>
      <c r="C3137" s="17" t="str">
        <f>Fixture!E142</f>
        <v>Columbus</v>
      </c>
      <c r="D3137" s="18">
        <f>IF(E3137=0,0,IF(Fixture!D142&lt;Fixture!F142,3,IF(Fixture!F142&lt;Fixture!D142,0,1)))</f>
        <v>3</v>
      </c>
      <c r="E3137" s="18">
        <f t="shared" si="660"/>
        <v>1</v>
      </c>
      <c r="F3137" s="18">
        <f>IF(E3137=0,0,IF(Fixture!D142&lt;Fixture!F142,1,IF(Fixture!F142&lt;Fixture!D142,0,0)))</f>
        <v>1</v>
      </c>
      <c r="G3137" s="18">
        <f>IF(E3137=0,0,IF(Fixture!D142&lt;Fixture!F142,0,IF(Fixture!F142&lt;Fixture!D142,0,1)))</f>
        <v>0</v>
      </c>
      <c r="H3137" s="18">
        <f t="shared" si="661"/>
        <v>0</v>
      </c>
      <c r="I3137" s="64">
        <f t="shared" si="662"/>
        <v>2</v>
      </c>
      <c r="J3137" s="64">
        <f t="shared" si="663"/>
        <v>1</v>
      </c>
      <c r="K3137" s="63">
        <f t="shared" si="664"/>
        <v>0</v>
      </c>
      <c r="L3137" s="63">
        <f t="shared" si="665"/>
        <v>0</v>
      </c>
      <c r="N3137" s="10" t="str">
        <f t="shared" si="656"/>
        <v>Columbus19</v>
      </c>
      <c r="O3137" s="10">
        <f t="shared" si="657"/>
        <v>3</v>
      </c>
      <c r="P3137" s="10">
        <f t="shared" si="658"/>
        <v>2</v>
      </c>
      <c r="Q3137" s="10">
        <f t="shared" si="659"/>
        <v>1</v>
      </c>
    </row>
    <row r="3138" spans="1:17">
      <c r="A3138" s="15">
        <f t="shared" si="666"/>
        <v>18</v>
      </c>
      <c r="B3138" s="15"/>
      <c r="C3138" s="17" t="str">
        <f>Fixture!E143</f>
        <v>Chivas USA</v>
      </c>
      <c r="D3138" s="18">
        <f>IF(E3138=0,0,IF(Fixture!D143&lt;Fixture!F143,3,IF(Fixture!F143&lt;Fixture!D143,0,1)))</f>
        <v>0</v>
      </c>
      <c r="E3138" s="18">
        <f t="shared" si="660"/>
        <v>1</v>
      </c>
      <c r="F3138" s="18">
        <f>IF(E3138=0,0,IF(Fixture!D143&lt;Fixture!F143,1,IF(Fixture!F143&lt;Fixture!D143,0,0)))</f>
        <v>0</v>
      </c>
      <c r="G3138" s="18">
        <f>IF(E3138=0,0,IF(Fixture!D143&lt;Fixture!F143,0,IF(Fixture!F143&lt;Fixture!D143,0,1)))</f>
        <v>0</v>
      </c>
      <c r="H3138" s="18">
        <f t="shared" si="661"/>
        <v>1</v>
      </c>
      <c r="I3138" s="64">
        <f t="shared" si="662"/>
        <v>1</v>
      </c>
      <c r="J3138" s="64">
        <f t="shared" si="663"/>
        <v>2</v>
      </c>
      <c r="K3138" s="63">
        <f t="shared" si="664"/>
        <v>0</v>
      </c>
      <c r="L3138" s="63">
        <f t="shared" si="665"/>
        <v>0</v>
      </c>
      <c r="N3138" s="10" t="str">
        <f t="shared" si="656"/>
        <v>Chivas USA18</v>
      </c>
      <c r="O3138" s="10">
        <f t="shared" si="657"/>
        <v>0</v>
      </c>
      <c r="P3138" s="10">
        <f t="shared" si="658"/>
        <v>1</v>
      </c>
      <c r="Q3138" s="10">
        <f t="shared" si="659"/>
        <v>2</v>
      </c>
    </row>
    <row r="3139" spans="1:17">
      <c r="A3139" s="15">
        <f t="shared" si="666"/>
        <v>19</v>
      </c>
      <c r="B3139" s="15"/>
      <c r="C3139" s="17" t="str">
        <f>Fixture!E144</f>
        <v>DC United</v>
      </c>
      <c r="D3139" s="18">
        <f>IF(E3139=0,0,IF(Fixture!D144&lt;Fixture!F144,3,IF(Fixture!F144&lt;Fixture!D144,0,1)))</f>
        <v>0</v>
      </c>
      <c r="E3139" s="18">
        <f t="shared" si="660"/>
        <v>1</v>
      </c>
      <c r="F3139" s="18">
        <f>IF(E3139=0,0,IF(Fixture!D144&lt;Fixture!F144,1,IF(Fixture!F144&lt;Fixture!D144,0,0)))</f>
        <v>0</v>
      </c>
      <c r="G3139" s="18">
        <f>IF(E3139=0,0,IF(Fixture!D144&lt;Fixture!F144,0,IF(Fixture!F144&lt;Fixture!D144,0,1)))</f>
        <v>0</v>
      </c>
      <c r="H3139" s="18">
        <f t="shared" si="661"/>
        <v>1</v>
      </c>
      <c r="I3139" s="64">
        <f t="shared" si="662"/>
        <v>0</v>
      </c>
      <c r="J3139" s="64">
        <f t="shared" si="663"/>
        <v>1</v>
      </c>
      <c r="K3139" s="63">
        <f t="shared" si="664"/>
        <v>1</v>
      </c>
      <c r="L3139" s="63">
        <f t="shared" si="665"/>
        <v>0</v>
      </c>
      <c r="N3139" s="10" t="str">
        <f t="shared" si="656"/>
        <v>DC United19</v>
      </c>
      <c r="O3139" s="10">
        <f t="shared" si="657"/>
        <v>0</v>
      </c>
      <c r="P3139" s="10">
        <f t="shared" si="658"/>
        <v>0</v>
      </c>
      <c r="Q3139" s="10">
        <f t="shared" si="659"/>
        <v>1</v>
      </c>
    </row>
    <row r="3140" spans="1:17">
      <c r="A3140" s="15">
        <f t="shared" si="666"/>
        <v>19</v>
      </c>
      <c r="B3140" s="15"/>
      <c r="C3140" s="17" t="str">
        <f>Fixture!E145</f>
        <v>Real Salt Lake</v>
      </c>
      <c r="D3140" s="18">
        <f>IF(E3140=0,0,IF(Fixture!D145&lt;Fixture!F145,3,IF(Fixture!F145&lt;Fixture!D145,0,1)))</f>
        <v>1</v>
      </c>
      <c r="E3140" s="18">
        <f t="shared" si="660"/>
        <v>1</v>
      </c>
      <c r="F3140" s="18">
        <f>IF(E3140=0,0,IF(Fixture!D145&lt;Fixture!F145,1,IF(Fixture!F145&lt;Fixture!D145,0,0)))</f>
        <v>0</v>
      </c>
      <c r="G3140" s="18">
        <f>IF(E3140=0,0,IF(Fixture!D145&lt;Fixture!F145,0,IF(Fixture!F145&lt;Fixture!D145,0,1)))</f>
        <v>1</v>
      </c>
      <c r="H3140" s="18">
        <f t="shared" si="661"/>
        <v>0</v>
      </c>
      <c r="I3140" s="64">
        <f t="shared" si="662"/>
        <v>1</v>
      </c>
      <c r="J3140" s="64">
        <f t="shared" si="663"/>
        <v>1</v>
      </c>
      <c r="K3140" s="63">
        <f t="shared" si="664"/>
        <v>0</v>
      </c>
      <c r="L3140" s="63">
        <f t="shared" si="665"/>
        <v>0</v>
      </c>
      <c r="N3140" s="10" t="str">
        <f t="shared" si="656"/>
        <v>Real Salt Lake19</v>
      </c>
      <c r="O3140" s="10">
        <f t="shared" si="657"/>
        <v>1</v>
      </c>
      <c r="P3140" s="10">
        <f t="shared" si="658"/>
        <v>1</v>
      </c>
      <c r="Q3140" s="10">
        <f t="shared" si="659"/>
        <v>1</v>
      </c>
    </row>
    <row r="3141" spans="1:17">
      <c r="A3141" s="15">
        <f t="shared" si="666"/>
        <v>17</v>
      </c>
      <c r="B3141" s="15"/>
      <c r="C3141" s="17" t="str">
        <f>Fixture!E146</f>
        <v>San Jose</v>
      </c>
      <c r="D3141" s="18">
        <f>IF(E3141=0,0,IF(Fixture!D146&lt;Fixture!F146,3,IF(Fixture!F146&lt;Fixture!D146,0,1)))</f>
        <v>0</v>
      </c>
      <c r="E3141" s="18">
        <f t="shared" si="660"/>
        <v>1</v>
      </c>
      <c r="F3141" s="18">
        <f>IF(E3141=0,0,IF(Fixture!D146&lt;Fixture!F146,1,IF(Fixture!F146&lt;Fixture!D146,0,0)))</f>
        <v>0</v>
      </c>
      <c r="G3141" s="18">
        <f>IF(E3141=0,0,IF(Fixture!D146&lt;Fixture!F146,0,IF(Fixture!F146&lt;Fixture!D146,0,1)))</f>
        <v>0</v>
      </c>
      <c r="H3141" s="18">
        <f t="shared" si="661"/>
        <v>1</v>
      </c>
      <c r="I3141" s="64">
        <f t="shared" si="662"/>
        <v>0</v>
      </c>
      <c r="J3141" s="64">
        <f t="shared" si="663"/>
        <v>1</v>
      </c>
      <c r="K3141" s="63">
        <f t="shared" si="664"/>
        <v>1</v>
      </c>
      <c r="L3141" s="63">
        <f t="shared" si="665"/>
        <v>0</v>
      </c>
      <c r="N3141" s="10" t="str">
        <f t="shared" si="656"/>
        <v>San Jose17</v>
      </c>
      <c r="O3141" s="10">
        <f t="shared" si="657"/>
        <v>0</v>
      </c>
      <c r="P3141" s="10">
        <f t="shared" si="658"/>
        <v>0</v>
      </c>
      <c r="Q3141" s="10">
        <f t="shared" si="659"/>
        <v>1</v>
      </c>
    </row>
    <row r="3142" spans="1:17">
      <c r="A3142" s="15">
        <f t="shared" si="666"/>
        <v>17</v>
      </c>
      <c r="B3142" s="15"/>
      <c r="C3142" s="17" t="str">
        <f>Fixture!E147</f>
        <v>Philadelphia Union</v>
      </c>
      <c r="D3142" s="18">
        <f>IF(E3142=0,0,IF(Fixture!D147&lt;Fixture!F147,3,IF(Fixture!F147&lt;Fixture!D147,0,1)))</f>
        <v>0</v>
      </c>
      <c r="E3142" s="18">
        <f t="shared" si="660"/>
        <v>1</v>
      </c>
      <c r="F3142" s="18">
        <f>IF(E3142=0,0,IF(Fixture!D147&lt;Fixture!F147,1,IF(Fixture!F147&lt;Fixture!D147,0,0)))</f>
        <v>0</v>
      </c>
      <c r="G3142" s="18">
        <f>IF(E3142=0,0,IF(Fixture!D147&lt;Fixture!F147,0,IF(Fixture!F147&lt;Fixture!D147,0,1)))</f>
        <v>0</v>
      </c>
      <c r="H3142" s="18">
        <f t="shared" si="661"/>
        <v>1</v>
      </c>
      <c r="I3142" s="64">
        <f t="shared" si="662"/>
        <v>1</v>
      </c>
      <c r="J3142" s="64">
        <f t="shared" si="663"/>
        <v>3</v>
      </c>
      <c r="K3142" s="63">
        <f t="shared" si="664"/>
        <v>0</v>
      </c>
      <c r="L3142" s="63">
        <f t="shared" si="665"/>
        <v>0</v>
      </c>
      <c r="N3142" s="10" t="str">
        <f t="shared" si="656"/>
        <v>Philadelphia Union17</v>
      </c>
      <c r="O3142" s="10">
        <f t="shared" si="657"/>
        <v>0</v>
      </c>
      <c r="P3142" s="10">
        <f t="shared" si="658"/>
        <v>1</v>
      </c>
      <c r="Q3142" s="10">
        <f t="shared" si="659"/>
        <v>3</v>
      </c>
    </row>
    <row r="3143" spans="1:17">
      <c r="A3143" s="15">
        <f t="shared" si="666"/>
        <v>18</v>
      </c>
      <c r="B3143" s="15"/>
      <c r="C3143" s="17" t="str">
        <f>Fixture!E148</f>
        <v>New York Red Bulls</v>
      </c>
      <c r="D3143" s="18">
        <f>IF(E3143=0,0,IF(Fixture!D148&lt;Fixture!F148,3,IF(Fixture!F148&lt;Fixture!D148,0,1)))</f>
        <v>1</v>
      </c>
      <c r="E3143" s="18">
        <f t="shared" si="660"/>
        <v>1</v>
      </c>
      <c r="F3143" s="18">
        <f>IF(E3143=0,0,IF(Fixture!D148&lt;Fixture!F148,1,IF(Fixture!F148&lt;Fixture!D148,0,0)))</f>
        <v>0</v>
      </c>
      <c r="G3143" s="18">
        <f>IF(E3143=0,0,IF(Fixture!D148&lt;Fixture!F148,0,IF(Fixture!F148&lt;Fixture!D148,0,1)))</f>
        <v>1</v>
      </c>
      <c r="H3143" s="18">
        <f t="shared" si="661"/>
        <v>0</v>
      </c>
      <c r="I3143" s="64">
        <f t="shared" si="662"/>
        <v>0</v>
      </c>
      <c r="J3143" s="64">
        <f t="shared" si="663"/>
        <v>0</v>
      </c>
      <c r="K3143" s="63">
        <f t="shared" si="664"/>
        <v>1</v>
      </c>
      <c r="L3143" s="63">
        <f t="shared" si="665"/>
        <v>1</v>
      </c>
      <c r="N3143" s="10" t="str">
        <f t="shared" si="656"/>
        <v>New York Red Bulls18</v>
      </c>
      <c r="O3143" s="10">
        <f t="shared" si="657"/>
        <v>1</v>
      </c>
      <c r="P3143" s="10">
        <f t="shared" si="658"/>
        <v>0</v>
      </c>
      <c r="Q3143" s="10">
        <f t="shared" si="659"/>
        <v>0</v>
      </c>
    </row>
    <row r="3144" spans="1:17">
      <c r="A3144" s="15">
        <f t="shared" si="666"/>
        <v>19</v>
      </c>
      <c r="B3144" s="15"/>
      <c r="C3144" s="17" t="str">
        <f>Fixture!E149</f>
        <v>Houston</v>
      </c>
      <c r="D3144" s="18">
        <f>IF(E3144=0,0,IF(Fixture!D149&lt;Fixture!F149,3,IF(Fixture!F149&lt;Fixture!D149,0,1)))</f>
        <v>0</v>
      </c>
      <c r="E3144" s="18">
        <f t="shared" si="660"/>
        <v>1</v>
      </c>
      <c r="F3144" s="18">
        <f>IF(E3144=0,0,IF(Fixture!D149&lt;Fixture!F149,1,IF(Fixture!F149&lt;Fixture!D149,0,0)))</f>
        <v>0</v>
      </c>
      <c r="G3144" s="18">
        <f>IF(E3144=0,0,IF(Fixture!D149&lt;Fixture!F149,0,IF(Fixture!F149&lt;Fixture!D149,0,1)))</f>
        <v>0</v>
      </c>
      <c r="H3144" s="18">
        <f t="shared" si="661"/>
        <v>1</v>
      </c>
      <c r="I3144" s="64">
        <f t="shared" si="662"/>
        <v>0</v>
      </c>
      <c r="J3144" s="64">
        <f t="shared" si="663"/>
        <v>2</v>
      </c>
      <c r="K3144" s="63">
        <f t="shared" si="664"/>
        <v>1</v>
      </c>
      <c r="L3144" s="63">
        <f t="shared" si="665"/>
        <v>0</v>
      </c>
      <c r="N3144" s="10" t="str">
        <f t="shared" si="656"/>
        <v>Houston19</v>
      </c>
      <c r="O3144" s="10">
        <f t="shared" si="657"/>
        <v>0</v>
      </c>
      <c r="P3144" s="10">
        <f t="shared" si="658"/>
        <v>0</v>
      </c>
      <c r="Q3144" s="10">
        <f t="shared" si="659"/>
        <v>2</v>
      </c>
    </row>
    <row r="3145" spans="1:17">
      <c r="A3145" s="15">
        <f t="shared" si="666"/>
        <v>19</v>
      </c>
      <c r="B3145" s="15"/>
      <c r="C3145" s="17" t="str">
        <f>Fixture!E150</f>
        <v>Toronto FC</v>
      </c>
      <c r="D3145" s="18">
        <f>IF(E3145=0,0,IF(Fixture!D150&lt;Fixture!F150,3,IF(Fixture!F150&lt;Fixture!D150,0,1)))</f>
        <v>0</v>
      </c>
      <c r="E3145" s="18">
        <f t="shared" si="660"/>
        <v>1</v>
      </c>
      <c r="F3145" s="18">
        <f>IF(E3145=0,0,IF(Fixture!D150&lt;Fixture!F150,1,IF(Fixture!F150&lt;Fixture!D150,0,0)))</f>
        <v>0</v>
      </c>
      <c r="G3145" s="18">
        <f>IF(E3145=0,0,IF(Fixture!D150&lt;Fixture!F150,0,IF(Fixture!F150&lt;Fixture!D150,0,1)))</f>
        <v>0</v>
      </c>
      <c r="H3145" s="18">
        <f t="shared" si="661"/>
        <v>1</v>
      </c>
      <c r="I3145" s="64">
        <f t="shared" si="662"/>
        <v>0</v>
      </c>
      <c r="J3145" s="64">
        <f t="shared" si="663"/>
        <v>1</v>
      </c>
      <c r="K3145" s="63">
        <f t="shared" si="664"/>
        <v>1</v>
      </c>
      <c r="L3145" s="63">
        <f t="shared" si="665"/>
        <v>0</v>
      </c>
      <c r="N3145" s="10" t="str">
        <f t="shared" si="656"/>
        <v>Toronto FC19</v>
      </c>
      <c r="O3145" s="10">
        <f t="shared" si="657"/>
        <v>0</v>
      </c>
      <c r="P3145" s="10">
        <f t="shared" si="658"/>
        <v>0</v>
      </c>
      <c r="Q3145" s="10">
        <f t="shared" si="659"/>
        <v>1</v>
      </c>
    </row>
    <row r="3146" spans="1:17">
      <c r="A3146" s="15">
        <f t="shared" si="666"/>
        <v>20</v>
      </c>
      <c r="B3146" s="15"/>
      <c r="C3146" s="17" t="str">
        <f>Fixture!E151</f>
        <v>Real Salt Lake</v>
      </c>
      <c r="D3146" s="18">
        <f>IF(E3146=0,0,IF(Fixture!D151&lt;Fixture!F151,3,IF(Fixture!F151&lt;Fixture!D151,0,1)))</f>
        <v>1</v>
      </c>
      <c r="E3146" s="18">
        <f t="shared" si="660"/>
        <v>1</v>
      </c>
      <c r="F3146" s="18">
        <f>IF(E3146=0,0,IF(Fixture!D151&lt;Fixture!F151,1,IF(Fixture!F151&lt;Fixture!D151,0,0)))</f>
        <v>0</v>
      </c>
      <c r="G3146" s="18">
        <f>IF(E3146=0,0,IF(Fixture!D151&lt;Fixture!F151,0,IF(Fixture!F151&lt;Fixture!D151,0,1)))</f>
        <v>1</v>
      </c>
      <c r="H3146" s="18">
        <f t="shared" si="661"/>
        <v>0</v>
      </c>
      <c r="I3146" s="64">
        <f t="shared" si="662"/>
        <v>1</v>
      </c>
      <c r="J3146" s="64">
        <f t="shared" si="663"/>
        <v>1</v>
      </c>
      <c r="K3146" s="63">
        <f t="shared" si="664"/>
        <v>0</v>
      </c>
      <c r="L3146" s="63">
        <f t="shared" si="665"/>
        <v>0</v>
      </c>
      <c r="N3146" s="10" t="str">
        <f t="shared" si="656"/>
        <v>Real Salt Lake20</v>
      </c>
      <c r="O3146" s="10">
        <f t="shared" si="657"/>
        <v>1</v>
      </c>
      <c r="P3146" s="10">
        <f t="shared" si="658"/>
        <v>1</v>
      </c>
      <c r="Q3146" s="10">
        <f t="shared" si="659"/>
        <v>1</v>
      </c>
    </row>
    <row r="3147" spans="1:17">
      <c r="A3147" s="15">
        <f t="shared" si="666"/>
        <v>19</v>
      </c>
      <c r="B3147" s="15"/>
      <c r="C3147" s="17" t="str">
        <f>Fixture!E152</f>
        <v>Colorado</v>
      </c>
      <c r="D3147" s="18">
        <f>IF(E3147=0,0,IF(Fixture!D152&lt;Fixture!F152,3,IF(Fixture!F152&lt;Fixture!D152,0,1)))</f>
        <v>1</v>
      </c>
      <c r="E3147" s="18">
        <f t="shared" si="660"/>
        <v>1</v>
      </c>
      <c r="F3147" s="18">
        <f>IF(E3147=0,0,IF(Fixture!D152&lt;Fixture!F152,1,IF(Fixture!F152&lt;Fixture!D152,0,0)))</f>
        <v>0</v>
      </c>
      <c r="G3147" s="18">
        <f>IF(E3147=0,0,IF(Fixture!D152&lt;Fixture!F152,0,IF(Fixture!F152&lt;Fixture!D152,0,1)))</f>
        <v>1</v>
      </c>
      <c r="H3147" s="18">
        <f t="shared" si="661"/>
        <v>0</v>
      </c>
      <c r="I3147" s="64">
        <f t="shared" si="662"/>
        <v>1</v>
      </c>
      <c r="J3147" s="64">
        <f t="shared" si="663"/>
        <v>1</v>
      </c>
      <c r="K3147" s="63">
        <f t="shared" si="664"/>
        <v>0</v>
      </c>
      <c r="L3147" s="63">
        <f t="shared" si="665"/>
        <v>0</v>
      </c>
      <c r="N3147" s="10" t="str">
        <f t="shared" si="656"/>
        <v>Colorado19</v>
      </c>
      <c r="O3147" s="10">
        <f t="shared" si="657"/>
        <v>1</v>
      </c>
      <c r="P3147" s="10">
        <f t="shared" si="658"/>
        <v>1</v>
      </c>
      <c r="Q3147" s="10">
        <f t="shared" si="659"/>
        <v>1</v>
      </c>
    </row>
    <row r="3148" spans="1:17">
      <c r="A3148" s="15">
        <f t="shared" si="666"/>
        <v>20</v>
      </c>
      <c r="B3148" s="15"/>
      <c r="C3148" s="17" t="str">
        <f>Fixture!E153</f>
        <v>Los Angeles</v>
      </c>
      <c r="D3148" s="18">
        <f>IF(E3148=0,0,IF(Fixture!D153&lt;Fixture!F153,3,IF(Fixture!F153&lt;Fixture!D153,0,1)))</f>
        <v>3</v>
      </c>
      <c r="E3148" s="18">
        <f t="shared" si="660"/>
        <v>1</v>
      </c>
      <c r="F3148" s="18">
        <f>IF(E3148=0,0,IF(Fixture!D153&lt;Fixture!F153,1,IF(Fixture!F153&lt;Fixture!D153,0,0)))</f>
        <v>1</v>
      </c>
      <c r="G3148" s="18">
        <f>IF(E3148=0,0,IF(Fixture!D153&lt;Fixture!F153,0,IF(Fixture!F153&lt;Fixture!D153,0,1)))</f>
        <v>0</v>
      </c>
      <c r="H3148" s="18">
        <f t="shared" si="661"/>
        <v>0</v>
      </c>
      <c r="I3148" s="64">
        <f t="shared" si="662"/>
        <v>1</v>
      </c>
      <c r="J3148" s="64">
        <f t="shared" si="663"/>
        <v>0</v>
      </c>
      <c r="K3148" s="63">
        <f t="shared" si="664"/>
        <v>0</v>
      </c>
      <c r="L3148" s="63">
        <f t="shared" si="665"/>
        <v>1</v>
      </c>
      <c r="N3148" s="10" t="str">
        <f t="shared" si="656"/>
        <v>Los Angeles20</v>
      </c>
      <c r="O3148" s="10">
        <f t="shared" si="657"/>
        <v>3</v>
      </c>
      <c r="P3148" s="10">
        <f t="shared" si="658"/>
        <v>1</v>
      </c>
      <c r="Q3148" s="10">
        <f t="shared" si="659"/>
        <v>0</v>
      </c>
    </row>
    <row r="3149" spans="1:17">
      <c r="A3149" s="15">
        <f t="shared" si="666"/>
        <v>19</v>
      </c>
      <c r="B3149" s="15"/>
      <c r="C3149" s="17" t="str">
        <f>Fixture!E154</f>
        <v>Dallas</v>
      </c>
      <c r="D3149" s="18">
        <f>IF(E3149=0,0,IF(Fixture!D154&lt;Fixture!F154,3,IF(Fixture!F154&lt;Fixture!D154,0,1)))</f>
        <v>3</v>
      </c>
      <c r="E3149" s="18">
        <f t="shared" si="660"/>
        <v>1</v>
      </c>
      <c r="F3149" s="18">
        <f>IF(E3149=0,0,IF(Fixture!D154&lt;Fixture!F154,1,IF(Fixture!F154&lt;Fixture!D154,0,0)))</f>
        <v>1</v>
      </c>
      <c r="G3149" s="18">
        <f>IF(E3149=0,0,IF(Fixture!D154&lt;Fixture!F154,0,IF(Fixture!F154&lt;Fixture!D154,0,1)))</f>
        <v>0</v>
      </c>
      <c r="H3149" s="18">
        <f t="shared" si="661"/>
        <v>0</v>
      </c>
      <c r="I3149" s="64">
        <f t="shared" si="662"/>
        <v>3</v>
      </c>
      <c r="J3149" s="64">
        <f t="shared" si="663"/>
        <v>1</v>
      </c>
      <c r="K3149" s="63">
        <f t="shared" si="664"/>
        <v>0</v>
      </c>
      <c r="L3149" s="63">
        <f t="shared" si="665"/>
        <v>0</v>
      </c>
      <c r="N3149" s="10" t="str">
        <f t="shared" si="656"/>
        <v>Dallas19</v>
      </c>
      <c r="O3149" s="10">
        <f t="shared" si="657"/>
        <v>3</v>
      </c>
      <c r="P3149" s="10">
        <f t="shared" si="658"/>
        <v>3</v>
      </c>
      <c r="Q3149" s="10">
        <f t="shared" si="659"/>
        <v>1</v>
      </c>
    </row>
    <row r="3150" spans="1:17">
      <c r="A3150" s="15">
        <f t="shared" si="666"/>
        <v>20</v>
      </c>
      <c r="B3150" s="15"/>
      <c r="C3150" s="17" t="str">
        <f>Fixture!E155</f>
        <v>Houston</v>
      </c>
      <c r="D3150" s="18">
        <f>IF(E3150=0,0,IF(Fixture!D155&lt;Fixture!F155,3,IF(Fixture!F155&lt;Fixture!D155,0,1)))</f>
        <v>0</v>
      </c>
      <c r="E3150" s="18">
        <f t="shared" si="660"/>
        <v>1</v>
      </c>
      <c r="F3150" s="18">
        <f>IF(E3150=0,0,IF(Fixture!D155&lt;Fixture!F155,1,IF(Fixture!F155&lt;Fixture!D155,0,0)))</f>
        <v>0</v>
      </c>
      <c r="G3150" s="18">
        <f>IF(E3150=0,0,IF(Fixture!D155&lt;Fixture!F155,0,IF(Fixture!F155&lt;Fixture!D155,0,1)))</f>
        <v>0</v>
      </c>
      <c r="H3150" s="18">
        <f t="shared" si="661"/>
        <v>1</v>
      </c>
      <c r="I3150" s="64">
        <f t="shared" si="662"/>
        <v>0</v>
      </c>
      <c r="J3150" s="64">
        <f t="shared" si="663"/>
        <v>1</v>
      </c>
      <c r="K3150" s="63">
        <f t="shared" si="664"/>
        <v>1</v>
      </c>
      <c r="L3150" s="63">
        <f t="shared" si="665"/>
        <v>0</v>
      </c>
      <c r="N3150" s="10" t="str">
        <f t="shared" si="656"/>
        <v>Houston20</v>
      </c>
      <c r="O3150" s="10">
        <f t="shared" si="657"/>
        <v>0</v>
      </c>
      <c r="P3150" s="10">
        <f t="shared" si="658"/>
        <v>0</v>
      </c>
      <c r="Q3150" s="10">
        <f t="shared" si="659"/>
        <v>1</v>
      </c>
    </row>
    <row r="3151" spans="1:17">
      <c r="A3151" s="15">
        <f t="shared" si="666"/>
        <v>20</v>
      </c>
      <c r="B3151" s="15"/>
      <c r="C3151" s="17" t="str">
        <f>Fixture!E156</f>
        <v>Columbus</v>
      </c>
      <c r="D3151" s="18">
        <f>IF(E3151=0,0,IF(Fixture!D156&lt;Fixture!F156,3,IF(Fixture!F156&lt;Fixture!D156,0,1)))</f>
        <v>0</v>
      </c>
      <c r="E3151" s="18">
        <f t="shared" si="660"/>
        <v>1</v>
      </c>
      <c r="F3151" s="18">
        <f>IF(E3151=0,0,IF(Fixture!D156&lt;Fixture!F156,1,IF(Fixture!F156&lt;Fixture!D156,0,0)))</f>
        <v>0</v>
      </c>
      <c r="G3151" s="18">
        <f>IF(E3151=0,0,IF(Fixture!D156&lt;Fixture!F156,0,IF(Fixture!F156&lt;Fixture!D156,0,1)))</f>
        <v>0</v>
      </c>
      <c r="H3151" s="18">
        <f t="shared" si="661"/>
        <v>1</v>
      </c>
      <c r="I3151" s="64">
        <f t="shared" si="662"/>
        <v>0</v>
      </c>
      <c r="J3151" s="64">
        <f t="shared" si="663"/>
        <v>2</v>
      </c>
      <c r="K3151" s="63">
        <f t="shared" si="664"/>
        <v>1</v>
      </c>
      <c r="L3151" s="63">
        <f t="shared" si="665"/>
        <v>0</v>
      </c>
      <c r="N3151" s="10" t="str">
        <f t="shared" si="656"/>
        <v>Columbus20</v>
      </c>
      <c r="O3151" s="10">
        <f t="shared" si="657"/>
        <v>0</v>
      </c>
      <c r="P3151" s="10">
        <f t="shared" si="658"/>
        <v>0</v>
      </c>
      <c r="Q3151" s="10">
        <f t="shared" si="659"/>
        <v>2</v>
      </c>
    </row>
    <row r="3152" spans="1:17">
      <c r="A3152" s="15">
        <f t="shared" si="666"/>
        <v>19</v>
      </c>
      <c r="B3152" s="15"/>
      <c r="C3152" s="17" t="str">
        <f>Fixture!E157</f>
        <v>Kansas City</v>
      </c>
      <c r="D3152" s="18">
        <f>IF(E3152=0,0,IF(Fixture!D157&lt;Fixture!F157,3,IF(Fixture!F157&lt;Fixture!D157,0,1)))</f>
        <v>0</v>
      </c>
      <c r="E3152" s="18">
        <f t="shared" si="660"/>
        <v>1</v>
      </c>
      <c r="F3152" s="18">
        <f>IF(E3152=0,0,IF(Fixture!D157&lt;Fixture!F157,1,IF(Fixture!F157&lt;Fixture!D157,0,0)))</f>
        <v>0</v>
      </c>
      <c r="G3152" s="18">
        <f>IF(E3152=0,0,IF(Fixture!D157&lt;Fixture!F157,0,IF(Fixture!F157&lt;Fixture!D157,0,1)))</f>
        <v>0</v>
      </c>
      <c r="H3152" s="18">
        <f t="shared" si="661"/>
        <v>1</v>
      </c>
      <c r="I3152" s="64">
        <f t="shared" si="662"/>
        <v>0</v>
      </c>
      <c r="J3152" s="64">
        <f t="shared" si="663"/>
        <v>1</v>
      </c>
      <c r="K3152" s="63">
        <f t="shared" si="664"/>
        <v>1</v>
      </c>
      <c r="L3152" s="63">
        <f t="shared" si="665"/>
        <v>0</v>
      </c>
      <c r="N3152" s="10" t="str">
        <f t="shared" si="656"/>
        <v>Kansas City19</v>
      </c>
      <c r="O3152" s="10">
        <f t="shared" si="657"/>
        <v>0</v>
      </c>
      <c r="P3152" s="10">
        <f t="shared" si="658"/>
        <v>0</v>
      </c>
      <c r="Q3152" s="10">
        <f t="shared" si="659"/>
        <v>1</v>
      </c>
    </row>
    <row r="3153" spans="1:17">
      <c r="A3153" s="15">
        <f t="shared" si="666"/>
        <v>21</v>
      </c>
      <c r="B3153" s="15"/>
      <c r="C3153" s="17" t="str">
        <f>Fixture!E158</f>
        <v>Seattle Sounders FC</v>
      </c>
      <c r="D3153" s="18">
        <f>IF(E3153=0,0,IF(Fixture!D158&lt;Fixture!F158,3,IF(Fixture!F158&lt;Fixture!D158,0,1)))</f>
        <v>1</v>
      </c>
      <c r="E3153" s="18">
        <f t="shared" si="660"/>
        <v>1</v>
      </c>
      <c r="F3153" s="18">
        <f>IF(E3153=0,0,IF(Fixture!D158&lt;Fixture!F158,1,IF(Fixture!F158&lt;Fixture!D158,0,0)))</f>
        <v>0</v>
      </c>
      <c r="G3153" s="18">
        <f>IF(E3153=0,0,IF(Fixture!D158&lt;Fixture!F158,0,IF(Fixture!F158&lt;Fixture!D158,0,1)))</f>
        <v>1</v>
      </c>
      <c r="H3153" s="18">
        <f t="shared" si="661"/>
        <v>0</v>
      </c>
      <c r="I3153" s="64">
        <f t="shared" si="662"/>
        <v>0</v>
      </c>
      <c r="J3153" s="64">
        <f t="shared" si="663"/>
        <v>0</v>
      </c>
      <c r="K3153" s="63">
        <f t="shared" si="664"/>
        <v>1</v>
      </c>
      <c r="L3153" s="63">
        <f t="shared" si="665"/>
        <v>1</v>
      </c>
      <c r="N3153" s="10" t="str">
        <f t="shared" si="656"/>
        <v>Seattle Sounders FC21</v>
      </c>
      <c r="O3153" s="10">
        <f t="shared" si="657"/>
        <v>1</v>
      </c>
      <c r="P3153" s="10">
        <f t="shared" si="658"/>
        <v>0</v>
      </c>
      <c r="Q3153" s="10">
        <f t="shared" si="659"/>
        <v>0</v>
      </c>
    </row>
    <row r="3154" spans="1:17">
      <c r="A3154" s="15">
        <f t="shared" si="666"/>
        <v>19</v>
      </c>
      <c r="B3154" s="15"/>
      <c r="C3154" s="17" t="str">
        <f>Fixture!E159</f>
        <v>New England</v>
      </c>
      <c r="D3154" s="18">
        <f>IF(E3154=0,0,IF(Fixture!D159&lt;Fixture!F159,3,IF(Fixture!F159&lt;Fixture!D159,0,1)))</f>
        <v>0</v>
      </c>
      <c r="E3154" s="18">
        <f t="shared" si="660"/>
        <v>0</v>
      </c>
      <c r="F3154" s="18">
        <f>IF(E3154=0,0,IF(Fixture!D159&lt;Fixture!F159,1,IF(Fixture!F159&lt;Fixture!D159,0,0)))</f>
        <v>0</v>
      </c>
      <c r="G3154" s="18">
        <f>IF(E3154=0,0,IF(Fixture!D159&lt;Fixture!F159,0,IF(Fixture!F159&lt;Fixture!D159,0,1)))</f>
        <v>0</v>
      </c>
      <c r="H3154" s="18">
        <f t="shared" si="661"/>
        <v>0</v>
      </c>
      <c r="I3154" s="64">
        <f t="shared" si="662"/>
        <v>0</v>
      </c>
      <c r="J3154" s="64">
        <f t="shared" si="663"/>
        <v>0</v>
      </c>
      <c r="K3154" s="63">
        <f t="shared" si="664"/>
        <v>0</v>
      </c>
      <c r="L3154" s="63">
        <f t="shared" si="665"/>
        <v>0</v>
      </c>
      <c r="N3154" s="10" t="str">
        <f t="shared" ref="N3154:N3217" si="667">CONCATENATE(C3154,A3154)</f>
        <v>New England19</v>
      </c>
      <c r="O3154" s="10">
        <f t="shared" ref="O3154:O3217" si="668">D3154</f>
        <v>0</v>
      </c>
      <c r="P3154" s="10">
        <f t="shared" ref="P3154:P3217" si="669">I3154</f>
        <v>0</v>
      </c>
      <c r="Q3154" s="10">
        <f t="shared" ref="Q3154:Q3217" si="670">J3154</f>
        <v>0</v>
      </c>
    </row>
    <row r="3155" spans="1:17">
      <c r="A3155" s="15">
        <f t="shared" si="666"/>
        <v>21</v>
      </c>
      <c r="B3155" s="15"/>
      <c r="C3155" s="17" t="str">
        <f>Fixture!E160</f>
        <v>New York Red Bulls</v>
      </c>
      <c r="D3155" s="18">
        <f>IF(E3155=0,0,IF(Fixture!D160&lt;Fixture!F160,3,IF(Fixture!F160&lt;Fixture!D160,0,1)))</f>
        <v>0</v>
      </c>
      <c r="E3155" s="18">
        <f t="shared" si="660"/>
        <v>0</v>
      </c>
      <c r="F3155" s="18">
        <f>IF(E3155=0,0,IF(Fixture!D160&lt;Fixture!F160,1,IF(Fixture!F160&lt;Fixture!D160,0,0)))</f>
        <v>0</v>
      </c>
      <c r="G3155" s="18">
        <f>IF(E3155=0,0,IF(Fixture!D160&lt;Fixture!F160,0,IF(Fixture!F160&lt;Fixture!D160,0,1)))</f>
        <v>0</v>
      </c>
      <c r="H3155" s="18">
        <f t="shared" si="661"/>
        <v>0</v>
      </c>
      <c r="I3155" s="64">
        <f t="shared" si="662"/>
        <v>0</v>
      </c>
      <c r="J3155" s="64">
        <f t="shared" si="663"/>
        <v>0</v>
      </c>
      <c r="K3155" s="63">
        <f t="shared" si="664"/>
        <v>0</v>
      </c>
      <c r="L3155" s="63">
        <f t="shared" si="665"/>
        <v>0</v>
      </c>
      <c r="N3155" s="10" t="str">
        <f t="shared" si="667"/>
        <v>New York Red Bulls21</v>
      </c>
      <c r="O3155" s="10">
        <f t="shared" si="668"/>
        <v>0</v>
      </c>
      <c r="P3155" s="10">
        <f t="shared" si="669"/>
        <v>0</v>
      </c>
      <c r="Q3155" s="10">
        <f t="shared" si="670"/>
        <v>0</v>
      </c>
    </row>
    <row r="3156" spans="1:17">
      <c r="A3156" s="15">
        <f t="shared" si="666"/>
        <v>21</v>
      </c>
      <c r="B3156" s="15"/>
      <c r="C3156" s="17" t="str">
        <f>Fixture!E161</f>
        <v>Los Angeles</v>
      </c>
      <c r="D3156" s="18">
        <f>IF(E3156=0,0,IF(Fixture!D161&lt;Fixture!F161,3,IF(Fixture!F161&lt;Fixture!D161,0,1)))</f>
        <v>0</v>
      </c>
      <c r="E3156" s="18">
        <f t="shared" si="660"/>
        <v>0</v>
      </c>
      <c r="F3156" s="18">
        <f>IF(E3156=0,0,IF(Fixture!D161&lt;Fixture!F161,1,IF(Fixture!F161&lt;Fixture!D161,0,0)))</f>
        <v>0</v>
      </c>
      <c r="G3156" s="18">
        <f>IF(E3156=0,0,IF(Fixture!D161&lt;Fixture!F161,0,IF(Fixture!F161&lt;Fixture!D161,0,1)))</f>
        <v>0</v>
      </c>
      <c r="H3156" s="18">
        <f t="shared" si="661"/>
        <v>0</v>
      </c>
      <c r="I3156" s="64">
        <f t="shared" si="662"/>
        <v>0</v>
      </c>
      <c r="J3156" s="64">
        <f t="shared" si="663"/>
        <v>0</v>
      </c>
      <c r="K3156" s="63">
        <f t="shared" si="664"/>
        <v>0</v>
      </c>
      <c r="L3156" s="63">
        <f t="shared" si="665"/>
        <v>0</v>
      </c>
      <c r="N3156" s="10" t="str">
        <f t="shared" si="667"/>
        <v>Los Angeles21</v>
      </c>
      <c r="O3156" s="10">
        <f t="shared" si="668"/>
        <v>0</v>
      </c>
      <c r="P3156" s="10">
        <f t="shared" si="669"/>
        <v>0</v>
      </c>
      <c r="Q3156" s="10">
        <f t="shared" si="670"/>
        <v>0</v>
      </c>
    </row>
    <row r="3157" spans="1:17">
      <c r="A3157" s="15">
        <f t="shared" si="666"/>
        <v>20</v>
      </c>
      <c r="B3157" s="15"/>
      <c r="C3157" s="17" t="str">
        <f>Fixture!E162</f>
        <v>Colorado</v>
      </c>
      <c r="D3157" s="18">
        <f>IF(E3157=0,0,IF(Fixture!D162&lt;Fixture!F162,3,IF(Fixture!F162&lt;Fixture!D162,0,1)))</f>
        <v>0</v>
      </c>
      <c r="E3157" s="18">
        <f t="shared" si="660"/>
        <v>0</v>
      </c>
      <c r="F3157" s="18">
        <f>IF(E3157=0,0,IF(Fixture!D162&lt;Fixture!F162,1,IF(Fixture!F162&lt;Fixture!D162,0,0)))</f>
        <v>0</v>
      </c>
      <c r="G3157" s="18">
        <f>IF(E3157=0,0,IF(Fixture!D162&lt;Fixture!F162,0,IF(Fixture!F162&lt;Fixture!D162,0,1)))</f>
        <v>0</v>
      </c>
      <c r="H3157" s="18">
        <f t="shared" si="661"/>
        <v>0</v>
      </c>
      <c r="I3157" s="64">
        <f t="shared" si="662"/>
        <v>0</v>
      </c>
      <c r="J3157" s="64">
        <f t="shared" si="663"/>
        <v>0</v>
      </c>
      <c r="K3157" s="63">
        <f t="shared" si="664"/>
        <v>0</v>
      </c>
      <c r="L3157" s="63">
        <f t="shared" si="665"/>
        <v>0</v>
      </c>
      <c r="N3157" s="10" t="str">
        <f t="shared" si="667"/>
        <v>Colorado20</v>
      </c>
      <c r="O3157" s="10">
        <f t="shared" si="668"/>
        <v>0</v>
      </c>
      <c r="P3157" s="10">
        <f t="shared" si="669"/>
        <v>0</v>
      </c>
      <c r="Q3157" s="10">
        <f t="shared" si="670"/>
        <v>0</v>
      </c>
    </row>
    <row r="3158" spans="1:17">
      <c r="A3158" s="15">
        <f t="shared" si="666"/>
        <v>20</v>
      </c>
      <c r="B3158" s="15"/>
      <c r="C3158" s="17" t="str">
        <f>Fixture!E163</f>
        <v>Chivas USA</v>
      </c>
      <c r="D3158" s="18">
        <f>IF(E3158=0,0,IF(Fixture!D163&lt;Fixture!F163,3,IF(Fixture!F163&lt;Fixture!D163,0,1)))</f>
        <v>0</v>
      </c>
      <c r="E3158" s="18">
        <f t="shared" si="660"/>
        <v>0</v>
      </c>
      <c r="F3158" s="18">
        <f>IF(E3158=0,0,IF(Fixture!D163&lt;Fixture!F163,1,IF(Fixture!F163&lt;Fixture!D163,0,0)))</f>
        <v>0</v>
      </c>
      <c r="G3158" s="18">
        <f>IF(E3158=0,0,IF(Fixture!D163&lt;Fixture!F163,0,IF(Fixture!F163&lt;Fixture!D163,0,1)))</f>
        <v>0</v>
      </c>
      <c r="H3158" s="18">
        <f t="shared" si="661"/>
        <v>0</v>
      </c>
      <c r="I3158" s="64">
        <f t="shared" si="662"/>
        <v>0</v>
      </c>
      <c r="J3158" s="64">
        <f t="shared" si="663"/>
        <v>0</v>
      </c>
      <c r="K3158" s="63">
        <f t="shared" si="664"/>
        <v>0</v>
      </c>
      <c r="L3158" s="63">
        <f t="shared" si="665"/>
        <v>0</v>
      </c>
      <c r="N3158" s="10" t="str">
        <f t="shared" si="667"/>
        <v>Chivas USA20</v>
      </c>
      <c r="O3158" s="10">
        <f t="shared" si="668"/>
        <v>0</v>
      </c>
      <c r="P3158" s="10">
        <f t="shared" si="669"/>
        <v>0</v>
      </c>
      <c r="Q3158" s="10">
        <f t="shared" si="670"/>
        <v>0</v>
      </c>
    </row>
    <row r="3159" spans="1:17">
      <c r="A3159" s="15">
        <f t="shared" si="666"/>
        <v>18</v>
      </c>
      <c r="B3159" s="15"/>
      <c r="C3159" s="17" t="str">
        <f>Fixture!E164</f>
        <v>Chicago</v>
      </c>
      <c r="D3159" s="18">
        <f>IF(E3159=0,0,IF(Fixture!D164&lt;Fixture!F164,3,IF(Fixture!F164&lt;Fixture!D164,0,1)))</f>
        <v>0</v>
      </c>
      <c r="E3159" s="18">
        <f t="shared" si="660"/>
        <v>0</v>
      </c>
      <c r="F3159" s="18">
        <f>IF(E3159=0,0,IF(Fixture!D164&lt;Fixture!F164,1,IF(Fixture!F164&lt;Fixture!D164,0,0)))</f>
        <v>0</v>
      </c>
      <c r="G3159" s="18">
        <f>IF(E3159=0,0,IF(Fixture!D164&lt;Fixture!F164,0,IF(Fixture!F164&lt;Fixture!D164,0,1)))</f>
        <v>0</v>
      </c>
      <c r="H3159" s="18">
        <f t="shared" si="661"/>
        <v>0</v>
      </c>
      <c r="I3159" s="64">
        <f t="shared" si="662"/>
        <v>0</v>
      </c>
      <c r="J3159" s="64">
        <f t="shared" si="663"/>
        <v>0</v>
      </c>
      <c r="K3159" s="63">
        <f t="shared" si="664"/>
        <v>0</v>
      </c>
      <c r="L3159" s="63">
        <f t="shared" si="665"/>
        <v>0</v>
      </c>
      <c r="N3159" s="10" t="str">
        <f t="shared" si="667"/>
        <v>Chicago18</v>
      </c>
      <c r="O3159" s="10">
        <f t="shared" si="668"/>
        <v>0</v>
      </c>
      <c r="P3159" s="10">
        <f t="shared" si="669"/>
        <v>0</v>
      </c>
      <c r="Q3159" s="10">
        <f t="shared" si="670"/>
        <v>0</v>
      </c>
    </row>
    <row r="3160" spans="1:17">
      <c r="A3160" s="15">
        <f t="shared" si="666"/>
        <v>20</v>
      </c>
      <c r="B3160" s="15"/>
      <c r="C3160" s="17" t="str">
        <f>Fixture!E165</f>
        <v>New England</v>
      </c>
      <c r="D3160" s="18">
        <f>IF(E3160=0,0,IF(Fixture!D165&lt;Fixture!F165,3,IF(Fixture!F165&lt;Fixture!D165,0,1)))</f>
        <v>0</v>
      </c>
      <c r="E3160" s="18">
        <f t="shared" si="660"/>
        <v>0</v>
      </c>
      <c r="F3160" s="18">
        <f>IF(E3160=0,0,IF(Fixture!D165&lt;Fixture!F165,1,IF(Fixture!F165&lt;Fixture!D165,0,0)))</f>
        <v>0</v>
      </c>
      <c r="G3160" s="18">
        <f>IF(E3160=0,0,IF(Fixture!D165&lt;Fixture!F165,0,IF(Fixture!F165&lt;Fixture!D165,0,1)))</f>
        <v>0</v>
      </c>
      <c r="H3160" s="18">
        <f t="shared" si="661"/>
        <v>0</v>
      </c>
      <c r="I3160" s="64">
        <f t="shared" si="662"/>
        <v>0</v>
      </c>
      <c r="J3160" s="64">
        <f t="shared" si="663"/>
        <v>0</v>
      </c>
      <c r="K3160" s="63">
        <f t="shared" si="664"/>
        <v>0</v>
      </c>
      <c r="L3160" s="63">
        <f t="shared" si="665"/>
        <v>0</v>
      </c>
      <c r="N3160" s="10" t="str">
        <f t="shared" si="667"/>
        <v>New England20</v>
      </c>
      <c r="O3160" s="10">
        <f t="shared" si="668"/>
        <v>0</v>
      </c>
      <c r="P3160" s="10">
        <f t="shared" si="669"/>
        <v>0</v>
      </c>
      <c r="Q3160" s="10">
        <f t="shared" si="670"/>
        <v>0</v>
      </c>
    </row>
    <row r="3161" spans="1:17">
      <c r="A3161" s="15">
        <f t="shared" si="666"/>
        <v>20</v>
      </c>
      <c r="B3161" s="15"/>
      <c r="C3161" s="17" t="str">
        <f>Fixture!E166</f>
        <v>Philadelphia Union</v>
      </c>
      <c r="D3161" s="18">
        <f>IF(E3161=0,0,IF(Fixture!D166&lt;Fixture!F166,3,IF(Fixture!F166&lt;Fixture!D166,0,1)))</f>
        <v>0</v>
      </c>
      <c r="E3161" s="18">
        <f t="shared" si="660"/>
        <v>0</v>
      </c>
      <c r="F3161" s="18">
        <f>IF(E3161=0,0,IF(Fixture!D166&lt;Fixture!F166,1,IF(Fixture!F166&lt;Fixture!D166,0,0)))</f>
        <v>0</v>
      </c>
      <c r="G3161" s="18">
        <f>IF(E3161=0,0,IF(Fixture!D166&lt;Fixture!F166,0,IF(Fixture!F166&lt;Fixture!D166,0,1)))</f>
        <v>0</v>
      </c>
      <c r="H3161" s="18">
        <f t="shared" si="661"/>
        <v>0</v>
      </c>
      <c r="I3161" s="64">
        <f t="shared" si="662"/>
        <v>0</v>
      </c>
      <c r="J3161" s="64">
        <f t="shared" si="663"/>
        <v>0</v>
      </c>
      <c r="K3161" s="63">
        <f t="shared" si="664"/>
        <v>0</v>
      </c>
      <c r="L3161" s="63">
        <f t="shared" si="665"/>
        <v>0</v>
      </c>
      <c r="N3161" s="10" t="str">
        <f t="shared" si="667"/>
        <v>Philadelphia Union20</v>
      </c>
      <c r="O3161" s="10">
        <f t="shared" si="668"/>
        <v>0</v>
      </c>
      <c r="P3161" s="10">
        <f t="shared" si="669"/>
        <v>0</v>
      </c>
      <c r="Q3161" s="10">
        <f t="shared" si="670"/>
        <v>0</v>
      </c>
    </row>
    <row r="3162" spans="1:17">
      <c r="A3162" s="15">
        <f t="shared" si="666"/>
        <v>21</v>
      </c>
      <c r="B3162" s="15"/>
      <c r="C3162" s="17" t="str">
        <f>Fixture!E167</f>
        <v>Dallas</v>
      </c>
      <c r="D3162" s="18">
        <f>IF(E3162=0,0,IF(Fixture!D167&lt;Fixture!F167,3,IF(Fixture!F167&lt;Fixture!D167,0,1)))</f>
        <v>0</v>
      </c>
      <c r="E3162" s="18">
        <f t="shared" si="660"/>
        <v>0</v>
      </c>
      <c r="F3162" s="18">
        <f>IF(E3162=0,0,IF(Fixture!D167&lt;Fixture!F167,1,IF(Fixture!F167&lt;Fixture!D167,0,0)))</f>
        <v>0</v>
      </c>
      <c r="G3162" s="18">
        <f>IF(E3162=0,0,IF(Fixture!D167&lt;Fixture!F167,0,IF(Fixture!F167&lt;Fixture!D167,0,1)))</f>
        <v>0</v>
      </c>
      <c r="H3162" s="18">
        <f t="shared" si="661"/>
        <v>0</v>
      </c>
      <c r="I3162" s="64">
        <f t="shared" si="662"/>
        <v>0</v>
      </c>
      <c r="J3162" s="64">
        <f t="shared" si="663"/>
        <v>0</v>
      </c>
      <c r="K3162" s="63">
        <f t="shared" si="664"/>
        <v>0</v>
      </c>
      <c r="L3162" s="63">
        <f t="shared" si="665"/>
        <v>0</v>
      </c>
      <c r="N3162" s="10" t="str">
        <f t="shared" si="667"/>
        <v>Dallas21</v>
      </c>
      <c r="O3162" s="10">
        <f t="shared" si="668"/>
        <v>0</v>
      </c>
      <c r="P3162" s="10">
        <f t="shared" si="669"/>
        <v>0</v>
      </c>
      <c r="Q3162" s="10">
        <f t="shared" si="670"/>
        <v>0</v>
      </c>
    </row>
    <row r="3163" spans="1:17">
      <c r="A3163" s="15">
        <f t="shared" si="666"/>
        <v>22</v>
      </c>
      <c r="B3163" s="15"/>
      <c r="C3163" s="17" t="str">
        <f>Fixture!E168</f>
        <v>Real Salt Lake</v>
      </c>
      <c r="D3163" s="18">
        <f>IF(E3163=0,0,IF(Fixture!D168&lt;Fixture!F168,3,IF(Fixture!F168&lt;Fixture!D168,0,1)))</f>
        <v>0</v>
      </c>
      <c r="E3163" s="18">
        <f t="shared" si="660"/>
        <v>0</v>
      </c>
      <c r="F3163" s="18">
        <f>IF(E3163=0,0,IF(Fixture!D168&lt;Fixture!F168,1,IF(Fixture!F168&lt;Fixture!D168,0,0)))</f>
        <v>0</v>
      </c>
      <c r="G3163" s="18">
        <f>IF(E3163=0,0,IF(Fixture!D168&lt;Fixture!F168,0,IF(Fixture!F168&lt;Fixture!D168,0,1)))</f>
        <v>0</v>
      </c>
      <c r="H3163" s="18">
        <f t="shared" si="661"/>
        <v>0</v>
      </c>
      <c r="I3163" s="64">
        <f t="shared" si="662"/>
        <v>0</v>
      </c>
      <c r="J3163" s="64">
        <f t="shared" si="663"/>
        <v>0</v>
      </c>
      <c r="K3163" s="63">
        <f t="shared" si="664"/>
        <v>0</v>
      </c>
      <c r="L3163" s="63">
        <f t="shared" si="665"/>
        <v>0</v>
      </c>
      <c r="N3163" s="10" t="str">
        <f t="shared" si="667"/>
        <v>Real Salt Lake22</v>
      </c>
      <c r="O3163" s="10">
        <f t="shared" si="668"/>
        <v>0</v>
      </c>
      <c r="P3163" s="10">
        <f t="shared" si="669"/>
        <v>0</v>
      </c>
      <c r="Q3163" s="10">
        <f t="shared" si="670"/>
        <v>0</v>
      </c>
    </row>
    <row r="3164" spans="1:17">
      <c r="A3164" s="15">
        <f t="shared" si="666"/>
        <v>21</v>
      </c>
      <c r="B3164" s="15"/>
      <c r="C3164" s="17" t="str">
        <f>Fixture!E169</f>
        <v>Philadelphia Union</v>
      </c>
      <c r="D3164" s="18">
        <f>IF(E3164=0,0,IF(Fixture!D169&lt;Fixture!F169,3,IF(Fixture!F169&lt;Fixture!D169,0,1)))</f>
        <v>0</v>
      </c>
      <c r="E3164" s="18">
        <f t="shared" si="660"/>
        <v>0</v>
      </c>
      <c r="F3164" s="18">
        <f>IF(E3164=0,0,IF(Fixture!D169&lt;Fixture!F169,1,IF(Fixture!F169&lt;Fixture!D169,0,0)))</f>
        <v>0</v>
      </c>
      <c r="G3164" s="18">
        <f>IF(E3164=0,0,IF(Fixture!D169&lt;Fixture!F169,0,IF(Fixture!F169&lt;Fixture!D169,0,1)))</f>
        <v>0</v>
      </c>
      <c r="H3164" s="18">
        <f t="shared" si="661"/>
        <v>0</v>
      </c>
      <c r="I3164" s="64">
        <f t="shared" si="662"/>
        <v>0</v>
      </c>
      <c r="J3164" s="64">
        <f t="shared" si="663"/>
        <v>0</v>
      </c>
      <c r="K3164" s="63">
        <f t="shared" si="664"/>
        <v>0</v>
      </c>
      <c r="L3164" s="63">
        <f t="shared" si="665"/>
        <v>0</v>
      </c>
      <c r="N3164" s="10" t="str">
        <f t="shared" si="667"/>
        <v>Philadelphia Union21</v>
      </c>
      <c r="O3164" s="10">
        <f t="shared" si="668"/>
        <v>0</v>
      </c>
      <c r="P3164" s="10">
        <f t="shared" si="669"/>
        <v>0</v>
      </c>
      <c r="Q3164" s="10">
        <f t="shared" si="670"/>
        <v>0</v>
      </c>
    </row>
    <row r="3165" spans="1:17">
      <c r="A3165" s="15">
        <f t="shared" si="666"/>
        <v>20</v>
      </c>
      <c r="B3165" s="15"/>
      <c r="C3165" s="17" t="str">
        <f>Fixture!E170</f>
        <v>San Jose</v>
      </c>
      <c r="D3165" s="18">
        <f>IF(E3165=0,0,IF(Fixture!D170&lt;Fixture!F170,3,IF(Fixture!F170&lt;Fixture!D170,0,1)))</f>
        <v>0</v>
      </c>
      <c r="E3165" s="18">
        <f t="shared" si="660"/>
        <v>0</v>
      </c>
      <c r="F3165" s="18">
        <f>IF(E3165=0,0,IF(Fixture!D170&lt;Fixture!F170,1,IF(Fixture!F170&lt;Fixture!D170,0,0)))</f>
        <v>0</v>
      </c>
      <c r="G3165" s="18">
        <f>IF(E3165=0,0,IF(Fixture!D170&lt;Fixture!F170,0,IF(Fixture!F170&lt;Fixture!D170,0,1)))</f>
        <v>0</v>
      </c>
      <c r="H3165" s="18">
        <f t="shared" si="661"/>
        <v>0</v>
      </c>
      <c r="I3165" s="64">
        <f t="shared" si="662"/>
        <v>0</v>
      </c>
      <c r="J3165" s="64">
        <f t="shared" si="663"/>
        <v>0</v>
      </c>
      <c r="K3165" s="63">
        <f t="shared" si="664"/>
        <v>0</v>
      </c>
      <c r="L3165" s="63">
        <f t="shared" si="665"/>
        <v>0</v>
      </c>
      <c r="N3165" s="10" t="str">
        <f t="shared" si="667"/>
        <v>San Jose20</v>
      </c>
      <c r="O3165" s="10">
        <f t="shared" si="668"/>
        <v>0</v>
      </c>
      <c r="P3165" s="10">
        <f t="shared" si="669"/>
        <v>0</v>
      </c>
      <c r="Q3165" s="10">
        <f t="shared" si="670"/>
        <v>0</v>
      </c>
    </row>
    <row r="3166" spans="1:17">
      <c r="A3166" s="15">
        <f t="shared" si="666"/>
        <v>22</v>
      </c>
      <c r="B3166" s="15"/>
      <c r="C3166" s="17" t="str">
        <f>Fixture!E171</f>
        <v>Houston</v>
      </c>
      <c r="D3166" s="18">
        <f>IF(E3166=0,0,IF(Fixture!D171&lt;Fixture!F171,3,IF(Fixture!F171&lt;Fixture!D171,0,1)))</f>
        <v>0</v>
      </c>
      <c r="E3166" s="18">
        <f t="shared" si="660"/>
        <v>0</v>
      </c>
      <c r="F3166" s="18">
        <f>IF(E3166=0,0,IF(Fixture!D171&lt;Fixture!F171,1,IF(Fixture!F171&lt;Fixture!D171,0,0)))</f>
        <v>0</v>
      </c>
      <c r="G3166" s="18">
        <f>IF(E3166=0,0,IF(Fixture!D171&lt;Fixture!F171,0,IF(Fixture!F171&lt;Fixture!D171,0,1)))</f>
        <v>0</v>
      </c>
      <c r="H3166" s="18">
        <f t="shared" si="661"/>
        <v>0</v>
      </c>
      <c r="I3166" s="64">
        <f t="shared" si="662"/>
        <v>0</v>
      </c>
      <c r="J3166" s="64">
        <f t="shared" si="663"/>
        <v>0</v>
      </c>
      <c r="K3166" s="63">
        <f t="shared" si="664"/>
        <v>0</v>
      </c>
      <c r="L3166" s="63">
        <f t="shared" si="665"/>
        <v>0</v>
      </c>
      <c r="N3166" s="10" t="str">
        <f t="shared" si="667"/>
        <v>Houston22</v>
      </c>
      <c r="O3166" s="10">
        <f t="shared" si="668"/>
        <v>0</v>
      </c>
      <c r="P3166" s="10">
        <f t="shared" si="669"/>
        <v>0</v>
      </c>
      <c r="Q3166" s="10">
        <f t="shared" si="670"/>
        <v>0</v>
      </c>
    </row>
    <row r="3167" spans="1:17">
      <c r="A3167" s="15">
        <f t="shared" si="666"/>
        <v>21</v>
      </c>
      <c r="B3167" s="15"/>
      <c r="C3167" s="17" t="str">
        <f>Fixture!E172</f>
        <v>Kansas City</v>
      </c>
      <c r="D3167" s="18">
        <f>IF(E3167=0,0,IF(Fixture!D172&lt;Fixture!F172,3,IF(Fixture!F172&lt;Fixture!D172,0,1)))</f>
        <v>0</v>
      </c>
      <c r="E3167" s="18">
        <f t="shared" si="660"/>
        <v>0</v>
      </c>
      <c r="F3167" s="18">
        <f>IF(E3167=0,0,IF(Fixture!D172&lt;Fixture!F172,1,IF(Fixture!F172&lt;Fixture!D172,0,0)))</f>
        <v>0</v>
      </c>
      <c r="G3167" s="18">
        <f>IF(E3167=0,0,IF(Fixture!D172&lt;Fixture!F172,0,IF(Fixture!F172&lt;Fixture!D172,0,1)))</f>
        <v>0</v>
      </c>
      <c r="H3167" s="18">
        <f t="shared" si="661"/>
        <v>0</v>
      </c>
      <c r="I3167" s="64">
        <f t="shared" si="662"/>
        <v>0</v>
      </c>
      <c r="J3167" s="64">
        <f t="shared" si="663"/>
        <v>0</v>
      </c>
      <c r="K3167" s="63">
        <f t="shared" si="664"/>
        <v>0</v>
      </c>
      <c r="L3167" s="63">
        <f t="shared" si="665"/>
        <v>0</v>
      </c>
      <c r="N3167" s="10" t="str">
        <f t="shared" si="667"/>
        <v>Kansas City21</v>
      </c>
      <c r="O3167" s="10">
        <f t="shared" si="668"/>
        <v>0</v>
      </c>
      <c r="P3167" s="10">
        <f t="shared" si="669"/>
        <v>0</v>
      </c>
      <c r="Q3167" s="10">
        <f t="shared" si="670"/>
        <v>0</v>
      </c>
    </row>
    <row r="3168" spans="1:17">
      <c r="A3168" s="15">
        <f t="shared" si="666"/>
        <v>19</v>
      </c>
      <c r="B3168" s="15"/>
      <c r="C3168" s="17" t="str">
        <f>Fixture!E173</f>
        <v>Chicago</v>
      </c>
      <c r="D3168" s="18">
        <f>IF(E3168=0,0,IF(Fixture!D173&lt;Fixture!F173,3,IF(Fixture!F173&lt;Fixture!D173,0,1)))</f>
        <v>0</v>
      </c>
      <c r="E3168" s="18">
        <f t="shared" si="660"/>
        <v>0</v>
      </c>
      <c r="F3168" s="18">
        <f>IF(E3168=0,0,IF(Fixture!D173&lt;Fixture!F173,1,IF(Fixture!F173&lt;Fixture!D173,0,0)))</f>
        <v>0</v>
      </c>
      <c r="G3168" s="18">
        <f>IF(E3168=0,0,IF(Fixture!D173&lt;Fixture!F173,0,IF(Fixture!F173&lt;Fixture!D173,0,1)))</f>
        <v>0</v>
      </c>
      <c r="H3168" s="18">
        <f t="shared" si="661"/>
        <v>0</v>
      </c>
      <c r="I3168" s="64">
        <f t="shared" si="662"/>
        <v>0</v>
      </c>
      <c r="J3168" s="64">
        <f t="shared" si="663"/>
        <v>0</v>
      </c>
      <c r="K3168" s="63">
        <f t="shared" si="664"/>
        <v>0</v>
      </c>
      <c r="L3168" s="63">
        <f t="shared" si="665"/>
        <v>0</v>
      </c>
      <c r="N3168" s="10" t="str">
        <f t="shared" si="667"/>
        <v>Chicago19</v>
      </c>
      <c r="O3168" s="10">
        <f t="shared" si="668"/>
        <v>0</v>
      </c>
      <c r="P3168" s="10">
        <f t="shared" si="669"/>
        <v>0</v>
      </c>
      <c r="Q3168" s="10">
        <f t="shared" si="670"/>
        <v>0</v>
      </c>
    </row>
    <row r="3169" spans="1:17">
      <c r="A3169" s="15">
        <f t="shared" si="666"/>
        <v>22</v>
      </c>
      <c r="B3169" s="15"/>
      <c r="C3169" s="17" t="str">
        <f>Fixture!E174</f>
        <v>DC United</v>
      </c>
      <c r="D3169" s="18">
        <f>IF(E3169=0,0,IF(Fixture!D174&lt;Fixture!F174,3,IF(Fixture!F174&lt;Fixture!D174,0,1)))</f>
        <v>0</v>
      </c>
      <c r="E3169" s="18">
        <f t="shared" si="660"/>
        <v>0</v>
      </c>
      <c r="F3169" s="18">
        <f>IF(E3169=0,0,IF(Fixture!D174&lt;Fixture!F174,1,IF(Fixture!F174&lt;Fixture!D174,0,0)))</f>
        <v>0</v>
      </c>
      <c r="G3169" s="18">
        <f>IF(E3169=0,0,IF(Fixture!D174&lt;Fixture!F174,0,IF(Fixture!F174&lt;Fixture!D174,0,1)))</f>
        <v>0</v>
      </c>
      <c r="H3169" s="18">
        <f t="shared" si="661"/>
        <v>0</v>
      </c>
      <c r="I3169" s="64">
        <f t="shared" si="662"/>
        <v>0</v>
      </c>
      <c r="J3169" s="64">
        <f t="shared" si="663"/>
        <v>0</v>
      </c>
      <c r="K3169" s="63">
        <f t="shared" si="664"/>
        <v>0</v>
      </c>
      <c r="L3169" s="63">
        <f t="shared" si="665"/>
        <v>0</v>
      </c>
      <c r="N3169" s="10" t="str">
        <f t="shared" si="667"/>
        <v>DC United22</v>
      </c>
      <c r="O3169" s="10">
        <f t="shared" si="668"/>
        <v>0</v>
      </c>
      <c r="P3169" s="10">
        <f t="shared" si="669"/>
        <v>0</v>
      </c>
      <c r="Q3169" s="10">
        <f t="shared" si="670"/>
        <v>0</v>
      </c>
    </row>
    <row r="3170" spans="1:17">
      <c r="A3170" s="15">
        <f t="shared" si="666"/>
        <v>22</v>
      </c>
      <c r="B3170" s="15"/>
      <c r="C3170" s="17" t="str">
        <f>Fixture!E175</f>
        <v>Kansas City</v>
      </c>
      <c r="D3170" s="18">
        <f>IF(E3170=0,0,IF(Fixture!D175&lt;Fixture!F175,3,IF(Fixture!F175&lt;Fixture!D175,0,1)))</f>
        <v>0</v>
      </c>
      <c r="E3170" s="18">
        <f t="shared" si="660"/>
        <v>0</v>
      </c>
      <c r="F3170" s="18">
        <f>IF(E3170=0,0,IF(Fixture!D175&lt;Fixture!F175,1,IF(Fixture!F175&lt;Fixture!D175,0,0)))</f>
        <v>0</v>
      </c>
      <c r="G3170" s="18">
        <f>IF(E3170=0,0,IF(Fixture!D175&lt;Fixture!F175,0,IF(Fixture!F175&lt;Fixture!D175,0,1)))</f>
        <v>0</v>
      </c>
      <c r="H3170" s="18">
        <f t="shared" si="661"/>
        <v>0</v>
      </c>
      <c r="I3170" s="64">
        <f t="shared" si="662"/>
        <v>0</v>
      </c>
      <c r="J3170" s="64">
        <f t="shared" si="663"/>
        <v>0</v>
      </c>
      <c r="K3170" s="63">
        <f t="shared" si="664"/>
        <v>0</v>
      </c>
      <c r="L3170" s="63">
        <f t="shared" si="665"/>
        <v>0</v>
      </c>
      <c r="N3170" s="10" t="str">
        <f t="shared" si="667"/>
        <v>Kansas City22</v>
      </c>
      <c r="O3170" s="10">
        <f t="shared" si="668"/>
        <v>0</v>
      </c>
      <c r="P3170" s="10">
        <f t="shared" si="669"/>
        <v>0</v>
      </c>
      <c r="Q3170" s="10">
        <f t="shared" si="670"/>
        <v>0</v>
      </c>
    </row>
    <row r="3171" spans="1:17">
      <c r="A3171" s="15">
        <f t="shared" si="666"/>
        <v>23</v>
      </c>
      <c r="B3171" s="15"/>
      <c r="C3171" s="17" t="str">
        <f>Fixture!E176</f>
        <v>Los Angeles</v>
      </c>
      <c r="D3171" s="18">
        <f>IF(E3171=0,0,IF(Fixture!D176&lt;Fixture!F176,3,IF(Fixture!F176&lt;Fixture!D176,0,1)))</f>
        <v>0</v>
      </c>
      <c r="E3171" s="18">
        <f t="shared" si="660"/>
        <v>0</v>
      </c>
      <c r="F3171" s="18">
        <f>IF(E3171=0,0,IF(Fixture!D176&lt;Fixture!F176,1,IF(Fixture!F176&lt;Fixture!D176,0,0)))</f>
        <v>0</v>
      </c>
      <c r="G3171" s="18">
        <f>IF(E3171=0,0,IF(Fixture!D176&lt;Fixture!F176,0,IF(Fixture!F176&lt;Fixture!D176,0,1)))</f>
        <v>0</v>
      </c>
      <c r="H3171" s="18">
        <f t="shared" si="661"/>
        <v>0</v>
      </c>
      <c r="I3171" s="64">
        <f t="shared" si="662"/>
        <v>0</v>
      </c>
      <c r="J3171" s="64">
        <f t="shared" si="663"/>
        <v>0</v>
      </c>
      <c r="K3171" s="63">
        <f t="shared" si="664"/>
        <v>0</v>
      </c>
      <c r="L3171" s="63">
        <f t="shared" si="665"/>
        <v>0</v>
      </c>
      <c r="N3171" s="10" t="str">
        <f t="shared" si="667"/>
        <v>Los Angeles23</v>
      </c>
      <c r="O3171" s="10">
        <f t="shared" si="668"/>
        <v>0</v>
      </c>
      <c r="P3171" s="10">
        <f t="shared" si="669"/>
        <v>0</v>
      </c>
      <c r="Q3171" s="10">
        <f t="shared" si="670"/>
        <v>0</v>
      </c>
    </row>
    <row r="3172" spans="1:17">
      <c r="A3172" s="15">
        <f t="shared" si="666"/>
        <v>23</v>
      </c>
      <c r="B3172" s="15"/>
      <c r="C3172" s="17" t="str">
        <f>Fixture!E177</f>
        <v>Columbus</v>
      </c>
      <c r="D3172" s="18">
        <f>IF(E3172=0,0,IF(Fixture!D177&lt;Fixture!F177,3,IF(Fixture!F177&lt;Fixture!D177,0,1)))</f>
        <v>0</v>
      </c>
      <c r="E3172" s="18">
        <f t="shared" si="660"/>
        <v>0</v>
      </c>
      <c r="F3172" s="18">
        <f>IF(E3172=0,0,IF(Fixture!D177&lt;Fixture!F177,1,IF(Fixture!F177&lt;Fixture!D177,0,0)))</f>
        <v>0</v>
      </c>
      <c r="G3172" s="18">
        <f>IF(E3172=0,0,IF(Fixture!D177&lt;Fixture!F177,0,IF(Fixture!F177&lt;Fixture!D177,0,1)))</f>
        <v>0</v>
      </c>
      <c r="H3172" s="18">
        <f t="shared" si="661"/>
        <v>0</v>
      </c>
      <c r="I3172" s="64">
        <f t="shared" si="662"/>
        <v>0</v>
      </c>
      <c r="J3172" s="64">
        <f t="shared" si="663"/>
        <v>0</v>
      </c>
      <c r="K3172" s="63">
        <f t="shared" si="664"/>
        <v>0</v>
      </c>
      <c r="L3172" s="63">
        <f t="shared" si="665"/>
        <v>0</v>
      </c>
      <c r="N3172" s="10" t="str">
        <f t="shared" si="667"/>
        <v>Columbus23</v>
      </c>
      <c r="O3172" s="10">
        <f t="shared" si="668"/>
        <v>0</v>
      </c>
      <c r="P3172" s="10">
        <f t="shared" si="669"/>
        <v>0</v>
      </c>
      <c r="Q3172" s="10">
        <f t="shared" si="670"/>
        <v>0</v>
      </c>
    </row>
    <row r="3173" spans="1:17">
      <c r="A3173" s="15">
        <f t="shared" si="666"/>
        <v>23</v>
      </c>
      <c r="B3173" s="15"/>
      <c r="C3173" s="17" t="str">
        <f>Fixture!E178</f>
        <v>Seattle Sounders FC</v>
      </c>
      <c r="D3173" s="18">
        <f>IF(E3173=0,0,IF(Fixture!D178&lt;Fixture!F178,3,IF(Fixture!F178&lt;Fixture!D178,0,1)))</f>
        <v>0</v>
      </c>
      <c r="E3173" s="18">
        <f t="shared" si="660"/>
        <v>0</v>
      </c>
      <c r="F3173" s="18">
        <f>IF(E3173=0,0,IF(Fixture!D178&lt;Fixture!F178,1,IF(Fixture!F178&lt;Fixture!D178,0,0)))</f>
        <v>0</v>
      </c>
      <c r="G3173" s="18">
        <f>IF(E3173=0,0,IF(Fixture!D178&lt;Fixture!F178,0,IF(Fixture!F178&lt;Fixture!D178,0,1)))</f>
        <v>0</v>
      </c>
      <c r="H3173" s="18">
        <f t="shared" si="661"/>
        <v>0</v>
      </c>
      <c r="I3173" s="64">
        <f t="shared" si="662"/>
        <v>0</v>
      </c>
      <c r="J3173" s="64">
        <f t="shared" si="663"/>
        <v>0</v>
      </c>
      <c r="K3173" s="63">
        <f t="shared" si="664"/>
        <v>0</v>
      </c>
      <c r="L3173" s="63">
        <f t="shared" si="665"/>
        <v>0</v>
      </c>
      <c r="N3173" s="10" t="str">
        <f t="shared" si="667"/>
        <v>Seattle Sounders FC23</v>
      </c>
      <c r="O3173" s="10">
        <f t="shared" si="668"/>
        <v>0</v>
      </c>
      <c r="P3173" s="10">
        <f t="shared" si="669"/>
        <v>0</v>
      </c>
      <c r="Q3173" s="10">
        <f t="shared" si="670"/>
        <v>0</v>
      </c>
    </row>
    <row r="3174" spans="1:17">
      <c r="A3174" s="15">
        <f t="shared" si="666"/>
        <v>22</v>
      </c>
      <c r="B3174" s="15"/>
      <c r="C3174" s="17" t="str">
        <f>Fixture!E179</f>
        <v>Toronto FC</v>
      </c>
      <c r="D3174" s="18">
        <f>IF(E3174=0,0,IF(Fixture!D179&lt;Fixture!F179,3,IF(Fixture!F179&lt;Fixture!D179,0,1)))</f>
        <v>0</v>
      </c>
      <c r="E3174" s="18">
        <f t="shared" si="660"/>
        <v>0</v>
      </c>
      <c r="F3174" s="18">
        <f>IF(E3174=0,0,IF(Fixture!D179&lt;Fixture!F179,1,IF(Fixture!F179&lt;Fixture!D179,0,0)))</f>
        <v>0</v>
      </c>
      <c r="G3174" s="18">
        <f>IF(E3174=0,0,IF(Fixture!D179&lt;Fixture!F179,0,IF(Fixture!F179&lt;Fixture!D179,0,1)))</f>
        <v>0</v>
      </c>
      <c r="H3174" s="18">
        <f t="shared" si="661"/>
        <v>0</v>
      </c>
      <c r="I3174" s="64">
        <f t="shared" si="662"/>
        <v>0</v>
      </c>
      <c r="J3174" s="64">
        <f t="shared" si="663"/>
        <v>0</v>
      </c>
      <c r="K3174" s="63">
        <f t="shared" si="664"/>
        <v>0</v>
      </c>
      <c r="L3174" s="63">
        <f t="shared" si="665"/>
        <v>0</v>
      </c>
      <c r="N3174" s="10" t="str">
        <f t="shared" si="667"/>
        <v>Toronto FC22</v>
      </c>
      <c r="O3174" s="10">
        <f t="shared" si="668"/>
        <v>0</v>
      </c>
      <c r="P3174" s="10">
        <f t="shared" si="669"/>
        <v>0</v>
      </c>
      <c r="Q3174" s="10">
        <f t="shared" si="670"/>
        <v>0</v>
      </c>
    </row>
    <row r="3175" spans="1:17">
      <c r="A3175" s="15">
        <f t="shared" si="666"/>
        <v>22</v>
      </c>
      <c r="B3175" s="15"/>
      <c r="C3175" s="17" t="str">
        <f>Fixture!E180</f>
        <v>Chivas USA</v>
      </c>
      <c r="D3175" s="18">
        <f>IF(E3175=0,0,IF(Fixture!D180&lt;Fixture!F180,3,IF(Fixture!F180&lt;Fixture!D180,0,1)))</f>
        <v>0</v>
      </c>
      <c r="E3175" s="18">
        <f t="shared" si="660"/>
        <v>0</v>
      </c>
      <c r="F3175" s="18">
        <f>IF(E3175=0,0,IF(Fixture!D180&lt;Fixture!F180,1,IF(Fixture!F180&lt;Fixture!D180,0,0)))</f>
        <v>0</v>
      </c>
      <c r="G3175" s="18">
        <f>IF(E3175=0,0,IF(Fixture!D180&lt;Fixture!F180,0,IF(Fixture!F180&lt;Fixture!D180,0,1)))</f>
        <v>0</v>
      </c>
      <c r="H3175" s="18">
        <f t="shared" si="661"/>
        <v>0</v>
      </c>
      <c r="I3175" s="64">
        <f t="shared" si="662"/>
        <v>0</v>
      </c>
      <c r="J3175" s="64">
        <f t="shared" si="663"/>
        <v>0</v>
      </c>
      <c r="K3175" s="63">
        <f t="shared" si="664"/>
        <v>0</v>
      </c>
      <c r="L3175" s="63">
        <f t="shared" si="665"/>
        <v>0</v>
      </c>
      <c r="N3175" s="10" t="str">
        <f t="shared" si="667"/>
        <v>Chivas USA22</v>
      </c>
      <c r="O3175" s="10">
        <f t="shared" si="668"/>
        <v>0</v>
      </c>
      <c r="P3175" s="10">
        <f t="shared" si="669"/>
        <v>0</v>
      </c>
      <c r="Q3175" s="10">
        <f t="shared" si="670"/>
        <v>0</v>
      </c>
    </row>
    <row r="3176" spans="1:17">
      <c r="A3176" s="15">
        <f t="shared" si="666"/>
        <v>23</v>
      </c>
      <c r="B3176" s="15"/>
      <c r="C3176" s="17" t="str">
        <f>Fixture!E181</f>
        <v>New York Red Bulls</v>
      </c>
      <c r="D3176" s="18">
        <f>IF(E3176=0,0,IF(Fixture!D181&lt;Fixture!F181,3,IF(Fixture!F181&lt;Fixture!D181,0,1)))</f>
        <v>0</v>
      </c>
      <c r="E3176" s="18">
        <f t="shared" si="660"/>
        <v>0</v>
      </c>
      <c r="F3176" s="18">
        <f>IF(E3176=0,0,IF(Fixture!D181&lt;Fixture!F181,1,IF(Fixture!F181&lt;Fixture!D181,0,0)))</f>
        <v>0</v>
      </c>
      <c r="G3176" s="18">
        <f>IF(E3176=0,0,IF(Fixture!D181&lt;Fixture!F181,0,IF(Fixture!F181&lt;Fixture!D181,0,1)))</f>
        <v>0</v>
      </c>
      <c r="H3176" s="18">
        <f t="shared" si="661"/>
        <v>0</v>
      </c>
      <c r="I3176" s="64">
        <f t="shared" si="662"/>
        <v>0</v>
      </c>
      <c r="J3176" s="64">
        <f t="shared" si="663"/>
        <v>0</v>
      </c>
      <c r="K3176" s="63">
        <f t="shared" si="664"/>
        <v>0</v>
      </c>
      <c r="L3176" s="63">
        <f t="shared" si="665"/>
        <v>0</v>
      </c>
      <c r="N3176" s="10" t="str">
        <f t="shared" si="667"/>
        <v>New York Red Bulls23</v>
      </c>
      <c r="O3176" s="10">
        <f t="shared" si="668"/>
        <v>0</v>
      </c>
      <c r="P3176" s="10">
        <f t="shared" si="669"/>
        <v>0</v>
      </c>
      <c r="Q3176" s="10">
        <f t="shared" si="670"/>
        <v>0</v>
      </c>
    </row>
    <row r="3177" spans="1:17">
      <c r="A3177" s="15">
        <f t="shared" si="666"/>
        <v>21</v>
      </c>
      <c r="B3177" s="15"/>
      <c r="C3177" s="17" t="str">
        <f>Fixture!E182</f>
        <v>San Jose</v>
      </c>
      <c r="D3177" s="18">
        <f>IF(E3177=0,0,IF(Fixture!D182&lt;Fixture!F182,3,IF(Fixture!F182&lt;Fixture!D182,0,1)))</f>
        <v>0</v>
      </c>
      <c r="E3177" s="18">
        <f t="shared" si="660"/>
        <v>0</v>
      </c>
      <c r="F3177" s="18">
        <f>IF(E3177=0,0,IF(Fixture!D182&lt;Fixture!F182,1,IF(Fixture!F182&lt;Fixture!D182,0,0)))</f>
        <v>0</v>
      </c>
      <c r="G3177" s="18">
        <f>IF(E3177=0,0,IF(Fixture!D182&lt;Fixture!F182,0,IF(Fixture!F182&lt;Fixture!D182,0,1)))</f>
        <v>0</v>
      </c>
      <c r="H3177" s="18">
        <f t="shared" si="661"/>
        <v>0</v>
      </c>
      <c r="I3177" s="64">
        <f t="shared" si="662"/>
        <v>0</v>
      </c>
      <c r="J3177" s="64">
        <f t="shared" si="663"/>
        <v>0</v>
      </c>
      <c r="K3177" s="63">
        <f t="shared" si="664"/>
        <v>0</v>
      </c>
      <c r="L3177" s="63">
        <f t="shared" si="665"/>
        <v>0</v>
      </c>
      <c r="N3177" s="10" t="str">
        <f t="shared" si="667"/>
        <v>San Jose21</v>
      </c>
      <c r="O3177" s="10">
        <f t="shared" si="668"/>
        <v>0</v>
      </c>
      <c r="P3177" s="10">
        <f t="shared" si="669"/>
        <v>0</v>
      </c>
      <c r="Q3177" s="10">
        <f t="shared" si="670"/>
        <v>0</v>
      </c>
    </row>
    <row r="3178" spans="1:17">
      <c r="A3178" s="15">
        <f t="shared" si="666"/>
        <v>23</v>
      </c>
      <c r="B3178" s="15"/>
      <c r="C3178" s="17" t="str">
        <f>Fixture!E183</f>
        <v>Toronto FC</v>
      </c>
      <c r="D3178" s="18">
        <f>IF(E3178=0,0,IF(Fixture!D183&lt;Fixture!F183,3,IF(Fixture!F183&lt;Fixture!D183,0,1)))</f>
        <v>0</v>
      </c>
      <c r="E3178" s="18">
        <f t="shared" si="660"/>
        <v>0</v>
      </c>
      <c r="F3178" s="18">
        <f>IF(E3178=0,0,IF(Fixture!D183&lt;Fixture!F183,1,IF(Fixture!F183&lt;Fixture!D183,0,0)))</f>
        <v>0</v>
      </c>
      <c r="G3178" s="18">
        <f>IF(E3178=0,0,IF(Fixture!D183&lt;Fixture!F183,0,IF(Fixture!F183&lt;Fixture!D183,0,1)))</f>
        <v>0</v>
      </c>
      <c r="H3178" s="18">
        <f t="shared" si="661"/>
        <v>0</v>
      </c>
      <c r="I3178" s="64">
        <f t="shared" si="662"/>
        <v>0</v>
      </c>
      <c r="J3178" s="64">
        <f t="shared" si="663"/>
        <v>0</v>
      </c>
      <c r="K3178" s="63">
        <f t="shared" si="664"/>
        <v>0</v>
      </c>
      <c r="L3178" s="63">
        <f t="shared" si="665"/>
        <v>0</v>
      </c>
      <c r="N3178" s="10" t="str">
        <f t="shared" si="667"/>
        <v>Toronto FC23</v>
      </c>
      <c r="O3178" s="10">
        <f t="shared" si="668"/>
        <v>0</v>
      </c>
      <c r="P3178" s="10">
        <f t="shared" si="669"/>
        <v>0</v>
      </c>
      <c r="Q3178" s="10">
        <f t="shared" si="670"/>
        <v>0</v>
      </c>
    </row>
    <row r="3179" spans="1:17">
      <c r="A3179" s="15">
        <f t="shared" si="666"/>
        <v>24</v>
      </c>
      <c r="B3179" s="15"/>
      <c r="C3179" s="17" t="str">
        <f>Fixture!E184</f>
        <v>Real Salt Lake</v>
      </c>
      <c r="D3179" s="18">
        <f>IF(E3179=0,0,IF(Fixture!D184&lt;Fixture!F184,3,IF(Fixture!F184&lt;Fixture!D184,0,1)))</f>
        <v>0</v>
      </c>
      <c r="E3179" s="18">
        <f t="shared" si="660"/>
        <v>0</v>
      </c>
      <c r="F3179" s="18">
        <f>IF(E3179=0,0,IF(Fixture!D184&lt;Fixture!F184,1,IF(Fixture!F184&lt;Fixture!D184,0,0)))</f>
        <v>0</v>
      </c>
      <c r="G3179" s="18">
        <f>IF(E3179=0,0,IF(Fixture!D184&lt;Fixture!F184,0,IF(Fixture!F184&lt;Fixture!D184,0,1)))</f>
        <v>0</v>
      </c>
      <c r="H3179" s="18">
        <f t="shared" si="661"/>
        <v>0</v>
      </c>
      <c r="I3179" s="64">
        <f t="shared" si="662"/>
        <v>0</v>
      </c>
      <c r="J3179" s="64">
        <f t="shared" si="663"/>
        <v>0</v>
      </c>
      <c r="K3179" s="63">
        <f t="shared" si="664"/>
        <v>0</v>
      </c>
      <c r="L3179" s="63">
        <f t="shared" si="665"/>
        <v>0</v>
      </c>
      <c r="N3179" s="10" t="str">
        <f t="shared" si="667"/>
        <v>Real Salt Lake24</v>
      </c>
      <c r="O3179" s="10">
        <f t="shared" si="668"/>
        <v>0</v>
      </c>
      <c r="P3179" s="10">
        <f t="shared" si="669"/>
        <v>0</v>
      </c>
      <c r="Q3179" s="10">
        <f t="shared" si="670"/>
        <v>0</v>
      </c>
    </row>
    <row r="3180" spans="1:17">
      <c r="A3180" s="15">
        <f t="shared" si="666"/>
        <v>23</v>
      </c>
      <c r="B3180" s="15"/>
      <c r="C3180" s="17" t="str">
        <f>Fixture!E185</f>
        <v>New England</v>
      </c>
      <c r="D3180" s="18">
        <f>IF(E3180=0,0,IF(Fixture!D185&lt;Fixture!F185,3,IF(Fixture!F185&lt;Fixture!D185,0,1)))</f>
        <v>0</v>
      </c>
      <c r="E3180" s="18">
        <f t="shared" si="660"/>
        <v>0</v>
      </c>
      <c r="F3180" s="18">
        <f>IF(E3180=0,0,IF(Fixture!D185&lt;Fixture!F185,1,IF(Fixture!F185&lt;Fixture!D185,0,0)))</f>
        <v>0</v>
      </c>
      <c r="G3180" s="18">
        <f>IF(E3180=0,0,IF(Fixture!D185&lt;Fixture!F185,0,IF(Fixture!F185&lt;Fixture!D185,0,1)))</f>
        <v>0</v>
      </c>
      <c r="H3180" s="18">
        <f t="shared" si="661"/>
        <v>0</v>
      </c>
      <c r="I3180" s="64">
        <f t="shared" si="662"/>
        <v>0</v>
      </c>
      <c r="J3180" s="64">
        <f t="shared" si="663"/>
        <v>0</v>
      </c>
      <c r="K3180" s="63">
        <f t="shared" si="664"/>
        <v>0</v>
      </c>
      <c r="L3180" s="63">
        <f t="shared" si="665"/>
        <v>0</v>
      </c>
      <c r="N3180" s="10" t="str">
        <f t="shared" si="667"/>
        <v>New England23</v>
      </c>
      <c r="O3180" s="10">
        <f t="shared" si="668"/>
        <v>0</v>
      </c>
      <c r="P3180" s="10">
        <f t="shared" si="669"/>
        <v>0</v>
      </c>
      <c r="Q3180" s="10">
        <f t="shared" si="670"/>
        <v>0</v>
      </c>
    </row>
    <row r="3181" spans="1:17">
      <c r="A3181" s="15">
        <f t="shared" si="666"/>
        <v>23</v>
      </c>
      <c r="B3181" s="15"/>
      <c r="C3181" s="17" t="str">
        <f>Fixture!E186</f>
        <v>Colorado</v>
      </c>
      <c r="D3181" s="18">
        <f>IF(E3181=0,0,IF(Fixture!D186&lt;Fixture!F186,3,IF(Fixture!F186&lt;Fixture!D186,0,1)))</f>
        <v>0</v>
      </c>
      <c r="E3181" s="18">
        <f t="shared" si="660"/>
        <v>0</v>
      </c>
      <c r="F3181" s="18">
        <f>IF(E3181=0,0,IF(Fixture!D186&lt;Fixture!F186,1,IF(Fixture!F186&lt;Fixture!D186,0,0)))</f>
        <v>0</v>
      </c>
      <c r="G3181" s="18">
        <f>IF(E3181=0,0,IF(Fixture!D186&lt;Fixture!F186,0,IF(Fixture!F186&lt;Fixture!D186,0,1)))</f>
        <v>0</v>
      </c>
      <c r="H3181" s="18">
        <f t="shared" si="661"/>
        <v>0</v>
      </c>
      <c r="I3181" s="64">
        <f t="shared" si="662"/>
        <v>0</v>
      </c>
      <c r="J3181" s="64">
        <f t="shared" si="663"/>
        <v>0</v>
      </c>
      <c r="K3181" s="63">
        <f t="shared" si="664"/>
        <v>0</v>
      </c>
      <c r="L3181" s="63">
        <f t="shared" si="665"/>
        <v>0</v>
      </c>
      <c r="N3181" s="10" t="str">
        <f t="shared" si="667"/>
        <v>Colorado23</v>
      </c>
      <c r="O3181" s="10">
        <f t="shared" si="668"/>
        <v>0</v>
      </c>
      <c r="P3181" s="10">
        <f t="shared" si="669"/>
        <v>0</v>
      </c>
      <c r="Q3181" s="10">
        <f t="shared" si="670"/>
        <v>0</v>
      </c>
    </row>
    <row r="3182" spans="1:17">
      <c r="A3182" s="15">
        <f t="shared" si="666"/>
        <v>24</v>
      </c>
      <c r="B3182" s="15"/>
      <c r="C3182" s="17" t="str">
        <f>Fixture!E187</f>
        <v>DC United</v>
      </c>
      <c r="D3182" s="18">
        <f>IF(E3182=0,0,IF(Fixture!D187&lt;Fixture!F187,3,IF(Fixture!F187&lt;Fixture!D187,0,1)))</f>
        <v>0</v>
      </c>
      <c r="E3182" s="18">
        <f t="shared" si="660"/>
        <v>0</v>
      </c>
      <c r="F3182" s="18">
        <f>IF(E3182=0,0,IF(Fixture!D187&lt;Fixture!F187,1,IF(Fixture!F187&lt;Fixture!D187,0,0)))</f>
        <v>0</v>
      </c>
      <c r="G3182" s="18">
        <f>IF(E3182=0,0,IF(Fixture!D187&lt;Fixture!F187,0,IF(Fixture!F187&lt;Fixture!D187,0,1)))</f>
        <v>0</v>
      </c>
      <c r="H3182" s="18">
        <f t="shared" si="661"/>
        <v>0</v>
      </c>
      <c r="I3182" s="64">
        <f t="shared" si="662"/>
        <v>0</v>
      </c>
      <c r="J3182" s="64">
        <f t="shared" si="663"/>
        <v>0</v>
      </c>
      <c r="K3182" s="63">
        <f t="shared" si="664"/>
        <v>0</v>
      </c>
      <c r="L3182" s="63">
        <f t="shared" si="665"/>
        <v>0</v>
      </c>
      <c r="N3182" s="10" t="str">
        <f t="shared" si="667"/>
        <v>DC United24</v>
      </c>
      <c r="O3182" s="10">
        <f t="shared" si="668"/>
        <v>0</v>
      </c>
      <c r="P3182" s="10">
        <f t="shared" si="669"/>
        <v>0</v>
      </c>
      <c r="Q3182" s="10">
        <f t="shared" si="670"/>
        <v>0</v>
      </c>
    </row>
    <row r="3183" spans="1:17">
      <c r="A3183" s="15">
        <f t="shared" si="666"/>
        <v>22</v>
      </c>
      <c r="B3183" s="15"/>
      <c r="C3183" s="17" t="str">
        <f>Fixture!E188</f>
        <v>Chicago</v>
      </c>
      <c r="D3183" s="18">
        <f>IF(E3183=0,0,IF(Fixture!D188&lt;Fixture!F188,3,IF(Fixture!F188&lt;Fixture!D188,0,1)))</f>
        <v>0</v>
      </c>
      <c r="E3183" s="18">
        <f t="shared" si="660"/>
        <v>0</v>
      </c>
      <c r="F3183" s="18">
        <f>IF(E3183=0,0,IF(Fixture!D188&lt;Fixture!F188,1,IF(Fixture!F188&lt;Fixture!D188,0,0)))</f>
        <v>0</v>
      </c>
      <c r="G3183" s="18">
        <f>IF(E3183=0,0,IF(Fixture!D188&lt;Fixture!F188,0,IF(Fixture!F188&lt;Fixture!D188,0,1)))</f>
        <v>0</v>
      </c>
      <c r="H3183" s="18">
        <f t="shared" si="661"/>
        <v>0</v>
      </c>
      <c r="I3183" s="64">
        <f t="shared" si="662"/>
        <v>0</v>
      </c>
      <c r="J3183" s="64">
        <f t="shared" si="663"/>
        <v>0</v>
      </c>
      <c r="K3183" s="63">
        <f t="shared" si="664"/>
        <v>0</v>
      </c>
      <c r="L3183" s="63">
        <f t="shared" si="665"/>
        <v>0</v>
      </c>
      <c r="N3183" s="10" t="str">
        <f t="shared" si="667"/>
        <v>Chicago22</v>
      </c>
      <c r="O3183" s="10">
        <f t="shared" si="668"/>
        <v>0</v>
      </c>
      <c r="P3183" s="10">
        <f t="shared" si="669"/>
        <v>0</v>
      </c>
      <c r="Q3183" s="10">
        <f t="shared" si="670"/>
        <v>0</v>
      </c>
    </row>
    <row r="3184" spans="1:17">
      <c r="A3184" s="15">
        <f t="shared" si="666"/>
        <v>24</v>
      </c>
      <c r="B3184" s="15"/>
      <c r="C3184" s="17" t="str">
        <f>Fixture!E189</f>
        <v>Houston</v>
      </c>
      <c r="D3184" s="18">
        <f>IF(E3184=0,0,IF(Fixture!D189&lt;Fixture!F189,3,IF(Fixture!F189&lt;Fixture!D189,0,1)))</f>
        <v>0</v>
      </c>
      <c r="E3184" s="18">
        <f t="shared" si="660"/>
        <v>0</v>
      </c>
      <c r="F3184" s="18">
        <f>IF(E3184=0,0,IF(Fixture!D189&lt;Fixture!F189,1,IF(Fixture!F189&lt;Fixture!D189,0,0)))</f>
        <v>0</v>
      </c>
      <c r="G3184" s="18">
        <f>IF(E3184=0,0,IF(Fixture!D189&lt;Fixture!F189,0,IF(Fixture!F189&lt;Fixture!D189,0,1)))</f>
        <v>0</v>
      </c>
      <c r="H3184" s="18">
        <f t="shared" si="661"/>
        <v>0</v>
      </c>
      <c r="I3184" s="64">
        <f t="shared" si="662"/>
        <v>0</v>
      </c>
      <c r="J3184" s="64">
        <f t="shared" si="663"/>
        <v>0</v>
      </c>
      <c r="K3184" s="63">
        <f t="shared" si="664"/>
        <v>0</v>
      </c>
      <c r="L3184" s="63">
        <f t="shared" si="665"/>
        <v>0</v>
      </c>
      <c r="N3184" s="10" t="str">
        <f t="shared" si="667"/>
        <v>Houston24</v>
      </c>
      <c r="O3184" s="10">
        <f t="shared" si="668"/>
        <v>0</v>
      </c>
      <c r="P3184" s="10">
        <f t="shared" si="669"/>
        <v>0</v>
      </c>
      <c r="Q3184" s="10">
        <f t="shared" si="670"/>
        <v>0</v>
      </c>
    </row>
    <row r="3185" spans="1:17">
      <c r="A3185" s="15">
        <f t="shared" si="666"/>
        <v>23</v>
      </c>
      <c r="B3185" s="15"/>
      <c r="C3185" s="17" t="str">
        <f>Fixture!E190</f>
        <v>Dallas</v>
      </c>
      <c r="D3185" s="18">
        <f>IF(E3185=0,0,IF(Fixture!D190&lt;Fixture!F190,3,IF(Fixture!F190&lt;Fixture!D190,0,1)))</f>
        <v>0</v>
      </c>
      <c r="E3185" s="18">
        <f t="shared" si="660"/>
        <v>0</v>
      </c>
      <c r="F3185" s="18">
        <f>IF(E3185=0,0,IF(Fixture!D190&lt;Fixture!F190,1,IF(Fixture!F190&lt;Fixture!D190,0,0)))</f>
        <v>0</v>
      </c>
      <c r="G3185" s="18">
        <f>IF(E3185=0,0,IF(Fixture!D190&lt;Fixture!F190,0,IF(Fixture!F190&lt;Fixture!D190,0,1)))</f>
        <v>0</v>
      </c>
      <c r="H3185" s="18">
        <f t="shared" si="661"/>
        <v>0</v>
      </c>
      <c r="I3185" s="64">
        <f t="shared" si="662"/>
        <v>0</v>
      </c>
      <c r="J3185" s="64">
        <f t="shared" si="663"/>
        <v>0</v>
      </c>
      <c r="K3185" s="63">
        <f t="shared" si="664"/>
        <v>0</v>
      </c>
      <c r="L3185" s="63">
        <f t="shared" si="665"/>
        <v>0</v>
      </c>
      <c r="N3185" s="10" t="str">
        <f t="shared" si="667"/>
        <v>Dallas23</v>
      </c>
      <c r="O3185" s="10">
        <f t="shared" si="668"/>
        <v>0</v>
      </c>
      <c r="P3185" s="10">
        <f t="shared" si="669"/>
        <v>0</v>
      </c>
      <c r="Q3185" s="10">
        <f t="shared" si="670"/>
        <v>0</v>
      </c>
    </row>
    <row r="3186" spans="1:17">
      <c r="A3186" s="15">
        <f t="shared" si="666"/>
        <v>24</v>
      </c>
      <c r="B3186" s="15"/>
      <c r="C3186" s="17" t="str">
        <f>Fixture!E191</f>
        <v>Columbus</v>
      </c>
      <c r="D3186" s="18">
        <f>IF(E3186=0,0,IF(Fixture!D191&lt;Fixture!F191,3,IF(Fixture!F191&lt;Fixture!D191,0,1)))</f>
        <v>0</v>
      </c>
      <c r="E3186" s="18">
        <f t="shared" si="660"/>
        <v>0</v>
      </c>
      <c r="F3186" s="18">
        <f>IF(E3186=0,0,IF(Fixture!D191&lt;Fixture!F191,1,IF(Fixture!F191&lt;Fixture!D191,0,0)))</f>
        <v>0</v>
      </c>
      <c r="G3186" s="18">
        <f>IF(E3186=0,0,IF(Fixture!D191&lt;Fixture!F191,0,IF(Fixture!F191&lt;Fixture!D191,0,1)))</f>
        <v>0</v>
      </c>
      <c r="H3186" s="18">
        <f t="shared" si="661"/>
        <v>0</v>
      </c>
      <c r="I3186" s="64">
        <f t="shared" si="662"/>
        <v>0</v>
      </c>
      <c r="J3186" s="64">
        <f t="shared" si="663"/>
        <v>0</v>
      </c>
      <c r="K3186" s="63">
        <f t="shared" si="664"/>
        <v>0</v>
      </c>
      <c r="L3186" s="63">
        <f t="shared" si="665"/>
        <v>0</v>
      </c>
      <c r="N3186" s="10" t="str">
        <f t="shared" si="667"/>
        <v>Columbus24</v>
      </c>
      <c r="O3186" s="10">
        <f t="shared" si="668"/>
        <v>0</v>
      </c>
      <c r="P3186" s="10">
        <f t="shared" si="669"/>
        <v>0</v>
      </c>
      <c r="Q3186" s="10">
        <f t="shared" si="670"/>
        <v>0</v>
      </c>
    </row>
    <row r="3187" spans="1:17">
      <c r="A3187" s="15">
        <f t="shared" si="666"/>
        <v>24</v>
      </c>
      <c r="B3187" s="15"/>
      <c r="C3187" s="17" t="str">
        <f>Fixture!E192</f>
        <v>Philadelphia Union</v>
      </c>
      <c r="D3187" s="18">
        <f>IF(E3187=0,0,IF(Fixture!D192&lt;Fixture!F192,3,IF(Fixture!F192&lt;Fixture!D192,0,1)))</f>
        <v>0</v>
      </c>
      <c r="E3187" s="18">
        <f t="shared" si="660"/>
        <v>0</v>
      </c>
      <c r="F3187" s="18">
        <f>IF(E3187=0,0,IF(Fixture!D192&lt;Fixture!F192,1,IF(Fixture!F192&lt;Fixture!D192,0,0)))</f>
        <v>0</v>
      </c>
      <c r="G3187" s="18">
        <f>IF(E3187=0,0,IF(Fixture!D192&lt;Fixture!F192,0,IF(Fixture!F192&lt;Fixture!D192,0,1)))</f>
        <v>0</v>
      </c>
      <c r="H3187" s="18">
        <f t="shared" si="661"/>
        <v>0</v>
      </c>
      <c r="I3187" s="64">
        <f t="shared" si="662"/>
        <v>0</v>
      </c>
      <c r="J3187" s="64">
        <f t="shared" si="663"/>
        <v>0</v>
      </c>
      <c r="K3187" s="63">
        <f t="shared" si="664"/>
        <v>0</v>
      </c>
      <c r="L3187" s="63">
        <f t="shared" si="665"/>
        <v>0</v>
      </c>
      <c r="N3187" s="10" t="str">
        <f t="shared" si="667"/>
        <v>Philadelphia Union24</v>
      </c>
      <c r="O3187" s="10">
        <f t="shared" si="668"/>
        <v>0</v>
      </c>
      <c r="P3187" s="10">
        <f t="shared" si="669"/>
        <v>0</v>
      </c>
      <c r="Q3187" s="10">
        <f t="shared" si="670"/>
        <v>0</v>
      </c>
    </row>
    <row r="3188" spans="1:17">
      <c r="A3188" s="15">
        <f t="shared" si="666"/>
        <v>23</v>
      </c>
      <c r="B3188" s="15"/>
      <c r="C3188" s="17" t="str">
        <f>Fixture!E193</f>
        <v>Chicago</v>
      </c>
      <c r="D3188" s="18">
        <f>IF(E3188=0,0,IF(Fixture!D193&lt;Fixture!F193,3,IF(Fixture!F193&lt;Fixture!D193,0,1)))</f>
        <v>0</v>
      </c>
      <c r="E3188" s="18">
        <f t="shared" si="660"/>
        <v>0</v>
      </c>
      <c r="F3188" s="18">
        <f>IF(E3188=0,0,IF(Fixture!D193&lt;Fixture!F193,1,IF(Fixture!F193&lt;Fixture!D193,0,0)))</f>
        <v>0</v>
      </c>
      <c r="G3188" s="18">
        <f>IF(E3188=0,0,IF(Fixture!D193&lt;Fixture!F193,0,IF(Fixture!F193&lt;Fixture!D193,0,1)))</f>
        <v>0</v>
      </c>
      <c r="H3188" s="18">
        <f t="shared" si="661"/>
        <v>0</v>
      </c>
      <c r="I3188" s="64">
        <f t="shared" si="662"/>
        <v>0</v>
      </c>
      <c r="J3188" s="64">
        <f t="shared" si="663"/>
        <v>0</v>
      </c>
      <c r="K3188" s="63">
        <f t="shared" si="664"/>
        <v>0</v>
      </c>
      <c r="L3188" s="63">
        <f t="shared" si="665"/>
        <v>0</v>
      </c>
      <c r="N3188" s="10" t="str">
        <f t="shared" si="667"/>
        <v>Chicago23</v>
      </c>
      <c r="O3188" s="10">
        <f t="shared" si="668"/>
        <v>0</v>
      </c>
      <c r="P3188" s="10">
        <f t="shared" si="669"/>
        <v>0</v>
      </c>
      <c r="Q3188" s="10">
        <f t="shared" si="670"/>
        <v>0</v>
      </c>
    </row>
    <row r="3189" spans="1:17">
      <c r="A3189" s="15">
        <f t="shared" si="666"/>
        <v>25</v>
      </c>
      <c r="B3189" s="15"/>
      <c r="C3189" s="17" t="str">
        <f>Fixture!E194</f>
        <v>Seattle Sounders FC</v>
      </c>
      <c r="D3189" s="18">
        <f>IF(E3189=0,0,IF(Fixture!D194&lt;Fixture!F194,3,IF(Fixture!F194&lt;Fixture!D194,0,1)))</f>
        <v>0</v>
      </c>
      <c r="E3189" s="18">
        <f t="shared" si="660"/>
        <v>0</v>
      </c>
      <c r="F3189" s="18">
        <f>IF(E3189=0,0,IF(Fixture!D194&lt;Fixture!F194,1,IF(Fixture!F194&lt;Fixture!D194,0,0)))</f>
        <v>0</v>
      </c>
      <c r="G3189" s="18">
        <f>IF(E3189=0,0,IF(Fixture!D194&lt;Fixture!F194,0,IF(Fixture!F194&lt;Fixture!D194,0,1)))</f>
        <v>0</v>
      </c>
      <c r="H3189" s="18">
        <f t="shared" si="661"/>
        <v>0</v>
      </c>
      <c r="I3189" s="64">
        <f t="shared" si="662"/>
        <v>0</v>
      </c>
      <c r="J3189" s="64">
        <f t="shared" si="663"/>
        <v>0</v>
      </c>
      <c r="K3189" s="63">
        <f t="shared" si="664"/>
        <v>0</v>
      </c>
      <c r="L3189" s="63">
        <f t="shared" si="665"/>
        <v>0</v>
      </c>
      <c r="N3189" s="10" t="str">
        <f t="shared" si="667"/>
        <v>Seattle Sounders FC25</v>
      </c>
      <c r="O3189" s="10">
        <f t="shared" si="668"/>
        <v>0</v>
      </c>
      <c r="P3189" s="10">
        <f t="shared" si="669"/>
        <v>0</v>
      </c>
      <c r="Q3189" s="10">
        <f t="shared" si="670"/>
        <v>0</v>
      </c>
    </row>
    <row r="3190" spans="1:17">
      <c r="A3190" s="15">
        <f t="shared" si="666"/>
        <v>25</v>
      </c>
      <c r="B3190" s="15"/>
      <c r="C3190" s="17" t="str">
        <f>Fixture!E195</f>
        <v>New York Red Bulls</v>
      </c>
      <c r="D3190" s="18">
        <f>IF(E3190=0,0,IF(Fixture!D195&lt;Fixture!F195,3,IF(Fixture!F195&lt;Fixture!D195,0,1)))</f>
        <v>0</v>
      </c>
      <c r="E3190" s="18">
        <f t="shared" si="660"/>
        <v>0</v>
      </c>
      <c r="F3190" s="18">
        <f>IF(E3190=0,0,IF(Fixture!D195&lt;Fixture!F195,1,IF(Fixture!F195&lt;Fixture!D195,0,0)))</f>
        <v>0</v>
      </c>
      <c r="G3190" s="18">
        <f>IF(E3190=0,0,IF(Fixture!D195&lt;Fixture!F195,0,IF(Fixture!F195&lt;Fixture!D195,0,1)))</f>
        <v>0</v>
      </c>
      <c r="H3190" s="18">
        <f t="shared" si="661"/>
        <v>0</v>
      </c>
      <c r="I3190" s="64">
        <f t="shared" si="662"/>
        <v>0</v>
      </c>
      <c r="J3190" s="64">
        <f t="shared" si="663"/>
        <v>0</v>
      </c>
      <c r="K3190" s="63">
        <f t="shared" si="664"/>
        <v>0</v>
      </c>
      <c r="L3190" s="63">
        <f t="shared" si="665"/>
        <v>0</v>
      </c>
      <c r="N3190" s="10" t="str">
        <f t="shared" si="667"/>
        <v>New York Red Bulls25</v>
      </c>
      <c r="O3190" s="10">
        <f t="shared" si="668"/>
        <v>0</v>
      </c>
      <c r="P3190" s="10">
        <f t="shared" si="669"/>
        <v>0</v>
      </c>
      <c r="Q3190" s="10">
        <f t="shared" si="670"/>
        <v>0</v>
      </c>
    </row>
    <row r="3191" spans="1:17">
      <c r="A3191" s="15">
        <f t="shared" si="666"/>
        <v>25</v>
      </c>
      <c r="B3191" s="15"/>
      <c r="C3191" s="17" t="str">
        <f>Fixture!E196</f>
        <v>Toronto FC</v>
      </c>
      <c r="D3191" s="18">
        <f>IF(E3191=0,0,IF(Fixture!D196&lt;Fixture!F196,3,IF(Fixture!F196&lt;Fixture!D196,0,1)))</f>
        <v>0</v>
      </c>
      <c r="E3191" s="18">
        <f t="shared" si="660"/>
        <v>0</v>
      </c>
      <c r="F3191" s="18">
        <f>IF(E3191=0,0,IF(Fixture!D196&lt;Fixture!F196,1,IF(Fixture!F196&lt;Fixture!D196,0,0)))</f>
        <v>0</v>
      </c>
      <c r="G3191" s="18">
        <f>IF(E3191=0,0,IF(Fixture!D196&lt;Fixture!F196,0,IF(Fixture!F196&lt;Fixture!D196,0,1)))</f>
        <v>0</v>
      </c>
      <c r="H3191" s="18">
        <f t="shared" si="661"/>
        <v>0</v>
      </c>
      <c r="I3191" s="64">
        <f t="shared" si="662"/>
        <v>0</v>
      </c>
      <c r="J3191" s="64">
        <f t="shared" si="663"/>
        <v>0</v>
      </c>
      <c r="K3191" s="63">
        <f t="shared" si="664"/>
        <v>0</v>
      </c>
      <c r="L3191" s="63">
        <f t="shared" si="665"/>
        <v>0</v>
      </c>
      <c r="N3191" s="10" t="str">
        <f t="shared" si="667"/>
        <v>Toronto FC25</v>
      </c>
      <c r="O3191" s="10">
        <f t="shared" si="668"/>
        <v>0</v>
      </c>
      <c r="P3191" s="10">
        <f t="shared" si="669"/>
        <v>0</v>
      </c>
      <c r="Q3191" s="10">
        <f t="shared" si="670"/>
        <v>0</v>
      </c>
    </row>
    <row r="3192" spans="1:17">
      <c r="A3192" s="15">
        <f t="shared" si="666"/>
        <v>24</v>
      </c>
      <c r="B3192" s="15"/>
      <c r="C3192" s="17" t="str">
        <f>Fixture!E197</f>
        <v>New England</v>
      </c>
      <c r="D3192" s="18">
        <f>IF(E3192=0,0,IF(Fixture!D197&lt;Fixture!F197,3,IF(Fixture!F197&lt;Fixture!D197,0,1)))</f>
        <v>0</v>
      </c>
      <c r="E3192" s="18">
        <f t="shared" ref="E3192:E3255" si="671">E2193</f>
        <v>0</v>
      </c>
      <c r="F3192" s="18">
        <f>IF(E3192=0,0,IF(Fixture!D197&lt;Fixture!F197,1,IF(Fixture!F197&lt;Fixture!D197,0,0)))</f>
        <v>0</v>
      </c>
      <c r="G3192" s="18">
        <f>IF(E3192=0,0,IF(Fixture!D197&lt;Fixture!F197,0,IF(Fixture!F197&lt;Fixture!D197,0,1)))</f>
        <v>0</v>
      </c>
      <c r="H3192" s="18">
        <f t="shared" ref="H3192:H3255" si="672">IF(E3192=0,0,IF(D3192&lt;&gt;0,0,1))</f>
        <v>0</v>
      </c>
      <c r="I3192" s="64">
        <f t="shared" ref="I3192:I3255" si="673">J2193</f>
        <v>0</v>
      </c>
      <c r="J3192" s="64">
        <f t="shared" ref="J3192:J3255" si="674">I2193</f>
        <v>0</v>
      </c>
      <c r="K3192" s="63">
        <f t="shared" ref="K3192:K3255" si="675">IF(E3192=0,0,IF(I3192&gt;0,0,1))</f>
        <v>0</v>
      </c>
      <c r="L3192" s="63">
        <f t="shared" ref="L3192:L3255" si="676">IF(E3192=0,0,IF(J3192&gt;0,0,1))</f>
        <v>0</v>
      </c>
      <c r="N3192" s="10" t="str">
        <f t="shared" si="667"/>
        <v>New England24</v>
      </c>
      <c r="O3192" s="10">
        <f t="shared" si="668"/>
        <v>0</v>
      </c>
      <c r="P3192" s="10">
        <f t="shared" si="669"/>
        <v>0</v>
      </c>
      <c r="Q3192" s="10">
        <f t="shared" si="670"/>
        <v>0</v>
      </c>
    </row>
    <row r="3193" spans="1:17">
      <c r="A3193" s="15">
        <f t="shared" ref="A3193:A3256" si="677">B237</f>
        <v>25</v>
      </c>
      <c r="B3193" s="15"/>
      <c r="C3193" s="17" t="str">
        <f>Fixture!E198</f>
        <v>DC United</v>
      </c>
      <c r="D3193" s="18">
        <f>IF(E3193=0,0,IF(Fixture!D198&lt;Fixture!F198,3,IF(Fixture!F198&lt;Fixture!D198,0,1)))</f>
        <v>0</v>
      </c>
      <c r="E3193" s="18">
        <f t="shared" si="671"/>
        <v>0</v>
      </c>
      <c r="F3193" s="18">
        <f>IF(E3193=0,0,IF(Fixture!D198&lt;Fixture!F198,1,IF(Fixture!F198&lt;Fixture!D198,0,0)))</f>
        <v>0</v>
      </c>
      <c r="G3193" s="18">
        <f>IF(E3193=0,0,IF(Fixture!D198&lt;Fixture!F198,0,IF(Fixture!F198&lt;Fixture!D198,0,1)))</f>
        <v>0</v>
      </c>
      <c r="H3193" s="18">
        <f t="shared" si="672"/>
        <v>0</v>
      </c>
      <c r="I3193" s="64">
        <f t="shared" si="673"/>
        <v>0</v>
      </c>
      <c r="J3193" s="64">
        <f t="shared" si="674"/>
        <v>0</v>
      </c>
      <c r="K3193" s="63">
        <f t="shared" si="675"/>
        <v>0</v>
      </c>
      <c r="L3193" s="63">
        <f t="shared" si="676"/>
        <v>0</v>
      </c>
      <c r="N3193" s="10" t="str">
        <f t="shared" si="667"/>
        <v>DC United25</v>
      </c>
      <c r="O3193" s="10">
        <f t="shared" si="668"/>
        <v>0</v>
      </c>
      <c r="P3193" s="10">
        <f t="shared" si="669"/>
        <v>0</v>
      </c>
      <c r="Q3193" s="10">
        <f t="shared" si="670"/>
        <v>0</v>
      </c>
    </row>
    <row r="3194" spans="1:17">
      <c r="A3194" s="15">
        <f t="shared" si="677"/>
        <v>24</v>
      </c>
      <c r="B3194" s="15"/>
      <c r="C3194" s="17" t="str">
        <f>Fixture!E199</f>
        <v>Kansas City</v>
      </c>
      <c r="D3194" s="18">
        <f>IF(E3194=0,0,IF(Fixture!D199&lt;Fixture!F199,3,IF(Fixture!F199&lt;Fixture!D199,0,1)))</f>
        <v>0</v>
      </c>
      <c r="E3194" s="18">
        <f t="shared" si="671"/>
        <v>0</v>
      </c>
      <c r="F3194" s="18">
        <f>IF(E3194=0,0,IF(Fixture!D199&lt;Fixture!F199,1,IF(Fixture!F199&lt;Fixture!D199,0,0)))</f>
        <v>0</v>
      </c>
      <c r="G3194" s="18">
        <f>IF(E3194=0,0,IF(Fixture!D199&lt;Fixture!F199,0,IF(Fixture!F199&lt;Fixture!D199,0,1)))</f>
        <v>0</v>
      </c>
      <c r="H3194" s="18">
        <f t="shared" si="672"/>
        <v>0</v>
      </c>
      <c r="I3194" s="64">
        <f t="shared" si="673"/>
        <v>0</v>
      </c>
      <c r="J3194" s="64">
        <f t="shared" si="674"/>
        <v>0</v>
      </c>
      <c r="K3194" s="63">
        <f t="shared" si="675"/>
        <v>0</v>
      </c>
      <c r="L3194" s="63">
        <f t="shared" si="676"/>
        <v>0</v>
      </c>
      <c r="N3194" s="10" t="str">
        <f t="shared" si="667"/>
        <v>Kansas City24</v>
      </c>
      <c r="O3194" s="10">
        <f t="shared" si="668"/>
        <v>0</v>
      </c>
      <c r="P3194" s="10">
        <f t="shared" si="669"/>
        <v>0</v>
      </c>
      <c r="Q3194" s="10">
        <f t="shared" si="670"/>
        <v>0</v>
      </c>
    </row>
    <row r="3195" spans="1:17">
      <c r="A3195" s="15">
        <f t="shared" si="677"/>
        <v>25</v>
      </c>
      <c r="B3195" s="15"/>
      <c r="C3195" s="17" t="str">
        <f>Fixture!E200</f>
        <v>New England</v>
      </c>
      <c r="D3195" s="18">
        <f>IF(E3195=0,0,IF(Fixture!D200&lt;Fixture!F200,3,IF(Fixture!F200&lt;Fixture!D200,0,1)))</f>
        <v>0</v>
      </c>
      <c r="E3195" s="18">
        <f t="shared" si="671"/>
        <v>0</v>
      </c>
      <c r="F3195" s="18">
        <f>IF(E3195=0,0,IF(Fixture!D200&lt;Fixture!F200,1,IF(Fixture!F200&lt;Fixture!D200,0,0)))</f>
        <v>0</v>
      </c>
      <c r="G3195" s="18">
        <f>IF(E3195=0,0,IF(Fixture!D200&lt;Fixture!F200,0,IF(Fixture!F200&lt;Fixture!D200,0,1)))</f>
        <v>0</v>
      </c>
      <c r="H3195" s="18">
        <f t="shared" si="672"/>
        <v>0</v>
      </c>
      <c r="I3195" s="64">
        <f t="shared" si="673"/>
        <v>0</v>
      </c>
      <c r="J3195" s="64">
        <f t="shared" si="674"/>
        <v>0</v>
      </c>
      <c r="K3195" s="63">
        <f t="shared" si="675"/>
        <v>0</v>
      </c>
      <c r="L3195" s="63">
        <f t="shared" si="676"/>
        <v>0</v>
      </c>
      <c r="N3195" s="10" t="str">
        <f t="shared" si="667"/>
        <v>New England25</v>
      </c>
      <c r="O3195" s="10">
        <f t="shared" si="668"/>
        <v>0</v>
      </c>
      <c r="P3195" s="10">
        <f t="shared" si="669"/>
        <v>0</v>
      </c>
      <c r="Q3195" s="10">
        <f t="shared" si="670"/>
        <v>0</v>
      </c>
    </row>
    <row r="3196" spans="1:17">
      <c r="A3196" s="15">
        <f t="shared" si="677"/>
        <v>26</v>
      </c>
      <c r="B3196" s="15"/>
      <c r="C3196" s="17" t="str">
        <f>Fixture!E201</f>
        <v>New York Red Bulls</v>
      </c>
      <c r="D3196" s="18">
        <f>IF(E3196=0,0,IF(Fixture!D201&lt;Fixture!F201,3,IF(Fixture!F201&lt;Fixture!D201,0,1)))</f>
        <v>0</v>
      </c>
      <c r="E3196" s="18">
        <f t="shared" si="671"/>
        <v>0</v>
      </c>
      <c r="F3196" s="18">
        <f>IF(E3196=0,0,IF(Fixture!D201&lt;Fixture!F201,1,IF(Fixture!F201&lt;Fixture!D201,0,0)))</f>
        <v>0</v>
      </c>
      <c r="G3196" s="18">
        <f>IF(E3196=0,0,IF(Fixture!D201&lt;Fixture!F201,0,IF(Fixture!F201&lt;Fixture!D201,0,1)))</f>
        <v>0</v>
      </c>
      <c r="H3196" s="18">
        <f t="shared" si="672"/>
        <v>0</v>
      </c>
      <c r="I3196" s="64">
        <f t="shared" si="673"/>
        <v>0</v>
      </c>
      <c r="J3196" s="64">
        <f t="shared" si="674"/>
        <v>0</v>
      </c>
      <c r="K3196" s="63">
        <f t="shared" si="675"/>
        <v>0</v>
      </c>
      <c r="L3196" s="63">
        <f t="shared" si="676"/>
        <v>0</v>
      </c>
      <c r="N3196" s="10" t="str">
        <f t="shared" si="667"/>
        <v>New York Red Bulls26</v>
      </c>
      <c r="O3196" s="10">
        <f t="shared" si="668"/>
        <v>0</v>
      </c>
      <c r="P3196" s="10">
        <f t="shared" si="669"/>
        <v>0</v>
      </c>
      <c r="Q3196" s="10">
        <f t="shared" si="670"/>
        <v>0</v>
      </c>
    </row>
    <row r="3197" spans="1:17">
      <c r="A3197" s="15">
        <f t="shared" si="677"/>
        <v>25</v>
      </c>
      <c r="B3197" s="15"/>
      <c r="C3197" s="17" t="str">
        <f>Fixture!E202</f>
        <v>Chivas USA</v>
      </c>
      <c r="D3197" s="18">
        <f>IF(E3197=0,0,IF(Fixture!D202&lt;Fixture!F202,3,IF(Fixture!F202&lt;Fixture!D202,0,1)))</f>
        <v>0</v>
      </c>
      <c r="E3197" s="18">
        <f t="shared" si="671"/>
        <v>0</v>
      </c>
      <c r="F3197" s="18">
        <f>IF(E3197=0,0,IF(Fixture!D202&lt;Fixture!F202,1,IF(Fixture!F202&lt;Fixture!D202,0,0)))</f>
        <v>0</v>
      </c>
      <c r="G3197" s="18">
        <f>IF(E3197=0,0,IF(Fixture!D202&lt;Fixture!F202,0,IF(Fixture!F202&lt;Fixture!D202,0,1)))</f>
        <v>0</v>
      </c>
      <c r="H3197" s="18">
        <f t="shared" si="672"/>
        <v>0</v>
      </c>
      <c r="I3197" s="64">
        <f t="shared" si="673"/>
        <v>0</v>
      </c>
      <c r="J3197" s="64">
        <f t="shared" si="674"/>
        <v>0</v>
      </c>
      <c r="K3197" s="63">
        <f t="shared" si="675"/>
        <v>0</v>
      </c>
      <c r="L3197" s="63">
        <f t="shared" si="676"/>
        <v>0</v>
      </c>
      <c r="N3197" s="10" t="str">
        <f t="shared" si="667"/>
        <v>Chivas USA25</v>
      </c>
      <c r="O3197" s="10">
        <f t="shared" si="668"/>
        <v>0</v>
      </c>
      <c r="P3197" s="10">
        <f t="shared" si="669"/>
        <v>0</v>
      </c>
      <c r="Q3197" s="10">
        <f t="shared" si="670"/>
        <v>0</v>
      </c>
    </row>
    <row r="3198" spans="1:17">
      <c r="A3198" s="15">
        <f t="shared" si="677"/>
        <v>24</v>
      </c>
      <c r="B3198" s="15"/>
      <c r="C3198" s="17" t="str">
        <f>Fixture!E203</f>
        <v>San Jose</v>
      </c>
      <c r="D3198" s="18">
        <f>IF(E3198=0,0,IF(Fixture!D203&lt;Fixture!F203,3,IF(Fixture!F203&lt;Fixture!D203,0,1)))</f>
        <v>0</v>
      </c>
      <c r="E3198" s="18">
        <f t="shared" si="671"/>
        <v>0</v>
      </c>
      <c r="F3198" s="18">
        <f>IF(E3198=0,0,IF(Fixture!D203&lt;Fixture!F203,1,IF(Fixture!F203&lt;Fixture!D203,0,0)))</f>
        <v>0</v>
      </c>
      <c r="G3198" s="18">
        <f>IF(E3198=0,0,IF(Fixture!D203&lt;Fixture!F203,0,IF(Fixture!F203&lt;Fixture!D203,0,1)))</f>
        <v>0</v>
      </c>
      <c r="H3198" s="18">
        <f t="shared" si="672"/>
        <v>0</v>
      </c>
      <c r="I3198" s="64">
        <f t="shared" si="673"/>
        <v>0</v>
      </c>
      <c r="J3198" s="64">
        <f t="shared" si="674"/>
        <v>0</v>
      </c>
      <c r="K3198" s="63">
        <f t="shared" si="675"/>
        <v>0</v>
      </c>
      <c r="L3198" s="63">
        <f t="shared" si="676"/>
        <v>0</v>
      </c>
      <c r="N3198" s="10" t="str">
        <f t="shared" si="667"/>
        <v>San Jose24</v>
      </c>
      <c r="O3198" s="10">
        <f t="shared" si="668"/>
        <v>0</v>
      </c>
      <c r="P3198" s="10">
        <f t="shared" si="669"/>
        <v>0</v>
      </c>
      <c r="Q3198" s="10">
        <f t="shared" si="670"/>
        <v>0</v>
      </c>
    </row>
    <row r="3199" spans="1:17">
      <c r="A3199" s="15">
        <f t="shared" si="677"/>
        <v>26</v>
      </c>
      <c r="B3199" s="15"/>
      <c r="C3199" s="17" t="str">
        <f>Fixture!E204</f>
        <v>Houston</v>
      </c>
      <c r="D3199" s="18">
        <f>IF(E3199=0,0,IF(Fixture!D204&lt;Fixture!F204,3,IF(Fixture!F204&lt;Fixture!D204,0,1)))</f>
        <v>0</v>
      </c>
      <c r="E3199" s="18">
        <f t="shared" si="671"/>
        <v>0</v>
      </c>
      <c r="F3199" s="18">
        <f>IF(E3199=0,0,IF(Fixture!D204&lt;Fixture!F204,1,IF(Fixture!F204&lt;Fixture!D204,0,0)))</f>
        <v>0</v>
      </c>
      <c r="G3199" s="18">
        <f>IF(E3199=0,0,IF(Fixture!D204&lt;Fixture!F204,0,IF(Fixture!F204&lt;Fixture!D204,0,1)))</f>
        <v>0</v>
      </c>
      <c r="H3199" s="18">
        <f t="shared" si="672"/>
        <v>0</v>
      </c>
      <c r="I3199" s="64">
        <f t="shared" si="673"/>
        <v>0</v>
      </c>
      <c r="J3199" s="64">
        <f t="shared" si="674"/>
        <v>0</v>
      </c>
      <c r="K3199" s="63">
        <f t="shared" si="675"/>
        <v>0</v>
      </c>
      <c r="L3199" s="63">
        <f t="shared" si="676"/>
        <v>0</v>
      </c>
      <c r="N3199" s="10" t="str">
        <f t="shared" si="667"/>
        <v>Houston26</v>
      </c>
      <c r="O3199" s="10">
        <f t="shared" si="668"/>
        <v>0</v>
      </c>
      <c r="P3199" s="10">
        <f t="shared" si="669"/>
        <v>0</v>
      </c>
      <c r="Q3199" s="10">
        <f t="shared" si="670"/>
        <v>0</v>
      </c>
    </row>
    <row r="3200" spans="1:17">
      <c r="A3200" s="15">
        <f t="shared" si="677"/>
        <v>26</v>
      </c>
      <c r="B3200" s="15"/>
      <c r="C3200" s="17" t="str">
        <f>Fixture!E205</f>
        <v>Columbus</v>
      </c>
      <c r="D3200" s="18">
        <f>IF(E3200=0,0,IF(Fixture!D205&lt;Fixture!F205,3,IF(Fixture!F205&lt;Fixture!D205,0,1)))</f>
        <v>0</v>
      </c>
      <c r="E3200" s="18">
        <f t="shared" si="671"/>
        <v>0</v>
      </c>
      <c r="F3200" s="18">
        <f>IF(E3200=0,0,IF(Fixture!D205&lt;Fixture!F205,1,IF(Fixture!F205&lt;Fixture!D205,0,0)))</f>
        <v>0</v>
      </c>
      <c r="G3200" s="18">
        <f>IF(E3200=0,0,IF(Fixture!D205&lt;Fixture!F205,0,IF(Fixture!F205&lt;Fixture!D205,0,1)))</f>
        <v>0</v>
      </c>
      <c r="H3200" s="18">
        <f t="shared" si="672"/>
        <v>0</v>
      </c>
      <c r="I3200" s="64">
        <f t="shared" si="673"/>
        <v>0</v>
      </c>
      <c r="J3200" s="64">
        <f t="shared" si="674"/>
        <v>0</v>
      </c>
      <c r="K3200" s="63">
        <f t="shared" si="675"/>
        <v>0</v>
      </c>
      <c r="L3200" s="63">
        <f t="shared" si="676"/>
        <v>0</v>
      </c>
      <c r="N3200" s="10" t="str">
        <f t="shared" si="667"/>
        <v>Columbus26</v>
      </c>
      <c r="O3200" s="10">
        <f t="shared" si="668"/>
        <v>0</v>
      </c>
      <c r="P3200" s="10">
        <f t="shared" si="669"/>
        <v>0</v>
      </c>
      <c r="Q3200" s="10">
        <f t="shared" si="670"/>
        <v>0</v>
      </c>
    </row>
    <row r="3201" spans="1:17">
      <c r="A3201" s="15">
        <f t="shared" si="677"/>
        <v>26</v>
      </c>
      <c r="B3201" s="15"/>
      <c r="C3201" s="17" t="str">
        <f>Fixture!E206</f>
        <v>Seattle Sounders FC</v>
      </c>
      <c r="D3201" s="18">
        <f>IF(E3201=0,0,IF(Fixture!D206&lt;Fixture!F206,3,IF(Fixture!F206&lt;Fixture!D206,0,1)))</f>
        <v>0</v>
      </c>
      <c r="E3201" s="18">
        <f t="shared" si="671"/>
        <v>0</v>
      </c>
      <c r="F3201" s="18">
        <f>IF(E3201=0,0,IF(Fixture!D206&lt;Fixture!F206,1,IF(Fixture!F206&lt;Fixture!D206,0,0)))</f>
        <v>0</v>
      </c>
      <c r="G3201" s="18">
        <f>IF(E3201=0,0,IF(Fixture!D206&lt;Fixture!F206,0,IF(Fixture!F206&lt;Fixture!D206,0,1)))</f>
        <v>0</v>
      </c>
      <c r="H3201" s="18">
        <f t="shared" si="672"/>
        <v>0</v>
      </c>
      <c r="I3201" s="64">
        <f t="shared" si="673"/>
        <v>0</v>
      </c>
      <c r="J3201" s="64">
        <f t="shared" si="674"/>
        <v>0</v>
      </c>
      <c r="K3201" s="63">
        <f t="shared" si="675"/>
        <v>0</v>
      </c>
      <c r="L3201" s="63">
        <f t="shared" si="676"/>
        <v>0</v>
      </c>
      <c r="N3201" s="10" t="str">
        <f t="shared" si="667"/>
        <v>Seattle Sounders FC26</v>
      </c>
      <c r="O3201" s="10">
        <f t="shared" si="668"/>
        <v>0</v>
      </c>
      <c r="P3201" s="10">
        <f t="shared" si="669"/>
        <v>0</v>
      </c>
      <c r="Q3201" s="10">
        <f t="shared" si="670"/>
        <v>0</v>
      </c>
    </row>
    <row r="3202" spans="1:17">
      <c r="A3202" s="15">
        <f t="shared" si="677"/>
        <v>26</v>
      </c>
      <c r="B3202" s="15"/>
      <c r="C3202" s="17" t="str">
        <f>Fixture!E207</f>
        <v>Dallas</v>
      </c>
      <c r="D3202" s="18">
        <f>IF(E3202=0,0,IF(Fixture!D207&lt;Fixture!F207,3,IF(Fixture!F207&lt;Fixture!D207,0,1)))</f>
        <v>0</v>
      </c>
      <c r="E3202" s="18">
        <f t="shared" si="671"/>
        <v>0</v>
      </c>
      <c r="F3202" s="18">
        <f>IF(E3202=0,0,IF(Fixture!D207&lt;Fixture!F207,1,IF(Fixture!F207&lt;Fixture!D207,0,0)))</f>
        <v>0</v>
      </c>
      <c r="G3202" s="18">
        <f>IF(E3202=0,0,IF(Fixture!D207&lt;Fixture!F207,0,IF(Fixture!F207&lt;Fixture!D207,0,1)))</f>
        <v>0</v>
      </c>
      <c r="H3202" s="18">
        <f t="shared" si="672"/>
        <v>0</v>
      </c>
      <c r="I3202" s="64">
        <f t="shared" si="673"/>
        <v>0</v>
      </c>
      <c r="J3202" s="64">
        <f t="shared" si="674"/>
        <v>0</v>
      </c>
      <c r="K3202" s="63">
        <f t="shared" si="675"/>
        <v>0</v>
      </c>
      <c r="L3202" s="63">
        <f t="shared" si="676"/>
        <v>0</v>
      </c>
      <c r="N3202" s="10" t="str">
        <f t="shared" si="667"/>
        <v>Dallas26</v>
      </c>
      <c r="O3202" s="10">
        <f t="shared" si="668"/>
        <v>0</v>
      </c>
      <c r="P3202" s="10">
        <f t="shared" si="669"/>
        <v>0</v>
      </c>
      <c r="Q3202" s="10">
        <f t="shared" si="670"/>
        <v>0</v>
      </c>
    </row>
    <row r="3203" spans="1:17">
      <c r="A3203" s="15">
        <f t="shared" si="677"/>
        <v>25</v>
      </c>
      <c r="B3203" s="15"/>
      <c r="C3203" s="17" t="str">
        <f>Fixture!E208</f>
        <v>Colorado</v>
      </c>
      <c r="D3203" s="18">
        <f>IF(E3203=0,0,IF(Fixture!D208&lt;Fixture!F208,3,IF(Fixture!F208&lt;Fixture!D208,0,1)))</f>
        <v>0</v>
      </c>
      <c r="E3203" s="18">
        <f t="shared" si="671"/>
        <v>0</v>
      </c>
      <c r="F3203" s="18">
        <f>IF(E3203=0,0,IF(Fixture!D208&lt;Fixture!F208,1,IF(Fixture!F208&lt;Fixture!D208,0,0)))</f>
        <v>0</v>
      </c>
      <c r="G3203" s="18">
        <f>IF(E3203=0,0,IF(Fixture!D208&lt;Fixture!F208,0,IF(Fixture!F208&lt;Fixture!D208,0,1)))</f>
        <v>0</v>
      </c>
      <c r="H3203" s="18">
        <f t="shared" si="672"/>
        <v>0</v>
      </c>
      <c r="I3203" s="64">
        <f t="shared" si="673"/>
        <v>0</v>
      </c>
      <c r="J3203" s="64">
        <f t="shared" si="674"/>
        <v>0</v>
      </c>
      <c r="K3203" s="63">
        <f t="shared" si="675"/>
        <v>0</v>
      </c>
      <c r="L3203" s="63">
        <f t="shared" si="676"/>
        <v>0</v>
      </c>
      <c r="N3203" s="10" t="str">
        <f t="shared" si="667"/>
        <v>Colorado25</v>
      </c>
      <c r="O3203" s="10">
        <f t="shared" si="668"/>
        <v>0</v>
      </c>
      <c r="P3203" s="10">
        <f t="shared" si="669"/>
        <v>0</v>
      </c>
      <c r="Q3203" s="10">
        <f t="shared" si="670"/>
        <v>0</v>
      </c>
    </row>
    <row r="3204" spans="1:17">
      <c r="A3204" s="15">
        <f t="shared" si="677"/>
        <v>26</v>
      </c>
      <c r="B3204" s="15"/>
      <c r="C3204" s="17" t="str">
        <f>Fixture!E209</f>
        <v>Philadelphia Union</v>
      </c>
      <c r="D3204" s="18">
        <f>IF(E3204=0,0,IF(Fixture!D209&lt;Fixture!F209,3,IF(Fixture!F209&lt;Fixture!D209,0,1)))</f>
        <v>0</v>
      </c>
      <c r="E3204" s="18">
        <f t="shared" si="671"/>
        <v>0</v>
      </c>
      <c r="F3204" s="18">
        <f>IF(E3204=0,0,IF(Fixture!D209&lt;Fixture!F209,1,IF(Fixture!F209&lt;Fixture!D209,0,0)))</f>
        <v>0</v>
      </c>
      <c r="G3204" s="18">
        <f>IF(E3204=0,0,IF(Fixture!D209&lt;Fixture!F209,0,IF(Fixture!F209&lt;Fixture!D209,0,1)))</f>
        <v>0</v>
      </c>
      <c r="H3204" s="18">
        <f t="shared" si="672"/>
        <v>0</v>
      </c>
      <c r="I3204" s="64">
        <f t="shared" si="673"/>
        <v>0</v>
      </c>
      <c r="J3204" s="64">
        <f t="shared" si="674"/>
        <v>0</v>
      </c>
      <c r="K3204" s="63">
        <f t="shared" si="675"/>
        <v>0</v>
      </c>
      <c r="L3204" s="63">
        <f t="shared" si="676"/>
        <v>0</v>
      </c>
      <c r="N3204" s="10" t="str">
        <f t="shared" si="667"/>
        <v>Philadelphia Union26</v>
      </c>
      <c r="O3204" s="10">
        <f t="shared" si="668"/>
        <v>0</v>
      </c>
      <c r="P3204" s="10">
        <f t="shared" si="669"/>
        <v>0</v>
      </c>
      <c r="Q3204" s="10">
        <f t="shared" si="670"/>
        <v>0</v>
      </c>
    </row>
    <row r="3205" spans="1:17">
      <c r="A3205" s="15">
        <f t="shared" si="677"/>
        <v>25</v>
      </c>
      <c r="B3205" s="15"/>
      <c r="C3205" s="17" t="str">
        <f>Fixture!E210</f>
        <v>Chicago</v>
      </c>
      <c r="D3205" s="18">
        <f>IF(E3205=0,0,IF(Fixture!D210&lt;Fixture!F210,3,IF(Fixture!F210&lt;Fixture!D210,0,1)))</f>
        <v>0</v>
      </c>
      <c r="E3205" s="18">
        <f t="shared" si="671"/>
        <v>0</v>
      </c>
      <c r="F3205" s="18">
        <f>IF(E3205=0,0,IF(Fixture!D210&lt;Fixture!F210,1,IF(Fixture!F210&lt;Fixture!D210,0,0)))</f>
        <v>0</v>
      </c>
      <c r="G3205" s="18">
        <f>IF(E3205=0,0,IF(Fixture!D210&lt;Fixture!F210,0,IF(Fixture!F210&lt;Fixture!D210,0,1)))</f>
        <v>0</v>
      </c>
      <c r="H3205" s="18">
        <f t="shared" si="672"/>
        <v>0</v>
      </c>
      <c r="I3205" s="64">
        <f t="shared" si="673"/>
        <v>0</v>
      </c>
      <c r="J3205" s="64">
        <f t="shared" si="674"/>
        <v>0</v>
      </c>
      <c r="K3205" s="63">
        <f t="shared" si="675"/>
        <v>0</v>
      </c>
      <c r="L3205" s="63">
        <f t="shared" si="676"/>
        <v>0</v>
      </c>
      <c r="N3205" s="10" t="str">
        <f t="shared" si="667"/>
        <v>Chicago25</v>
      </c>
      <c r="O3205" s="10">
        <f t="shared" si="668"/>
        <v>0</v>
      </c>
      <c r="P3205" s="10">
        <f t="shared" si="669"/>
        <v>0</v>
      </c>
      <c r="Q3205" s="10">
        <f t="shared" si="670"/>
        <v>0</v>
      </c>
    </row>
    <row r="3206" spans="1:17">
      <c r="A3206" s="15">
        <f t="shared" si="677"/>
        <v>27</v>
      </c>
      <c r="B3206" s="15"/>
      <c r="C3206" s="17" t="str">
        <f>Fixture!E211</f>
        <v>Toronto FC</v>
      </c>
      <c r="D3206" s="18">
        <f>IF(E3206=0,0,IF(Fixture!D211&lt;Fixture!F211,3,IF(Fixture!F211&lt;Fixture!D211,0,1)))</f>
        <v>0</v>
      </c>
      <c r="E3206" s="18">
        <f t="shared" si="671"/>
        <v>0</v>
      </c>
      <c r="F3206" s="18">
        <f>IF(E3206=0,0,IF(Fixture!D211&lt;Fixture!F211,1,IF(Fixture!F211&lt;Fixture!D211,0,0)))</f>
        <v>0</v>
      </c>
      <c r="G3206" s="18">
        <f>IF(E3206=0,0,IF(Fixture!D211&lt;Fixture!F211,0,IF(Fixture!F211&lt;Fixture!D211,0,1)))</f>
        <v>0</v>
      </c>
      <c r="H3206" s="18">
        <f t="shared" si="672"/>
        <v>0</v>
      </c>
      <c r="I3206" s="64">
        <f t="shared" si="673"/>
        <v>0</v>
      </c>
      <c r="J3206" s="64">
        <f t="shared" si="674"/>
        <v>0</v>
      </c>
      <c r="K3206" s="63">
        <f t="shared" si="675"/>
        <v>0</v>
      </c>
      <c r="L3206" s="63">
        <f t="shared" si="676"/>
        <v>0</v>
      </c>
      <c r="N3206" s="10" t="str">
        <f t="shared" si="667"/>
        <v>Toronto FC27</v>
      </c>
      <c r="O3206" s="10">
        <f t="shared" si="668"/>
        <v>0</v>
      </c>
      <c r="P3206" s="10">
        <f t="shared" si="669"/>
        <v>0</v>
      </c>
      <c r="Q3206" s="10">
        <f t="shared" si="670"/>
        <v>0</v>
      </c>
    </row>
    <row r="3207" spans="1:17">
      <c r="A3207" s="15">
        <f t="shared" si="677"/>
        <v>27</v>
      </c>
      <c r="B3207" s="15"/>
      <c r="C3207" s="17" t="str">
        <f>Fixture!E212</f>
        <v>Houston</v>
      </c>
      <c r="D3207" s="18">
        <f>IF(E3207=0,0,IF(Fixture!D212&lt;Fixture!F212,3,IF(Fixture!F212&lt;Fixture!D212,0,1)))</f>
        <v>0</v>
      </c>
      <c r="E3207" s="18">
        <f t="shared" si="671"/>
        <v>0</v>
      </c>
      <c r="F3207" s="18">
        <f>IF(E3207=0,0,IF(Fixture!D212&lt;Fixture!F212,1,IF(Fixture!F212&lt;Fixture!D212,0,0)))</f>
        <v>0</v>
      </c>
      <c r="G3207" s="18">
        <f>IF(E3207=0,0,IF(Fixture!D212&lt;Fixture!F212,0,IF(Fixture!F212&lt;Fixture!D212,0,1)))</f>
        <v>0</v>
      </c>
      <c r="H3207" s="18">
        <f t="shared" si="672"/>
        <v>0</v>
      </c>
      <c r="I3207" s="64">
        <f t="shared" si="673"/>
        <v>0</v>
      </c>
      <c r="J3207" s="64">
        <f t="shared" si="674"/>
        <v>0</v>
      </c>
      <c r="K3207" s="63">
        <f t="shared" si="675"/>
        <v>0</v>
      </c>
      <c r="L3207" s="63">
        <f t="shared" si="676"/>
        <v>0</v>
      </c>
      <c r="N3207" s="10" t="str">
        <f t="shared" si="667"/>
        <v>Houston27</v>
      </c>
      <c r="O3207" s="10">
        <f t="shared" si="668"/>
        <v>0</v>
      </c>
      <c r="P3207" s="10">
        <f t="shared" si="669"/>
        <v>0</v>
      </c>
      <c r="Q3207" s="10">
        <f t="shared" si="670"/>
        <v>0</v>
      </c>
    </row>
    <row r="3208" spans="1:17">
      <c r="A3208" s="15">
        <f t="shared" si="677"/>
        <v>27</v>
      </c>
      <c r="B3208" s="15"/>
      <c r="C3208" s="17" t="str">
        <f>Fixture!E213</f>
        <v>DC United</v>
      </c>
      <c r="D3208" s="18">
        <f>IF(E3208=0,0,IF(Fixture!D213&lt;Fixture!F213,3,IF(Fixture!F213&lt;Fixture!D213,0,1)))</f>
        <v>0</v>
      </c>
      <c r="E3208" s="18">
        <f t="shared" si="671"/>
        <v>0</v>
      </c>
      <c r="F3208" s="18">
        <f>IF(E3208=0,0,IF(Fixture!D213&lt;Fixture!F213,1,IF(Fixture!F213&lt;Fixture!D213,0,0)))</f>
        <v>0</v>
      </c>
      <c r="G3208" s="18">
        <f>IF(E3208=0,0,IF(Fixture!D213&lt;Fixture!F213,0,IF(Fixture!F213&lt;Fixture!D213,0,1)))</f>
        <v>0</v>
      </c>
      <c r="H3208" s="18">
        <f t="shared" si="672"/>
        <v>0</v>
      </c>
      <c r="I3208" s="64">
        <f t="shared" si="673"/>
        <v>0</v>
      </c>
      <c r="J3208" s="64">
        <f t="shared" si="674"/>
        <v>0</v>
      </c>
      <c r="K3208" s="63">
        <f t="shared" si="675"/>
        <v>0</v>
      </c>
      <c r="L3208" s="63">
        <f t="shared" si="676"/>
        <v>0</v>
      </c>
      <c r="N3208" s="10" t="str">
        <f t="shared" si="667"/>
        <v>DC United27</v>
      </c>
      <c r="O3208" s="10">
        <f t="shared" si="668"/>
        <v>0</v>
      </c>
      <c r="P3208" s="10">
        <f t="shared" si="669"/>
        <v>0</v>
      </c>
      <c r="Q3208" s="10">
        <f t="shared" si="670"/>
        <v>0</v>
      </c>
    </row>
    <row r="3209" spans="1:17">
      <c r="A3209" s="15">
        <f t="shared" si="677"/>
        <v>26</v>
      </c>
      <c r="B3209" s="15"/>
      <c r="C3209" s="17" t="str">
        <f>Fixture!E214</f>
        <v>San Jose</v>
      </c>
      <c r="D3209" s="18">
        <f>IF(E3209=0,0,IF(Fixture!D214&lt;Fixture!F214,3,IF(Fixture!F214&lt;Fixture!D214,0,1)))</f>
        <v>0</v>
      </c>
      <c r="E3209" s="18">
        <f t="shared" si="671"/>
        <v>0</v>
      </c>
      <c r="F3209" s="18">
        <f>IF(E3209=0,0,IF(Fixture!D214&lt;Fixture!F214,1,IF(Fixture!F214&lt;Fixture!D214,0,0)))</f>
        <v>0</v>
      </c>
      <c r="G3209" s="18">
        <f>IF(E3209=0,0,IF(Fixture!D214&lt;Fixture!F214,0,IF(Fixture!F214&lt;Fixture!D214,0,1)))</f>
        <v>0</v>
      </c>
      <c r="H3209" s="18">
        <f t="shared" si="672"/>
        <v>0</v>
      </c>
      <c r="I3209" s="64">
        <f t="shared" si="673"/>
        <v>0</v>
      </c>
      <c r="J3209" s="64">
        <f t="shared" si="674"/>
        <v>0</v>
      </c>
      <c r="K3209" s="63">
        <f t="shared" si="675"/>
        <v>0</v>
      </c>
      <c r="L3209" s="63">
        <f t="shared" si="676"/>
        <v>0</v>
      </c>
      <c r="N3209" s="10" t="str">
        <f t="shared" si="667"/>
        <v>San Jose26</v>
      </c>
      <c r="O3209" s="10">
        <f t="shared" si="668"/>
        <v>0</v>
      </c>
      <c r="P3209" s="10">
        <f t="shared" si="669"/>
        <v>0</v>
      </c>
      <c r="Q3209" s="10">
        <f t="shared" si="670"/>
        <v>0</v>
      </c>
    </row>
    <row r="3210" spans="1:17">
      <c r="A3210" s="15">
        <f t="shared" si="677"/>
        <v>27</v>
      </c>
      <c r="B3210" s="15"/>
      <c r="C3210" s="17" t="str">
        <f>Fixture!E215</f>
        <v>Real Salt Lake</v>
      </c>
      <c r="D3210" s="18">
        <f>IF(E3210=0,0,IF(Fixture!D215&lt;Fixture!F215,3,IF(Fixture!F215&lt;Fixture!D215,0,1)))</f>
        <v>0</v>
      </c>
      <c r="E3210" s="18">
        <f t="shared" si="671"/>
        <v>0</v>
      </c>
      <c r="F3210" s="18">
        <f>IF(E3210=0,0,IF(Fixture!D215&lt;Fixture!F215,1,IF(Fixture!F215&lt;Fixture!D215,0,0)))</f>
        <v>0</v>
      </c>
      <c r="G3210" s="18">
        <f>IF(E3210=0,0,IF(Fixture!D215&lt;Fixture!F215,0,IF(Fixture!F215&lt;Fixture!D215,0,1)))</f>
        <v>0</v>
      </c>
      <c r="H3210" s="18">
        <f t="shared" si="672"/>
        <v>0</v>
      </c>
      <c r="I3210" s="64">
        <f t="shared" si="673"/>
        <v>0</v>
      </c>
      <c r="J3210" s="64">
        <f t="shared" si="674"/>
        <v>0</v>
      </c>
      <c r="K3210" s="63">
        <f t="shared" si="675"/>
        <v>0</v>
      </c>
      <c r="L3210" s="63">
        <f t="shared" si="676"/>
        <v>0</v>
      </c>
      <c r="N3210" s="10" t="str">
        <f t="shared" si="667"/>
        <v>Real Salt Lake27</v>
      </c>
      <c r="O3210" s="10">
        <f t="shared" si="668"/>
        <v>0</v>
      </c>
      <c r="P3210" s="10">
        <f t="shared" si="669"/>
        <v>0</v>
      </c>
      <c r="Q3210" s="10">
        <f t="shared" si="670"/>
        <v>0</v>
      </c>
    </row>
    <row r="3211" spans="1:17">
      <c r="A3211" s="15">
        <f t="shared" si="677"/>
        <v>26</v>
      </c>
      <c r="B3211" s="15"/>
      <c r="C3211" s="17" t="str">
        <f>Fixture!E216</f>
        <v>Kansas City</v>
      </c>
      <c r="D3211" s="18">
        <f>IF(E3211=0,0,IF(Fixture!D216&lt;Fixture!F216,3,IF(Fixture!F216&lt;Fixture!D216,0,1)))</f>
        <v>0</v>
      </c>
      <c r="E3211" s="18">
        <f t="shared" si="671"/>
        <v>0</v>
      </c>
      <c r="F3211" s="18">
        <f>IF(E3211=0,0,IF(Fixture!D216&lt;Fixture!F216,1,IF(Fixture!F216&lt;Fixture!D216,0,0)))</f>
        <v>0</v>
      </c>
      <c r="G3211" s="18">
        <f>IF(E3211=0,0,IF(Fixture!D216&lt;Fixture!F216,0,IF(Fixture!F216&lt;Fixture!D216,0,1)))</f>
        <v>0</v>
      </c>
      <c r="H3211" s="18">
        <f t="shared" si="672"/>
        <v>0</v>
      </c>
      <c r="I3211" s="64">
        <f t="shared" si="673"/>
        <v>0</v>
      </c>
      <c r="J3211" s="64">
        <f t="shared" si="674"/>
        <v>0</v>
      </c>
      <c r="K3211" s="63">
        <f t="shared" si="675"/>
        <v>0</v>
      </c>
      <c r="L3211" s="63">
        <f t="shared" si="676"/>
        <v>0</v>
      </c>
      <c r="N3211" s="10" t="str">
        <f t="shared" si="667"/>
        <v>Kansas City26</v>
      </c>
      <c r="O3211" s="10">
        <f t="shared" si="668"/>
        <v>0</v>
      </c>
      <c r="P3211" s="10">
        <f t="shared" si="669"/>
        <v>0</v>
      </c>
      <c r="Q3211" s="10">
        <f t="shared" si="670"/>
        <v>0</v>
      </c>
    </row>
    <row r="3212" spans="1:17">
      <c r="A3212" s="15">
        <f t="shared" si="677"/>
        <v>26</v>
      </c>
      <c r="B3212" s="15"/>
      <c r="C3212" s="17" t="str">
        <f>Fixture!E217</f>
        <v>Chicago</v>
      </c>
      <c r="D3212" s="18">
        <f>IF(E3212=0,0,IF(Fixture!D217&lt;Fixture!F217,3,IF(Fixture!F217&lt;Fixture!D217,0,1)))</f>
        <v>0</v>
      </c>
      <c r="E3212" s="18">
        <f t="shared" si="671"/>
        <v>0</v>
      </c>
      <c r="F3212" s="18">
        <f>IF(E3212=0,0,IF(Fixture!D217&lt;Fixture!F217,1,IF(Fixture!F217&lt;Fixture!D217,0,0)))</f>
        <v>0</v>
      </c>
      <c r="G3212" s="18">
        <f>IF(E3212=0,0,IF(Fixture!D217&lt;Fixture!F217,0,IF(Fixture!F217&lt;Fixture!D217,0,1)))</f>
        <v>0</v>
      </c>
      <c r="H3212" s="18">
        <f t="shared" si="672"/>
        <v>0</v>
      </c>
      <c r="I3212" s="64">
        <f t="shared" si="673"/>
        <v>0</v>
      </c>
      <c r="J3212" s="64">
        <f t="shared" si="674"/>
        <v>0</v>
      </c>
      <c r="K3212" s="63">
        <f t="shared" si="675"/>
        <v>0</v>
      </c>
      <c r="L3212" s="63">
        <f t="shared" si="676"/>
        <v>0</v>
      </c>
      <c r="N3212" s="10" t="str">
        <f t="shared" si="667"/>
        <v>Chicago26</v>
      </c>
      <c r="O3212" s="10">
        <f t="shared" si="668"/>
        <v>0</v>
      </c>
      <c r="P3212" s="10">
        <f t="shared" si="669"/>
        <v>0</v>
      </c>
      <c r="Q3212" s="10">
        <f t="shared" si="670"/>
        <v>0</v>
      </c>
    </row>
    <row r="3213" spans="1:17">
      <c r="A3213" s="15">
        <f t="shared" si="677"/>
        <v>27</v>
      </c>
      <c r="B3213" s="15"/>
      <c r="C3213" s="17" t="str">
        <f>Fixture!E218</f>
        <v>Los Angeles</v>
      </c>
      <c r="D3213" s="18">
        <f>IF(E3213=0,0,IF(Fixture!D218&lt;Fixture!F218,3,IF(Fixture!F218&lt;Fixture!D218,0,1)))</f>
        <v>0</v>
      </c>
      <c r="E3213" s="18">
        <f t="shared" si="671"/>
        <v>0</v>
      </c>
      <c r="F3213" s="18">
        <f>IF(E3213=0,0,IF(Fixture!D218&lt;Fixture!F218,1,IF(Fixture!F218&lt;Fixture!D218,0,0)))</f>
        <v>0</v>
      </c>
      <c r="G3213" s="18">
        <f>IF(E3213=0,0,IF(Fixture!D218&lt;Fixture!F218,0,IF(Fixture!F218&lt;Fixture!D218,0,1)))</f>
        <v>0</v>
      </c>
      <c r="H3213" s="18">
        <f t="shared" si="672"/>
        <v>0</v>
      </c>
      <c r="I3213" s="64">
        <f t="shared" si="673"/>
        <v>0</v>
      </c>
      <c r="J3213" s="64">
        <f t="shared" si="674"/>
        <v>0</v>
      </c>
      <c r="K3213" s="63">
        <f t="shared" si="675"/>
        <v>0</v>
      </c>
      <c r="L3213" s="63">
        <f t="shared" si="676"/>
        <v>0</v>
      </c>
      <c r="N3213" s="10" t="str">
        <f t="shared" si="667"/>
        <v>Los Angeles27</v>
      </c>
      <c r="O3213" s="10">
        <f t="shared" si="668"/>
        <v>0</v>
      </c>
      <c r="P3213" s="10">
        <f t="shared" si="669"/>
        <v>0</v>
      </c>
      <c r="Q3213" s="10">
        <f t="shared" si="670"/>
        <v>0</v>
      </c>
    </row>
    <row r="3214" spans="1:17">
      <c r="A3214" s="15">
        <f t="shared" si="677"/>
        <v>28</v>
      </c>
      <c r="B3214" s="15"/>
      <c r="C3214" s="17" t="str">
        <f>Fixture!E219</f>
        <v>Los Angeles</v>
      </c>
      <c r="D3214" s="18">
        <f>IF(E3214=0,0,IF(Fixture!D219&lt;Fixture!F219,3,IF(Fixture!F219&lt;Fixture!D219,0,1)))</f>
        <v>0</v>
      </c>
      <c r="E3214" s="18">
        <f t="shared" si="671"/>
        <v>0</v>
      </c>
      <c r="F3214" s="18">
        <f>IF(E3214=0,0,IF(Fixture!D219&lt;Fixture!F219,1,IF(Fixture!F219&lt;Fixture!D219,0,0)))</f>
        <v>0</v>
      </c>
      <c r="G3214" s="18">
        <f>IF(E3214=0,0,IF(Fixture!D219&lt;Fixture!F219,0,IF(Fixture!F219&lt;Fixture!D219,0,1)))</f>
        <v>0</v>
      </c>
      <c r="H3214" s="18">
        <f t="shared" si="672"/>
        <v>0</v>
      </c>
      <c r="I3214" s="64">
        <f t="shared" si="673"/>
        <v>0</v>
      </c>
      <c r="J3214" s="64">
        <f t="shared" si="674"/>
        <v>0</v>
      </c>
      <c r="K3214" s="63">
        <f t="shared" si="675"/>
        <v>0</v>
      </c>
      <c r="L3214" s="63">
        <f t="shared" si="676"/>
        <v>0</v>
      </c>
      <c r="N3214" s="10" t="str">
        <f t="shared" si="667"/>
        <v>Los Angeles28</v>
      </c>
      <c r="O3214" s="10">
        <f t="shared" si="668"/>
        <v>0</v>
      </c>
      <c r="P3214" s="10">
        <f t="shared" si="669"/>
        <v>0</v>
      </c>
      <c r="Q3214" s="10">
        <f t="shared" si="670"/>
        <v>0</v>
      </c>
    </row>
    <row r="3215" spans="1:17">
      <c r="A3215" s="15">
        <f t="shared" si="677"/>
        <v>28</v>
      </c>
      <c r="B3215" s="15"/>
      <c r="C3215" s="17" t="str">
        <f>Fixture!E220</f>
        <v>Columbus</v>
      </c>
      <c r="D3215" s="18">
        <f>IF(E3215=0,0,IF(Fixture!D220&lt;Fixture!F220,3,IF(Fixture!F220&lt;Fixture!D220,0,1)))</f>
        <v>0</v>
      </c>
      <c r="E3215" s="18">
        <f t="shared" si="671"/>
        <v>0</v>
      </c>
      <c r="F3215" s="18">
        <f>IF(E3215=0,0,IF(Fixture!D220&lt;Fixture!F220,1,IF(Fixture!F220&lt;Fixture!D220,0,0)))</f>
        <v>0</v>
      </c>
      <c r="G3215" s="18">
        <f>IF(E3215=0,0,IF(Fixture!D220&lt;Fixture!F220,0,IF(Fixture!F220&lt;Fixture!D220,0,1)))</f>
        <v>0</v>
      </c>
      <c r="H3215" s="18">
        <f t="shared" si="672"/>
        <v>0</v>
      </c>
      <c r="I3215" s="64">
        <f t="shared" si="673"/>
        <v>0</v>
      </c>
      <c r="J3215" s="64">
        <f t="shared" si="674"/>
        <v>0</v>
      </c>
      <c r="K3215" s="63">
        <f t="shared" si="675"/>
        <v>0</v>
      </c>
      <c r="L3215" s="63">
        <f t="shared" si="676"/>
        <v>0</v>
      </c>
      <c r="N3215" s="10" t="str">
        <f t="shared" si="667"/>
        <v>Columbus28</v>
      </c>
      <c r="O3215" s="10">
        <f t="shared" si="668"/>
        <v>0</v>
      </c>
      <c r="P3215" s="10">
        <f t="shared" si="669"/>
        <v>0</v>
      </c>
      <c r="Q3215" s="10">
        <f t="shared" si="670"/>
        <v>0</v>
      </c>
    </row>
    <row r="3216" spans="1:17">
      <c r="A3216" s="15">
        <f t="shared" si="677"/>
        <v>28</v>
      </c>
      <c r="B3216" s="15"/>
      <c r="C3216" s="17" t="str">
        <f>Fixture!E221</f>
        <v>Colorado</v>
      </c>
      <c r="D3216" s="18">
        <f>IF(E3216=0,0,IF(Fixture!D221&lt;Fixture!F221,3,IF(Fixture!F221&lt;Fixture!D221,0,1)))</f>
        <v>0</v>
      </c>
      <c r="E3216" s="18">
        <f t="shared" si="671"/>
        <v>0</v>
      </c>
      <c r="F3216" s="18">
        <f>IF(E3216=0,0,IF(Fixture!D221&lt;Fixture!F221,1,IF(Fixture!F221&lt;Fixture!D221,0,0)))</f>
        <v>0</v>
      </c>
      <c r="G3216" s="18">
        <f>IF(E3216=0,0,IF(Fixture!D221&lt;Fixture!F221,0,IF(Fixture!F221&lt;Fixture!D221,0,1)))</f>
        <v>0</v>
      </c>
      <c r="H3216" s="18">
        <f t="shared" si="672"/>
        <v>0</v>
      </c>
      <c r="I3216" s="64">
        <f t="shared" si="673"/>
        <v>0</v>
      </c>
      <c r="J3216" s="64">
        <f t="shared" si="674"/>
        <v>0</v>
      </c>
      <c r="K3216" s="63">
        <f t="shared" si="675"/>
        <v>0</v>
      </c>
      <c r="L3216" s="63">
        <f t="shared" si="676"/>
        <v>0</v>
      </c>
      <c r="N3216" s="10" t="str">
        <f t="shared" si="667"/>
        <v>Colorado28</v>
      </c>
      <c r="O3216" s="10">
        <f t="shared" si="668"/>
        <v>0</v>
      </c>
      <c r="P3216" s="10">
        <f t="shared" si="669"/>
        <v>0</v>
      </c>
      <c r="Q3216" s="10">
        <f t="shared" si="670"/>
        <v>0</v>
      </c>
    </row>
    <row r="3217" spans="1:17">
      <c r="A3217" s="15">
        <f t="shared" si="677"/>
        <v>28</v>
      </c>
      <c r="B3217" s="15"/>
      <c r="C3217" s="17" t="str">
        <f>Fixture!E222</f>
        <v>Real Salt Lake</v>
      </c>
      <c r="D3217" s="18">
        <f>IF(E3217=0,0,IF(Fixture!D222&lt;Fixture!F222,3,IF(Fixture!F222&lt;Fixture!D222,0,1)))</f>
        <v>0</v>
      </c>
      <c r="E3217" s="18">
        <f t="shared" si="671"/>
        <v>0</v>
      </c>
      <c r="F3217" s="18">
        <f>IF(E3217=0,0,IF(Fixture!D222&lt;Fixture!F222,1,IF(Fixture!F222&lt;Fixture!D222,0,0)))</f>
        <v>0</v>
      </c>
      <c r="G3217" s="18">
        <f>IF(E3217=0,0,IF(Fixture!D222&lt;Fixture!F222,0,IF(Fixture!F222&lt;Fixture!D222,0,1)))</f>
        <v>0</v>
      </c>
      <c r="H3217" s="18">
        <f t="shared" si="672"/>
        <v>0</v>
      </c>
      <c r="I3217" s="64">
        <f t="shared" si="673"/>
        <v>0</v>
      </c>
      <c r="J3217" s="64">
        <f t="shared" si="674"/>
        <v>0</v>
      </c>
      <c r="K3217" s="63">
        <f t="shared" si="675"/>
        <v>0</v>
      </c>
      <c r="L3217" s="63">
        <f t="shared" si="676"/>
        <v>0</v>
      </c>
      <c r="N3217" s="10" t="str">
        <f t="shared" si="667"/>
        <v>Real Salt Lake28</v>
      </c>
      <c r="O3217" s="10">
        <f t="shared" si="668"/>
        <v>0</v>
      </c>
      <c r="P3217" s="10">
        <f t="shared" si="669"/>
        <v>0</v>
      </c>
      <c r="Q3217" s="10">
        <f t="shared" si="670"/>
        <v>0</v>
      </c>
    </row>
    <row r="3218" spans="1:17">
      <c r="A3218" s="15">
        <f t="shared" si="677"/>
        <v>27</v>
      </c>
      <c r="B3218" s="15"/>
      <c r="C3218" s="17" t="str">
        <f>Fixture!E223</f>
        <v>San Jose</v>
      </c>
      <c r="D3218" s="18">
        <f>IF(E3218=0,0,IF(Fixture!D223&lt;Fixture!F223,3,IF(Fixture!F223&lt;Fixture!D223,0,1)))</f>
        <v>0</v>
      </c>
      <c r="E3218" s="18">
        <f t="shared" si="671"/>
        <v>0</v>
      </c>
      <c r="F3218" s="18">
        <f>IF(E3218=0,0,IF(Fixture!D223&lt;Fixture!F223,1,IF(Fixture!F223&lt;Fixture!D223,0,0)))</f>
        <v>0</v>
      </c>
      <c r="G3218" s="18">
        <f>IF(E3218=0,0,IF(Fixture!D223&lt;Fixture!F223,0,IF(Fixture!F223&lt;Fixture!D223,0,1)))</f>
        <v>0</v>
      </c>
      <c r="H3218" s="18">
        <f t="shared" si="672"/>
        <v>0</v>
      </c>
      <c r="I3218" s="64">
        <f t="shared" si="673"/>
        <v>0</v>
      </c>
      <c r="J3218" s="64">
        <f t="shared" si="674"/>
        <v>0</v>
      </c>
      <c r="K3218" s="63">
        <f t="shared" si="675"/>
        <v>0</v>
      </c>
      <c r="L3218" s="63">
        <f t="shared" si="676"/>
        <v>0</v>
      </c>
      <c r="N3218" s="10" t="str">
        <f t="shared" ref="N3218:N3281" si="678">CONCATENATE(C3218,A3218)</f>
        <v>San Jose27</v>
      </c>
      <c r="O3218" s="10">
        <f t="shared" ref="O3218:O3281" si="679">D3218</f>
        <v>0</v>
      </c>
      <c r="P3218" s="10">
        <f t="shared" ref="P3218:P3281" si="680">I3218</f>
        <v>0</v>
      </c>
      <c r="Q3218" s="10">
        <f t="shared" ref="Q3218:Q3281" si="681">J3218</f>
        <v>0</v>
      </c>
    </row>
    <row r="3219" spans="1:17">
      <c r="A3219" s="15">
        <f t="shared" si="677"/>
        <v>28</v>
      </c>
      <c r="B3219" s="15"/>
      <c r="C3219" s="17" t="str">
        <f>Fixture!E224</f>
        <v>Seattle Sounders FC</v>
      </c>
      <c r="D3219" s="18">
        <f>IF(E3219=0,0,IF(Fixture!D224&lt;Fixture!F224,3,IF(Fixture!F224&lt;Fixture!D224,0,1)))</f>
        <v>0</v>
      </c>
      <c r="E3219" s="18">
        <f t="shared" si="671"/>
        <v>0</v>
      </c>
      <c r="F3219" s="18">
        <f>IF(E3219=0,0,IF(Fixture!D224&lt;Fixture!F224,1,IF(Fixture!F224&lt;Fixture!D224,0,0)))</f>
        <v>0</v>
      </c>
      <c r="G3219" s="18">
        <f>IF(E3219=0,0,IF(Fixture!D224&lt;Fixture!F224,0,IF(Fixture!F224&lt;Fixture!D224,0,1)))</f>
        <v>0</v>
      </c>
      <c r="H3219" s="18">
        <f t="shared" si="672"/>
        <v>0</v>
      </c>
      <c r="I3219" s="64">
        <f t="shared" si="673"/>
        <v>0</v>
      </c>
      <c r="J3219" s="64">
        <f t="shared" si="674"/>
        <v>0</v>
      </c>
      <c r="K3219" s="63">
        <f t="shared" si="675"/>
        <v>0</v>
      </c>
      <c r="L3219" s="63">
        <f t="shared" si="676"/>
        <v>0</v>
      </c>
      <c r="N3219" s="10" t="str">
        <f t="shared" si="678"/>
        <v>Seattle Sounders FC28</v>
      </c>
      <c r="O3219" s="10">
        <f t="shared" si="679"/>
        <v>0</v>
      </c>
      <c r="P3219" s="10">
        <f t="shared" si="680"/>
        <v>0</v>
      </c>
      <c r="Q3219" s="10">
        <f t="shared" si="681"/>
        <v>0</v>
      </c>
    </row>
    <row r="3220" spans="1:17">
      <c r="A3220" s="15">
        <f t="shared" si="677"/>
        <v>28</v>
      </c>
      <c r="B3220" s="15"/>
      <c r="C3220" s="17" t="str">
        <f>Fixture!E225</f>
        <v>Toronto FC</v>
      </c>
      <c r="D3220" s="18">
        <f>IF(E3220=0,0,IF(Fixture!D225&lt;Fixture!F225,3,IF(Fixture!F225&lt;Fixture!D225,0,1)))</f>
        <v>0</v>
      </c>
      <c r="E3220" s="18">
        <f t="shared" si="671"/>
        <v>0</v>
      </c>
      <c r="F3220" s="18">
        <f>IF(E3220=0,0,IF(Fixture!D225&lt;Fixture!F225,1,IF(Fixture!F225&lt;Fixture!D225,0,0)))</f>
        <v>0</v>
      </c>
      <c r="G3220" s="18">
        <f>IF(E3220=0,0,IF(Fixture!D225&lt;Fixture!F225,0,IF(Fixture!F225&lt;Fixture!D225,0,1)))</f>
        <v>0</v>
      </c>
      <c r="H3220" s="18">
        <f t="shared" si="672"/>
        <v>0</v>
      </c>
      <c r="I3220" s="64">
        <f t="shared" si="673"/>
        <v>0</v>
      </c>
      <c r="J3220" s="64">
        <f t="shared" si="674"/>
        <v>0</v>
      </c>
      <c r="K3220" s="63">
        <f t="shared" si="675"/>
        <v>0</v>
      </c>
      <c r="L3220" s="63">
        <f t="shared" si="676"/>
        <v>0</v>
      </c>
      <c r="N3220" s="10" t="str">
        <f t="shared" si="678"/>
        <v>Toronto FC28</v>
      </c>
      <c r="O3220" s="10">
        <f t="shared" si="679"/>
        <v>0</v>
      </c>
      <c r="P3220" s="10">
        <f t="shared" si="680"/>
        <v>0</v>
      </c>
      <c r="Q3220" s="10">
        <f t="shared" si="681"/>
        <v>0</v>
      </c>
    </row>
    <row r="3221" spans="1:17">
      <c r="A3221" s="15">
        <f t="shared" si="677"/>
        <v>28</v>
      </c>
      <c r="B3221" s="15"/>
      <c r="C3221" s="17" t="str">
        <f>Fixture!E226</f>
        <v>New England</v>
      </c>
      <c r="D3221" s="18">
        <f>IF(E3221=0,0,IF(Fixture!D226&lt;Fixture!F226,3,IF(Fixture!F226&lt;Fixture!D226,0,1)))</f>
        <v>0</v>
      </c>
      <c r="E3221" s="18">
        <f t="shared" si="671"/>
        <v>0</v>
      </c>
      <c r="F3221" s="18">
        <f>IF(E3221=0,0,IF(Fixture!D226&lt;Fixture!F226,1,IF(Fixture!F226&lt;Fixture!D226,0,0)))</f>
        <v>0</v>
      </c>
      <c r="G3221" s="18">
        <f>IF(E3221=0,0,IF(Fixture!D226&lt;Fixture!F226,0,IF(Fixture!F226&lt;Fixture!D226,0,1)))</f>
        <v>0</v>
      </c>
      <c r="H3221" s="18">
        <f t="shared" si="672"/>
        <v>0</v>
      </c>
      <c r="I3221" s="64">
        <f t="shared" si="673"/>
        <v>0</v>
      </c>
      <c r="J3221" s="64">
        <f t="shared" si="674"/>
        <v>0</v>
      </c>
      <c r="K3221" s="63">
        <f t="shared" si="675"/>
        <v>0</v>
      </c>
      <c r="L3221" s="63">
        <f t="shared" si="676"/>
        <v>0</v>
      </c>
      <c r="N3221" s="10" t="str">
        <f t="shared" si="678"/>
        <v>New England28</v>
      </c>
      <c r="O3221" s="10">
        <f t="shared" si="679"/>
        <v>0</v>
      </c>
      <c r="P3221" s="10">
        <f t="shared" si="680"/>
        <v>0</v>
      </c>
      <c r="Q3221" s="10">
        <f t="shared" si="681"/>
        <v>0</v>
      </c>
    </row>
    <row r="3222" spans="1:17">
      <c r="A3222" s="15">
        <f t="shared" si="677"/>
        <v>28</v>
      </c>
      <c r="B3222" s="15"/>
      <c r="C3222" s="17" t="str">
        <f>Fixture!E227</f>
        <v>Kansas City</v>
      </c>
      <c r="D3222" s="18">
        <f>IF(E3222=0,0,IF(Fixture!D227&lt;Fixture!F227,3,IF(Fixture!F227&lt;Fixture!D227,0,1)))</f>
        <v>0</v>
      </c>
      <c r="E3222" s="18">
        <f t="shared" si="671"/>
        <v>0</v>
      </c>
      <c r="F3222" s="18">
        <f>IF(E3222=0,0,IF(Fixture!D227&lt;Fixture!F227,1,IF(Fixture!F227&lt;Fixture!D227,0,0)))</f>
        <v>0</v>
      </c>
      <c r="G3222" s="18">
        <f>IF(E3222=0,0,IF(Fixture!D227&lt;Fixture!F227,0,IF(Fixture!F227&lt;Fixture!D227,0,1)))</f>
        <v>0</v>
      </c>
      <c r="H3222" s="18">
        <f t="shared" si="672"/>
        <v>0</v>
      </c>
      <c r="I3222" s="64">
        <f t="shared" si="673"/>
        <v>0</v>
      </c>
      <c r="J3222" s="64">
        <f t="shared" si="674"/>
        <v>0</v>
      </c>
      <c r="K3222" s="63">
        <f t="shared" si="675"/>
        <v>0</v>
      </c>
      <c r="L3222" s="63">
        <f t="shared" si="676"/>
        <v>0</v>
      </c>
      <c r="N3222" s="10" t="str">
        <f t="shared" si="678"/>
        <v>Kansas City28</v>
      </c>
      <c r="O3222" s="10">
        <f t="shared" si="679"/>
        <v>0</v>
      </c>
      <c r="P3222" s="10">
        <f t="shared" si="680"/>
        <v>0</v>
      </c>
      <c r="Q3222" s="10">
        <f t="shared" si="681"/>
        <v>0</v>
      </c>
    </row>
    <row r="3223" spans="1:17">
      <c r="A3223" s="15">
        <f t="shared" si="677"/>
        <v>28</v>
      </c>
      <c r="B3223" s="15"/>
      <c r="C3223" s="17" t="str">
        <f>Fixture!E228</f>
        <v>Chivas USA</v>
      </c>
      <c r="D3223" s="18">
        <f>IF(E3223=0,0,IF(Fixture!D228&lt;Fixture!F228,3,IF(Fixture!F228&lt;Fixture!D228,0,1)))</f>
        <v>0</v>
      </c>
      <c r="E3223" s="18">
        <f t="shared" si="671"/>
        <v>0</v>
      </c>
      <c r="F3223" s="18">
        <f>IF(E3223=0,0,IF(Fixture!D228&lt;Fixture!F228,1,IF(Fixture!F228&lt;Fixture!D228,0,0)))</f>
        <v>0</v>
      </c>
      <c r="G3223" s="18">
        <f>IF(E3223=0,0,IF(Fixture!D228&lt;Fixture!F228,0,IF(Fixture!F228&lt;Fixture!D228,0,1)))</f>
        <v>0</v>
      </c>
      <c r="H3223" s="18">
        <f t="shared" si="672"/>
        <v>0</v>
      </c>
      <c r="I3223" s="64">
        <f t="shared" si="673"/>
        <v>0</v>
      </c>
      <c r="J3223" s="64">
        <f t="shared" si="674"/>
        <v>0</v>
      </c>
      <c r="K3223" s="63">
        <f t="shared" si="675"/>
        <v>0</v>
      </c>
      <c r="L3223" s="63">
        <f t="shared" si="676"/>
        <v>0</v>
      </c>
      <c r="N3223" s="10" t="str">
        <f t="shared" si="678"/>
        <v>Chivas USA28</v>
      </c>
      <c r="O3223" s="10">
        <f t="shared" si="679"/>
        <v>0</v>
      </c>
      <c r="P3223" s="10">
        <f t="shared" si="680"/>
        <v>0</v>
      </c>
      <c r="Q3223" s="10">
        <f t="shared" si="681"/>
        <v>0</v>
      </c>
    </row>
    <row r="3224" spans="1:17">
      <c r="A3224" s="15">
        <f t="shared" si="677"/>
        <v>29</v>
      </c>
      <c r="B3224" s="15"/>
      <c r="C3224" s="17" t="str">
        <f>Fixture!E229</f>
        <v>DC United</v>
      </c>
      <c r="D3224" s="18">
        <f>IF(E3224=0,0,IF(Fixture!D229&lt;Fixture!F229,3,IF(Fixture!F229&lt;Fixture!D229,0,1)))</f>
        <v>0</v>
      </c>
      <c r="E3224" s="18">
        <f t="shared" si="671"/>
        <v>0</v>
      </c>
      <c r="F3224" s="18">
        <f>IF(E3224=0,0,IF(Fixture!D229&lt;Fixture!F229,1,IF(Fixture!F229&lt;Fixture!D229,0,0)))</f>
        <v>0</v>
      </c>
      <c r="G3224" s="18">
        <f>IF(E3224=0,0,IF(Fixture!D229&lt;Fixture!F229,0,IF(Fixture!F229&lt;Fixture!D229,0,1)))</f>
        <v>0</v>
      </c>
      <c r="H3224" s="18">
        <f t="shared" si="672"/>
        <v>0</v>
      </c>
      <c r="I3224" s="64">
        <f t="shared" si="673"/>
        <v>0</v>
      </c>
      <c r="J3224" s="64">
        <f t="shared" si="674"/>
        <v>0</v>
      </c>
      <c r="K3224" s="63">
        <f t="shared" si="675"/>
        <v>0</v>
      </c>
      <c r="L3224" s="63">
        <f t="shared" si="676"/>
        <v>0</v>
      </c>
      <c r="N3224" s="10" t="str">
        <f t="shared" si="678"/>
        <v>DC United29</v>
      </c>
      <c r="O3224" s="10">
        <f t="shared" si="679"/>
        <v>0</v>
      </c>
      <c r="P3224" s="10">
        <f t="shared" si="680"/>
        <v>0</v>
      </c>
      <c r="Q3224" s="10">
        <f t="shared" si="681"/>
        <v>0</v>
      </c>
    </row>
    <row r="3225" spans="1:17">
      <c r="A3225" s="15">
        <f t="shared" si="677"/>
        <v>29</v>
      </c>
      <c r="B3225" s="15"/>
      <c r="C3225" s="17" t="str">
        <f>Fixture!E230</f>
        <v>Columbus</v>
      </c>
      <c r="D3225" s="18">
        <f>IF(E3225=0,0,IF(Fixture!D230&lt;Fixture!F230,3,IF(Fixture!F230&lt;Fixture!D230,0,1)))</f>
        <v>0</v>
      </c>
      <c r="E3225" s="18">
        <f t="shared" si="671"/>
        <v>0</v>
      </c>
      <c r="F3225" s="18">
        <f>IF(E3225=0,0,IF(Fixture!D230&lt;Fixture!F230,1,IF(Fixture!F230&lt;Fixture!D230,0,0)))</f>
        <v>0</v>
      </c>
      <c r="G3225" s="18">
        <f>IF(E3225=0,0,IF(Fixture!D230&lt;Fixture!F230,0,IF(Fixture!F230&lt;Fixture!D230,0,1)))</f>
        <v>0</v>
      </c>
      <c r="H3225" s="18">
        <f t="shared" si="672"/>
        <v>0</v>
      </c>
      <c r="I3225" s="64">
        <f t="shared" si="673"/>
        <v>0</v>
      </c>
      <c r="J3225" s="64">
        <f t="shared" si="674"/>
        <v>0</v>
      </c>
      <c r="K3225" s="63">
        <f t="shared" si="675"/>
        <v>0</v>
      </c>
      <c r="L3225" s="63">
        <f t="shared" si="676"/>
        <v>0</v>
      </c>
      <c r="N3225" s="10" t="str">
        <f t="shared" si="678"/>
        <v>Columbus29</v>
      </c>
      <c r="O3225" s="10">
        <f t="shared" si="679"/>
        <v>0</v>
      </c>
      <c r="P3225" s="10">
        <f t="shared" si="680"/>
        <v>0</v>
      </c>
      <c r="Q3225" s="10">
        <f t="shared" si="681"/>
        <v>0</v>
      </c>
    </row>
    <row r="3226" spans="1:17">
      <c r="A3226" s="15">
        <f t="shared" si="677"/>
        <v>29</v>
      </c>
      <c r="B3226" s="15"/>
      <c r="C3226" s="17" t="str">
        <f>Fixture!E231</f>
        <v>New York Red Bulls</v>
      </c>
      <c r="D3226" s="18">
        <f>IF(E3226=0,0,IF(Fixture!D231&lt;Fixture!F231,3,IF(Fixture!F231&lt;Fixture!D231,0,1)))</f>
        <v>0</v>
      </c>
      <c r="E3226" s="18">
        <f t="shared" si="671"/>
        <v>0</v>
      </c>
      <c r="F3226" s="18">
        <f>IF(E3226=0,0,IF(Fixture!D231&lt;Fixture!F231,1,IF(Fixture!F231&lt;Fixture!D231,0,0)))</f>
        <v>0</v>
      </c>
      <c r="G3226" s="18">
        <f>IF(E3226=0,0,IF(Fixture!D231&lt;Fixture!F231,0,IF(Fixture!F231&lt;Fixture!D231,0,1)))</f>
        <v>0</v>
      </c>
      <c r="H3226" s="18">
        <f t="shared" si="672"/>
        <v>0</v>
      </c>
      <c r="I3226" s="64">
        <f t="shared" si="673"/>
        <v>0</v>
      </c>
      <c r="J3226" s="64">
        <f t="shared" si="674"/>
        <v>0</v>
      </c>
      <c r="K3226" s="63">
        <f t="shared" si="675"/>
        <v>0</v>
      </c>
      <c r="L3226" s="63">
        <f t="shared" si="676"/>
        <v>0</v>
      </c>
      <c r="N3226" s="10" t="str">
        <f t="shared" si="678"/>
        <v>New York Red Bulls29</v>
      </c>
      <c r="O3226" s="10">
        <f t="shared" si="679"/>
        <v>0</v>
      </c>
      <c r="P3226" s="10">
        <f t="shared" si="680"/>
        <v>0</v>
      </c>
      <c r="Q3226" s="10">
        <f t="shared" si="681"/>
        <v>0</v>
      </c>
    </row>
    <row r="3227" spans="1:17">
      <c r="A3227" s="15">
        <f t="shared" si="677"/>
        <v>29</v>
      </c>
      <c r="B3227" s="15"/>
      <c r="C3227" s="17" t="str">
        <f>Fixture!E232</f>
        <v>Kansas City</v>
      </c>
      <c r="D3227" s="18">
        <f>IF(E3227=0,0,IF(Fixture!D232&lt;Fixture!F232,3,IF(Fixture!F232&lt;Fixture!D232,0,1)))</f>
        <v>0</v>
      </c>
      <c r="E3227" s="18">
        <f t="shared" si="671"/>
        <v>0</v>
      </c>
      <c r="F3227" s="18">
        <f>IF(E3227=0,0,IF(Fixture!D232&lt;Fixture!F232,1,IF(Fixture!F232&lt;Fixture!D232,0,0)))</f>
        <v>0</v>
      </c>
      <c r="G3227" s="18">
        <f>IF(E3227=0,0,IF(Fixture!D232&lt;Fixture!F232,0,IF(Fixture!F232&lt;Fixture!D232,0,1)))</f>
        <v>0</v>
      </c>
      <c r="H3227" s="18">
        <f t="shared" si="672"/>
        <v>0</v>
      </c>
      <c r="I3227" s="64">
        <f t="shared" si="673"/>
        <v>0</v>
      </c>
      <c r="J3227" s="64">
        <f t="shared" si="674"/>
        <v>0</v>
      </c>
      <c r="K3227" s="63">
        <f t="shared" si="675"/>
        <v>0</v>
      </c>
      <c r="L3227" s="63">
        <f t="shared" si="676"/>
        <v>0</v>
      </c>
      <c r="N3227" s="10" t="str">
        <f t="shared" si="678"/>
        <v>Kansas City29</v>
      </c>
      <c r="O3227" s="10">
        <f t="shared" si="679"/>
        <v>0</v>
      </c>
      <c r="P3227" s="10">
        <f t="shared" si="680"/>
        <v>0</v>
      </c>
      <c r="Q3227" s="10">
        <f t="shared" si="681"/>
        <v>0</v>
      </c>
    </row>
    <row r="3228" spans="1:17">
      <c r="A3228" s="15">
        <f t="shared" si="677"/>
        <v>29</v>
      </c>
      <c r="B3228" s="15"/>
      <c r="C3228" s="17" t="str">
        <f>Fixture!E233</f>
        <v>Dallas</v>
      </c>
      <c r="D3228" s="18">
        <f>IF(E3228=0,0,IF(Fixture!D233&lt;Fixture!F233,3,IF(Fixture!F233&lt;Fixture!D233,0,1)))</f>
        <v>0</v>
      </c>
      <c r="E3228" s="18">
        <f t="shared" si="671"/>
        <v>0</v>
      </c>
      <c r="F3228" s="18">
        <f>IF(E3228=0,0,IF(Fixture!D233&lt;Fixture!F233,1,IF(Fixture!F233&lt;Fixture!D233,0,0)))</f>
        <v>0</v>
      </c>
      <c r="G3228" s="18">
        <f>IF(E3228=0,0,IF(Fixture!D233&lt;Fixture!F233,0,IF(Fixture!F233&lt;Fixture!D233,0,1)))</f>
        <v>0</v>
      </c>
      <c r="H3228" s="18">
        <f t="shared" si="672"/>
        <v>0</v>
      </c>
      <c r="I3228" s="64">
        <f t="shared" si="673"/>
        <v>0</v>
      </c>
      <c r="J3228" s="64">
        <f t="shared" si="674"/>
        <v>0</v>
      </c>
      <c r="K3228" s="63">
        <f t="shared" si="675"/>
        <v>0</v>
      </c>
      <c r="L3228" s="63">
        <f t="shared" si="676"/>
        <v>0</v>
      </c>
      <c r="N3228" s="10" t="str">
        <f t="shared" si="678"/>
        <v>Dallas29</v>
      </c>
      <c r="O3228" s="10">
        <f t="shared" si="679"/>
        <v>0</v>
      </c>
      <c r="P3228" s="10">
        <f t="shared" si="680"/>
        <v>0</v>
      </c>
      <c r="Q3228" s="10">
        <f t="shared" si="681"/>
        <v>0</v>
      </c>
    </row>
    <row r="3229" spans="1:17">
      <c r="A3229" s="15">
        <f t="shared" si="677"/>
        <v>29</v>
      </c>
      <c r="B3229" s="15"/>
      <c r="C3229" s="17" t="str">
        <f>Fixture!E234</f>
        <v>Houston</v>
      </c>
      <c r="D3229" s="18">
        <f>IF(E3229=0,0,IF(Fixture!D234&lt;Fixture!F234,3,IF(Fixture!F234&lt;Fixture!D234,0,1)))</f>
        <v>0</v>
      </c>
      <c r="E3229" s="18">
        <f t="shared" si="671"/>
        <v>0</v>
      </c>
      <c r="F3229" s="18">
        <f>IF(E3229=0,0,IF(Fixture!D234&lt;Fixture!F234,1,IF(Fixture!F234&lt;Fixture!D234,0,0)))</f>
        <v>0</v>
      </c>
      <c r="G3229" s="18">
        <f>IF(E3229=0,0,IF(Fixture!D234&lt;Fixture!F234,0,IF(Fixture!F234&lt;Fixture!D234,0,1)))</f>
        <v>0</v>
      </c>
      <c r="H3229" s="18">
        <f t="shared" si="672"/>
        <v>0</v>
      </c>
      <c r="I3229" s="64">
        <f t="shared" si="673"/>
        <v>0</v>
      </c>
      <c r="J3229" s="64">
        <f t="shared" si="674"/>
        <v>0</v>
      </c>
      <c r="K3229" s="63">
        <f t="shared" si="675"/>
        <v>0</v>
      </c>
      <c r="L3229" s="63">
        <f t="shared" si="676"/>
        <v>0</v>
      </c>
      <c r="N3229" s="10" t="str">
        <f t="shared" si="678"/>
        <v>Houston29</v>
      </c>
      <c r="O3229" s="10">
        <f t="shared" si="679"/>
        <v>0</v>
      </c>
      <c r="P3229" s="10">
        <f t="shared" si="680"/>
        <v>0</v>
      </c>
      <c r="Q3229" s="10">
        <f t="shared" si="681"/>
        <v>0</v>
      </c>
    </row>
    <row r="3230" spans="1:17">
      <c r="A3230" s="15">
        <f t="shared" si="677"/>
        <v>29</v>
      </c>
      <c r="B3230" s="15"/>
      <c r="C3230" s="17" t="str">
        <f>Fixture!E235</f>
        <v>Colorado</v>
      </c>
      <c r="D3230" s="18">
        <f>IF(E3230=0,0,IF(Fixture!D235&lt;Fixture!F235,3,IF(Fixture!F235&lt;Fixture!D235,0,1)))</f>
        <v>0</v>
      </c>
      <c r="E3230" s="18">
        <f t="shared" si="671"/>
        <v>0</v>
      </c>
      <c r="F3230" s="18">
        <f>IF(E3230=0,0,IF(Fixture!D235&lt;Fixture!F235,1,IF(Fixture!F235&lt;Fixture!D235,0,0)))</f>
        <v>0</v>
      </c>
      <c r="G3230" s="18">
        <f>IF(E3230=0,0,IF(Fixture!D235&lt;Fixture!F235,0,IF(Fixture!F235&lt;Fixture!D235,0,1)))</f>
        <v>0</v>
      </c>
      <c r="H3230" s="18">
        <f t="shared" si="672"/>
        <v>0</v>
      </c>
      <c r="I3230" s="64">
        <f t="shared" si="673"/>
        <v>0</v>
      </c>
      <c r="J3230" s="64">
        <f t="shared" si="674"/>
        <v>0</v>
      </c>
      <c r="K3230" s="63">
        <f t="shared" si="675"/>
        <v>0</v>
      </c>
      <c r="L3230" s="63">
        <f t="shared" si="676"/>
        <v>0</v>
      </c>
      <c r="N3230" s="10" t="str">
        <f t="shared" si="678"/>
        <v>Colorado29</v>
      </c>
      <c r="O3230" s="10">
        <f t="shared" si="679"/>
        <v>0</v>
      </c>
      <c r="P3230" s="10">
        <f t="shared" si="680"/>
        <v>0</v>
      </c>
      <c r="Q3230" s="10">
        <f t="shared" si="681"/>
        <v>0</v>
      </c>
    </row>
    <row r="3231" spans="1:17">
      <c r="A3231" s="15">
        <f t="shared" si="677"/>
        <v>29</v>
      </c>
      <c r="B3231" s="15"/>
      <c r="C3231" s="17" t="str">
        <f>Fixture!E236</f>
        <v>Chivas USA</v>
      </c>
      <c r="D3231" s="18">
        <f>IF(E3231=0,0,IF(Fixture!D236&lt;Fixture!F236,3,IF(Fixture!F236&lt;Fixture!D236,0,1)))</f>
        <v>0</v>
      </c>
      <c r="E3231" s="18">
        <f t="shared" si="671"/>
        <v>0</v>
      </c>
      <c r="F3231" s="18">
        <f>IF(E3231=0,0,IF(Fixture!D236&lt;Fixture!F236,1,IF(Fixture!F236&lt;Fixture!D236,0,0)))</f>
        <v>0</v>
      </c>
      <c r="G3231" s="18">
        <f>IF(E3231=0,0,IF(Fixture!D236&lt;Fixture!F236,0,IF(Fixture!F236&lt;Fixture!D236,0,1)))</f>
        <v>0</v>
      </c>
      <c r="H3231" s="18">
        <f t="shared" si="672"/>
        <v>0</v>
      </c>
      <c r="I3231" s="64">
        <f t="shared" si="673"/>
        <v>0</v>
      </c>
      <c r="J3231" s="64">
        <f t="shared" si="674"/>
        <v>0</v>
      </c>
      <c r="K3231" s="63">
        <f t="shared" si="675"/>
        <v>0</v>
      </c>
      <c r="L3231" s="63">
        <f t="shared" si="676"/>
        <v>0</v>
      </c>
      <c r="N3231" s="10" t="str">
        <f t="shared" si="678"/>
        <v>Chivas USA29</v>
      </c>
      <c r="O3231" s="10">
        <f t="shared" si="679"/>
        <v>0</v>
      </c>
      <c r="P3231" s="10">
        <f t="shared" si="680"/>
        <v>0</v>
      </c>
      <c r="Q3231" s="10">
        <f t="shared" si="681"/>
        <v>0</v>
      </c>
    </row>
    <row r="3232" spans="1:17">
      <c r="A3232" s="15">
        <f t="shared" si="677"/>
        <v>30</v>
      </c>
      <c r="B3232" s="15"/>
      <c r="C3232" s="17" t="str">
        <f>Fixture!E237</f>
        <v>New England</v>
      </c>
      <c r="D3232" s="18">
        <f>IF(E3232=0,0,IF(Fixture!D237&lt;Fixture!F237,3,IF(Fixture!F237&lt;Fixture!D237,0,1)))</f>
        <v>0</v>
      </c>
      <c r="E3232" s="18">
        <f t="shared" si="671"/>
        <v>0</v>
      </c>
      <c r="F3232" s="18">
        <f>IF(E3232=0,0,IF(Fixture!D237&lt;Fixture!F237,1,IF(Fixture!F237&lt;Fixture!D237,0,0)))</f>
        <v>0</v>
      </c>
      <c r="G3232" s="18">
        <f>IF(E3232=0,0,IF(Fixture!D237&lt;Fixture!F237,0,IF(Fixture!F237&lt;Fixture!D237,0,1)))</f>
        <v>0</v>
      </c>
      <c r="H3232" s="18">
        <f t="shared" si="672"/>
        <v>0</v>
      </c>
      <c r="I3232" s="64">
        <f t="shared" si="673"/>
        <v>0</v>
      </c>
      <c r="J3232" s="64">
        <f t="shared" si="674"/>
        <v>0</v>
      </c>
      <c r="K3232" s="63">
        <f t="shared" si="675"/>
        <v>0</v>
      </c>
      <c r="L3232" s="63">
        <f t="shared" si="676"/>
        <v>0</v>
      </c>
      <c r="N3232" s="10" t="str">
        <f t="shared" si="678"/>
        <v>New England30</v>
      </c>
      <c r="O3232" s="10">
        <f t="shared" si="679"/>
        <v>0</v>
      </c>
      <c r="P3232" s="10">
        <f t="shared" si="680"/>
        <v>0</v>
      </c>
      <c r="Q3232" s="10">
        <f t="shared" si="681"/>
        <v>0</v>
      </c>
    </row>
    <row r="3233" spans="1:17">
      <c r="A3233" s="15">
        <f t="shared" si="677"/>
        <v>30</v>
      </c>
      <c r="B3233" s="15"/>
      <c r="C3233" s="17" t="str">
        <f>Fixture!E238</f>
        <v>Seattle Sounders FC</v>
      </c>
      <c r="D3233" s="18">
        <f>IF(E3233=0,0,IF(Fixture!D238&lt;Fixture!F238,3,IF(Fixture!F238&lt;Fixture!D238,0,1)))</f>
        <v>0</v>
      </c>
      <c r="E3233" s="18">
        <f t="shared" si="671"/>
        <v>0</v>
      </c>
      <c r="F3233" s="18">
        <f>IF(E3233=0,0,IF(Fixture!D238&lt;Fixture!F238,1,IF(Fixture!F238&lt;Fixture!D238,0,0)))</f>
        <v>0</v>
      </c>
      <c r="G3233" s="18">
        <f>IF(E3233=0,0,IF(Fixture!D238&lt;Fixture!F238,0,IF(Fixture!F238&lt;Fixture!D238,0,1)))</f>
        <v>0</v>
      </c>
      <c r="H3233" s="18">
        <f t="shared" si="672"/>
        <v>0</v>
      </c>
      <c r="I3233" s="64">
        <f t="shared" si="673"/>
        <v>0</v>
      </c>
      <c r="J3233" s="64">
        <f t="shared" si="674"/>
        <v>0</v>
      </c>
      <c r="K3233" s="63">
        <f t="shared" si="675"/>
        <v>0</v>
      </c>
      <c r="L3233" s="63">
        <f t="shared" si="676"/>
        <v>0</v>
      </c>
      <c r="N3233" s="10" t="str">
        <f t="shared" si="678"/>
        <v>Seattle Sounders FC30</v>
      </c>
      <c r="O3233" s="10">
        <f t="shared" si="679"/>
        <v>0</v>
      </c>
      <c r="P3233" s="10">
        <f t="shared" si="680"/>
        <v>0</v>
      </c>
      <c r="Q3233" s="10">
        <f t="shared" si="681"/>
        <v>0</v>
      </c>
    </row>
    <row r="3234" spans="1:17">
      <c r="A3234" s="15">
        <f t="shared" si="677"/>
        <v>30</v>
      </c>
      <c r="B3234" s="15"/>
      <c r="C3234" s="17" t="str">
        <f>Fixture!E239</f>
        <v>Real Salt Lake</v>
      </c>
      <c r="D3234" s="18">
        <f>IF(E3234=0,0,IF(Fixture!D239&lt;Fixture!F239,3,IF(Fixture!F239&lt;Fixture!D239,0,1)))</f>
        <v>0</v>
      </c>
      <c r="E3234" s="18">
        <f t="shared" si="671"/>
        <v>0</v>
      </c>
      <c r="F3234" s="18">
        <f>IF(E3234=0,0,IF(Fixture!D239&lt;Fixture!F239,1,IF(Fixture!F239&lt;Fixture!D239,0,0)))</f>
        <v>0</v>
      </c>
      <c r="G3234" s="18">
        <f>IF(E3234=0,0,IF(Fixture!D239&lt;Fixture!F239,0,IF(Fixture!F239&lt;Fixture!D239,0,1)))</f>
        <v>0</v>
      </c>
      <c r="H3234" s="18">
        <f t="shared" si="672"/>
        <v>0</v>
      </c>
      <c r="I3234" s="64">
        <f t="shared" si="673"/>
        <v>0</v>
      </c>
      <c r="J3234" s="64">
        <f t="shared" si="674"/>
        <v>0</v>
      </c>
      <c r="K3234" s="63">
        <f t="shared" si="675"/>
        <v>0</v>
      </c>
      <c r="L3234" s="63">
        <f t="shared" si="676"/>
        <v>0</v>
      </c>
      <c r="N3234" s="10" t="str">
        <f t="shared" si="678"/>
        <v>Real Salt Lake30</v>
      </c>
      <c r="O3234" s="10">
        <f t="shared" si="679"/>
        <v>0</v>
      </c>
      <c r="P3234" s="10">
        <f t="shared" si="680"/>
        <v>0</v>
      </c>
      <c r="Q3234" s="10">
        <f t="shared" si="681"/>
        <v>0</v>
      </c>
    </row>
    <row r="3235" spans="1:17">
      <c r="A3235" s="15">
        <f t="shared" si="677"/>
        <v>30</v>
      </c>
      <c r="B3235" s="15"/>
      <c r="C3235" s="17" t="str">
        <f>Fixture!E240</f>
        <v>Toronto FC</v>
      </c>
      <c r="D3235" s="18">
        <f>IF(E3235=0,0,IF(Fixture!D240&lt;Fixture!F240,3,IF(Fixture!F240&lt;Fixture!D240,0,1)))</f>
        <v>0</v>
      </c>
      <c r="E3235" s="18">
        <f t="shared" si="671"/>
        <v>0</v>
      </c>
      <c r="F3235" s="18">
        <f>IF(E3235=0,0,IF(Fixture!D240&lt;Fixture!F240,1,IF(Fixture!F240&lt;Fixture!D240,0,0)))</f>
        <v>0</v>
      </c>
      <c r="G3235" s="18">
        <f>IF(E3235=0,0,IF(Fixture!D240&lt;Fixture!F240,0,IF(Fixture!F240&lt;Fixture!D240,0,1)))</f>
        <v>0</v>
      </c>
      <c r="H3235" s="18">
        <f t="shared" si="672"/>
        <v>0</v>
      </c>
      <c r="I3235" s="64">
        <f t="shared" si="673"/>
        <v>0</v>
      </c>
      <c r="J3235" s="64">
        <f t="shared" si="674"/>
        <v>0</v>
      </c>
      <c r="K3235" s="63">
        <f t="shared" si="675"/>
        <v>0</v>
      </c>
      <c r="L3235" s="63">
        <f t="shared" si="676"/>
        <v>0</v>
      </c>
      <c r="N3235" s="10" t="str">
        <f t="shared" si="678"/>
        <v>Toronto FC30</v>
      </c>
      <c r="O3235" s="10">
        <f t="shared" si="679"/>
        <v>0</v>
      </c>
      <c r="P3235" s="10">
        <f t="shared" si="680"/>
        <v>0</v>
      </c>
      <c r="Q3235" s="10">
        <f t="shared" si="681"/>
        <v>0</v>
      </c>
    </row>
    <row r="3236" spans="1:17">
      <c r="A3236" s="15">
        <f t="shared" si="677"/>
        <v>30</v>
      </c>
      <c r="B3236" s="15"/>
      <c r="C3236" s="17" t="str">
        <f>Fixture!E241</f>
        <v>San Jose</v>
      </c>
      <c r="D3236" s="18">
        <f>IF(E3236=0,0,IF(Fixture!D241&lt;Fixture!F241,3,IF(Fixture!F241&lt;Fixture!D241,0,1)))</f>
        <v>0</v>
      </c>
      <c r="E3236" s="18">
        <f t="shared" si="671"/>
        <v>0</v>
      </c>
      <c r="F3236" s="18">
        <f>IF(E3236=0,0,IF(Fixture!D241&lt;Fixture!F241,1,IF(Fixture!F241&lt;Fixture!D241,0,0)))</f>
        <v>0</v>
      </c>
      <c r="G3236" s="18">
        <f>IF(E3236=0,0,IF(Fixture!D241&lt;Fixture!F241,0,IF(Fixture!F241&lt;Fixture!D241,0,1)))</f>
        <v>0</v>
      </c>
      <c r="H3236" s="18">
        <f t="shared" si="672"/>
        <v>0</v>
      </c>
      <c r="I3236" s="64">
        <f t="shared" si="673"/>
        <v>0</v>
      </c>
      <c r="J3236" s="64">
        <f t="shared" si="674"/>
        <v>0</v>
      </c>
      <c r="K3236" s="63">
        <f t="shared" si="675"/>
        <v>0</v>
      </c>
      <c r="L3236" s="63">
        <f t="shared" si="676"/>
        <v>0</v>
      </c>
      <c r="N3236" s="10" t="str">
        <f t="shared" si="678"/>
        <v>San Jose30</v>
      </c>
      <c r="O3236" s="10">
        <f t="shared" si="679"/>
        <v>0</v>
      </c>
      <c r="P3236" s="10">
        <f t="shared" si="680"/>
        <v>0</v>
      </c>
      <c r="Q3236" s="10">
        <f t="shared" si="681"/>
        <v>0</v>
      </c>
    </row>
    <row r="3237" spans="1:17">
      <c r="A3237" s="15">
        <f t="shared" si="677"/>
        <v>30</v>
      </c>
      <c r="B3237" s="15"/>
      <c r="C3237" s="17" t="str">
        <f>Fixture!E242</f>
        <v>Chicago</v>
      </c>
      <c r="D3237" s="18">
        <f>IF(E3237=0,0,IF(Fixture!D242&lt;Fixture!F242,3,IF(Fixture!F242&lt;Fixture!D242,0,1)))</f>
        <v>0</v>
      </c>
      <c r="E3237" s="18">
        <f t="shared" si="671"/>
        <v>0</v>
      </c>
      <c r="F3237" s="18">
        <f>IF(E3237=0,0,IF(Fixture!D242&lt;Fixture!F242,1,IF(Fixture!F242&lt;Fixture!D242,0,0)))</f>
        <v>0</v>
      </c>
      <c r="G3237" s="18">
        <f>IF(E3237=0,0,IF(Fixture!D242&lt;Fixture!F242,0,IF(Fixture!F242&lt;Fixture!D242,0,1)))</f>
        <v>0</v>
      </c>
      <c r="H3237" s="18">
        <f t="shared" si="672"/>
        <v>0</v>
      </c>
      <c r="I3237" s="64">
        <f t="shared" si="673"/>
        <v>0</v>
      </c>
      <c r="J3237" s="64">
        <f t="shared" si="674"/>
        <v>0</v>
      </c>
      <c r="K3237" s="63">
        <f t="shared" si="675"/>
        <v>0</v>
      </c>
      <c r="L3237" s="63">
        <f t="shared" si="676"/>
        <v>0</v>
      </c>
      <c r="N3237" s="10" t="str">
        <f t="shared" si="678"/>
        <v>Chicago30</v>
      </c>
      <c r="O3237" s="10">
        <f t="shared" si="679"/>
        <v>0</v>
      </c>
      <c r="P3237" s="10">
        <f t="shared" si="680"/>
        <v>0</v>
      </c>
      <c r="Q3237" s="10">
        <f t="shared" si="681"/>
        <v>0</v>
      </c>
    </row>
    <row r="3238" spans="1:17">
      <c r="A3238" s="15">
        <f t="shared" si="677"/>
        <v>30</v>
      </c>
      <c r="B3238" s="15"/>
      <c r="C3238" s="17" t="str">
        <f>Fixture!E243</f>
        <v>Philadelphia Union</v>
      </c>
      <c r="D3238" s="18">
        <f>IF(E3238=0,0,IF(Fixture!D243&lt;Fixture!F243,3,IF(Fixture!F243&lt;Fixture!D243,0,1)))</f>
        <v>0</v>
      </c>
      <c r="E3238" s="18">
        <f t="shared" si="671"/>
        <v>0</v>
      </c>
      <c r="F3238" s="18">
        <f>IF(E3238=0,0,IF(Fixture!D243&lt;Fixture!F243,1,IF(Fixture!F243&lt;Fixture!D243,0,0)))</f>
        <v>0</v>
      </c>
      <c r="G3238" s="18">
        <f>IF(E3238=0,0,IF(Fixture!D243&lt;Fixture!F243,0,IF(Fixture!F243&lt;Fixture!D243,0,1)))</f>
        <v>0</v>
      </c>
      <c r="H3238" s="18">
        <f t="shared" si="672"/>
        <v>0</v>
      </c>
      <c r="I3238" s="64">
        <f t="shared" si="673"/>
        <v>0</v>
      </c>
      <c r="J3238" s="64">
        <f t="shared" si="674"/>
        <v>0</v>
      </c>
      <c r="K3238" s="63">
        <f t="shared" si="675"/>
        <v>0</v>
      </c>
      <c r="L3238" s="63">
        <f t="shared" si="676"/>
        <v>0</v>
      </c>
      <c r="N3238" s="10" t="str">
        <f t="shared" si="678"/>
        <v>Philadelphia Union30</v>
      </c>
      <c r="O3238" s="10">
        <f t="shared" si="679"/>
        <v>0</v>
      </c>
      <c r="P3238" s="10">
        <f t="shared" si="680"/>
        <v>0</v>
      </c>
      <c r="Q3238" s="10">
        <f t="shared" si="681"/>
        <v>0</v>
      </c>
    </row>
    <row r="3239" spans="1:17">
      <c r="A3239" s="15">
        <f t="shared" si="677"/>
        <v>30</v>
      </c>
      <c r="B3239" s="15"/>
      <c r="C3239" s="17" t="str">
        <f>Fixture!E244</f>
        <v>Dallas</v>
      </c>
      <c r="D3239" s="18">
        <f>IF(E3239=0,0,IF(Fixture!D244&lt;Fixture!F244,3,IF(Fixture!F244&lt;Fixture!D244,0,1)))</f>
        <v>0</v>
      </c>
      <c r="E3239" s="18">
        <f t="shared" si="671"/>
        <v>0</v>
      </c>
      <c r="F3239" s="18">
        <f>IF(E3239=0,0,IF(Fixture!D244&lt;Fixture!F244,1,IF(Fixture!F244&lt;Fixture!D244,0,0)))</f>
        <v>0</v>
      </c>
      <c r="G3239" s="18">
        <f>IF(E3239=0,0,IF(Fixture!D244&lt;Fixture!F244,0,IF(Fixture!F244&lt;Fixture!D244,0,1)))</f>
        <v>0</v>
      </c>
      <c r="H3239" s="18">
        <f t="shared" si="672"/>
        <v>0</v>
      </c>
      <c r="I3239" s="64">
        <f t="shared" si="673"/>
        <v>0</v>
      </c>
      <c r="J3239" s="64">
        <f t="shared" si="674"/>
        <v>0</v>
      </c>
      <c r="K3239" s="63">
        <f t="shared" si="675"/>
        <v>0</v>
      </c>
      <c r="L3239" s="63">
        <f t="shared" si="676"/>
        <v>0</v>
      </c>
      <c r="N3239" s="10" t="str">
        <f t="shared" si="678"/>
        <v>Dallas30</v>
      </c>
      <c r="O3239" s="10">
        <f t="shared" si="679"/>
        <v>0</v>
      </c>
      <c r="P3239" s="10">
        <f t="shared" si="680"/>
        <v>0</v>
      </c>
      <c r="Q3239" s="10">
        <f t="shared" si="681"/>
        <v>0</v>
      </c>
    </row>
    <row r="3240" spans="1:17">
      <c r="A3240" s="15">
        <f t="shared" si="677"/>
        <v>0</v>
      </c>
      <c r="B3240" s="15"/>
      <c r="C3240" s="17">
        <f>Fixture!E245</f>
        <v>0</v>
      </c>
      <c r="D3240" s="18">
        <f>IF(E3240=0,0,IF(Fixture!D245&lt;Fixture!F245,3,IF(Fixture!F245&lt;Fixture!D245,0,1)))</f>
        <v>0</v>
      </c>
      <c r="E3240" s="18">
        <f t="shared" si="671"/>
        <v>0</v>
      </c>
      <c r="F3240" s="18">
        <f>IF(E3240=0,0,IF(Fixture!D245&lt;Fixture!F245,1,IF(Fixture!F245&lt;Fixture!D245,0,0)))</f>
        <v>0</v>
      </c>
      <c r="G3240" s="18">
        <f>IF(E3240=0,0,IF(Fixture!D245&lt;Fixture!F245,0,IF(Fixture!F245&lt;Fixture!D245,0,1)))</f>
        <v>0</v>
      </c>
      <c r="H3240" s="18">
        <f t="shared" si="672"/>
        <v>0</v>
      </c>
      <c r="I3240" s="64">
        <f t="shared" si="673"/>
        <v>0</v>
      </c>
      <c r="J3240" s="64">
        <f t="shared" si="674"/>
        <v>0</v>
      </c>
      <c r="K3240" s="63">
        <f t="shared" si="675"/>
        <v>0</v>
      </c>
      <c r="L3240" s="63">
        <f t="shared" si="676"/>
        <v>0</v>
      </c>
      <c r="N3240" s="10" t="str">
        <f t="shared" si="678"/>
        <v>00</v>
      </c>
      <c r="O3240" s="10">
        <f t="shared" si="679"/>
        <v>0</v>
      </c>
      <c r="P3240" s="10">
        <f t="shared" si="680"/>
        <v>0</v>
      </c>
      <c r="Q3240" s="10">
        <f t="shared" si="681"/>
        <v>0</v>
      </c>
    </row>
    <row r="3241" spans="1:17">
      <c r="A3241" s="15">
        <f t="shared" si="677"/>
        <v>0</v>
      </c>
      <c r="B3241" s="15"/>
      <c r="C3241" s="17">
        <f>Fixture!E246</f>
        <v>0</v>
      </c>
      <c r="D3241" s="18">
        <f>IF(E3241=0,0,IF(Fixture!D246&lt;Fixture!F246,3,IF(Fixture!F246&lt;Fixture!D246,0,1)))</f>
        <v>0</v>
      </c>
      <c r="E3241" s="18">
        <f t="shared" si="671"/>
        <v>0</v>
      </c>
      <c r="F3241" s="18">
        <f>IF(E3241=0,0,IF(Fixture!D246&lt;Fixture!F246,1,IF(Fixture!F246&lt;Fixture!D246,0,0)))</f>
        <v>0</v>
      </c>
      <c r="G3241" s="18">
        <f>IF(E3241=0,0,IF(Fixture!D246&lt;Fixture!F246,0,IF(Fixture!F246&lt;Fixture!D246,0,1)))</f>
        <v>0</v>
      </c>
      <c r="H3241" s="18">
        <f t="shared" si="672"/>
        <v>0</v>
      </c>
      <c r="I3241" s="64">
        <f t="shared" si="673"/>
        <v>0</v>
      </c>
      <c r="J3241" s="64">
        <f t="shared" si="674"/>
        <v>0</v>
      </c>
      <c r="K3241" s="63">
        <f t="shared" si="675"/>
        <v>0</v>
      </c>
      <c r="L3241" s="63">
        <f t="shared" si="676"/>
        <v>0</v>
      </c>
      <c r="N3241" s="10" t="str">
        <f t="shared" si="678"/>
        <v>00</v>
      </c>
      <c r="O3241" s="10">
        <f t="shared" si="679"/>
        <v>0</v>
      </c>
      <c r="P3241" s="10">
        <f t="shared" si="680"/>
        <v>0</v>
      </c>
      <c r="Q3241" s="10">
        <f t="shared" si="681"/>
        <v>0</v>
      </c>
    </row>
    <row r="3242" spans="1:17">
      <c r="A3242" s="15">
        <f t="shared" si="677"/>
        <v>0</v>
      </c>
      <c r="B3242" s="15"/>
      <c r="C3242" s="17">
        <f>Fixture!E247</f>
        <v>0</v>
      </c>
      <c r="D3242" s="18">
        <f>IF(E3242=0,0,IF(Fixture!D247&lt;Fixture!F247,3,IF(Fixture!F247&lt;Fixture!D247,0,1)))</f>
        <v>0</v>
      </c>
      <c r="E3242" s="18">
        <f t="shared" si="671"/>
        <v>0</v>
      </c>
      <c r="F3242" s="18">
        <f>IF(E3242=0,0,IF(Fixture!D247&lt;Fixture!F247,1,IF(Fixture!F247&lt;Fixture!D247,0,0)))</f>
        <v>0</v>
      </c>
      <c r="G3242" s="18">
        <f>IF(E3242=0,0,IF(Fixture!D247&lt;Fixture!F247,0,IF(Fixture!F247&lt;Fixture!D247,0,1)))</f>
        <v>0</v>
      </c>
      <c r="H3242" s="18">
        <f t="shared" si="672"/>
        <v>0</v>
      </c>
      <c r="I3242" s="64">
        <f t="shared" si="673"/>
        <v>0</v>
      </c>
      <c r="J3242" s="64">
        <f t="shared" si="674"/>
        <v>0</v>
      </c>
      <c r="K3242" s="63">
        <f t="shared" si="675"/>
        <v>0</v>
      </c>
      <c r="L3242" s="63">
        <f t="shared" si="676"/>
        <v>0</v>
      </c>
      <c r="N3242" s="10" t="str">
        <f t="shared" si="678"/>
        <v>00</v>
      </c>
      <c r="O3242" s="10">
        <f t="shared" si="679"/>
        <v>0</v>
      </c>
      <c r="P3242" s="10">
        <f t="shared" si="680"/>
        <v>0</v>
      </c>
      <c r="Q3242" s="10">
        <f t="shared" si="681"/>
        <v>0</v>
      </c>
    </row>
    <row r="3243" spans="1:17">
      <c r="A3243" s="15">
        <f t="shared" si="677"/>
        <v>0</v>
      </c>
      <c r="B3243" s="15"/>
      <c r="C3243" s="17">
        <f>Fixture!E248</f>
        <v>0</v>
      </c>
      <c r="D3243" s="18">
        <f>IF(E3243=0,0,IF(Fixture!D248&lt;Fixture!F248,3,IF(Fixture!F248&lt;Fixture!D248,0,1)))</f>
        <v>0</v>
      </c>
      <c r="E3243" s="18">
        <f t="shared" si="671"/>
        <v>0</v>
      </c>
      <c r="F3243" s="18">
        <f>IF(E3243=0,0,IF(Fixture!D248&lt;Fixture!F248,1,IF(Fixture!F248&lt;Fixture!D248,0,0)))</f>
        <v>0</v>
      </c>
      <c r="G3243" s="18">
        <f>IF(E3243=0,0,IF(Fixture!D248&lt;Fixture!F248,0,IF(Fixture!F248&lt;Fixture!D248,0,1)))</f>
        <v>0</v>
      </c>
      <c r="H3243" s="18">
        <f t="shared" si="672"/>
        <v>0</v>
      </c>
      <c r="I3243" s="64">
        <f t="shared" si="673"/>
        <v>0</v>
      </c>
      <c r="J3243" s="64">
        <f t="shared" si="674"/>
        <v>0</v>
      </c>
      <c r="K3243" s="63">
        <f t="shared" si="675"/>
        <v>0</v>
      </c>
      <c r="L3243" s="63">
        <f t="shared" si="676"/>
        <v>0</v>
      </c>
      <c r="N3243" s="10" t="str">
        <f t="shared" si="678"/>
        <v>00</v>
      </c>
      <c r="O3243" s="10">
        <f t="shared" si="679"/>
        <v>0</v>
      </c>
      <c r="P3243" s="10">
        <f t="shared" si="680"/>
        <v>0</v>
      </c>
      <c r="Q3243" s="10">
        <f t="shared" si="681"/>
        <v>0</v>
      </c>
    </row>
    <row r="3244" spans="1:17">
      <c r="A3244" s="15">
        <f t="shared" si="677"/>
        <v>0</v>
      </c>
      <c r="B3244" s="15"/>
      <c r="C3244" s="17">
        <f>Fixture!E249</f>
        <v>0</v>
      </c>
      <c r="D3244" s="18">
        <f>IF(E3244=0,0,IF(Fixture!D249&lt;Fixture!F249,3,IF(Fixture!F249&lt;Fixture!D249,0,1)))</f>
        <v>0</v>
      </c>
      <c r="E3244" s="18">
        <f t="shared" si="671"/>
        <v>0</v>
      </c>
      <c r="F3244" s="18">
        <f>IF(E3244=0,0,IF(Fixture!D249&lt;Fixture!F249,1,IF(Fixture!F249&lt;Fixture!D249,0,0)))</f>
        <v>0</v>
      </c>
      <c r="G3244" s="18">
        <f>IF(E3244=0,0,IF(Fixture!D249&lt;Fixture!F249,0,IF(Fixture!F249&lt;Fixture!D249,0,1)))</f>
        <v>0</v>
      </c>
      <c r="H3244" s="18">
        <f t="shared" si="672"/>
        <v>0</v>
      </c>
      <c r="I3244" s="64">
        <f t="shared" si="673"/>
        <v>0</v>
      </c>
      <c r="J3244" s="64">
        <f t="shared" si="674"/>
        <v>0</v>
      </c>
      <c r="K3244" s="63">
        <f t="shared" si="675"/>
        <v>0</v>
      </c>
      <c r="L3244" s="63">
        <f t="shared" si="676"/>
        <v>0</v>
      </c>
      <c r="N3244" s="10" t="str">
        <f t="shared" si="678"/>
        <v>00</v>
      </c>
      <c r="O3244" s="10">
        <f t="shared" si="679"/>
        <v>0</v>
      </c>
      <c r="P3244" s="10">
        <f t="shared" si="680"/>
        <v>0</v>
      </c>
      <c r="Q3244" s="10">
        <f t="shared" si="681"/>
        <v>0</v>
      </c>
    </row>
    <row r="3245" spans="1:17">
      <c r="A3245" s="15">
        <f t="shared" si="677"/>
        <v>0</v>
      </c>
      <c r="B3245" s="15"/>
      <c r="C3245" s="17">
        <f>Fixture!E250</f>
        <v>0</v>
      </c>
      <c r="D3245" s="18">
        <f>IF(E3245=0,0,IF(Fixture!D250&lt;Fixture!F250,3,IF(Fixture!F250&lt;Fixture!D250,0,1)))</f>
        <v>0</v>
      </c>
      <c r="E3245" s="18">
        <f t="shared" si="671"/>
        <v>0</v>
      </c>
      <c r="F3245" s="18">
        <f>IF(E3245=0,0,IF(Fixture!D250&lt;Fixture!F250,1,IF(Fixture!F250&lt;Fixture!D250,0,0)))</f>
        <v>0</v>
      </c>
      <c r="G3245" s="18">
        <f>IF(E3245=0,0,IF(Fixture!D250&lt;Fixture!F250,0,IF(Fixture!F250&lt;Fixture!D250,0,1)))</f>
        <v>0</v>
      </c>
      <c r="H3245" s="18">
        <f t="shared" si="672"/>
        <v>0</v>
      </c>
      <c r="I3245" s="64">
        <f t="shared" si="673"/>
        <v>0</v>
      </c>
      <c r="J3245" s="64">
        <f t="shared" si="674"/>
        <v>0</v>
      </c>
      <c r="K3245" s="63">
        <f t="shared" si="675"/>
        <v>0</v>
      </c>
      <c r="L3245" s="63">
        <f t="shared" si="676"/>
        <v>0</v>
      </c>
      <c r="N3245" s="10" t="str">
        <f t="shared" si="678"/>
        <v>00</v>
      </c>
      <c r="O3245" s="10">
        <f t="shared" si="679"/>
        <v>0</v>
      </c>
      <c r="P3245" s="10">
        <f t="shared" si="680"/>
        <v>0</v>
      </c>
      <c r="Q3245" s="10">
        <f t="shared" si="681"/>
        <v>0</v>
      </c>
    </row>
    <row r="3246" spans="1:17">
      <c r="A3246" s="15">
        <f t="shared" si="677"/>
        <v>0</v>
      </c>
      <c r="B3246" s="15"/>
      <c r="C3246" s="17">
        <f>Fixture!E251</f>
        <v>0</v>
      </c>
      <c r="D3246" s="18">
        <f>IF(E3246=0,0,IF(Fixture!D251&lt;Fixture!F251,3,IF(Fixture!F251&lt;Fixture!D251,0,1)))</f>
        <v>0</v>
      </c>
      <c r="E3246" s="18">
        <f t="shared" si="671"/>
        <v>0</v>
      </c>
      <c r="F3246" s="18">
        <f>IF(E3246=0,0,IF(Fixture!D251&lt;Fixture!F251,1,IF(Fixture!F251&lt;Fixture!D251,0,0)))</f>
        <v>0</v>
      </c>
      <c r="G3246" s="18">
        <f>IF(E3246=0,0,IF(Fixture!D251&lt;Fixture!F251,0,IF(Fixture!F251&lt;Fixture!D251,0,1)))</f>
        <v>0</v>
      </c>
      <c r="H3246" s="18">
        <f t="shared" si="672"/>
        <v>0</v>
      </c>
      <c r="I3246" s="64">
        <f t="shared" si="673"/>
        <v>0</v>
      </c>
      <c r="J3246" s="64">
        <f t="shared" si="674"/>
        <v>0</v>
      </c>
      <c r="K3246" s="63">
        <f t="shared" si="675"/>
        <v>0</v>
      </c>
      <c r="L3246" s="63">
        <f t="shared" si="676"/>
        <v>0</v>
      </c>
      <c r="N3246" s="10" t="str">
        <f t="shared" si="678"/>
        <v>00</v>
      </c>
      <c r="O3246" s="10">
        <f t="shared" si="679"/>
        <v>0</v>
      </c>
      <c r="P3246" s="10">
        <f t="shared" si="680"/>
        <v>0</v>
      </c>
      <c r="Q3246" s="10">
        <f t="shared" si="681"/>
        <v>0</v>
      </c>
    </row>
    <row r="3247" spans="1:17">
      <c r="A3247" s="15">
        <f t="shared" si="677"/>
        <v>0</v>
      </c>
      <c r="B3247" s="15"/>
      <c r="C3247" s="17">
        <f>Fixture!E252</f>
        <v>0</v>
      </c>
      <c r="D3247" s="18">
        <f>IF(E3247=0,0,IF(Fixture!D252&lt;Fixture!F252,3,IF(Fixture!F252&lt;Fixture!D252,0,1)))</f>
        <v>0</v>
      </c>
      <c r="E3247" s="18">
        <f t="shared" si="671"/>
        <v>0</v>
      </c>
      <c r="F3247" s="18">
        <f>IF(E3247=0,0,IF(Fixture!D252&lt;Fixture!F252,1,IF(Fixture!F252&lt;Fixture!D252,0,0)))</f>
        <v>0</v>
      </c>
      <c r="G3247" s="18">
        <f>IF(E3247=0,0,IF(Fixture!D252&lt;Fixture!F252,0,IF(Fixture!F252&lt;Fixture!D252,0,1)))</f>
        <v>0</v>
      </c>
      <c r="H3247" s="18">
        <f t="shared" si="672"/>
        <v>0</v>
      </c>
      <c r="I3247" s="64">
        <f t="shared" si="673"/>
        <v>0</v>
      </c>
      <c r="J3247" s="64">
        <f t="shared" si="674"/>
        <v>0</v>
      </c>
      <c r="K3247" s="63">
        <f t="shared" si="675"/>
        <v>0</v>
      </c>
      <c r="L3247" s="63">
        <f t="shared" si="676"/>
        <v>0</v>
      </c>
      <c r="N3247" s="10" t="str">
        <f t="shared" si="678"/>
        <v>00</v>
      </c>
      <c r="O3247" s="10">
        <f t="shared" si="679"/>
        <v>0</v>
      </c>
      <c r="P3247" s="10">
        <f t="shared" si="680"/>
        <v>0</v>
      </c>
      <c r="Q3247" s="10">
        <f t="shared" si="681"/>
        <v>0</v>
      </c>
    </row>
    <row r="3248" spans="1:17">
      <c r="A3248" s="15">
        <f t="shared" si="677"/>
        <v>0</v>
      </c>
      <c r="B3248" s="15"/>
      <c r="C3248" s="17">
        <f>Fixture!E253</f>
        <v>0</v>
      </c>
      <c r="D3248" s="18">
        <f>IF(E3248=0,0,IF(Fixture!D253&lt;Fixture!F253,3,IF(Fixture!F253&lt;Fixture!D253,0,1)))</f>
        <v>0</v>
      </c>
      <c r="E3248" s="18">
        <f t="shared" si="671"/>
        <v>0</v>
      </c>
      <c r="F3248" s="18">
        <f>IF(E3248=0,0,IF(Fixture!D253&lt;Fixture!F253,1,IF(Fixture!F253&lt;Fixture!D253,0,0)))</f>
        <v>0</v>
      </c>
      <c r="G3248" s="18">
        <f>IF(E3248=0,0,IF(Fixture!D253&lt;Fixture!F253,0,IF(Fixture!F253&lt;Fixture!D253,0,1)))</f>
        <v>0</v>
      </c>
      <c r="H3248" s="18">
        <f t="shared" si="672"/>
        <v>0</v>
      </c>
      <c r="I3248" s="64">
        <f t="shared" si="673"/>
        <v>0</v>
      </c>
      <c r="J3248" s="64">
        <f t="shared" si="674"/>
        <v>0</v>
      </c>
      <c r="K3248" s="63">
        <f t="shared" si="675"/>
        <v>0</v>
      </c>
      <c r="L3248" s="63">
        <f t="shared" si="676"/>
        <v>0</v>
      </c>
      <c r="N3248" s="10" t="str">
        <f t="shared" si="678"/>
        <v>00</v>
      </c>
      <c r="O3248" s="10">
        <f t="shared" si="679"/>
        <v>0</v>
      </c>
      <c r="P3248" s="10">
        <f t="shared" si="680"/>
        <v>0</v>
      </c>
      <c r="Q3248" s="10">
        <f t="shared" si="681"/>
        <v>0</v>
      </c>
    </row>
    <row r="3249" spans="1:17">
      <c r="A3249" s="15">
        <f t="shared" si="677"/>
        <v>0</v>
      </c>
      <c r="B3249" s="15"/>
      <c r="C3249" s="17">
        <f>Fixture!E254</f>
        <v>0</v>
      </c>
      <c r="D3249" s="18">
        <f>IF(E3249=0,0,IF(Fixture!D254&lt;Fixture!F254,3,IF(Fixture!F254&lt;Fixture!D254,0,1)))</f>
        <v>0</v>
      </c>
      <c r="E3249" s="18">
        <f t="shared" si="671"/>
        <v>0</v>
      </c>
      <c r="F3249" s="18">
        <f>IF(E3249=0,0,IF(Fixture!D254&lt;Fixture!F254,1,IF(Fixture!F254&lt;Fixture!D254,0,0)))</f>
        <v>0</v>
      </c>
      <c r="G3249" s="18">
        <f>IF(E3249=0,0,IF(Fixture!D254&lt;Fixture!F254,0,IF(Fixture!F254&lt;Fixture!D254,0,1)))</f>
        <v>0</v>
      </c>
      <c r="H3249" s="18">
        <f t="shared" si="672"/>
        <v>0</v>
      </c>
      <c r="I3249" s="64">
        <f t="shared" si="673"/>
        <v>0</v>
      </c>
      <c r="J3249" s="64">
        <f t="shared" si="674"/>
        <v>0</v>
      </c>
      <c r="K3249" s="63">
        <f t="shared" si="675"/>
        <v>0</v>
      </c>
      <c r="L3249" s="63">
        <f t="shared" si="676"/>
        <v>0</v>
      </c>
      <c r="N3249" s="10" t="str">
        <f t="shared" si="678"/>
        <v>00</v>
      </c>
      <c r="O3249" s="10">
        <f t="shared" si="679"/>
        <v>0</v>
      </c>
      <c r="P3249" s="10">
        <f t="shared" si="680"/>
        <v>0</v>
      </c>
      <c r="Q3249" s="10">
        <f t="shared" si="681"/>
        <v>0</v>
      </c>
    </row>
    <row r="3250" spans="1:17">
      <c r="A3250" s="15">
        <f t="shared" si="677"/>
        <v>0</v>
      </c>
      <c r="B3250" s="15"/>
      <c r="C3250" s="17">
        <f>Fixture!E255</f>
        <v>0</v>
      </c>
      <c r="D3250" s="18">
        <f>IF(E3250=0,0,IF(Fixture!D255&lt;Fixture!F255,3,IF(Fixture!F255&lt;Fixture!D255,0,1)))</f>
        <v>0</v>
      </c>
      <c r="E3250" s="18">
        <f t="shared" si="671"/>
        <v>0</v>
      </c>
      <c r="F3250" s="18">
        <f>IF(E3250=0,0,IF(Fixture!D255&lt;Fixture!F255,1,IF(Fixture!F255&lt;Fixture!D255,0,0)))</f>
        <v>0</v>
      </c>
      <c r="G3250" s="18">
        <f>IF(E3250=0,0,IF(Fixture!D255&lt;Fixture!F255,0,IF(Fixture!F255&lt;Fixture!D255,0,1)))</f>
        <v>0</v>
      </c>
      <c r="H3250" s="18">
        <f t="shared" si="672"/>
        <v>0</v>
      </c>
      <c r="I3250" s="64">
        <f t="shared" si="673"/>
        <v>0</v>
      </c>
      <c r="J3250" s="64">
        <f t="shared" si="674"/>
        <v>0</v>
      </c>
      <c r="K3250" s="63">
        <f t="shared" si="675"/>
        <v>0</v>
      </c>
      <c r="L3250" s="63">
        <f t="shared" si="676"/>
        <v>0</v>
      </c>
      <c r="N3250" s="10" t="str">
        <f t="shared" si="678"/>
        <v>00</v>
      </c>
      <c r="O3250" s="10">
        <f t="shared" si="679"/>
        <v>0</v>
      </c>
      <c r="P3250" s="10">
        <f t="shared" si="680"/>
        <v>0</v>
      </c>
      <c r="Q3250" s="10">
        <f t="shared" si="681"/>
        <v>0</v>
      </c>
    </row>
    <row r="3251" spans="1:17">
      <c r="A3251" s="15">
        <f t="shared" si="677"/>
        <v>0</v>
      </c>
      <c r="B3251" s="15"/>
      <c r="C3251" s="17">
        <f>Fixture!E256</f>
        <v>0</v>
      </c>
      <c r="D3251" s="18">
        <f>IF(E3251=0,0,IF(Fixture!D256&lt;Fixture!F256,3,IF(Fixture!F256&lt;Fixture!D256,0,1)))</f>
        <v>0</v>
      </c>
      <c r="E3251" s="18">
        <f t="shared" si="671"/>
        <v>0</v>
      </c>
      <c r="F3251" s="18">
        <f>IF(E3251=0,0,IF(Fixture!D256&lt;Fixture!F256,1,IF(Fixture!F256&lt;Fixture!D256,0,0)))</f>
        <v>0</v>
      </c>
      <c r="G3251" s="18">
        <f>IF(E3251=0,0,IF(Fixture!D256&lt;Fixture!F256,0,IF(Fixture!F256&lt;Fixture!D256,0,1)))</f>
        <v>0</v>
      </c>
      <c r="H3251" s="18">
        <f t="shared" si="672"/>
        <v>0</v>
      </c>
      <c r="I3251" s="64">
        <f t="shared" si="673"/>
        <v>0</v>
      </c>
      <c r="J3251" s="64">
        <f t="shared" si="674"/>
        <v>0</v>
      </c>
      <c r="K3251" s="63">
        <f t="shared" si="675"/>
        <v>0</v>
      </c>
      <c r="L3251" s="63">
        <f t="shared" si="676"/>
        <v>0</v>
      </c>
      <c r="N3251" s="10" t="str">
        <f t="shared" si="678"/>
        <v>00</v>
      </c>
      <c r="O3251" s="10">
        <f t="shared" si="679"/>
        <v>0</v>
      </c>
      <c r="P3251" s="10">
        <f t="shared" si="680"/>
        <v>0</v>
      </c>
      <c r="Q3251" s="10">
        <f t="shared" si="681"/>
        <v>0</v>
      </c>
    </row>
    <row r="3252" spans="1:17">
      <c r="A3252" s="15">
        <f t="shared" si="677"/>
        <v>0</v>
      </c>
      <c r="B3252" s="15"/>
      <c r="C3252" s="17">
        <f>Fixture!E257</f>
        <v>0</v>
      </c>
      <c r="D3252" s="18">
        <f>IF(E3252=0,0,IF(Fixture!D257&lt;Fixture!F257,3,IF(Fixture!F257&lt;Fixture!D257,0,1)))</f>
        <v>0</v>
      </c>
      <c r="E3252" s="18">
        <f t="shared" si="671"/>
        <v>0</v>
      </c>
      <c r="F3252" s="18">
        <f>IF(E3252=0,0,IF(Fixture!D257&lt;Fixture!F257,1,IF(Fixture!F257&lt;Fixture!D257,0,0)))</f>
        <v>0</v>
      </c>
      <c r="G3252" s="18">
        <f>IF(E3252=0,0,IF(Fixture!D257&lt;Fixture!F257,0,IF(Fixture!F257&lt;Fixture!D257,0,1)))</f>
        <v>0</v>
      </c>
      <c r="H3252" s="18">
        <f t="shared" si="672"/>
        <v>0</v>
      </c>
      <c r="I3252" s="64">
        <f t="shared" si="673"/>
        <v>0</v>
      </c>
      <c r="J3252" s="64">
        <f t="shared" si="674"/>
        <v>0</v>
      </c>
      <c r="K3252" s="63">
        <f t="shared" si="675"/>
        <v>0</v>
      </c>
      <c r="L3252" s="63">
        <f t="shared" si="676"/>
        <v>0</v>
      </c>
      <c r="N3252" s="10" t="str">
        <f t="shared" si="678"/>
        <v>00</v>
      </c>
      <c r="O3252" s="10">
        <f t="shared" si="679"/>
        <v>0</v>
      </c>
      <c r="P3252" s="10">
        <f t="shared" si="680"/>
        <v>0</v>
      </c>
      <c r="Q3252" s="10">
        <f t="shared" si="681"/>
        <v>0</v>
      </c>
    </row>
    <row r="3253" spans="1:17">
      <c r="A3253" s="15">
        <f t="shared" si="677"/>
        <v>0</v>
      </c>
      <c r="B3253" s="15"/>
      <c r="C3253" s="17">
        <f>Fixture!E258</f>
        <v>0</v>
      </c>
      <c r="D3253" s="18">
        <f>IF(E3253=0,0,IF(Fixture!D258&lt;Fixture!F258,3,IF(Fixture!F258&lt;Fixture!D258,0,1)))</f>
        <v>0</v>
      </c>
      <c r="E3253" s="18">
        <f t="shared" si="671"/>
        <v>0</v>
      </c>
      <c r="F3253" s="18">
        <f>IF(E3253=0,0,IF(Fixture!D258&lt;Fixture!F258,1,IF(Fixture!F258&lt;Fixture!D258,0,0)))</f>
        <v>0</v>
      </c>
      <c r="G3253" s="18">
        <f>IF(E3253=0,0,IF(Fixture!D258&lt;Fixture!F258,0,IF(Fixture!F258&lt;Fixture!D258,0,1)))</f>
        <v>0</v>
      </c>
      <c r="H3253" s="18">
        <f t="shared" si="672"/>
        <v>0</v>
      </c>
      <c r="I3253" s="64">
        <f t="shared" si="673"/>
        <v>0</v>
      </c>
      <c r="J3253" s="64">
        <f t="shared" si="674"/>
        <v>0</v>
      </c>
      <c r="K3253" s="63">
        <f t="shared" si="675"/>
        <v>0</v>
      </c>
      <c r="L3253" s="63">
        <f t="shared" si="676"/>
        <v>0</v>
      </c>
      <c r="N3253" s="10" t="str">
        <f t="shared" si="678"/>
        <v>00</v>
      </c>
      <c r="O3253" s="10">
        <f t="shared" si="679"/>
        <v>0</v>
      </c>
      <c r="P3253" s="10">
        <f t="shared" si="680"/>
        <v>0</v>
      </c>
      <c r="Q3253" s="10">
        <f t="shared" si="681"/>
        <v>0</v>
      </c>
    </row>
    <row r="3254" spans="1:17">
      <c r="A3254" s="15">
        <f t="shared" si="677"/>
        <v>0</v>
      </c>
      <c r="B3254" s="15"/>
      <c r="C3254" s="17">
        <f>Fixture!E259</f>
        <v>0</v>
      </c>
      <c r="D3254" s="18">
        <f>IF(E3254=0,0,IF(Fixture!D259&lt;Fixture!F259,3,IF(Fixture!F259&lt;Fixture!D259,0,1)))</f>
        <v>0</v>
      </c>
      <c r="E3254" s="18">
        <f t="shared" si="671"/>
        <v>0</v>
      </c>
      <c r="F3254" s="18">
        <f>IF(E3254=0,0,IF(Fixture!D259&lt;Fixture!F259,1,IF(Fixture!F259&lt;Fixture!D259,0,0)))</f>
        <v>0</v>
      </c>
      <c r="G3254" s="18">
        <f>IF(E3254=0,0,IF(Fixture!D259&lt;Fixture!F259,0,IF(Fixture!F259&lt;Fixture!D259,0,1)))</f>
        <v>0</v>
      </c>
      <c r="H3254" s="18">
        <f t="shared" si="672"/>
        <v>0</v>
      </c>
      <c r="I3254" s="64">
        <f t="shared" si="673"/>
        <v>0</v>
      </c>
      <c r="J3254" s="64">
        <f t="shared" si="674"/>
        <v>0</v>
      </c>
      <c r="K3254" s="63">
        <f t="shared" si="675"/>
        <v>0</v>
      </c>
      <c r="L3254" s="63">
        <f t="shared" si="676"/>
        <v>0</v>
      </c>
      <c r="N3254" s="10" t="str">
        <f t="shared" si="678"/>
        <v>00</v>
      </c>
      <c r="O3254" s="10">
        <f t="shared" si="679"/>
        <v>0</v>
      </c>
      <c r="P3254" s="10">
        <f t="shared" si="680"/>
        <v>0</v>
      </c>
      <c r="Q3254" s="10">
        <f t="shared" si="681"/>
        <v>0</v>
      </c>
    </row>
    <row r="3255" spans="1:17">
      <c r="A3255" s="15">
        <f t="shared" si="677"/>
        <v>0</v>
      </c>
      <c r="B3255" s="15"/>
      <c r="C3255" s="17">
        <f>Fixture!E260</f>
        <v>0</v>
      </c>
      <c r="D3255" s="18">
        <f>IF(E3255=0,0,IF(Fixture!D260&lt;Fixture!F260,3,IF(Fixture!F260&lt;Fixture!D260,0,1)))</f>
        <v>0</v>
      </c>
      <c r="E3255" s="18">
        <f t="shared" si="671"/>
        <v>0</v>
      </c>
      <c r="F3255" s="18">
        <f>IF(E3255=0,0,IF(Fixture!D260&lt;Fixture!F260,1,IF(Fixture!F260&lt;Fixture!D260,0,0)))</f>
        <v>0</v>
      </c>
      <c r="G3255" s="18">
        <f>IF(E3255=0,0,IF(Fixture!D260&lt;Fixture!F260,0,IF(Fixture!F260&lt;Fixture!D260,0,1)))</f>
        <v>0</v>
      </c>
      <c r="H3255" s="18">
        <f t="shared" si="672"/>
        <v>0</v>
      </c>
      <c r="I3255" s="64">
        <f t="shared" si="673"/>
        <v>0</v>
      </c>
      <c r="J3255" s="64">
        <f t="shared" si="674"/>
        <v>0</v>
      </c>
      <c r="K3255" s="63">
        <f t="shared" si="675"/>
        <v>0</v>
      </c>
      <c r="L3255" s="63">
        <f t="shared" si="676"/>
        <v>0</v>
      </c>
      <c r="N3255" s="10" t="str">
        <f t="shared" si="678"/>
        <v>00</v>
      </c>
      <c r="O3255" s="10">
        <f t="shared" si="679"/>
        <v>0</v>
      </c>
      <c r="P3255" s="10">
        <f t="shared" si="680"/>
        <v>0</v>
      </c>
      <c r="Q3255" s="10">
        <f t="shared" si="681"/>
        <v>0</v>
      </c>
    </row>
    <row r="3256" spans="1:17">
      <c r="A3256" s="15">
        <f t="shared" si="677"/>
        <v>0</v>
      </c>
      <c r="B3256" s="15"/>
      <c r="C3256" s="17">
        <f>Fixture!E261</f>
        <v>0</v>
      </c>
      <c r="D3256" s="18">
        <f>IF(E3256=0,0,IF(Fixture!D261&lt;Fixture!F261,3,IF(Fixture!F261&lt;Fixture!D261,0,1)))</f>
        <v>0</v>
      </c>
      <c r="E3256" s="18">
        <f t="shared" ref="E3256:E3319" si="682">E2257</f>
        <v>0</v>
      </c>
      <c r="F3256" s="18">
        <f>IF(E3256=0,0,IF(Fixture!D261&lt;Fixture!F261,1,IF(Fixture!F261&lt;Fixture!D261,0,0)))</f>
        <v>0</v>
      </c>
      <c r="G3256" s="18">
        <f>IF(E3256=0,0,IF(Fixture!D261&lt;Fixture!F261,0,IF(Fixture!F261&lt;Fixture!D261,0,1)))</f>
        <v>0</v>
      </c>
      <c r="H3256" s="18">
        <f t="shared" ref="H3256:H3319" si="683">IF(E3256=0,0,IF(D3256&lt;&gt;0,0,1))</f>
        <v>0</v>
      </c>
      <c r="I3256" s="64">
        <f t="shared" ref="I3256:I3319" si="684">J2257</f>
        <v>0</v>
      </c>
      <c r="J3256" s="64">
        <f t="shared" ref="J3256:J3319" si="685">I2257</f>
        <v>0</v>
      </c>
      <c r="K3256" s="63">
        <f t="shared" ref="K3256:K3319" si="686">IF(E3256=0,0,IF(I3256&gt;0,0,1))</f>
        <v>0</v>
      </c>
      <c r="L3256" s="63">
        <f t="shared" ref="L3256:L3319" si="687">IF(E3256=0,0,IF(J3256&gt;0,0,1))</f>
        <v>0</v>
      </c>
      <c r="N3256" s="10" t="str">
        <f t="shared" si="678"/>
        <v>00</v>
      </c>
      <c r="O3256" s="10">
        <f t="shared" si="679"/>
        <v>0</v>
      </c>
      <c r="P3256" s="10">
        <f t="shared" si="680"/>
        <v>0</v>
      </c>
      <c r="Q3256" s="10">
        <f t="shared" si="681"/>
        <v>0</v>
      </c>
    </row>
    <row r="3257" spans="1:17">
      <c r="A3257" s="15">
        <f t="shared" ref="A3257:A3320" si="688">B301</f>
        <v>0</v>
      </c>
      <c r="B3257" s="15"/>
      <c r="C3257" s="17">
        <f>Fixture!E262</f>
        <v>0</v>
      </c>
      <c r="D3257" s="18">
        <f>IF(E3257=0,0,IF(Fixture!D262&lt;Fixture!F262,3,IF(Fixture!F262&lt;Fixture!D262,0,1)))</f>
        <v>0</v>
      </c>
      <c r="E3257" s="18">
        <f t="shared" si="682"/>
        <v>0</v>
      </c>
      <c r="F3257" s="18">
        <f>IF(E3257=0,0,IF(Fixture!D262&lt;Fixture!F262,1,IF(Fixture!F262&lt;Fixture!D262,0,0)))</f>
        <v>0</v>
      </c>
      <c r="G3257" s="18">
        <f>IF(E3257=0,0,IF(Fixture!D262&lt;Fixture!F262,0,IF(Fixture!F262&lt;Fixture!D262,0,1)))</f>
        <v>0</v>
      </c>
      <c r="H3257" s="18">
        <f t="shared" si="683"/>
        <v>0</v>
      </c>
      <c r="I3257" s="64">
        <f t="shared" si="684"/>
        <v>0</v>
      </c>
      <c r="J3257" s="64">
        <f t="shared" si="685"/>
        <v>0</v>
      </c>
      <c r="K3257" s="63">
        <f t="shared" si="686"/>
        <v>0</v>
      </c>
      <c r="L3257" s="63">
        <f t="shared" si="687"/>
        <v>0</v>
      </c>
      <c r="N3257" s="10" t="str">
        <f t="shared" si="678"/>
        <v>00</v>
      </c>
      <c r="O3257" s="10">
        <f t="shared" si="679"/>
        <v>0</v>
      </c>
      <c r="P3257" s="10">
        <f t="shared" si="680"/>
        <v>0</v>
      </c>
      <c r="Q3257" s="10">
        <f t="shared" si="681"/>
        <v>0</v>
      </c>
    </row>
    <row r="3258" spans="1:17">
      <c r="A3258" s="15">
        <f t="shared" si="688"/>
        <v>0</v>
      </c>
      <c r="B3258" s="15"/>
      <c r="C3258" s="17">
        <f>Fixture!E263</f>
        <v>0</v>
      </c>
      <c r="D3258" s="18">
        <f>IF(E3258=0,0,IF(Fixture!D263&lt;Fixture!F263,3,IF(Fixture!F263&lt;Fixture!D263,0,1)))</f>
        <v>0</v>
      </c>
      <c r="E3258" s="18">
        <f t="shared" si="682"/>
        <v>0</v>
      </c>
      <c r="F3258" s="18">
        <f>IF(E3258=0,0,IF(Fixture!D263&lt;Fixture!F263,1,IF(Fixture!F263&lt;Fixture!D263,0,0)))</f>
        <v>0</v>
      </c>
      <c r="G3258" s="18">
        <f>IF(E3258=0,0,IF(Fixture!D263&lt;Fixture!F263,0,IF(Fixture!F263&lt;Fixture!D263,0,1)))</f>
        <v>0</v>
      </c>
      <c r="H3258" s="18">
        <f t="shared" si="683"/>
        <v>0</v>
      </c>
      <c r="I3258" s="64">
        <f t="shared" si="684"/>
        <v>0</v>
      </c>
      <c r="J3258" s="64">
        <f t="shared" si="685"/>
        <v>0</v>
      </c>
      <c r="K3258" s="63">
        <f t="shared" si="686"/>
        <v>0</v>
      </c>
      <c r="L3258" s="63">
        <f t="shared" si="687"/>
        <v>0</v>
      </c>
      <c r="N3258" s="10" t="str">
        <f t="shared" si="678"/>
        <v>00</v>
      </c>
      <c r="O3258" s="10">
        <f t="shared" si="679"/>
        <v>0</v>
      </c>
      <c r="P3258" s="10">
        <f t="shared" si="680"/>
        <v>0</v>
      </c>
      <c r="Q3258" s="10">
        <f t="shared" si="681"/>
        <v>0</v>
      </c>
    </row>
    <row r="3259" spans="1:17">
      <c r="A3259" s="15">
        <f t="shared" si="688"/>
        <v>0</v>
      </c>
      <c r="B3259" s="15"/>
      <c r="C3259" s="17">
        <f>Fixture!E264</f>
        <v>0</v>
      </c>
      <c r="D3259" s="18">
        <f>IF(E3259=0,0,IF(Fixture!D264&lt;Fixture!F264,3,IF(Fixture!F264&lt;Fixture!D264,0,1)))</f>
        <v>0</v>
      </c>
      <c r="E3259" s="18">
        <f t="shared" si="682"/>
        <v>0</v>
      </c>
      <c r="F3259" s="18">
        <f>IF(E3259=0,0,IF(Fixture!D264&lt;Fixture!F264,1,IF(Fixture!F264&lt;Fixture!D264,0,0)))</f>
        <v>0</v>
      </c>
      <c r="G3259" s="18">
        <f>IF(E3259=0,0,IF(Fixture!D264&lt;Fixture!F264,0,IF(Fixture!F264&lt;Fixture!D264,0,1)))</f>
        <v>0</v>
      </c>
      <c r="H3259" s="18">
        <f t="shared" si="683"/>
        <v>0</v>
      </c>
      <c r="I3259" s="64">
        <f t="shared" si="684"/>
        <v>0</v>
      </c>
      <c r="J3259" s="64">
        <f t="shared" si="685"/>
        <v>0</v>
      </c>
      <c r="K3259" s="63">
        <f t="shared" si="686"/>
        <v>0</v>
      </c>
      <c r="L3259" s="63">
        <f t="shared" si="687"/>
        <v>0</v>
      </c>
      <c r="N3259" s="10" t="str">
        <f t="shared" si="678"/>
        <v>00</v>
      </c>
      <c r="O3259" s="10">
        <f t="shared" si="679"/>
        <v>0</v>
      </c>
      <c r="P3259" s="10">
        <f t="shared" si="680"/>
        <v>0</v>
      </c>
      <c r="Q3259" s="10">
        <f t="shared" si="681"/>
        <v>0</v>
      </c>
    </row>
    <row r="3260" spans="1:17">
      <c r="A3260" s="15">
        <f t="shared" si="688"/>
        <v>0</v>
      </c>
      <c r="B3260" s="15"/>
      <c r="C3260" s="17">
        <f>Fixture!E265</f>
        <v>0</v>
      </c>
      <c r="D3260" s="18">
        <f>IF(E3260=0,0,IF(Fixture!D265&lt;Fixture!F265,3,IF(Fixture!F265&lt;Fixture!D265,0,1)))</f>
        <v>0</v>
      </c>
      <c r="E3260" s="18">
        <f t="shared" si="682"/>
        <v>0</v>
      </c>
      <c r="F3260" s="18">
        <f>IF(E3260=0,0,IF(Fixture!D265&lt;Fixture!F265,1,IF(Fixture!F265&lt;Fixture!D265,0,0)))</f>
        <v>0</v>
      </c>
      <c r="G3260" s="18">
        <f>IF(E3260=0,0,IF(Fixture!D265&lt;Fixture!F265,0,IF(Fixture!F265&lt;Fixture!D265,0,1)))</f>
        <v>0</v>
      </c>
      <c r="H3260" s="18">
        <f t="shared" si="683"/>
        <v>0</v>
      </c>
      <c r="I3260" s="64">
        <f t="shared" si="684"/>
        <v>0</v>
      </c>
      <c r="J3260" s="64">
        <f t="shared" si="685"/>
        <v>0</v>
      </c>
      <c r="K3260" s="63">
        <f t="shared" si="686"/>
        <v>0</v>
      </c>
      <c r="L3260" s="63">
        <f t="shared" si="687"/>
        <v>0</v>
      </c>
      <c r="N3260" s="10" t="str">
        <f t="shared" si="678"/>
        <v>00</v>
      </c>
      <c r="O3260" s="10">
        <f t="shared" si="679"/>
        <v>0</v>
      </c>
      <c r="P3260" s="10">
        <f t="shared" si="680"/>
        <v>0</v>
      </c>
      <c r="Q3260" s="10">
        <f t="shared" si="681"/>
        <v>0</v>
      </c>
    </row>
    <row r="3261" spans="1:17">
      <c r="A3261" s="15">
        <f t="shared" si="688"/>
        <v>0</v>
      </c>
      <c r="B3261" s="15"/>
      <c r="C3261" s="17">
        <f>Fixture!E266</f>
        <v>0</v>
      </c>
      <c r="D3261" s="18">
        <f>IF(E3261=0,0,IF(Fixture!D266&lt;Fixture!F266,3,IF(Fixture!F266&lt;Fixture!D266,0,1)))</f>
        <v>0</v>
      </c>
      <c r="E3261" s="18">
        <f t="shared" si="682"/>
        <v>0</v>
      </c>
      <c r="F3261" s="18">
        <f>IF(E3261=0,0,IF(Fixture!D266&lt;Fixture!F266,1,IF(Fixture!F266&lt;Fixture!D266,0,0)))</f>
        <v>0</v>
      </c>
      <c r="G3261" s="18">
        <f>IF(E3261=0,0,IF(Fixture!D266&lt;Fixture!F266,0,IF(Fixture!F266&lt;Fixture!D266,0,1)))</f>
        <v>0</v>
      </c>
      <c r="H3261" s="18">
        <f t="shared" si="683"/>
        <v>0</v>
      </c>
      <c r="I3261" s="64">
        <f t="shared" si="684"/>
        <v>0</v>
      </c>
      <c r="J3261" s="64">
        <f t="shared" si="685"/>
        <v>0</v>
      </c>
      <c r="K3261" s="63">
        <f t="shared" si="686"/>
        <v>0</v>
      </c>
      <c r="L3261" s="63">
        <f t="shared" si="687"/>
        <v>0</v>
      </c>
      <c r="N3261" s="10" t="str">
        <f t="shared" si="678"/>
        <v>00</v>
      </c>
      <c r="O3261" s="10">
        <f t="shared" si="679"/>
        <v>0</v>
      </c>
      <c r="P3261" s="10">
        <f t="shared" si="680"/>
        <v>0</v>
      </c>
      <c r="Q3261" s="10">
        <f t="shared" si="681"/>
        <v>0</v>
      </c>
    </row>
    <row r="3262" spans="1:17">
      <c r="A3262" s="15">
        <f t="shared" si="688"/>
        <v>0</v>
      </c>
      <c r="B3262" s="15"/>
      <c r="C3262" s="17">
        <f>Fixture!E267</f>
        <v>0</v>
      </c>
      <c r="D3262" s="18">
        <f>IF(E3262=0,0,IF(Fixture!D267&lt;Fixture!F267,3,IF(Fixture!F267&lt;Fixture!D267,0,1)))</f>
        <v>0</v>
      </c>
      <c r="E3262" s="18">
        <f t="shared" si="682"/>
        <v>0</v>
      </c>
      <c r="F3262" s="18">
        <f>IF(E3262=0,0,IF(Fixture!D267&lt;Fixture!F267,1,IF(Fixture!F267&lt;Fixture!D267,0,0)))</f>
        <v>0</v>
      </c>
      <c r="G3262" s="18">
        <f>IF(E3262=0,0,IF(Fixture!D267&lt;Fixture!F267,0,IF(Fixture!F267&lt;Fixture!D267,0,1)))</f>
        <v>0</v>
      </c>
      <c r="H3262" s="18">
        <f t="shared" si="683"/>
        <v>0</v>
      </c>
      <c r="I3262" s="64">
        <f t="shared" si="684"/>
        <v>0</v>
      </c>
      <c r="J3262" s="64">
        <f t="shared" si="685"/>
        <v>0</v>
      </c>
      <c r="K3262" s="63">
        <f t="shared" si="686"/>
        <v>0</v>
      </c>
      <c r="L3262" s="63">
        <f t="shared" si="687"/>
        <v>0</v>
      </c>
      <c r="N3262" s="10" t="str">
        <f t="shared" si="678"/>
        <v>00</v>
      </c>
      <c r="O3262" s="10">
        <f t="shared" si="679"/>
        <v>0</v>
      </c>
      <c r="P3262" s="10">
        <f t="shared" si="680"/>
        <v>0</v>
      </c>
      <c r="Q3262" s="10">
        <f t="shared" si="681"/>
        <v>0</v>
      </c>
    </row>
    <row r="3263" spans="1:17">
      <c r="A3263" s="15">
        <f t="shared" si="688"/>
        <v>0</v>
      </c>
      <c r="B3263" s="15"/>
      <c r="C3263" s="17">
        <f>Fixture!E268</f>
        <v>0</v>
      </c>
      <c r="D3263" s="18">
        <f>IF(E3263=0,0,IF(Fixture!D268&lt;Fixture!F268,3,IF(Fixture!F268&lt;Fixture!D268,0,1)))</f>
        <v>0</v>
      </c>
      <c r="E3263" s="18">
        <f t="shared" si="682"/>
        <v>0</v>
      </c>
      <c r="F3263" s="18">
        <f>IF(E3263=0,0,IF(Fixture!D268&lt;Fixture!F268,1,IF(Fixture!F268&lt;Fixture!D268,0,0)))</f>
        <v>0</v>
      </c>
      <c r="G3263" s="18">
        <f>IF(E3263=0,0,IF(Fixture!D268&lt;Fixture!F268,0,IF(Fixture!F268&lt;Fixture!D268,0,1)))</f>
        <v>0</v>
      </c>
      <c r="H3263" s="18">
        <f t="shared" si="683"/>
        <v>0</v>
      </c>
      <c r="I3263" s="64">
        <f t="shared" si="684"/>
        <v>0</v>
      </c>
      <c r="J3263" s="64">
        <f t="shared" si="685"/>
        <v>0</v>
      </c>
      <c r="K3263" s="63">
        <f t="shared" si="686"/>
        <v>0</v>
      </c>
      <c r="L3263" s="63">
        <f t="shared" si="687"/>
        <v>0</v>
      </c>
      <c r="N3263" s="10" t="str">
        <f t="shared" si="678"/>
        <v>00</v>
      </c>
      <c r="O3263" s="10">
        <f t="shared" si="679"/>
        <v>0</v>
      </c>
      <c r="P3263" s="10">
        <f t="shared" si="680"/>
        <v>0</v>
      </c>
      <c r="Q3263" s="10">
        <f t="shared" si="681"/>
        <v>0</v>
      </c>
    </row>
    <row r="3264" spans="1:17">
      <c r="A3264" s="15">
        <f t="shared" si="688"/>
        <v>0</v>
      </c>
      <c r="B3264" s="15"/>
      <c r="C3264" s="17">
        <f>Fixture!E269</f>
        <v>0</v>
      </c>
      <c r="D3264" s="18">
        <f>IF(E3264=0,0,IF(Fixture!D269&lt;Fixture!F269,3,IF(Fixture!F269&lt;Fixture!D269,0,1)))</f>
        <v>0</v>
      </c>
      <c r="E3264" s="18">
        <f t="shared" si="682"/>
        <v>0</v>
      </c>
      <c r="F3264" s="18">
        <f>IF(E3264=0,0,IF(Fixture!D269&lt;Fixture!F269,1,IF(Fixture!F269&lt;Fixture!D269,0,0)))</f>
        <v>0</v>
      </c>
      <c r="G3264" s="18">
        <f>IF(E3264=0,0,IF(Fixture!D269&lt;Fixture!F269,0,IF(Fixture!F269&lt;Fixture!D269,0,1)))</f>
        <v>0</v>
      </c>
      <c r="H3264" s="18">
        <f t="shared" si="683"/>
        <v>0</v>
      </c>
      <c r="I3264" s="64">
        <f t="shared" si="684"/>
        <v>0</v>
      </c>
      <c r="J3264" s="64">
        <f t="shared" si="685"/>
        <v>0</v>
      </c>
      <c r="K3264" s="63">
        <f t="shared" si="686"/>
        <v>0</v>
      </c>
      <c r="L3264" s="63">
        <f t="shared" si="687"/>
        <v>0</v>
      </c>
      <c r="N3264" s="10" t="str">
        <f t="shared" si="678"/>
        <v>00</v>
      </c>
      <c r="O3264" s="10">
        <f t="shared" si="679"/>
        <v>0</v>
      </c>
      <c r="P3264" s="10">
        <f t="shared" si="680"/>
        <v>0</v>
      </c>
      <c r="Q3264" s="10">
        <f t="shared" si="681"/>
        <v>0</v>
      </c>
    </row>
    <row r="3265" spans="1:17">
      <c r="A3265" s="15">
        <f t="shared" si="688"/>
        <v>0</v>
      </c>
      <c r="B3265" s="15"/>
      <c r="C3265" s="17">
        <f>Fixture!E270</f>
        <v>0</v>
      </c>
      <c r="D3265" s="18">
        <f>IF(E3265=0,0,IF(Fixture!D270&lt;Fixture!F270,3,IF(Fixture!F270&lt;Fixture!D270,0,1)))</f>
        <v>0</v>
      </c>
      <c r="E3265" s="18">
        <f t="shared" si="682"/>
        <v>0</v>
      </c>
      <c r="F3265" s="18">
        <f>IF(E3265=0,0,IF(Fixture!D270&lt;Fixture!F270,1,IF(Fixture!F270&lt;Fixture!D270,0,0)))</f>
        <v>0</v>
      </c>
      <c r="G3265" s="18">
        <f>IF(E3265=0,0,IF(Fixture!D270&lt;Fixture!F270,0,IF(Fixture!F270&lt;Fixture!D270,0,1)))</f>
        <v>0</v>
      </c>
      <c r="H3265" s="18">
        <f t="shared" si="683"/>
        <v>0</v>
      </c>
      <c r="I3265" s="64">
        <f t="shared" si="684"/>
        <v>0</v>
      </c>
      <c r="J3265" s="64">
        <f t="shared" si="685"/>
        <v>0</v>
      </c>
      <c r="K3265" s="63">
        <f t="shared" si="686"/>
        <v>0</v>
      </c>
      <c r="L3265" s="63">
        <f t="shared" si="687"/>
        <v>0</v>
      </c>
      <c r="N3265" s="10" t="str">
        <f t="shared" si="678"/>
        <v>00</v>
      </c>
      <c r="O3265" s="10">
        <f t="shared" si="679"/>
        <v>0</v>
      </c>
      <c r="P3265" s="10">
        <f t="shared" si="680"/>
        <v>0</v>
      </c>
      <c r="Q3265" s="10">
        <f t="shared" si="681"/>
        <v>0</v>
      </c>
    </row>
    <row r="3266" spans="1:17">
      <c r="A3266" s="15">
        <f t="shared" si="688"/>
        <v>0</v>
      </c>
      <c r="B3266" s="15"/>
      <c r="C3266" s="17">
        <f>Fixture!E271</f>
        <v>0</v>
      </c>
      <c r="D3266" s="18">
        <f>IF(E3266=0,0,IF(Fixture!D271&lt;Fixture!F271,3,IF(Fixture!F271&lt;Fixture!D271,0,1)))</f>
        <v>0</v>
      </c>
      <c r="E3266" s="18">
        <f t="shared" si="682"/>
        <v>0</v>
      </c>
      <c r="F3266" s="18">
        <f>IF(E3266=0,0,IF(Fixture!D271&lt;Fixture!F271,1,IF(Fixture!F271&lt;Fixture!D271,0,0)))</f>
        <v>0</v>
      </c>
      <c r="G3266" s="18">
        <f>IF(E3266=0,0,IF(Fixture!D271&lt;Fixture!F271,0,IF(Fixture!F271&lt;Fixture!D271,0,1)))</f>
        <v>0</v>
      </c>
      <c r="H3266" s="18">
        <f t="shared" si="683"/>
        <v>0</v>
      </c>
      <c r="I3266" s="64">
        <f t="shared" si="684"/>
        <v>0</v>
      </c>
      <c r="J3266" s="64">
        <f t="shared" si="685"/>
        <v>0</v>
      </c>
      <c r="K3266" s="63">
        <f t="shared" si="686"/>
        <v>0</v>
      </c>
      <c r="L3266" s="63">
        <f t="shared" si="687"/>
        <v>0</v>
      </c>
      <c r="N3266" s="10" t="str">
        <f t="shared" si="678"/>
        <v>00</v>
      </c>
      <c r="O3266" s="10">
        <f t="shared" si="679"/>
        <v>0</v>
      </c>
      <c r="P3266" s="10">
        <f t="shared" si="680"/>
        <v>0</v>
      </c>
      <c r="Q3266" s="10">
        <f t="shared" si="681"/>
        <v>0</v>
      </c>
    </row>
    <row r="3267" spans="1:17">
      <c r="A3267" s="15">
        <f t="shared" si="688"/>
        <v>0</v>
      </c>
      <c r="B3267" s="15"/>
      <c r="C3267" s="17">
        <f>Fixture!E272</f>
        <v>0</v>
      </c>
      <c r="D3267" s="18">
        <f>IF(E3267=0,0,IF(Fixture!D272&lt;Fixture!F272,3,IF(Fixture!F272&lt;Fixture!D272,0,1)))</f>
        <v>0</v>
      </c>
      <c r="E3267" s="18">
        <f t="shared" si="682"/>
        <v>0</v>
      </c>
      <c r="F3267" s="18">
        <f>IF(E3267=0,0,IF(Fixture!D272&lt;Fixture!F272,1,IF(Fixture!F272&lt;Fixture!D272,0,0)))</f>
        <v>0</v>
      </c>
      <c r="G3267" s="18">
        <f>IF(E3267=0,0,IF(Fixture!D272&lt;Fixture!F272,0,IF(Fixture!F272&lt;Fixture!D272,0,1)))</f>
        <v>0</v>
      </c>
      <c r="H3267" s="18">
        <f t="shared" si="683"/>
        <v>0</v>
      </c>
      <c r="I3267" s="64">
        <f t="shared" si="684"/>
        <v>0</v>
      </c>
      <c r="J3267" s="64">
        <f t="shared" si="685"/>
        <v>0</v>
      </c>
      <c r="K3267" s="63">
        <f t="shared" si="686"/>
        <v>0</v>
      </c>
      <c r="L3267" s="63">
        <f t="shared" si="687"/>
        <v>0</v>
      </c>
      <c r="N3267" s="10" t="str">
        <f t="shared" si="678"/>
        <v>00</v>
      </c>
      <c r="O3267" s="10">
        <f t="shared" si="679"/>
        <v>0</v>
      </c>
      <c r="P3267" s="10">
        <f t="shared" si="680"/>
        <v>0</v>
      </c>
      <c r="Q3267" s="10">
        <f t="shared" si="681"/>
        <v>0</v>
      </c>
    </row>
    <row r="3268" spans="1:17">
      <c r="A3268" s="15">
        <f t="shared" si="688"/>
        <v>0</v>
      </c>
      <c r="B3268" s="15"/>
      <c r="C3268" s="17">
        <f>Fixture!E273</f>
        <v>0</v>
      </c>
      <c r="D3268" s="18">
        <f>IF(E3268=0,0,IF(Fixture!D273&lt;Fixture!F273,3,IF(Fixture!F273&lt;Fixture!D273,0,1)))</f>
        <v>0</v>
      </c>
      <c r="E3268" s="18">
        <f t="shared" si="682"/>
        <v>0</v>
      </c>
      <c r="F3268" s="18">
        <f>IF(E3268=0,0,IF(Fixture!D273&lt;Fixture!F273,1,IF(Fixture!F273&lt;Fixture!D273,0,0)))</f>
        <v>0</v>
      </c>
      <c r="G3268" s="18">
        <f>IF(E3268=0,0,IF(Fixture!D273&lt;Fixture!F273,0,IF(Fixture!F273&lt;Fixture!D273,0,1)))</f>
        <v>0</v>
      </c>
      <c r="H3268" s="18">
        <f t="shared" si="683"/>
        <v>0</v>
      </c>
      <c r="I3268" s="64">
        <f t="shared" si="684"/>
        <v>0</v>
      </c>
      <c r="J3268" s="64">
        <f t="shared" si="685"/>
        <v>0</v>
      </c>
      <c r="K3268" s="63">
        <f t="shared" si="686"/>
        <v>0</v>
      </c>
      <c r="L3268" s="63">
        <f t="shared" si="687"/>
        <v>0</v>
      </c>
      <c r="N3268" s="10" t="str">
        <f t="shared" si="678"/>
        <v>00</v>
      </c>
      <c r="O3268" s="10">
        <f t="shared" si="679"/>
        <v>0</v>
      </c>
      <c r="P3268" s="10">
        <f t="shared" si="680"/>
        <v>0</v>
      </c>
      <c r="Q3268" s="10">
        <f t="shared" si="681"/>
        <v>0</v>
      </c>
    </row>
    <row r="3269" spans="1:17">
      <c r="A3269" s="15">
        <f t="shared" si="688"/>
        <v>0</v>
      </c>
      <c r="B3269" s="15"/>
      <c r="C3269" s="17">
        <f>Fixture!E274</f>
        <v>0</v>
      </c>
      <c r="D3269" s="18">
        <f>IF(E3269=0,0,IF(Fixture!D274&lt;Fixture!F274,3,IF(Fixture!F274&lt;Fixture!D274,0,1)))</f>
        <v>0</v>
      </c>
      <c r="E3269" s="18">
        <f t="shared" si="682"/>
        <v>0</v>
      </c>
      <c r="F3269" s="18">
        <f>IF(E3269=0,0,IF(Fixture!D274&lt;Fixture!F274,1,IF(Fixture!F274&lt;Fixture!D274,0,0)))</f>
        <v>0</v>
      </c>
      <c r="G3269" s="18">
        <f>IF(E3269=0,0,IF(Fixture!D274&lt;Fixture!F274,0,IF(Fixture!F274&lt;Fixture!D274,0,1)))</f>
        <v>0</v>
      </c>
      <c r="H3269" s="18">
        <f t="shared" si="683"/>
        <v>0</v>
      </c>
      <c r="I3269" s="64">
        <f t="shared" si="684"/>
        <v>0</v>
      </c>
      <c r="J3269" s="64">
        <f t="shared" si="685"/>
        <v>0</v>
      </c>
      <c r="K3269" s="63">
        <f t="shared" si="686"/>
        <v>0</v>
      </c>
      <c r="L3269" s="63">
        <f t="shared" si="687"/>
        <v>0</v>
      </c>
      <c r="N3269" s="10" t="str">
        <f t="shared" si="678"/>
        <v>00</v>
      </c>
      <c r="O3269" s="10">
        <f t="shared" si="679"/>
        <v>0</v>
      </c>
      <c r="P3269" s="10">
        <f t="shared" si="680"/>
        <v>0</v>
      </c>
      <c r="Q3269" s="10">
        <f t="shared" si="681"/>
        <v>0</v>
      </c>
    </row>
    <row r="3270" spans="1:17">
      <c r="A3270" s="15">
        <f t="shared" si="688"/>
        <v>0</v>
      </c>
      <c r="B3270" s="15"/>
      <c r="C3270" s="17">
        <f>Fixture!E275</f>
        <v>0</v>
      </c>
      <c r="D3270" s="18">
        <f>IF(E3270=0,0,IF(Fixture!D275&lt;Fixture!F275,3,IF(Fixture!F275&lt;Fixture!D275,0,1)))</f>
        <v>0</v>
      </c>
      <c r="E3270" s="18">
        <f t="shared" si="682"/>
        <v>0</v>
      </c>
      <c r="F3270" s="18">
        <f>IF(E3270=0,0,IF(Fixture!D275&lt;Fixture!F275,1,IF(Fixture!F275&lt;Fixture!D275,0,0)))</f>
        <v>0</v>
      </c>
      <c r="G3270" s="18">
        <f>IF(E3270=0,0,IF(Fixture!D275&lt;Fixture!F275,0,IF(Fixture!F275&lt;Fixture!D275,0,1)))</f>
        <v>0</v>
      </c>
      <c r="H3270" s="18">
        <f t="shared" si="683"/>
        <v>0</v>
      </c>
      <c r="I3270" s="64">
        <f t="shared" si="684"/>
        <v>0</v>
      </c>
      <c r="J3270" s="64">
        <f t="shared" si="685"/>
        <v>0</v>
      </c>
      <c r="K3270" s="63">
        <f t="shared" si="686"/>
        <v>0</v>
      </c>
      <c r="L3270" s="63">
        <f t="shared" si="687"/>
        <v>0</v>
      </c>
      <c r="N3270" s="10" t="str">
        <f t="shared" si="678"/>
        <v>00</v>
      </c>
      <c r="O3270" s="10">
        <f t="shared" si="679"/>
        <v>0</v>
      </c>
      <c r="P3270" s="10">
        <f t="shared" si="680"/>
        <v>0</v>
      </c>
      <c r="Q3270" s="10">
        <f t="shared" si="681"/>
        <v>0</v>
      </c>
    </row>
    <row r="3271" spans="1:17">
      <c r="A3271" s="15">
        <f t="shared" si="688"/>
        <v>0</v>
      </c>
      <c r="B3271" s="15"/>
      <c r="C3271" s="17">
        <f>Fixture!E276</f>
        <v>0</v>
      </c>
      <c r="D3271" s="18">
        <f>IF(E3271=0,0,IF(Fixture!D276&lt;Fixture!F276,3,IF(Fixture!F276&lt;Fixture!D276,0,1)))</f>
        <v>0</v>
      </c>
      <c r="E3271" s="18">
        <f t="shared" si="682"/>
        <v>0</v>
      </c>
      <c r="F3271" s="18">
        <f>IF(E3271=0,0,IF(Fixture!D276&lt;Fixture!F276,1,IF(Fixture!F276&lt;Fixture!D276,0,0)))</f>
        <v>0</v>
      </c>
      <c r="G3271" s="18">
        <f>IF(E3271=0,0,IF(Fixture!D276&lt;Fixture!F276,0,IF(Fixture!F276&lt;Fixture!D276,0,1)))</f>
        <v>0</v>
      </c>
      <c r="H3271" s="18">
        <f t="shared" si="683"/>
        <v>0</v>
      </c>
      <c r="I3271" s="64">
        <f t="shared" si="684"/>
        <v>0</v>
      </c>
      <c r="J3271" s="64">
        <f t="shared" si="685"/>
        <v>0</v>
      </c>
      <c r="K3271" s="63">
        <f t="shared" si="686"/>
        <v>0</v>
      </c>
      <c r="L3271" s="63">
        <f t="shared" si="687"/>
        <v>0</v>
      </c>
      <c r="N3271" s="10" t="str">
        <f t="shared" si="678"/>
        <v>00</v>
      </c>
      <c r="O3271" s="10">
        <f t="shared" si="679"/>
        <v>0</v>
      </c>
      <c r="P3271" s="10">
        <f t="shared" si="680"/>
        <v>0</v>
      </c>
      <c r="Q3271" s="10">
        <f t="shared" si="681"/>
        <v>0</v>
      </c>
    </row>
    <row r="3272" spans="1:17">
      <c r="A3272" s="15">
        <f t="shared" si="688"/>
        <v>0</v>
      </c>
      <c r="B3272" s="15"/>
      <c r="C3272" s="17">
        <f>Fixture!E277</f>
        <v>0</v>
      </c>
      <c r="D3272" s="18">
        <f>IF(E3272=0,0,IF(Fixture!D277&lt;Fixture!F277,3,IF(Fixture!F277&lt;Fixture!D277,0,1)))</f>
        <v>0</v>
      </c>
      <c r="E3272" s="18">
        <f t="shared" si="682"/>
        <v>0</v>
      </c>
      <c r="F3272" s="18">
        <f>IF(E3272=0,0,IF(Fixture!D277&lt;Fixture!F277,1,IF(Fixture!F277&lt;Fixture!D277,0,0)))</f>
        <v>0</v>
      </c>
      <c r="G3272" s="18">
        <f>IF(E3272=0,0,IF(Fixture!D277&lt;Fixture!F277,0,IF(Fixture!F277&lt;Fixture!D277,0,1)))</f>
        <v>0</v>
      </c>
      <c r="H3272" s="18">
        <f t="shared" si="683"/>
        <v>0</v>
      </c>
      <c r="I3272" s="64">
        <f t="shared" si="684"/>
        <v>0</v>
      </c>
      <c r="J3272" s="64">
        <f t="shared" si="685"/>
        <v>0</v>
      </c>
      <c r="K3272" s="63">
        <f t="shared" si="686"/>
        <v>0</v>
      </c>
      <c r="L3272" s="63">
        <f t="shared" si="687"/>
        <v>0</v>
      </c>
      <c r="N3272" s="10" t="str">
        <f t="shared" si="678"/>
        <v>00</v>
      </c>
      <c r="O3272" s="10">
        <f t="shared" si="679"/>
        <v>0</v>
      </c>
      <c r="P3272" s="10">
        <f t="shared" si="680"/>
        <v>0</v>
      </c>
      <c r="Q3272" s="10">
        <f t="shared" si="681"/>
        <v>0</v>
      </c>
    </row>
    <row r="3273" spans="1:17">
      <c r="A3273" s="15">
        <f t="shared" si="688"/>
        <v>0</v>
      </c>
      <c r="B3273" s="15"/>
      <c r="C3273" s="17">
        <f>Fixture!E278</f>
        <v>0</v>
      </c>
      <c r="D3273" s="18">
        <f>IF(E3273=0,0,IF(Fixture!D278&lt;Fixture!F278,3,IF(Fixture!F278&lt;Fixture!D278,0,1)))</f>
        <v>0</v>
      </c>
      <c r="E3273" s="18">
        <f t="shared" si="682"/>
        <v>0</v>
      </c>
      <c r="F3273" s="18">
        <f>IF(E3273=0,0,IF(Fixture!D278&lt;Fixture!F278,1,IF(Fixture!F278&lt;Fixture!D278,0,0)))</f>
        <v>0</v>
      </c>
      <c r="G3273" s="18">
        <f>IF(E3273=0,0,IF(Fixture!D278&lt;Fixture!F278,0,IF(Fixture!F278&lt;Fixture!D278,0,1)))</f>
        <v>0</v>
      </c>
      <c r="H3273" s="18">
        <f t="shared" si="683"/>
        <v>0</v>
      </c>
      <c r="I3273" s="64">
        <f t="shared" si="684"/>
        <v>0</v>
      </c>
      <c r="J3273" s="64">
        <f t="shared" si="685"/>
        <v>0</v>
      </c>
      <c r="K3273" s="63">
        <f t="shared" si="686"/>
        <v>0</v>
      </c>
      <c r="L3273" s="63">
        <f t="shared" si="687"/>
        <v>0</v>
      </c>
      <c r="N3273" s="10" t="str">
        <f t="shared" si="678"/>
        <v>00</v>
      </c>
      <c r="O3273" s="10">
        <f t="shared" si="679"/>
        <v>0</v>
      </c>
      <c r="P3273" s="10">
        <f t="shared" si="680"/>
        <v>0</v>
      </c>
      <c r="Q3273" s="10">
        <f t="shared" si="681"/>
        <v>0</v>
      </c>
    </row>
    <row r="3274" spans="1:17">
      <c r="A3274" s="15">
        <f t="shared" si="688"/>
        <v>0</v>
      </c>
      <c r="B3274" s="15"/>
      <c r="C3274" s="17">
        <f>Fixture!E279</f>
        <v>0</v>
      </c>
      <c r="D3274" s="18">
        <f>IF(E3274=0,0,IF(Fixture!D279&lt;Fixture!F279,3,IF(Fixture!F279&lt;Fixture!D279,0,1)))</f>
        <v>0</v>
      </c>
      <c r="E3274" s="18">
        <f t="shared" si="682"/>
        <v>0</v>
      </c>
      <c r="F3274" s="18">
        <f>IF(E3274=0,0,IF(Fixture!D279&lt;Fixture!F279,1,IF(Fixture!F279&lt;Fixture!D279,0,0)))</f>
        <v>0</v>
      </c>
      <c r="G3274" s="18">
        <f>IF(E3274=0,0,IF(Fixture!D279&lt;Fixture!F279,0,IF(Fixture!F279&lt;Fixture!D279,0,1)))</f>
        <v>0</v>
      </c>
      <c r="H3274" s="18">
        <f t="shared" si="683"/>
        <v>0</v>
      </c>
      <c r="I3274" s="64">
        <f t="shared" si="684"/>
        <v>0</v>
      </c>
      <c r="J3274" s="64">
        <f t="shared" si="685"/>
        <v>0</v>
      </c>
      <c r="K3274" s="63">
        <f t="shared" si="686"/>
        <v>0</v>
      </c>
      <c r="L3274" s="63">
        <f t="shared" si="687"/>
        <v>0</v>
      </c>
      <c r="N3274" s="10" t="str">
        <f t="shared" si="678"/>
        <v>00</v>
      </c>
      <c r="O3274" s="10">
        <f t="shared" si="679"/>
        <v>0</v>
      </c>
      <c r="P3274" s="10">
        <f t="shared" si="680"/>
        <v>0</v>
      </c>
      <c r="Q3274" s="10">
        <f t="shared" si="681"/>
        <v>0</v>
      </c>
    </row>
    <row r="3275" spans="1:17">
      <c r="A3275" s="15">
        <f t="shared" si="688"/>
        <v>0</v>
      </c>
      <c r="B3275" s="15"/>
      <c r="C3275" s="17">
        <f>Fixture!E280</f>
        <v>0</v>
      </c>
      <c r="D3275" s="18">
        <f>IF(E3275=0,0,IF(Fixture!D280&lt;Fixture!F280,3,IF(Fixture!F280&lt;Fixture!D280,0,1)))</f>
        <v>0</v>
      </c>
      <c r="E3275" s="18">
        <f t="shared" si="682"/>
        <v>0</v>
      </c>
      <c r="F3275" s="18">
        <f>IF(E3275=0,0,IF(Fixture!D280&lt;Fixture!F280,1,IF(Fixture!F280&lt;Fixture!D280,0,0)))</f>
        <v>0</v>
      </c>
      <c r="G3275" s="18">
        <f>IF(E3275=0,0,IF(Fixture!D280&lt;Fixture!F280,0,IF(Fixture!F280&lt;Fixture!D280,0,1)))</f>
        <v>0</v>
      </c>
      <c r="H3275" s="18">
        <f t="shared" si="683"/>
        <v>0</v>
      </c>
      <c r="I3275" s="64">
        <f t="shared" si="684"/>
        <v>0</v>
      </c>
      <c r="J3275" s="64">
        <f t="shared" si="685"/>
        <v>0</v>
      </c>
      <c r="K3275" s="63">
        <f t="shared" si="686"/>
        <v>0</v>
      </c>
      <c r="L3275" s="63">
        <f t="shared" si="687"/>
        <v>0</v>
      </c>
      <c r="N3275" s="10" t="str">
        <f t="shared" si="678"/>
        <v>00</v>
      </c>
      <c r="O3275" s="10">
        <f t="shared" si="679"/>
        <v>0</v>
      </c>
      <c r="P3275" s="10">
        <f t="shared" si="680"/>
        <v>0</v>
      </c>
      <c r="Q3275" s="10">
        <f t="shared" si="681"/>
        <v>0</v>
      </c>
    </row>
    <row r="3276" spans="1:17">
      <c r="A3276" s="15">
        <f t="shared" si="688"/>
        <v>0</v>
      </c>
      <c r="B3276" s="15"/>
      <c r="C3276" s="17">
        <f>Fixture!E281</f>
        <v>0</v>
      </c>
      <c r="D3276" s="18">
        <f>IF(E3276=0,0,IF(Fixture!D281&lt;Fixture!F281,3,IF(Fixture!F281&lt;Fixture!D281,0,1)))</f>
        <v>0</v>
      </c>
      <c r="E3276" s="18">
        <f t="shared" si="682"/>
        <v>0</v>
      </c>
      <c r="F3276" s="18">
        <f>IF(E3276=0,0,IF(Fixture!D281&lt;Fixture!F281,1,IF(Fixture!F281&lt;Fixture!D281,0,0)))</f>
        <v>0</v>
      </c>
      <c r="G3276" s="18">
        <f>IF(E3276=0,0,IF(Fixture!D281&lt;Fixture!F281,0,IF(Fixture!F281&lt;Fixture!D281,0,1)))</f>
        <v>0</v>
      </c>
      <c r="H3276" s="18">
        <f t="shared" si="683"/>
        <v>0</v>
      </c>
      <c r="I3276" s="64">
        <f t="shared" si="684"/>
        <v>0</v>
      </c>
      <c r="J3276" s="64">
        <f t="shared" si="685"/>
        <v>0</v>
      </c>
      <c r="K3276" s="63">
        <f t="shared" si="686"/>
        <v>0</v>
      </c>
      <c r="L3276" s="63">
        <f t="shared" si="687"/>
        <v>0</v>
      </c>
      <c r="N3276" s="10" t="str">
        <f t="shared" si="678"/>
        <v>00</v>
      </c>
      <c r="O3276" s="10">
        <f t="shared" si="679"/>
        <v>0</v>
      </c>
      <c r="P3276" s="10">
        <f t="shared" si="680"/>
        <v>0</v>
      </c>
      <c r="Q3276" s="10">
        <f t="shared" si="681"/>
        <v>0</v>
      </c>
    </row>
    <row r="3277" spans="1:17">
      <c r="A3277" s="15">
        <f t="shared" si="688"/>
        <v>0</v>
      </c>
      <c r="B3277" s="15"/>
      <c r="C3277" s="17">
        <f>Fixture!E282</f>
        <v>0</v>
      </c>
      <c r="D3277" s="18">
        <f>IF(E3277=0,0,IF(Fixture!D282&lt;Fixture!F282,3,IF(Fixture!F282&lt;Fixture!D282,0,1)))</f>
        <v>0</v>
      </c>
      <c r="E3277" s="18">
        <f t="shared" si="682"/>
        <v>0</v>
      </c>
      <c r="F3277" s="18">
        <f>IF(E3277=0,0,IF(Fixture!D282&lt;Fixture!F282,1,IF(Fixture!F282&lt;Fixture!D282,0,0)))</f>
        <v>0</v>
      </c>
      <c r="G3277" s="18">
        <f>IF(E3277=0,0,IF(Fixture!D282&lt;Fixture!F282,0,IF(Fixture!F282&lt;Fixture!D282,0,1)))</f>
        <v>0</v>
      </c>
      <c r="H3277" s="18">
        <f t="shared" si="683"/>
        <v>0</v>
      </c>
      <c r="I3277" s="64">
        <f t="shared" si="684"/>
        <v>0</v>
      </c>
      <c r="J3277" s="64">
        <f t="shared" si="685"/>
        <v>0</v>
      </c>
      <c r="K3277" s="63">
        <f t="shared" si="686"/>
        <v>0</v>
      </c>
      <c r="L3277" s="63">
        <f t="shared" si="687"/>
        <v>0</v>
      </c>
      <c r="N3277" s="10" t="str">
        <f t="shared" si="678"/>
        <v>00</v>
      </c>
      <c r="O3277" s="10">
        <f t="shared" si="679"/>
        <v>0</v>
      </c>
      <c r="P3277" s="10">
        <f t="shared" si="680"/>
        <v>0</v>
      </c>
      <c r="Q3277" s="10">
        <f t="shared" si="681"/>
        <v>0</v>
      </c>
    </row>
    <row r="3278" spans="1:17">
      <c r="A3278" s="15">
        <f t="shared" si="688"/>
        <v>0</v>
      </c>
      <c r="B3278" s="15"/>
      <c r="C3278" s="17">
        <f>Fixture!E283</f>
        <v>0</v>
      </c>
      <c r="D3278" s="18">
        <f>IF(E3278=0,0,IF(Fixture!D283&lt;Fixture!F283,3,IF(Fixture!F283&lt;Fixture!D283,0,1)))</f>
        <v>0</v>
      </c>
      <c r="E3278" s="18">
        <f t="shared" si="682"/>
        <v>0</v>
      </c>
      <c r="F3278" s="18">
        <f>IF(E3278=0,0,IF(Fixture!D283&lt;Fixture!F283,1,IF(Fixture!F283&lt;Fixture!D283,0,0)))</f>
        <v>0</v>
      </c>
      <c r="G3278" s="18">
        <f>IF(E3278=0,0,IF(Fixture!D283&lt;Fixture!F283,0,IF(Fixture!F283&lt;Fixture!D283,0,1)))</f>
        <v>0</v>
      </c>
      <c r="H3278" s="18">
        <f t="shared" si="683"/>
        <v>0</v>
      </c>
      <c r="I3278" s="64">
        <f t="shared" si="684"/>
        <v>0</v>
      </c>
      <c r="J3278" s="64">
        <f t="shared" si="685"/>
        <v>0</v>
      </c>
      <c r="K3278" s="63">
        <f t="shared" si="686"/>
        <v>0</v>
      </c>
      <c r="L3278" s="63">
        <f t="shared" si="687"/>
        <v>0</v>
      </c>
      <c r="N3278" s="10" t="str">
        <f t="shared" si="678"/>
        <v>00</v>
      </c>
      <c r="O3278" s="10">
        <f t="shared" si="679"/>
        <v>0</v>
      </c>
      <c r="P3278" s="10">
        <f t="shared" si="680"/>
        <v>0</v>
      </c>
      <c r="Q3278" s="10">
        <f t="shared" si="681"/>
        <v>0</v>
      </c>
    </row>
    <row r="3279" spans="1:17">
      <c r="A3279" s="15">
        <f t="shared" si="688"/>
        <v>0</v>
      </c>
      <c r="B3279" s="15"/>
      <c r="C3279" s="17">
        <f>Fixture!E284</f>
        <v>0</v>
      </c>
      <c r="D3279" s="18">
        <f>IF(E3279=0,0,IF(Fixture!D284&lt;Fixture!F284,3,IF(Fixture!F284&lt;Fixture!D284,0,1)))</f>
        <v>0</v>
      </c>
      <c r="E3279" s="18">
        <f t="shared" si="682"/>
        <v>0</v>
      </c>
      <c r="F3279" s="18">
        <f>IF(E3279=0,0,IF(Fixture!D284&lt;Fixture!F284,1,IF(Fixture!F284&lt;Fixture!D284,0,0)))</f>
        <v>0</v>
      </c>
      <c r="G3279" s="18">
        <f>IF(E3279=0,0,IF(Fixture!D284&lt;Fixture!F284,0,IF(Fixture!F284&lt;Fixture!D284,0,1)))</f>
        <v>0</v>
      </c>
      <c r="H3279" s="18">
        <f t="shared" si="683"/>
        <v>0</v>
      </c>
      <c r="I3279" s="64">
        <f t="shared" si="684"/>
        <v>0</v>
      </c>
      <c r="J3279" s="64">
        <f t="shared" si="685"/>
        <v>0</v>
      </c>
      <c r="K3279" s="63">
        <f t="shared" si="686"/>
        <v>0</v>
      </c>
      <c r="L3279" s="63">
        <f t="shared" si="687"/>
        <v>0</v>
      </c>
      <c r="N3279" s="10" t="str">
        <f t="shared" si="678"/>
        <v>00</v>
      </c>
      <c r="O3279" s="10">
        <f t="shared" si="679"/>
        <v>0</v>
      </c>
      <c r="P3279" s="10">
        <f t="shared" si="680"/>
        <v>0</v>
      </c>
      <c r="Q3279" s="10">
        <f t="shared" si="681"/>
        <v>0</v>
      </c>
    </row>
    <row r="3280" spans="1:17">
      <c r="A3280" s="15">
        <f t="shared" si="688"/>
        <v>0</v>
      </c>
      <c r="B3280" s="15"/>
      <c r="C3280" s="17">
        <f>Fixture!E285</f>
        <v>0</v>
      </c>
      <c r="D3280" s="18">
        <f>IF(E3280=0,0,IF(Fixture!D285&lt;Fixture!F285,3,IF(Fixture!F285&lt;Fixture!D285,0,1)))</f>
        <v>0</v>
      </c>
      <c r="E3280" s="18">
        <f t="shared" si="682"/>
        <v>0</v>
      </c>
      <c r="F3280" s="18">
        <f>IF(E3280=0,0,IF(Fixture!D285&lt;Fixture!F285,1,IF(Fixture!F285&lt;Fixture!D285,0,0)))</f>
        <v>0</v>
      </c>
      <c r="G3280" s="18">
        <f>IF(E3280=0,0,IF(Fixture!D285&lt;Fixture!F285,0,IF(Fixture!F285&lt;Fixture!D285,0,1)))</f>
        <v>0</v>
      </c>
      <c r="H3280" s="18">
        <f t="shared" si="683"/>
        <v>0</v>
      </c>
      <c r="I3280" s="64">
        <f t="shared" si="684"/>
        <v>0</v>
      </c>
      <c r="J3280" s="64">
        <f t="shared" si="685"/>
        <v>0</v>
      </c>
      <c r="K3280" s="63">
        <f t="shared" si="686"/>
        <v>0</v>
      </c>
      <c r="L3280" s="63">
        <f t="shared" si="687"/>
        <v>0</v>
      </c>
      <c r="N3280" s="10" t="str">
        <f t="shared" si="678"/>
        <v>00</v>
      </c>
      <c r="O3280" s="10">
        <f t="shared" si="679"/>
        <v>0</v>
      </c>
      <c r="P3280" s="10">
        <f t="shared" si="680"/>
        <v>0</v>
      </c>
      <c r="Q3280" s="10">
        <f t="shared" si="681"/>
        <v>0</v>
      </c>
    </row>
    <row r="3281" spans="1:17">
      <c r="A3281" s="15">
        <f t="shared" si="688"/>
        <v>0</v>
      </c>
      <c r="B3281" s="15"/>
      <c r="C3281" s="17">
        <f>Fixture!E286</f>
        <v>0</v>
      </c>
      <c r="D3281" s="18">
        <f>IF(E3281=0,0,IF(Fixture!D286&lt;Fixture!F286,3,IF(Fixture!F286&lt;Fixture!D286,0,1)))</f>
        <v>0</v>
      </c>
      <c r="E3281" s="18">
        <f t="shared" si="682"/>
        <v>0</v>
      </c>
      <c r="F3281" s="18">
        <f>IF(E3281=0,0,IF(Fixture!D286&lt;Fixture!F286,1,IF(Fixture!F286&lt;Fixture!D286,0,0)))</f>
        <v>0</v>
      </c>
      <c r="G3281" s="18">
        <f>IF(E3281=0,0,IF(Fixture!D286&lt;Fixture!F286,0,IF(Fixture!F286&lt;Fixture!D286,0,1)))</f>
        <v>0</v>
      </c>
      <c r="H3281" s="18">
        <f t="shared" si="683"/>
        <v>0</v>
      </c>
      <c r="I3281" s="64">
        <f t="shared" si="684"/>
        <v>0</v>
      </c>
      <c r="J3281" s="64">
        <f t="shared" si="685"/>
        <v>0</v>
      </c>
      <c r="K3281" s="63">
        <f t="shared" si="686"/>
        <v>0</v>
      </c>
      <c r="L3281" s="63">
        <f t="shared" si="687"/>
        <v>0</v>
      </c>
      <c r="N3281" s="10" t="str">
        <f t="shared" si="678"/>
        <v>00</v>
      </c>
      <c r="O3281" s="10">
        <f t="shared" si="679"/>
        <v>0</v>
      </c>
      <c r="P3281" s="10">
        <f t="shared" si="680"/>
        <v>0</v>
      </c>
      <c r="Q3281" s="10">
        <f t="shared" si="681"/>
        <v>0</v>
      </c>
    </row>
    <row r="3282" spans="1:17">
      <c r="A3282" s="15">
        <f t="shared" si="688"/>
        <v>0</v>
      </c>
      <c r="B3282" s="15"/>
      <c r="C3282" s="17">
        <f>Fixture!E287</f>
        <v>0</v>
      </c>
      <c r="D3282" s="18">
        <f>IF(E3282=0,0,IF(Fixture!D287&lt;Fixture!F287,3,IF(Fixture!F287&lt;Fixture!D287,0,1)))</f>
        <v>0</v>
      </c>
      <c r="E3282" s="18">
        <f t="shared" si="682"/>
        <v>0</v>
      </c>
      <c r="F3282" s="18">
        <f>IF(E3282=0,0,IF(Fixture!D287&lt;Fixture!F287,1,IF(Fixture!F287&lt;Fixture!D287,0,0)))</f>
        <v>0</v>
      </c>
      <c r="G3282" s="18">
        <f>IF(E3282=0,0,IF(Fixture!D287&lt;Fixture!F287,0,IF(Fixture!F287&lt;Fixture!D287,0,1)))</f>
        <v>0</v>
      </c>
      <c r="H3282" s="18">
        <f t="shared" si="683"/>
        <v>0</v>
      </c>
      <c r="I3282" s="64">
        <f t="shared" si="684"/>
        <v>0</v>
      </c>
      <c r="J3282" s="64">
        <f t="shared" si="685"/>
        <v>0</v>
      </c>
      <c r="K3282" s="63">
        <f t="shared" si="686"/>
        <v>0</v>
      </c>
      <c r="L3282" s="63">
        <f t="shared" si="687"/>
        <v>0</v>
      </c>
      <c r="N3282" s="10" t="str">
        <f t="shared" ref="N3282:N3345" si="689">CONCATENATE(C3282,A3282)</f>
        <v>00</v>
      </c>
      <c r="O3282" s="10">
        <f t="shared" ref="O3282:O3345" si="690">D3282</f>
        <v>0</v>
      </c>
      <c r="P3282" s="10">
        <f t="shared" ref="P3282:P3345" si="691">I3282</f>
        <v>0</v>
      </c>
      <c r="Q3282" s="10">
        <f t="shared" ref="Q3282:Q3345" si="692">J3282</f>
        <v>0</v>
      </c>
    </row>
    <row r="3283" spans="1:17">
      <c r="A3283" s="15">
        <f t="shared" si="688"/>
        <v>0</v>
      </c>
      <c r="B3283" s="15"/>
      <c r="C3283" s="17">
        <f>Fixture!E288</f>
        <v>0</v>
      </c>
      <c r="D3283" s="18">
        <f>IF(E3283=0,0,IF(Fixture!D288&lt;Fixture!F288,3,IF(Fixture!F288&lt;Fixture!D288,0,1)))</f>
        <v>0</v>
      </c>
      <c r="E3283" s="18">
        <f t="shared" si="682"/>
        <v>0</v>
      </c>
      <c r="F3283" s="18">
        <f>IF(E3283=0,0,IF(Fixture!D288&lt;Fixture!F288,1,IF(Fixture!F288&lt;Fixture!D288,0,0)))</f>
        <v>0</v>
      </c>
      <c r="G3283" s="18">
        <f>IF(E3283=0,0,IF(Fixture!D288&lt;Fixture!F288,0,IF(Fixture!F288&lt;Fixture!D288,0,1)))</f>
        <v>0</v>
      </c>
      <c r="H3283" s="18">
        <f t="shared" si="683"/>
        <v>0</v>
      </c>
      <c r="I3283" s="64">
        <f t="shared" si="684"/>
        <v>0</v>
      </c>
      <c r="J3283" s="64">
        <f t="shared" si="685"/>
        <v>0</v>
      </c>
      <c r="K3283" s="63">
        <f t="shared" si="686"/>
        <v>0</v>
      </c>
      <c r="L3283" s="63">
        <f t="shared" si="687"/>
        <v>0</v>
      </c>
      <c r="N3283" s="10" t="str">
        <f t="shared" si="689"/>
        <v>00</v>
      </c>
      <c r="O3283" s="10">
        <f t="shared" si="690"/>
        <v>0</v>
      </c>
      <c r="P3283" s="10">
        <f t="shared" si="691"/>
        <v>0</v>
      </c>
      <c r="Q3283" s="10">
        <f t="shared" si="692"/>
        <v>0</v>
      </c>
    </row>
    <row r="3284" spans="1:17">
      <c r="A3284" s="15">
        <f t="shared" si="688"/>
        <v>0</v>
      </c>
      <c r="B3284" s="15"/>
      <c r="C3284" s="17">
        <f>Fixture!E289</f>
        <v>0</v>
      </c>
      <c r="D3284" s="18">
        <f>IF(E3284=0,0,IF(Fixture!D289&lt;Fixture!F289,3,IF(Fixture!F289&lt;Fixture!D289,0,1)))</f>
        <v>0</v>
      </c>
      <c r="E3284" s="18">
        <f t="shared" si="682"/>
        <v>0</v>
      </c>
      <c r="F3284" s="18">
        <f>IF(E3284=0,0,IF(Fixture!D289&lt;Fixture!F289,1,IF(Fixture!F289&lt;Fixture!D289,0,0)))</f>
        <v>0</v>
      </c>
      <c r="G3284" s="18">
        <f>IF(E3284=0,0,IF(Fixture!D289&lt;Fixture!F289,0,IF(Fixture!F289&lt;Fixture!D289,0,1)))</f>
        <v>0</v>
      </c>
      <c r="H3284" s="18">
        <f t="shared" si="683"/>
        <v>0</v>
      </c>
      <c r="I3284" s="64">
        <f t="shared" si="684"/>
        <v>0</v>
      </c>
      <c r="J3284" s="64">
        <f t="shared" si="685"/>
        <v>0</v>
      </c>
      <c r="K3284" s="63">
        <f t="shared" si="686"/>
        <v>0</v>
      </c>
      <c r="L3284" s="63">
        <f t="shared" si="687"/>
        <v>0</v>
      </c>
      <c r="N3284" s="10" t="str">
        <f t="shared" si="689"/>
        <v>00</v>
      </c>
      <c r="O3284" s="10">
        <f t="shared" si="690"/>
        <v>0</v>
      </c>
      <c r="P3284" s="10">
        <f t="shared" si="691"/>
        <v>0</v>
      </c>
      <c r="Q3284" s="10">
        <f t="shared" si="692"/>
        <v>0</v>
      </c>
    </row>
    <row r="3285" spans="1:17">
      <c r="A3285" s="15">
        <f t="shared" si="688"/>
        <v>0</v>
      </c>
      <c r="B3285" s="15"/>
      <c r="C3285" s="17">
        <f>Fixture!E290</f>
        <v>0</v>
      </c>
      <c r="D3285" s="18">
        <f>IF(E3285=0,0,IF(Fixture!D290&lt;Fixture!F290,3,IF(Fixture!F290&lt;Fixture!D290,0,1)))</f>
        <v>0</v>
      </c>
      <c r="E3285" s="18">
        <f t="shared" si="682"/>
        <v>0</v>
      </c>
      <c r="F3285" s="18">
        <f>IF(E3285=0,0,IF(Fixture!D290&lt;Fixture!F290,1,IF(Fixture!F290&lt;Fixture!D290,0,0)))</f>
        <v>0</v>
      </c>
      <c r="G3285" s="18">
        <f>IF(E3285=0,0,IF(Fixture!D290&lt;Fixture!F290,0,IF(Fixture!F290&lt;Fixture!D290,0,1)))</f>
        <v>0</v>
      </c>
      <c r="H3285" s="18">
        <f t="shared" si="683"/>
        <v>0</v>
      </c>
      <c r="I3285" s="64">
        <f t="shared" si="684"/>
        <v>0</v>
      </c>
      <c r="J3285" s="64">
        <f t="shared" si="685"/>
        <v>0</v>
      </c>
      <c r="K3285" s="63">
        <f t="shared" si="686"/>
        <v>0</v>
      </c>
      <c r="L3285" s="63">
        <f t="shared" si="687"/>
        <v>0</v>
      </c>
      <c r="N3285" s="10" t="str">
        <f t="shared" si="689"/>
        <v>00</v>
      </c>
      <c r="O3285" s="10">
        <f t="shared" si="690"/>
        <v>0</v>
      </c>
      <c r="P3285" s="10">
        <f t="shared" si="691"/>
        <v>0</v>
      </c>
      <c r="Q3285" s="10">
        <f t="shared" si="692"/>
        <v>0</v>
      </c>
    </row>
    <row r="3286" spans="1:17">
      <c r="A3286" s="15">
        <f t="shared" si="688"/>
        <v>0</v>
      </c>
      <c r="B3286" s="15"/>
      <c r="C3286" s="17">
        <f>Fixture!E291</f>
        <v>0</v>
      </c>
      <c r="D3286" s="18">
        <f>IF(E3286=0,0,IF(Fixture!D291&lt;Fixture!F291,3,IF(Fixture!F291&lt;Fixture!D291,0,1)))</f>
        <v>0</v>
      </c>
      <c r="E3286" s="18">
        <f t="shared" si="682"/>
        <v>0</v>
      </c>
      <c r="F3286" s="18">
        <f>IF(E3286=0,0,IF(Fixture!D291&lt;Fixture!F291,1,IF(Fixture!F291&lt;Fixture!D291,0,0)))</f>
        <v>0</v>
      </c>
      <c r="G3286" s="18">
        <f>IF(E3286=0,0,IF(Fixture!D291&lt;Fixture!F291,0,IF(Fixture!F291&lt;Fixture!D291,0,1)))</f>
        <v>0</v>
      </c>
      <c r="H3286" s="18">
        <f t="shared" si="683"/>
        <v>0</v>
      </c>
      <c r="I3286" s="64">
        <f t="shared" si="684"/>
        <v>0</v>
      </c>
      <c r="J3286" s="64">
        <f t="shared" si="685"/>
        <v>0</v>
      </c>
      <c r="K3286" s="63">
        <f t="shared" si="686"/>
        <v>0</v>
      </c>
      <c r="L3286" s="63">
        <f t="shared" si="687"/>
        <v>0</v>
      </c>
      <c r="N3286" s="10" t="str">
        <f t="shared" si="689"/>
        <v>00</v>
      </c>
      <c r="O3286" s="10">
        <f t="shared" si="690"/>
        <v>0</v>
      </c>
      <c r="P3286" s="10">
        <f t="shared" si="691"/>
        <v>0</v>
      </c>
      <c r="Q3286" s="10">
        <f t="shared" si="692"/>
        <v>0</v>
      </c>
    </row>
    <row r="3287" spans="1:17">
      <c r="A3287" s="15">
        <f t="shared" si="688"/>
        <v>0</v>
      </c>
      <c r="B3287" s="15"/>
      <c r="C3287" s="17">
        <f>Fixture!E292</f>
        <v>0</v>
      </c>
      <c r="D3287" s="18">
        <f>IF(E3287=0,0,IF(Fixture!D292&lt;Fixture!F292,3,IF(Fixture!F292&lt;Fixture!D292,0,1)))</f>
        <v>0</v>
      </c>
      <c r="E3287" s="18">
        <f t="shared" si="682"/>
        <v>0</v>
      </c>
      <c r="F3287" s="18">
        <f>IF(E3287=0,0,IF(Fixture!D292&lt;Fixture!F292,1,IF(Fixture!F292&lt;Fixture!D292,0,0)))</f>
        <v>0</v>
      </c>
      <c r="G3287" s="18">
        <f>IF(E3287=0,0,IF(Fixture!D292&lt;Fixture!F292,0,IF(Fixture!F292&lt;Fixture!D292,0,1)))</f>
        <v>0</v>
      </c>
      <c r="H3287" s="18">
        <f t="shared" si="683"/>
        <v>0</v>
      </c>
      <c r="I3287" s="64">
        <f t="shared" si="684"/>
        <v>0</v>
      </c>
      <c r="J3287" s="64">
        <f t="shared" si="685"/>
        <v>0</v>
      </c>
      <c r="K3287" s="63">
        <f t="shared" si="686"/>
        <v>0</v>
      </c>
      <c r="L3287" s="63">
        <f t="shared" si="687"/>
        <v>0</v>
      </c>
      <c r="N3287" s="10" t="str">
        <f t="shared" si="689"/>
        <v>00</v>
      </c>
      <c r="O3287" s="10">
        <f t="shared" si="690"/>
        <v>0</v>
      </c>
      <c r="P3287" s="10">
        <f t="shared" si="691"/>
        <v>0</v>
      </c>
      <c r="Q3287" s="10">
        <f t="shared" si="692"/>
        <v>0</v>
      </c>
    </row>
    <row r="3288" spans="1:17">
      <c r="A3288" s="15">
        <f t="shared" si="688"/>
        <v>0</v>
      </c>
      <c r="B3288" s="15"/>
      <c r="C3288" s="17">
        <f>Fixture!E293</f>
        <v>0</v>
      </c>
      <c r="D3288" s="18">
        <f>IF(E3288=0,0,IF(Fixture!D293&lt;Fixture!F293,3,IF(Fixture!F293&lt;Fixture!D293,0,1)))</f>
        <v>0</v>
      </c>
      <c r="E3288" s="18">
        <f t="shared" si="682"/>
        <v>0</v>
      </c>
      <c r="F3288" s="18">
        <f>IF(E3288=0,0,IF(Fixture!D293&lt;Fixture!F293,1,IF(Fixture!F293&lt;Fixture!D293,0,0)))</f>
        <v>0</v>
      </c>
      <c r="G3288" s="18">
        <f>IF(E3288=0,0,IF(Fixture!D293&lt;Fixture!F293,0,IF(Fixture!F293&lt;Fixture!D293,0,1)))</f>
        <v>0</v>
      </c>
      <c r="H3288" s="18">
        <f t="shared" si="683"/>
        <v>0</v>
      </c>
      <c r="I3288" s="64">
        <f t="shared" si="684"/>
        <v>0</v>
      </c>
      <c r="J3288" s="64">
        <f t="shared" si="685"/>
        <v>0</v>
      </c>
      <c r="K3288" s="63">
        <f t="shared" si="686"/>
        <v>0</v>
      </c>
      <c r="L3288" s="63">
        <f t="shared" si="687"/>
        <v>0</v>
      </c>
      <c r="N3288" s="10" t="str">
        <f t="shared" si="689"/>
        <v>00</v>
      </c>
      <c r="O3288" s="10">
        <f t="shared" si="690"/>
        <v>0</v>
      </c>
      <c r="P3288" s="10">
        <f t="shared" si="691"/>
        <v>0</v>
      </c>
      <c r="Q3288" s="10">
        <f t="shared" si="692"/>
        <v>0</v>
      </c>
    </row>
    <row r="3289" spans="1:17">
      <c r="A3289" s="15">
        <f t="shared" si="688"/>
        <v>0</v>
      </c>
      <c r="B3289" s="15"/>
      <c r="C3289" s="17">
        <f>Fixture!E294</f>
        <v>0</v>
      </c>
      <c r="D3289" s="18">
        <f>IF(E3289=0,0,IF(Fixture!D294&lt;Fixture!F294,3,IF(Fixture!F294&lt;Fixture!D294,0,1)))</f>
        <v>0</v>
      </c>
      <c r="E3289" s="18">
        <f t="shared" si="682"/>
        <v>0</v>
      </c>
      <c r="F3289" s="18">
        <f>IF(E3289=0,0,IF(Fixture!D294&lt;Fixture!F294,1,IF(Fixture!F294&lt;Fixture!D294,0,0)))</f>
        <v>0</v>
      </c>
      <c r="G3289" s="18">
        <f>IF(E3289=0,0,IF(Fixture!D294&lt;Fixture!F294,0,IF(Fixture!F294&lt;Fixture!D294,0,1)))</f>
        <v>0</v>
      </c>
      <c r="H3289" s="18">
        <f t="shared" si="683"/>
        <v>0</v>
      </c>
      <c r="I3289" s="64">
        <f t="shared" si="684"/>
        <v>0</v>
      </c>
      <c r="J3289" s="64">
        <f t="shared" si="685"/>
        <v>0</v>
      </c>
      <c r="K3289" s="63">
        <f t="shared" si="686"/>
        <v>0</v>
      </c>
      <c r="L3289" s="63">
        <f t="shared" si="687"/>
        <v>0</v>
      </c>
      <c r="N3289" s="10" t="str">
        <f t="shared" si="689"/>
        <v>00</v>
      </c>
      <c r="O3289" s="10">
        <f t="shared" si="690"/>
        <v>0</v>
      </c>
      <c r="P3289" s="10">
        <f t="shared" si="691"/>
        <v>0</v>
      </c>
      <c r="Q3289" s="10">
        <f t="shared" si="692"/>
        <v>0</v>
      </c>
    </row>
    <row r="3290" spans="1:17">
      <c r="A3290" s="15">
        <f t="shared" si="688"/>
        <v>0</v>
      </c>
      <c r="B3290" s="15"/>
      <c r="C3290" s="17">
        <f>Fixture!E295</f>
        <v>0</v>
      </c>
      <c r="D3290" s="18">
        <f>IF(E3290=0,0,IF(Fixture!D295&lt;Fixture!F295,3,IF(Fixture!F295&lt;Fixture!D295,0,1)))</f>
        <v>0</v>
      </c>
      <c r="E3290" s="18">
        <f t="shared" si="682"/>
        <v>0</v>
      </c>
      <c r="F3290" s="18">
        <f>IF(E3290=0,0,IF(Fixture!D295&lt;Fixture!F295,1,IF(Fixture!F295&lt;Fixture!D295,0,0)))</f>
        <v>0</v>
      </c>
      <c r="G3290" s="18">
        <f>IF(E3290=0,0,IF(Fixture!D295&lt;Fixture!F295,0,IF(Fixture!F295&lt;Fixture!D295,0,1)))</f>
        <v>0</v>
      </c>
      <c r="H3290" s="18">
        <f t="shared" si="683"/>
        <v>0</v>
      </c>
      <c r="I3290" s="64">
        <f t="shared" si="684"/>
        <v>0</v>
      </c>
      <c r="J3290" s="64">
        <f t="shared" si="685"/>
        <v>0</v>
      </c>
      <c r="K3290" s="63">
        <f t="shared" si="686"/>
        <v>0</v>
      </c>
      <c r="L3290" s="63">
        <f t="shared" si="687"/>
        <v>0</v>
      </c>
      <c r="N3290" s="10" t="str">
        <f t="shared" si="689"/>
        <v>00</v>
      </c>
      <c r="O3290" s="10">
        <f t="shared" si="690"/>
        <v>0</v>
      </c>
      <c r="P3290" s="10">
        <f t="shared" si="691"/>
        <v>0</v>
      </c>
      <c r="Q3290" s="10">
        <f t="shared" si="692"/>
        <v>0</v>
      </c>
    </row>
    <row r="3291" spans="1:17">
      <c r="A3291" s="15">
        <f t="shared" si="688"/>
        <v>0</v>
      </c>
      <c r="B3291" s="15"/>
      <c r="C3291" s="17">
        <f>Fixture!E296</f>
        <v>0</v>
      </c>
      <c r="D3291" s="18">
        <f>IF(E3291=0,0,IF(Fixture!D296&lt;Fixture!F296,3,IF(Fixture!F296&lt;Fixture!D296,0,1)))</f>
        <v>0</v>
      </c>
      <c r="E3291" s="18">
        <f t="shared" si="682"/>
        <v>0</v>
      </c>
      <c r="F3291" s="18">
        <f>IF(E3291=0,0,IF(Fixture!D296&lt;Fixture!F296,1,IF(Fixture!F296&lt;Fixture!D296,0,0)))</f>
        <v>0</v>
      </c>
      <c r="G3291" s="18">
        <f>IF(E3291=0,0,IF(Fixture!D296&lt;Fixture!F296,0,IF(Fixture!F296&lt;Fixture!D296,0,1)))</f>
        <v>0</v>
      </c>
      <c r="H3291" s="18">
        <f t="shared" si="683"/>
        <v>0</v>
      </c>
      <c r="I3291" s="64">
        <f t="shared" si="684"/>
        <v>0</v>
      </c>
      <c r="J3291" s="64">
        <f t="shared" si="685"/>
        <v>0</v>
      </c>
      <c r="K3291" s="63">
        <f t="shared" si="686"/>
        <v>0</v>
      </c>
      <c r="L3291" s="63">
        <f t="shared" si="687"/>
        <v>0</v>
      </c>
      <c r="N3291" s="10" t="str">
        <f t="shared" si="689"/>
        <v>00</v>
      </c>
      <c r="O3291" s="10">
        <f t="shared" si="690"/>
        <v>0</v>
      </c>
      <c r="P3291" s="10">
        <f t="shared" si="691"/>
        <v>0</v>
      </c>
      <c r="Q3291" s="10">
        <f t="shared" si="692"/>
        <v>0</v>
      </c>
    </row>
    <row r="3292" spans="1:17">
      <c r="A3292" s="15">
        <f t="shared" si="688"/>
        <v>0</v>
      </c>
      <c r="B3292" s="15"/>
      <c r="C3292" s="17">
        <f>Fixture!E297</f>
        <v>0</v>
      </c>
      <c r="D3292" s="18">
        <f>IF(E3292=0,0,IF(Fixture!D297&lt;Fixture!F297,3,IF(Fixture!F297&lt;Fixture!D297,0,1)))</f>
        <v>0</v>
      </c>
      <c r="E3292" s="18">
        <f t="shared" si="682"/>
        <v>0</v>
      </c>
      <c r="F3292" s="18">
        <f>IF(E3292=0,0,IF(Fixture!D297&lt;Fixture!F297,1,IF(Fixture!F297&lt;Fixture!D297,0,0)))</f>
        <v>0</v>
      </c>
      <c r="G3292" s="18">
        <f>IF(E3292=0,0,IF(Fixture!D297&lt;Fixture!F297,0,IF(Fixture!F297&lt;Fixture!D297,0,1)))</f>
        <v>0</v>
      </c>
      <c r="H3292" s="18">
        <f t="shared" si="683"/>
        <v>0</v>
      </c>
      <c r="I3292" s="64">
        <f t="shared" si="684"/>
        <v>0</v>
      </c>
      <c r="J3292" s="64">
        <f t="shared" si="685"/>
        <v>0</v>
      </c>
      <c r="K3292" s="63">
        <f t="shared" si="686"/>
        <v>0</v>
      </c>
      <c r="L3292" s="63">
        <f t="shared" si="687"/>
        <v>0</v>
      </c>
      <c r="N3292" s="10" t="str">
        <f t="shared" si="689"/>
        <v>00</v>
      </c>
      <c r="O3292" s="10">
        <f t="shared" si="690"/>
        <v>0</v>
      </c>
      <c r="P3292" s="10">
        <f t="shared" si="691"/>
        <v>0</v>
      </c>
      <c r="Q3292" s="10">
        <f t="shared" si="692"/>
        <v>0</v>
      </c>
    </row>
    <row r="3293" spans="1:17">
      <c r="A3293" s="15">
        <f t="shared" si="688"/>
        <v>0</v>
      </c>
      <c r="B3293" s="15"/>
      <c r="C3293" s="17">
        <f>Fixture!E298</f>
        <v>0</v>
      </c>
      <c r="D3293" s="18">
        <f>IF(E3293=0,0,IF(Fixture!D298&lt;Fixture!F298,3,IF(Fixture!F298&lt;Fixture!D298,0,1)))</f>
        <v>0</v>
      </c>
      <c r="E3293" s="18">
        <f t="shared" si="682"/>
        <v>0</v>
      </c>
      <c r="F3293" s="18">
        <f>IF(E3293=0,0,IF(Fixture!D298&lt;Fixture!F298,1,IF(Fixture!F298&lt;Fixture!D298,0,0)))</f>
        <v>0</v>
      </c>
      <c r="G3293" s="18">
        <f>IF(E3293=0,0,IF(Fixture!D298&lt;Fixture!F298,0,IF(Fixture!F298&lt;Fixture!D298,0,1)))</f>
        <v>0</v>
      </c>
      <c r="H3293" s="18">
        <f t="shared" si="683"/>
        <v>0</v>
      </c>
      <c r="I3293" s="64">
        <f t="shared" si="684"/>
        <v>0</v>
      </c>
      <c r="J3293" s="64">
        <f t="shared" si="685"/>
        <v>0</v>
      </c>
      <c r="K3293" s="63">
        <f t="shared" si="686"/>
        <v>0</v>
      </c>
      <c r="L3293" s="63">
        <f t="shared" si="687"/>
        <v>0</v>
      </c>
      <c r="N3293" s="10" t="str">
        <f t="shared" si="689"/>
        <v>00</v>
      </c>
      <c r="O3293" s="10">
        <f t="shared" si="690"/>
        <v>0</v>
      </c>
      <c r="P3293" s="10">
        <f t="shared" si="691"/>
        <v>0</v>
      </c>
      <c r="Q3293" s="10">
        <f t="shared" si="692"/>
        <v>0</v>
      </c>
    </row>
    <row r="3294" spans="1:17">
      <c r="A3294" s="15">
        <f t="shared" si="688"/>
        <v>0</v>
      </c>
      <c r="B3294" s="15"/>
      <c r="C3294" s="17">
        <f>Fixture!E299</f>
        <v>0</v>
      </c>
      <c r="D3294" s="18">
        <f>IF(E3294=0,0,IF(Fixture!D299&lt;Fixture!F299,3,IF(Fixture!F299&lt;Fixture!D299,0,1)))</f>
        <v>0</v>
      </c>
      <c r="E3294" s="18">
        <f t="shared" si="682"/>
        <v>0</v>
      </c>
      <c r="F3294" s="18">
        <f>IF(E3294=0,0,IF(Fixture!D299&lt;Fixture!F299,1,IF(Fixture!F299&lt;Fixture!D299,0,0)))</f>
        <v>0</v>
      </c>
      <c r="G3294" s="18">
        <f>IF(E3294=0,0,IF(Fixture!D299&lt;Fixture!F299,0,IF(Fixture!F299&lt;Fixture!D299,0,1)))</f>
        <v>0</v>
      </c>
      <c r="H3294" s="18">
        <f t="shared" si="683"/>
        <v>0</v>
      </c>
      <c r="I3294" s="64">
        <f t="shared" si="684"/>
        <v>0</v>
      </c>
      <c r="J3294" s="64">
        <f t="shared" si="685"/>
        <v>0</v>
      </c>
      <c r="K3294" s="63">
        <f t="shared" si="686"/>
        <v>0</v>
      </c>
      <c r="L3294" s="63">
        <f t="shared" si="687"/>
        <v>0</v>
      </c>
      <c r="N3294" s="10" t="str">
        <f t="shared" si="689"/>
        <v>00</v>
      </c>
      <c r="O3294" s="10">
        <f t="shared" si="690"/>
        <v>0</v>
      </c>
      <c r="P3294" s="10">
        <f t="shared" si="691"/>
        <v>0</v>
      </c>
      <c r="Q3294" s="10">
        <f t="shared" si="692"/>
        <v>0</v>
      </c>
    </row>
    <row r="3295" spans="1:17">
      <c r="A3295" s="15">
        <f t="shared" si="688"/>
        <v>0</v>
      </c>
      <c r="B3295" s="15"/>
      <c r="C3295" s="17">
        <f>Fixture!E300</f>
        <v>0</v>
      </c>
      <c r="D3295" s="18">
        <f>IF(E3295=0,0,IF(Fixture!D300&lt;Fixture!F300,3,IF(Fixture!F300&lt;Fixture!D300,0,1)))</f>
        <v>0</v>
      </c>
      <c r="E3295" s="18">
        <f t="shared" si="682"/>
        <v>0</v>
      </c>
      <c r="F3295" s="18">
        <f>IF(E3295=0,0,IF(Fixture!D300&lt;Fixture!F300,1,IF(Fixture!F300&lt;Fixture!D300,0,0)))</f>
        <v>0</v>
      </c>
      <c r="G3295" s="18">
        <f>IF(E3295=0,0,IF(Fixture!D300&lt;Fixture!F300,0,IF(Fixture!F300&lt;Fixture!D300,0,1)))</f>
        <v>0</v>
      </c>
      <c r="H3295" s="18">
        <f t="shared" si="683"/>
        <v>0</v>
      </c>
      <c r="I3295" s="64">
        <f t="shared" si="684"/>
        <v>0</v>
      </c>
      <c r="J3295" s="64">
        <f t="shared" si="685"/>
        <v>0</v>
      </c>
      <c r="K3295" s="63">
        <f t="shared" si="686"/>
        <v>0</v>
      </c>
      <c r="L3295" s="63">
        <f t="shared" si="687"/>
        <v>0</v>
      </c>
      <c r="N3295" s="10" t="str">
        <f t="shared" si="689"/>
        <v>00</v>
      </c>
      <c r="O3295" s="10">
        <f t="shared" si="690"/>
        <v>0</v>
      </c>
      <c r="P3295" s="10">
        <f t="shared" si="691"/>
        <v>0</v>
      </c>
      <c r="Q3295" s="10">
        <f t="shared" si="692"/>
        <v>0</v>
      </c>
    </row>
    <row r="3296" spans="1:17">
      <c r="A3296" s="15">
        <f t="shared" si="688"/>
        <v>0</v>
      </c>
      <c r="B3296" s="15"/>
      <c r="C3296" s="17">
        <f>Fixture!E301</f>
        <v>0</v>
      </c>
      <c r="D3296" s="18">
        <f>IF(E3296=0,0,IF(Fixture!D301&lt;Fixture!F301,3,IF(Fixture!F301&lt;Fixture!D301,0,1)))</f>
        <v>0</v>
      </c>
      <c r="E3296" s="18">
        <f t="shared" si="682"/>
        <v>0</v>
      </c>
      <c r="F3296" s="18">
        <f>IF(E3296=0,0,IF(Fixture!D301&lt;Fixture!F301,1,IF(Fixture!F301&lt;Fixture!D301,0,0)))</f>
        <v>0</v>
      </c>
      <c r="G3296" s="18">
        <f>IF(E3296=0,0,IF(Fixture!D301&lt;Fixture!F301,0,IF(Fixture!F301&lt;Fixture!D301,0,1)))</f>
        <v>0</v>
      </c>
      <c r="H3296" s="18">
        <f t="shared" si="683"/>
        <v>0</v>
      </c>
      <c r="I3296" s="64">
        <f t="shared" si="684"/>
        <v>0</v>
      </c>
      <c r="J3296" s="64">
        <f t="shared" si="685"/>
        <v>0</v>
      </c>
      <c r="K3296" s="63">
        <f t="shared" si="686"/>
        <v>0</v>
      </c>
      <c r="L3296" s="63">
        <f t="shared" si="687"/>
        <v>0</v>
      </c>
      <c r="N3296" s="10" t="str">
        <f t="shared" si="689"/>
        <v>00</v>
      </c>
      <c r="O3296" s="10">
        <f t="shared" si="690"/>
        <v>0</v>
      </c>
      <c r="P3296" s="10">
        <f t="shared" si="691"/>
        <v>0</v>
      </c>
      <c r="Q3296" s="10">
        <f t="shared" si="692"/>
        <v>0</v>
      </c>
    </row>
    <row r="3297" spans="1:17">
      <c r="A3297" s="15">
        <f t="shared" si="688"/>
        <v>0</v>
      </c>
      <c r="B3297" s="15"/>
      <c r="C3297" s="17">
        <f>Fixture!E302</f>
        <v>0</v>
      </c>
      <c r="D3297" s="18">
        <f>IF(E3297=0,0,IF(Fixture!D302&lt;Fixture!F302,3,IF(Fixture!F302&lt;Fixture!D302,0,1)))</f>
        <v>0</v>
      </c>
      <c r="E3297" s="18">
        <f t="shared" si="682"/>
        <v>0</v>
      </c>
      <c r="F3297" s="18">
        <f>IF(E3297=0,0,IF(Fixture!D302&lt;Fixture!F302,1,IF(Fixture!F302&lt;Fixture!D302,0,0)))</f>
        <v>0</v>
      </c>
      <c r="G3297" s="18">
        <f>IF(E3297=0,0,IF(Fixture!D302&lt;Fixture!F302,0,IF(Fixture!F302&lt;Fixture!D302,0,1)))</f>
        <v>0</v>
      </c>
      <c r="H3297" s="18">
        <f t="shared" si="683"/>
        <v>0</v>
      </c>
      <c r="I3297" s="64">
        <f t="shared" si="684"/>
        <v>0</v>
      </c>
      <c r="J3297" s="64">
        <f t="shared" si="685"/>
        <v>0</v>
      </c>
      <c r="K3297" s="63">
        <f t="shared" si="686"/>
        <v>0</v>
      </c>
      <c r="L3297" s="63">
        <f t="shared" si="687"/>
        <v>0</v>
      </c>
      <c r="N3297" s="10" t="str">
        <f t="shared" si="689"/>
        <v>00</v>
      </c>
      <c r="O3297" s="10">
        <f t="shared" si="690"/>
        <v>0</v>
      </c>
      <c r="P3297" s="10">
        <f t="shared" si="691"/>
        <v>0</v>
      </c>
      <c r="Q3297" s="10">
        <f t="shared" si="692"/>
        <v>0</v>
      </c>
    </row>
    <row r="3298" spans="1:17">
      <c r="A3298" s="15">
        <f t="shared" si="688"/>
        <v>0</v>
      </c>
      <c r="B3298" s="15"/>
      <c r="C3298" s="17">
        <f>Fixture!E303</f>
        <v>0</v>
      </c>
      <c r="D3298" s="18">
        <f>IF(E3298=0,0,IF(Fixture!D303&lt;Fixture!F303,3,IF(Fixture!F303&lt;Fixture!D303,0,1)))</f>
        <v>0</v>
      </c>
      <c r="E3298" s="18">
        <f t="shared" si="682"/>
        <v>0</v>
      </c>
      <c r="F3298" s="18">
        <f>IF(E3298=0,0,IF(Fixture!D303&lt;Fixture!F303,1,IF(Fixture!F303&lt;Fixture!D303,0,0)))</f>
        <v>0</v>
      </c>
      <c r="G3298" s="18">
        <f>IF(E3298=0,0,IF(Fixture!D303&lt;Fixture!F303,0,IF(Fixture!F303&lt;Fixture!D303,0,1)))</f>
        <v>0</v>
      </c>
      <c r="H3298" s="18">
        <f t="shared" si="683"/>
        <v>0</v>
      </c>
      <c r="I3298" s="64">
        <f t="shared" si="684"/>
        <v>0</v>
      </c>
      <c r="J3298" s="64">
        <f t="shared" si="685"/>
        <v>0</v>
      </c>
      <c r="K3298" s="63">
        <f t="shared" si="686"/>
        <v>0</v>
      </c>
      <c r="L3298" s="63">
        <f t="shared" si="687"/>
        <v>0</v>
      </c>
      <c r="N3298" s="10" t="str">
        <f t="shared" si="689"/>
        <v>00</v>
      </c>
      <c r="O3298" s="10">
        <f t="shared" si="690"/>
        <v>0</v>
      </c>
      <c r="P3298" s="10">
        <f t="shared" si="691"/>
        <v>0</v>
      </c>
      <c r="Q3298" s="10">
        <f t="shared" si="692"/>
        <v>0</v>
      </c>
    </row>
    <row r="3299" spans="1:17">
      <c r="A3299" s="15">
        <f t="shared" si="688"/>
        <v>0</v>
      </c>
      <c r="B3299" s="15"/>
      <c r="C3299" s="17">
        <f>Fixture!E304</f>
        <v>0</v>
      </c>
      <c r="D3299" s="18">
        <f>IF(E3299=0,0,IF(Fixture!D304&lt;Fixture!F304,3,IF(Fixture!F304&lt;Fixture!D304,0,1)))</f>
        <v>0</v>
      </c>
      <c r="E3299" s="18">
        <f t="shared" si="682"/>
        <v>0</v>
      </c>
      <c r="F3299" s="18">
        <f>IF(E3299=0,0,IF(Fixture!D304&lt;Fixture!F304,1,IF(Fixture!F304&lt;Fixture!D304,0,0)))</f>
        <v>0</v>
      </c>
      <c r="G3299" s="18">
        <f>IF(E3299=0,0,IF(Fixture!D304&lt;Fixture!F304,0,IF(Fixture!F304&lt;Fixture!D304,0,1)))</f>
        <v>0</v>
      </c>
      <c r="H3299" s="18">
        <f t="shared" si="683"/>
        <v>0</v>
      </c>
      <c r="I3299" s="64">
        <f t="shared" si="684"/>
        <v>0</v>
      </c>
      <c r="J3299" s="64">
        <f t="shared" si="685"/>
        <v>0</v>
      </c>
      <c r="K3299" s="63">
        <f t="shared" si="686"/>
        <v>0</v>
      </c>
      <c r="L3299" s="63">
        <f t="shared" si="687"/>
        <v>0</v>
      </c>
      <c r="N3299" s="10" t="str">
        <f t="shared" si="689"/>
        <v>00</v>
      </c>
      <c r="O3299" s="10">
        <f t="shared" si="690"/>
        <v>0</v>
      </c>
      <c r="P3299" s="10">
        <f t="shared" si="691"/>
        <v>0</v>
      </c>
      <c r="Q3299" s="10">
        <f t="shared" si="692"/>
        <v>0</v>
      </c>
    </row>
    <row r="3300" spans="1:17">
      <c r="A3300" s="15">
        <f t="shared" si="688"/>
        <v>0</v>
      </c>
      <c r="B3300" s="15"/>
      <c r="C3300" s="17">
        <f>Fixture!E305</f>
        <v>0</v>
      </c>
      <c r="D3300" s="18">
        <f>IF(E3300=0,0,IF(Fixture!D305&lt;Fixture!F305,3,IF(Fixture!F305&lt;Fixture!D305,0,1)))</f>
        <v>0</v>
      </c>
      <c r="E3300" s="18">
        <f t="shared" si="682"/>
        <v>0</v>
      </c>
      <c r="F3300" s="18">
        <f>IF(E3300=0,0,IF(Fixture!D305&lt;Fixture!F305,1,IF(Fixture!F305&lt;Fixture!D305,0,0)))</f>
        <v>0</v>
      </c>
      <c r="G3300" s="18">
        <f>IF(E3300=0,0,IF(Fixture!D305&lt;Fixture!F305,0,IF(Fixture!F305&lt;Fixture!D305,0,1)))</f>
        <v>0</v>
      </c>
      <c r="H3300" s="18">
        <f t="shared" si="683"/>
        <v>0</v>
      </c>
      <c r="I3300" s="64">
        <f t="shared" si="684"/>
        <v>0</v>
      </c>
      <c r="J3300" s="64">
        <f t="shared" si="685"/>
        <v>0</v>
      </c>
      <c r="K3300" s="63">
        <f t="shared" si="686"/>
        <v>0</v>
      </c>
      <c r="L3300" s="63">
        <f t="shared" si="687"/>
        <v>0</v>
      </c>
      <c r="N3300" s="10" t="str">
        <f t="shared" si="689"/>
        <v>00</v>
      </c>
      <c r="O3300" s="10">
        <f t="shared" si="690"/>
        <v>0</v>
      </c>
      <c r="P3300" s="10">
        <f t="shared" si="691"/>
        <v>0</v>
      </c>
      <c r="Q3300" s="10">
        <f t="shared" si="692"/>
        <v>0</v>
      </c>
    </row>
    <row r="3301" spans="1:17">
      <c r="A3301" s="15">
        <f t="shared" si="688"/>
        <v>0</v>
      </c>
      <c r="B3301" s="15"/>
      <c r="C3301" s="17">
        <f>Fixture!E306</f>
        <v>0</v>
      </c>
      <c r="D3301" s="18">
        <f>IF(E3301=0,0,IF(Fixture!D306&lt;Fixture!F306,3,IF(Fixture!F306&lt;Fixture!D306,0,1)))</f>
        <v>0</v>
      </c>
      <c r="E3301" s="18">
        <f t="shared" si="682"/>
        <v>0</v>
      </c>
      <c r="F3301" s="18">
        <f>IF(E3301=0,0,IF(Fixture!D306&lt;Fixture!F306,1,IF(Fixture!F306&lt;Fixture!D306,0,0)))</f>
        <v>0</v>
      </c>
      <c r="G3301" s="18">
        <f>IF(E3301=0,0,IF(Fixture!D306&lt;Fixture!F306,0,IF(Fixture!F306&lt;Fixture!D306,0,1)))</f>
        <v>0</v>
      </c>
      <c r="H3301" s="18">
        <f t="shared" si="683"/>
        <v>0</v>
      </c>
      <c r="I3301" s="64">
        <f t="shared" si="684"/>
        <v>0</v>
      </c>
      <c r="J3301" s="64">
        <f t="shared" si="685"/>
        <v>0</v>
      </c>
      <c r="K3301" s="63">
        <f t="shared" si="686"/>
        <v>0</v>
      </c>
      <c r="L3301" s="63">
        <f t="shared" si="687"/>
        <v>0</v>
      </c>
      <c r="N3301" s="10" t="str">
        <f t="shared" si="689"/>
        <v>00</v>
      </c>
      <c r="O3301" s="10">
        <f t="shared" si="690"/>
        <v>0</v>
      </c>
      <c r="P3301" s="10">
        <f t="shared" si="691"/>
        <v>0</v>
      </c>
      <c r="Q3301" s="10">
        <f t="shared" si="692"/>
        <v>0</v>
      </c>
    </row>
    <row r="3302" spans="1:17">
      <c r="A3302" s="15">
        <f t="shared" si="688"/>
        <v>0</v>
      </c>
      <c r="B3302" s="15"/>
      <c r="C3302" s="17">
        <f>Fixture!E307</f>
        <v>0</v>
      </c>
      <c r="D3302" s="18">
        <f>IF(E3302=0,0,IF(Fixture!D307&lt;Fixture!F307,3,IF(Fixture!F307&lt;Fixture!D307,0,1)))</f>
        <v>0</v>
      </c>
      <c r="E3302" s="18">
        <f t="shared" si="682"/>
        <v>0</v>
      </c>
      <c r="F3302" s="18">
        <f>IF(E3302=0,0,IF(Fixture!D307&lt;Fixture!F307,1,IF(Fixture!F307&lt;Fixture!D307,0,0)))</f>
        <v>0</v>
      </c>
      <c r="G3302" s="18">
        <f>IF(E3302=0,0,IF(Fixture!D307&lt;Fixture!F307,0,IF(Fixture!F307&lt;Fixture!D307,0,1)))</f>
        <v>0</v>
      </c>
      <c r="H3302" s="18">
        <f t="shared" si="683"/>
        <v>0</v>
      </c>
      <c r="I3302" s="64">
        <f t="shared" si="684"/>
        <v>0</v>
      </c>
      <c r="J3302" s="64">
        <f t="shared" si="685"/>
        <v>0</v>
      </c>
      <c r="K3302" s="63">
        <f t="shared" si="686"/>
        <v>0</v>
      </c>
      <c r="L3302" s="63">
        <f t="shared" si="687"/>
        <v>0</v>
      </c>
      <c r="N3302" s="10" t="str">
        <f t="shared" si="689"/>
        <v>00</v>
      </c>
      <c r="O3302" s="10">
        <f t="shared" si="690"/>
        <v>0</v>
      </c>
      <c r="P3302" s="10">
        <f t="shared" si="691"/>
        <v>0</v>
      </c>
      <c r="Q3302" s="10">
        <f t="shared" si="692"/>
        <v>0</v>
      </c>
    </row>
    <row r="3303" spans="1:17">
      <c r="A3303" s="15">
        <f t="shared" si="688"/>
        <v>0</v>
      </c>
      <c r="B3303" s="15"/>
      <c r="C3303" s="17">
        <f>Fixture!E308</f>
        <v>0</v>
      </c>
      <c r="D3303" s="18">
        <f>IF(E3303=0,0,IF(Fixture!D308&lt;Fixture!F308,3,IF(Fixture!F308&lt;Fixture!D308,0,1)))</f>
        <v>0</v>
      </c>
      <c r="E3303" s="18">
        <f t="shared" si="682"/>
        <v>0</v>
      </c>
      <c r="F3303" s="18">
        <f>IF(E3303=0,0,IF(Fixture!D308&lt;Fixture!F308,1,IF(Fixture!F308&lt;Fixture!D308,0,0)))</f>
        <v>0</v>
      </c>
      <c r="G3303" s="18">
        <f>IF(E3303=0,0,IF(Fixture!D308&lt;Fixture!F308,0,IF(Fixture!F308&lt;Fixture!D308,0,1)))</f>
        <v>0</v>
      </c>
      <c r="H3303" s="18">
        <f t="shared" si="683"/>
        <v>0</v>
      </c>
      <c r="I3303" s="64">
        <f t="shared" si="684"/>
        <v>0</v>
      </c>
      <c r="J3303" s="64">
        <f t="shared" si="685"/>
        <v>0</v>
      </c>
      <c r="K3303" s="63">
        <f t="shared" si="686"/>
        <v>0</v>
      </c>
      <c r="L3303" s="63">
        <f t="shared" si="687"/>
        <v>0</v>
      </c>
      <c r="N3303" s="10" t="str">
        <f t="shared" si="689"/>
        <v>00</v>
      </c>
      <c r="O3303" s="10">
        <f t="shared" si="690"/>
        <v>0</v>
      </c>
      <c r="P3303" s="10">
        <f t="shared" si="691"/>
        <v>0</v>
      </c>
      <c r="Q3303" s="10">
        <f t="shared" si="692"/>
        <v>0</v>
      </c>
    </row>
    <row r="3304" spans="1:17">
      <c r="A3304" s="15">
        <f t="shared" si="688"/>
        <v>0</v>
      </c>
      <c r="B3304" s="15"/>
      <c r="C3304" s="17">
        <f>Fixture!E309</f>
        <v>0</v>
      </c>
      <c r="D3304" s="18">
        <f>IF(E3304=0,0,IF(Fixture!D309&lt;Fixture!F309,3,IF(Fixture!F309&lt;Fixture!D309,0,1)))</f>
        <v>0</v>
      </c>
      <c r="E3304" s="18">
        <f t="shared" si="682"/>
        <v>0</v>
      </c>
      <c r="F3304" s="18">
        <f>IF(E3304=0,0,IF(Fixture!D309&lt;Fixture!F309,1,IF(Fixture!F309&lt;Fixture!D309,0,0)))</f>
        <v>0</v>
      </c>
      <c r="G3304" s="18">
        <f>IF(E3304=0,0,IF(Fixture!D309&lt;Fixture!F309,0,IF(Fixture!F309&lt;Fixture!D309,0,1)))</f>
        <v>0</v>
      </c>
      <c r="H3304" s="18">
        <f t="shared" si="683"/>
        <v>0</v>
      </c>
      <c r="I3304" s="64">
        <f t="shared" si="684"/>
        <v>0</v>
      </c>
      <c r="J3304" s="64">
        <f t="shared" si="685"/>
        <v>0</v>
      </c>
      <c r="K3304" s="63">
        <f t="shared" si="686"/>
        <v>0</v>
      </c>
      <c r="L3304" s="63">
        <f t="shared" si="687"/>
        <v>0</v>
      </c>
      <c r="N3304" s="10" t="str">
        <f t="shared" si="689"/>
        <v>00</v>
      </c>
      <c r="O3304" s="10">
        <f t="shared" si="690"/>
        <v>0</v>
      </c>
      <c r="P3304" s="10">
        <f t="shared" si="691"/>
        <v>0</v>
      </c>
      <c r="Q3304" s="10">
        <f t="shared" si="692"/>
        <v>0</v>
      </c>
    </row>
    <row r="3305" spans="1:17">
      <c r="A3305" s="15">
        <f t="shared" si="688"/>
        <v>0</v>
      </c>
      <c r="B3305" s="15"/>
      <c r="C3305" s="17">
        <f>Fixture!E310</f>
        <v>0</v>
      </c>
      <c r="D3305" s="18">
        <f>IF(E3305=0,0,IF(Fixture!D310&lt;Fixture!F310,3,IF(Fixture!F310&lt;Fixture!D310,0,1)))</f>
        <v>0</v>
      </c>
      <c r="E3305" s="18">
        <f t="shared" si="682"/>
        <v>0</v>
      </c>
      <c r="F3305" s="18">
        <f>IF(E3305=0,0,IF(Fixture!D310&lt;Fixture!F310,1,IF(Fixture!F310&lt;Fixture!D310,0,0)))</f>
        <v>0</v>
      </c>
      <c r="G3305" s="18">
        <f>IF(E3305=0,0,IF(Fixture!D310&lt;Fixture!F310,0,IF(Fixture!F310&lt;Fixture!D310,0,1)))</f>
        <v>0</v>
      </c>
      <c r="H3305" s="18">
        <f t="shared" si="683"/>
        <v>0</v>
      </c>
      <c r="I3305" s="64">
        <f t="shared" si="684"/>
        <v>0</v>
      </c>
      <c r="J3305" s="64">
        <f t="shared" si="685"/>
        <v>0</v>
      </c>
      <c r="K3305" s="63">
        <f t="shared" si="686"/>
        <v>0</v>
      </c>
      <c r="L3305" s="63">
        <f t="shared" si="687"/>
        <v>0</v>
      </c>
      <c r="N3305" s="10" t="str">
        <f t="shared" si="689"/>
        <v>00</v>
      </c>
      <c r="O3305" s="10">
        <f t="shared" si="690"/>
        <v>0</v>
      </c>
      <c r="P3305" s="10">
        <f t="shared" si="691"/>
        <v>0</v>
      </c>
      <c r="Q3305" s="10">
        <f t="shared" si="692"/>
        <v>0</v>
      </c>
    </row>
    <row r="3306" spans="1:17">
      <c r="A3306" s="15">
        <f t="shared" si="688"/>
        <v>0</v>
      </c>
      <c r="B3306" s="15"/>
      <c r="C3306" s="17">
        <f>Fixture!E311</f>
        <v>0</v>
      </c>
      <c r="D3306" s="18">
        <f>IF(E3306=0,0,IF(Fixture!D311&lt;Fixture!F311,3,IF(Fixture!F311&lt;Fixture!D311,0,1)))</f>
        <v>0</v>
      </c>
      <c r="E3306" s="18">
        <f t="shared" si="682"/>
        <v>0</v>
      </c>
      <c r="F3306" s="18">
        <f>IF(E3306=0,0,IF(Fixture!D311&lt;Fixture!F311,1,IF(Fixture!F311&lt;Fixture!D311,0,0)))</f>
        <v>0</v>
      </c>
      <c r="G3306" s="18">
        <f>IF(E3306=0,0,IF(Fixture!D311&lt;Fixture!F311,0,IF(Fixture!F311&lt;Fixture!D311,0,1)))</f>
        <v>0</v>
      </c>
      <c r="H3306" s="18">
        <f t="shared" si="683"/>
        <v>0</v>
      </c>
      <c r="I3306" s="64">
        <f t="shared" si="684"/>
        <v>0</v>
      </c>
      <c r="J3306" s="64">
        <f t="shared" si="685"/>
        <v>0</v>
      </c>
      <c r="K3306" s="63">
        <f t="shared" si="686"/>
        <v>0</v>
      </c>
      <c r="L3306" s="63">
        <f t="shared" si="687"/>
        <v>0</v>
      </c>
      <c r="N3306" s="10" t="str">
        <f t="shared" si="689"/>
        <v>00</v>
      </c>
      <c r="O3306" s="10">
        <f t="shared" si="690"/>
        <v>0</v>
      </c>
      <c r="P3306" s="10">
        <f t="shared" si="691"/>
        <v>0</v>
      </c>
      <c r="Q3306" s="10">
        <f t="shared" si="692"/>
        <v>0</v>
      </c>
    </row>
    <row r="3307" spans="1:17">
      <c r="A3307" s="15">
        <f t="shared" si="688"/>
        <v>0</v>
      </c>
      <c r="B3307" s="15"/>
      <c r="C3307" s="17">
        <f>Fixture!E312</f>
        <v>0</v>
      </c>
      <c r="D3307" s="18">
        <f>IF(E3307=0,0,IF(Fixture!D312&lt;Fixture!F312,3,IF(Fixture!F312&lt;Fixture!D312,0,1)))</f>
        <v>0</v>
      </c>
      <c r="E3307" s="18">
        <f t="shared" si="682"/>
        <v>0</v>
      </c>
      <c r="F3307" s="18">
        <f>IF(E3307=0,0,IF(Fixture!D312&lt;Fixture!F312,1,IF(Fixture!F312&lt;Fixture!D312,0,0)))</f>
        <v>0</v>
      </c>
      <c r="G3307" s="18">
        <f>IF(E3307=0,0,IF(Fixture!D312&lt;Fixture!F312,0,IF(Fixture!F312&lt;Fixture!D312,0,1)))</f>
        <v>0</v>
      </c>
      <c r="H3307" s="18">
        <f t="shared" si="683"/>
        <v>0</v>
      </c>
      <c r="I3307" s="64">
        <f t="shared" si="684"/>
        <v>0</v>
      </c>
      <c r="J3307" s="64">
        <f t="shared" si="685"/>
        <v>0</v>
      </c>
      <c r="K3307" s="63">
        <f t="shared" si="686"/>
        <v>0</v>
      </c>
      <c r="L3307" s="63">
        <f t="shared" si="687"/>
        <v>0</v>
      </c>
      <c r="N3307" s="10" t="str">
        <f t="shared" si="689"/>
        <v>00</v>
      </c>
      <c r="O3307" s="10">
        <f t="shared" si="690"/>
        <v>0</v>
      </c>
      <c r="P3307" s="10">
        <f t="shared" si="691"/>
        <v>0</v>
      </c>
      <c r="Q3307" s="10">
        <f t="shared" si="692"/>
        <v>0</v>
      </c>
    </row>
    <row r="3308" spans="1:17">
      <c r="A3308" s="15">
        <f t="shared" si="688"/>
        <v>0</v>
      </c>
      <c r="B3308" s="15"/>
      <c r="C3308" s="17">
        <f>Fixture!E313</f>
        <v>0</v>
      </c>
      <c r="D3308" s="18">
        <f>IF(E3308=0,0,IF(Fixture!D313&lt;Fixture!F313,3,IF(Fixture!F313&lt;Fixture!D313,0,1)))</f>
        <v>0</v>
      </c>
      <c r="E3308" s="18">
        <f t="shared" si="682"/>
        <v>0</v>
      </c>
      <c r="F3308" s="18">
        <f>IF(E3308=0,0,IF(Fixture!D313&lt;Fixture!F313,1,IF(Fixture!F313&lt;Fixture!D313,0,0)))</f>
        <v>0</v>
      </c>
      <c r="G3308" s="18">
        <f>IF(E3308=0,0,IF(Fixture!D313&lt;Fixture!F313,0,IF(Fixture!F313&lt;Fixture!D313,0,1)))</f>
        <v>0</v>
      </c>
      <c r="H3308" s="18">
        <f t="shared" si="683"/>
        <v>0</v>
      </c>
      <c r="I3308" s="64">
        <f t="shared" si="684"/>
        <v>0</v>
      </c>
      <c r="J3308" s="64">
        <f t="shared" si="685"/>
        <v>0</v>
      </c>
      <c r="K3308" s="63">
        <f t="shared" si="686"/>
        <v>0</v>
      </c>
      <c r="L3308" s="63">
        <f t="shared" si="687"/>
        <v>0</v>
      </c>
      <c r="N3308" s="10" t="str">
        <f t="shared" si="689"/>
        <v>00</v>
      </c>
      <c r="O3308" s="10">
        <f t="shared" si="690"/>
        <v>0</v>
      </c>
      <c r="P3308" s="10">
        <f t="shared" si="691"/>
        <v>0</v>
      </c>
      <c r="Q3308" s="10">
        <f t="shared" si="692"/>
        <v>0</v>
      </c>
    </row>
    <row r="3309" spans="1:17">
      <c r="A3309" s="15">
        <f t="shared" si="688"/>
        <v>0</v>
      </c>
      <c r="B3309" s="15"/>
      <c r="C3309" s="17">
        <f>Fixture!E314</f>
        <v>0</v>
      </c>
      <c r="D3309" s="18">
        <f>IF(E3309=0,0,IF(Fixture!D314&lt;Fixture!F314,3,IF(Fixture!F314&lt;Fixture!D314,0,1)))</f>
        <v>0</v>
      </c>
      <c r="E3309" s="18">
        <f t="shared" si="682"/>
        <v>0</v>
      </c>
      <c r="F3309" s="18">
        <f>IF(E3309=0,0,IF(Fixture!D314&lt;Fixture!F314,1,IF(Fixture!F314&lt;Fixture!D314,0,0)))</f>
        <v>0</v>
      </c>
      <c r="G3309" s="18">
        <f>IF(E3309=0,0,IF(Fixture!D314&lt;Fixture!F314,0,IF(Fixture!F314&lt;Fixture!D314,0,1)))</f>
        <v>0</v>
      </c>
      <c r="H3309" s="18">
        <f t="shared" si="683"/>
        <v>0</v>
      </c>
      <c r="I3309" s="64">
        <f t="shared" si="684"/>
        <v>0</v>
      </c>
      <c r="J3309" s="64">
        <f t="shared" si="685"/>
        <v>0</v>
      </c>
      <c r="K3309" s="63">
        <f t="shared" si="686"/>
        <v>0</v>
      </c>
      <c r="L3309" s="63">
        <f t="shared" si="687"/>
        <v>0</v>
      </c>
      <c r="N3309" s="10" t="str">
        <f t="shared" si="689"/>
        <v>00</v>
      </c>
      <c r="O3309" s="10">
        <f t="shared" si="690"/>
        <v>0</v>
      </c>
      <c r="P3309" s="10">
        <f t="shared" si="691"/>
        <v>0</v>
      </c>
      <c r="Q3309" s="10">
        <f t="shared" si="692"/>
        <v>0</v>
      </c>
    </row>
    <row r="3310" spans="1:17">
      <c r="A3310" s="15">
        <f t="shared" si="688"/>
        <v>0</v>
      </c>
      <c r="B3310" s="15"/>
      <c r="C3310" s="17">
        <f>Fixture!E315</f>
        <v>0</v>
      </c>
      <c r="D3310" s="18">
        <f>IF(E3310=0,0,IF(Fixture!D315&lt;Fixture!F315,3,IF(Fixture!F315&lt;Fixture!D315,0,1)))</f>
        <v>0</v>
      </c>
      <c r="E3310" s="18">
        <f t="shared" si="682"/>
        <v>0</v>
      </c>
      <c r="F3310" s="18">
        <f>IF(E3310=0,0,IF(Fixture!D315&lt;Fixture!F315,1,IF(Fixture!F315&lt;Fixture!D315,0,0)))</f>
        <v>0</v>
      </c>
      <c r="G3310" s="18">
        <f>IF(E3310=0,0,IF(Fixture!D315&lt;Fixture!F315,0,IF(Fixture!F315&lt;Fixture!D315,0,1)))</f>
        <v>0</v>
      </c>
      <c r="H3310" s="18">
        <f t="shared" si="683"/>
        <v>0</v>
      </c>
      <c r="I3310" s="64">
        <f t="shared" si="684"/>
        <v>0</v>
      </c>
      <c r="J3310" s="64">
        <f t="shared" si="685"/>
        <v>0</v>
      </c>
      <c r="K3310" s="63">
        <f t="shared" si="686"/>
        <v>0</v>
      </c>
      <c r="L3310" s="63">
        <f t="shared" si="687"/>
        <v>0</v>
      </c>
      <c r="N3310" s="10" t="str">
        <f t="shared" si="689"/>
        <v>00</v>
      </c>
      <c r="O3310" s="10">
        <f t="shared" si="690"/>
        <v>0</v>
      </c>
      <c r="P3310" s="10">
        <f t="shared" si="691"/>
        <v>0</v>
      </c>
      <c r="Q3310" s="10">
        <f t="shared" si="692"/>
        <v>0</v>
      </c>
    </row>
    <row r="3311" spans="1:17">
      <c r="A3311" s="15">
        <f t="shared" si="688"/>
        <v>0</v>
      </c>
      <c r="B3311" s="15"/>
      <c r="C3311" s="17">
        <f>Fixture!E316</f>
        <v>0</v>
      </c>
      <c r="D3311" s="18">
        <f>IF(E3311=0,0,IF(Fixture!D316&lt;Fixture!F316,3,IF(Fixture!F316&lt;Fixture!D316,0,1)))</f>
        <v>0</v>
      </c>
      <c r="E3311" s="18">
        <f t="shared" si="682"/>
        <v>0</v>
      </c>
      <c r="F3311" s="18">
        <f>IF(E3311=0,0,IF(Fixture!D316&lt;Fixture!F316,1,IF(Fixture!F316&lt;Fixture!D316,0,0)))</f>
        <v>0</v>
      </c>
      <c r="G3311" s="18">
        <f>IF(E3311=0,0,IF(Fixture!D316&lt;Fixture!F316,0,IF(Fixture!F316&lt;Fixture!D316,0,1)))</f>
        <v>0</v>
      </c>
      <c r="H3311" s="18">
        <f t="shared" si="683"/>
        <v>0</v>
      </c>
      <c r="I3311" s="64">
        <f t="shared" si="684"/>
        <v>0</v>
      </c>
      <c r="J3311" s="64">
        <f t="shared" si="685"/>
        <v>0</v>
      </c>
      <c r="K3311" s="63">
        <f t="shared" si="686"/>
        <v>0</v>
      </c>
      <c r="L3311" s="63">
        <f t="shared" si="687"/>
        <v>0</v>
      </c>
      <c r="N3311" s="10" t="str">
        <f t="shared" si="689"/>
        <v>00</v>
      </c>
      <c r="O3311" s="10">
        <f t="shared" si="690"/>
        <v>0</v>
      </c>
      <c r="P3311" s="10">
        <f t="shared" si="691"/>
        <v>0</v>
      </c>
      <c r="Q3311" s="10">
        <f t="shared" si="692"/>
        <v>0</v>
      </c>
    </row>
    <row r="3312" spans="1:17">
      <c r="A3312" s="15">
        <f t="shared" si="688"/>
        <v>0</v>
      </c>
      <c r="B3312" s="15"/>
      <c r="C3312" s="17">
        <f>Fixture!E317</f>
        <v>0</v>
      </c>
      <c r="D3312" s="18">
        <f>IF(E3312=0,0,IF(Fixture!D317&lt;Fixture!F317,3,IF(Fixture!F317&lt;Fixture!D317,0,1)))</f>
        <v>0</v>
      </c>
      <c r="E3312" s="18">
        <f t="shared" si="682"/>
        <v>0</v>
      </c>
      <c r="F3312" s="18">
        <f>IF(E3312=0,0,IF(Fixture!D317&lt;Fixture!F317,1,IF(Fixture!F317&lt;Fixture!D317,0,0)))</f>
        <v>0</v>
      </c>
      <c r="G3312" s="18">
        <f>IF(E3312=0,0,IF(Fixture!D317&lt;Fixture!F317,0,IF(Fixture!F317&lt;Fixture!D317,0,1)))</f>
        <v>0</v>
      </c>
      <c r="H3312" s="18">
        <f t="shared" si="683"/>
        <v>0</v>
      </c>
      <c r="I3312" s="64">
        <f t="shared" si="684"/>
        <v>0</v>
      </c>
      <c r="J3312" s="64">
        <f t="shared" si="685"/>
        <v>0</v>
      </c>
      <c r="K3312" s="63">
        <f t="shared" si="686"/>
        <v>0</v>
      </c>
      <c r="L3312" s="63">
        <f t="shared" si="687"/>
        <v>0</v>
      </c>
      <c r="N3312" s="10" t="str">
        <f t="shared" si="689"/>
        <v>00</v>
      </c>
      <c r="O3312" s="10">
        <f t="shared" si="690"/>
        <v>0</v>
      </c>
      <c r="P3312" s="10">
        <f t="shared" si="691"/>
        <v>0</v>
      </c>
      <c r="Q3312" s="10">
        <f t="shared" si="692"/>
        <v>0</v>
      </c>
    </row>
    <row r="3313" spans="1:17">
      <c r="A3313" s="15">
        <f t="shared" si="688"/>
        <v>0</v>
      </c>
      <c r="B3313" s="15"/>
      <c r="C3313" s="17">
        <f>Fixture!E318</f>
        <v>0</v>
      </c>
      <c r="D3313" s="18">
        <f>IF(E3313=0,0,IF(Fixture!D318&lt;Fixture!F318,3,IF(Fixture!F318&lt;Fixture!D318,0,1)))</f>
        <v>0</v>
      </c>
      <c r="E3313" s="18">
        <f t="shared" si="682"/>
        <v>0</v>
      </c>
      <c r="F3313" s="18">
        <f>IF(E3313=0,0,IF(Fixture!D318&lt;Fixture!F318,1,IF(Fixture!F318&lt;Fixture!D318,0,0)))</f>
        <v>0</v>
      </c>
      <c r="G3313" s="18">
        <f>IF(E3313=0,0,IF(Fixture!D318&lt;Fixture!F318,0,IF(Fixture!F318&lt;Fixture!D318,0,1)))</f>
        <v>0</v>
      </c>
      <c r="H3313" s="18">
        <f t="shared" si="683"/>
        <v>0</v>
      </c>
      <c r="I3313" s="64">
        <f t="shared" si="684"/>
        <v>0</v>
      </c>
      <c r="J3313" s="64">
        <f t="shared" si="685"/>
        <v>0</v>
      </c>
      <c r="K3313" s="63">
        <f t="shared" si="686"/>
        <v>0</v>
      </c>
      <c r="L3313" s="63">
        <f t="shared" si="687"/>
        <v>0</v>
      </c>
      <c r="N3313" s="10" t="str">
        <f t="shared" si="689"/>
        <v>00</v>
      </c>
      <c r="O3313" s="10">
        <f t="shared" si="690"/>
        <v>0</v>
      </c>
      <c r="P3313" s="10">
        <f t="shared" si="691"/>
        <v>0</v>
      </c>
      <c r="Q3313" s="10">
        <f t="shared" si="692"/>
        <v>0</v>
      </c>
    </row>
    <row r="3314" spans="1:17">
      <c r="A3314" s="15">
        <f t="shared" si="688"/>
        <v>0</v>
      </c>
      <c r="B3314" s="15"/>
      <c r="C3314" s="17">
        <f>Fixture!E319</f>
        <v>0</v>
      </c>
      <c r="D3314" s="18">
        <f>IF(E3314=0,0,IF(Fixture!D319&lt;Fixture!F319,3,IF(Fixture!F319&lt;Fixture!D319,0,1)))</f>
        <v>0</v>
      </c>
      <c r="E3314" s="18">
        <f t="shared" si="682"/>
        <v>0</v>
      </c>
      <c r="F3314" s="18">
        <f>IF(E3314=0,0,IF(Fixture!D319&lt;Fixture!F319,1,IF(Fixture!F319&lt;Fixture!D319,0,0)))</f>
        <v>0</v>
      </c>
      <c r="G3314" s="18">
        <f>IF(E3314=0,0,IF(Fixture!D319&lt;Fixture!F319,0,IF(Fixture!F319&lt;Fixture!D319,0,1)))</f>
        <v>0</v>
      </c>
      <c r="H3314" s="18">
        <f t="shared" si="683"/>
        <v>0</v>
      </c>
      <c r="I3314" s="64">
        <f t="shared" si="684"/>
        <v>0</v>
      </c>
      <c r="J3314" s="64">
        <f t="shared" si="685"/>
        <v>0</v>
      </c>
      <c r="K3314" s="63">
        <f t="shared" si="686"/>
        <v>0</v>
      </c>
      <c r="L3314" s="63">
        <f t="shared" si="687"/>
        <v>0</v>
      </c>
      <c r="N3314" s="10" t="str">
        <f t="shared" si="689"/>
        <v>00</v>
      </c>
      <c r="O3314" s="10">
        <f t="shared" si="690"/>
        <v>0</v>
      </c>
      <c r="P3314" s="10">
        <f t="shared" si="691"/>
        <v>0</v>
      </c>
      <c r="Q3314" s="10">
        <f t="shared" si="692"/>
        <v>0</v>
      </c>
    </row>
    <row r="3315" spans="1:17">
      <c r="A3315" s="15">
        <f t="shared" si="688"/>
        <v>0</v>
      </c>
      <c r="B3315" s="15"/>
      <c r="C3315" s="17">
        <f>Fixture!E320</f>
        <v>0</v>
      </c>
      <c r="D3315" s="18">
        <f>IF(E3315=0,0,IF(Fixture!D320&lt;Fixture!F320,3,IF(Fixture!F320&lt;Fixture!D320,0,1)))</f>
        <v>0</v>
      </c>
      <c r="E3315" s="18">
        <f t="shared" si="682"/>
        <v>0</v>
      </c>
      <c r="F3315" s="18">
        <f>IF(E3315=0,0,IF(Fixture!D320&lt;Fixture!F320,1,IF(Fixture!F320&lt;Fixture!D320,0,0)))</f>
        <v>0</v>
      </c>
      <c r="G3315" s="18">
        <f>IF(E3315=0,0,IF(Fixture!D320&lt;Fixture!F320,0,IF(Fixture!F320&lt;Fixture!D320,0,1)))</f>
        <v>0</v>
      </c>
      <c r="H3315" s="18">
        <f t="shared" si="683"/>
        <v>0</v>
      </c>
      <c r="I3315" s="64">
        <f t="shared" si="684"/>
        <v>0</v>
      </c>
      <c r="J3315" s="64">
        <f t="shared" si="685"/>
        <v>0</v>
      </c>
      <c r="K3315" s="63">
        <f t="shared" si="686"/>
        <v>0</v>
      </c>
      <c r="L3315" s="63">
        <f t="shared" si="687"/>
        <v>0</v>
      </c>
      <c r="N3315" s="10" t="str">
        <f t="shared" si="689"/>
        <v>00</v>
      </c>
      <c r="O3315" s="10">
        <f t="shared" si="690"/>
        <v>0</v>
      </c>
      <c r="P3315" s="10">
        <f t="shared" si="691"/>
        <v>0</v>
      </c>
      <c r="Q3315" s="10">
        <f t="shared" si="692"/>
        <v>0</v>
      </c>
    </row>
    <row r="3316" spans="1:17">
      <c r="A3316" s="15">
        <f t="shared" si="688"/>
        <v>0</v>
      </c>
      <c r="B3316" s="15"/>
      <c r="C3316" s="17">
        <f>Fixture!E321</f>
        <v>0</v>
      </c>
      <c r="D3316" s="18">
        <f>IF(E3316=0,0,IF(Fixture!D321&lt;Fixture!F321,3,IF(Fixture!F321&lt;Fixture!D321,0,1)))</f>
        <v>0</v>
      </c>
      <c r="E3316" s="18">
        <f t="shared" si="682"/>
        <v>0</v>
      </c>
      <c r="F3316" s="18">
        <f>IF(E3316=0,0,IF(Fixture!D321&lt;Fixture!F321,1,IF(Fixture!F321&lt;Fixture!D321,0,0)))</f>
        <v>0</v>
      </c>
      <c r="G3316" s="18">
        <f>IF(E3316=0,0,IF(Fixture!D321&lt;Fixture!F321,0,IF(Fixture!F321&lt;Fixture!D321,0,1)))</f>
        <v>0</v>
      </c>
      <c r="H3316" s="18">
        <f t="shared" si="683"/>
        <v>0</v>
      </c>
      <c r="I3316" s="64">
        <f t="shared" si="684"/>
        <v>0</v>
      </c>
      <c r="J3316" s="64">
        <f t="shared" si="685"/>
        <v>0</v>
      </c>
      <c r="K3316" s="63">
        <f t="shared" si="686"/>
        <v>0</v>
      </c>
      <c r="L3316" s="63">
        <f t="shared" si="687"/>
        <v>0</v>
      </c>
      <c r="N3316" s="10" t="str">
        <f t="shared" si="689"/>
        <v>00</v>
      </c>
      <c r="O3316" s="10">
        <f t="shared" si="690"/>
        <v>0</v>
      </c>
      <c r="P3316" s="10">
        <f t="shared" si="691"/>
        <v>0</v>
      </c>
      <c r="Q3316" s="10">
        <f t="shared" si="692"/>
        <v>0</v>
      </c>
    </row>
    <row r="3317" spans="1:17">
      <c r="A3317" s="15">
        <f t="shared" si="688"/>
        <v>0</v>
      </c>
      <c r="B3317" s="15"/>
      <c r="C3317" s="17">
        <f>Fixture!E322</f>
        <v>0</v>
      </c>
      <c r="D3317" s="18">
        <f>IF(E3317=0,0,IF(Fixture!D322&lt;Fixture!F322,3,IF(Fixture!F322&lt;Fixture!D322,0,1)))</f>
        <v>0</v>
      </c>
      <c r="E3317" s="18">
        <f t="shared" si="682"/>
        <v>0</v>
      </c>
      <c r="F3317" s="18">
        <f>IF(E3317=0,0,IF(Fixture!D322&lt;Fixture!F322,1,IF(Fixture!F322&lt;Fixture!D322,0,0)))</f>
        <v>0</v>
      </c>
      <c r="G3317" s="18">
        <f>IF(E3317=0,0,IF(Fixture!D322&lt;Fixture!F322,0,IF(Fixture!F322&lt;Fixture!D322,0,1)))</f>
        <v>0</v>
      </c>
      <c r="H3317" s="18">
        <f t="shared" si="683"/>
        <v>0</v>
      </c>
      <c r="I3317" s="64">
        <f t="shared" si="684"/>
        <v>0</v>
      </c>
      <c r="J3317" s="64">
        <f t="shared" si="685"/>
        <v>0</v>
      </c>
      <c r="K3317" s="63">
        <f t="shared" si="686"/>
        <v>0</v>
      </c>
      <c r="L3317" s="63">
        <f t="shared" si="687"/>
        <v>0</v>
      </c>
      <c r="N3317" s="10" t="str">
        <f t="shared" si="689"/>
        <v>00</v>
      </c>
      <c r="O3317" s="10">
        <f t="shared" si="690"/>
        <v>0</v>
      </c>
      <c r="P3317" s="10">
        <f t="shared" si="691"/>
        <v>0</v>
      </c>
      <c r="Q3317" s="10">
        <f t="shared" si="692"/>
        <v>0</v>
      </c>
    </row>
    <row r="3318" spans="1:17">
      <c r="A3318" s="15">
        <f t="shared" si="688"/>
        <v>0</v>
      </c>
      <c r="B3318" s="15"/>
      <c r="C3318" s="17">
        <f>Fixture!E323</f>
        <v>0</v>
      </c>
      <c r="D3318" s="18">
        <f>IF(E3318=0,0,IF(Fixture!D323&lt;Fixture!F323,3,IF(Fixture!F323&lt;Fixture!D323,0,1)))</f>
        <v>0</v>
      </c>
      <c r="E3318" s="18">
        <f t="shared" si="682"/>
        <v>0</v>
      </c>
      <c r="F3318" s="18">
        <f>IF(E3318=0,0,IF(Fixture!D323&lt;Fixture!F323,1,IF(Fixture!F323&lt;Fixture!D323,0,0)))</f>
        <v>0</v>
      </c>
      <c r="G3318" s="18">
        <f>IF(E3318=0,0,IF(Fixture!D323&lt;Fixture!F323,0,IF(Fixture!F323&lt;Fixture!D323,0,1)))</f>
        <v>0</v>
      </c>
      <c r="H3318" s="18">
        <f t="shared" si="683"/>
        <v>0</v>
      </c>
      <c r="I3318" s="64">
        <f t="shared" si="684"/>
        <v>0</v>
      </c>
      <c r="J3318" s="64">
        <f t="shared" si="685"/>
        <v>0</v>
      </c>
      <c r="K3318" s="63">
        <f t="shared" si="686"/>
        <v>0</v>
      </c>
      <c r="L3318" s="63">
        <f t="shared" si="687"/>
        <v>0</v>
      </c>
      <c r="N3318" s="10" t="str">
        <f t="shared" si="689"/>
        <v>00</v>
      </c>
      <c r="O3318" s="10">
        <f t="shared" si="690"/>
        <v>0</v>
      </c>
      <c r="P3318" s="10">
        <f t="shared" si="691"/>
        <v>0</v>
      </c>
      <c r="Q3318" s="10">
        <f t="shared" si="692"/>
        <v>0</v>
      </c>
    </row>
    <row r="3319" spans="1:17">
      <c r="A3319" s="15">
        <f t="shared" si="688"/>
        <v>0</v>
      </c>
      <c r="B3319" s="15"/>
      <c r="C3319" s="17">
        <f>Fixture!E324</f>
        <v>0</v>
      </c>
      <c r="D3319" s="18">
        <f>IF(E3319=0,0,IF(Fixture!D324&lt;Fixture!F324,3,IF(Fixture!F324&lt;Fixture!D324,0,1)))</f>
        <v>0</v>
      </c>
      <c r="E3319" s="18">
        <f t="shared" si="682"/>
        <v>0</v>
      </c>
      <c r="F3319" s="18">
        <f>IF(E3319=0,0,IF(Fixture!D324&lt;Fixture!F324,1,IF(Fixture!F324&lt;Fixture!D324,0,0)))</f>
        <v>0</v>
      </c>
      <c r="G3319" s="18">
        <f>IF(E3319=0,0,IF(Fixture!D324&lt;Fixture!F324,0,IF(Fixture!F324&lt;Fixture!D324,0,1)))</f>
        <v>0</v>
      </c>
      <c r="H3319" s="18">
        <f t="shared" si="683"/>
        <v>0</v>
      </c>
      <c r="I3319" s="64">
        <f t="shared" si="684"/>
        <v>0</v>
      </c>
      <c r="J3319" s="64">
        <f t="shared" si="685"/>
        <v>0</v>
      </c>
      <c r="K3319" s="63">
        <f t="shared" si="686"/>
        <v>0</v>
      </c>
      <c r="L3319" s="63">
        <f t="shared" si="687"/>
        <v>0</v>
      </c>
      <c r="N3319" s="10" t="str">
        <f t="shared" si="689"/>
        <v>00</v>
      </c>
      <c r="O3319" s="10">
        <f t="shared" si="690"/>
        <v>0</v>
      </c>
      <c r="P3319" s="10">
        <f t="shared" si="691"/>
        <v>0</v>
      </c>
      <c r="Q3319" s="10">
        <f t="shared" si="692"/>
        <v>0</v>
      </c>
    </row>
    <row r="3320" spans="1:17">
      <c r="A3320" s="15">
        <f t="shared" si="688"/>
        <v>0</v>
      </c>
      <c r="B3320" s="15"/>
      <c r="C3320" s="17">
        <f>Fixture!E325</f>
        <v>0</v>
      </c>
      <c r="D3320" s="18">
        <f>IF(E3320=0,0,IF(Fixture!D325&lt;Fixture!F325,3,IF(Fixture!F325&lt;Fixture!D325,0,1)))</f>
        <v>0</v>
      </c>
      <c r="E3320" s="18">
        <f t="shared" ref="E3320:E3383" si="693">E2321</f>
        <v>0</v>
      </c>
      <c r="F3320" s="18">
        <f>IF(E3320=0,0,IF(Fixture!D325&lt;Fixture!F325,1,IF(Fixture!F325&lt;Fixture!D325,0,0)))</f>
        <v>0</v>
      </c>
      <c r="G3320" s="18">
        <f>IF(E3320=0,0,IF(Fixture!D325&lt;Fixture!F325,0,IF(Fixture!F325&lt;Fixture!D325,0,1)))</f>
        <v>0</v>
      </c>
      <c r="H3320" s="18">
        <f t="shared" ref="H3320:H3383" si="694">IF(E3320=0,0,IF(D3320&lt;&gt;0,0,1))</f>
        <v>0</v>
      </c>
      <c r="I3320" s="64">
        <f t="shared" ref="I3320:I3383" si="695">J2321</f>
        <v>0</v>
      </c>
      <c r="J3320" s="64">
        <f t="shared" ref="J3320:J3383" si="696">I2321</f>
        <v>0</v>
      </c>
      <c r="K3320" s="63">
        <f t="shared" ref="K3320:K3383" si="697">IF(E3320=0,0,IF(I3320&gt;0,0,1))</f>
        <v>0</v>
      </c>
      <c r="L3320" s="63">
        <f t="shared" ref="L3320:L3383" si="698">IF(E3320=0,0,IF(J3320&gt;0,0,1))</f>
        <v>0</v>
      </c>
      <c r="N3320" s="10" t="str">
        <f t="shared" si="689"/>
        <v>00</v>
      </c>
      <c r="O3320" s="10">
        <f t="shared" si="690"/>
        <v>0</v>
      </c>
      <c r="P3320" s="10">
        <f t="shared" si="691"/>
        <v>0</v>
      </c>
      <c r="Q3320" s="10">
        <f t="shared" si="692"/>
        <v>0</v>
      </c>
    </row>
    <row r="3321" spans="1:17">
      <c r="A3321" s="15">
        <f t="shared" ref="A3321:A3384" si="699">B365</f>
        <v>0</v>
      </c>
      <c r="B3321" s="15"/>
      <c r="C3321" s="17">
        <f>Fixture!E326</f>
        <v>0</v>
      </c>
      <c r="D3321" s="18">
        <f>IF(E3321=0,0,IF(Fixture!D326&lt;Fixture!F326,3,IF(Fixture!F326&lt;Fixture!D326,0,1)))</f>
        <v>0</v>
      </c>
      <c r="E3321" s="18">
        <f t="shared" si="693"/>
        <v>0</v>
      </c>
      <c r="F3321" s="18">
        <f>IF(E3321=0,0,IF(Fixture!D326&lt;Fixture!F326,1,IF(Fixture!F326&lt;Fixture!D326,0,0)))</f>
        <v>0</v>
      </c>
      <c r="G3321" s="18">
        <f>IF(E3321=0,0,IF(Fixture!D326&lt;Fixture!F326,0,IF(Fixture!F326&lt;Fixture!D326,0,1)))</f>
        <v>0</v>
      </c>
      <c r="H3321" s="18">
        <f t="shared" si="694"/>
        <v>0</v>
      </c>
      <c r="I3321" s="64">
        <f t="shared" si="695"/>
        <v>0</v>
      </c>
      <c r="J3321" s="64">
        <f t="shared" si="696"/>
        <v>0</v>
      </c>
      <c r="K3321" s="63">
        <f t="shared" si="697"/>
        <v>0</v>
      </c>
      <c r="L3321" s="63">
        <f t="shared" si="698"/>
        <v>0</v>
      </c>
      <c r="N3321" s="10" t="str">
        <f t="shared" si="689"/>
        <v>00</v>
      </c>
      <c r="O3321" s="10">
        <f t="shared" si="690"/>
        <v>0</v>
      </c>
      <c r="P3321" s="10">
        <f t="shared" si="691"/>
        <v>0</v>
      </c>
      <c r="Q3321" s="10">
        <f t="shared" si="692"/>
        <v>0</v>
      </c>
    </row>
    <row r="3322" spans="1:17">
      <c r="A3322" s="15">
        <f t="shared" si="699"/>
        <v>0</v>
      </c>
      <c r="B3322" s="15"/>
      <c r="C3322" s="17">
        <f>Fixture!E327</f>
        <v>0</v>
      </c>
      <c r="D3322" s="18">
        <f>IF(E3322=0,0,IF(Fixture!D327&lt;Fixture!F327,3,IF(Fixture!F327&lt;Fixture!D327,0,1)))</f>
        <v>0</v>
      </c>
      <c r="E3322" s="18">
        <f t="shared" si="693"/>
        <v>0</v>
      </c>
      <c r="F3322" s="18">
        <f>IF(E3322=0,0,IF(Fixture!D327&lt;Fixture!F327,1,IF(Fixture!F327&lt;Fixture!D327,0,0)))</f>
        <v>0</v>
      </c>
      <c r="G3322" s="18">
        <f>IF(E3322=0,0,IF(Fixture!D327&lt;Fixture!F327,0,IF(Fixture!F327&lt;Fixture!D327,0,1)))</f>
        <v>0</v>
      </c>
      <c r="H3322" s="18">
        <f t="shared" si="694"/>
        <v>0</v>
      </c>
      <c r="I3322" s="64">
        <f t="shared" si="695"/>
        <v>0</v>
      </c>
      <c r="J3322" s="64">
        <f t="shared" si="696"/>
        <v>0</v>
      </c>
      <c r="K3322" s="63">
        <f t="shared" si="697"/>
        <v>0</v>
      </c>
      <c r="L3322" s="63">
        <f t="shared" si="698"/>
        <v>0</v>
      </c>
      <c r="N3322" s="10" t="str">
        <f t="shared" si="689"/>
        <v>00</v>
      </c>
      <c r="O3322" s="10">
        <f t="shared" si="690"/>
        <v>0</v>
      </c>
      <c r="P3322" s="10">
        <f t="shared" si="691"/>
        <v>0</v>
      </c>
      <c r="Q3322" s="10">
        <f t="shared" si="692"/>
        <v>0</v>
      </c>
    </row>
    <row r="3323" spans="1:17">
      <c r="A3323" s="15">
        <f t="shared" si="699"/>
        <v>0</v>
      </c>
      <c r="B3323" s="15"/>
      <c r="C3323" s="17">
        <f>Fixture!E328</f>
        <v>0</v>
      </c>
      <c r="D3323" s="18">
        <f>IF(E3323=0,0,IF(Fixture!D328&lt;Fixture!F328,3,IF(Fixture!F328&lt;Fixture!D328,0,1)))</f>
        <v>0</v>
      </c>
      <c r="E3323" s="18">
        <f t="shared" si="693"/>
        <v>0</v>
      </c>
      <c r="F3323" s="18">
        <f>IF(E3323=0,0,IF(Fixture!D328&lt;Fixture!F328,1,IF(Fixture!F328&lt;Fixture!D328,0,0)))</f>
        <v>0</v>
      </c>
      <c r="G3323" s="18">
        <f>IF(E3323=0,0,IF(Fixture!D328&lt;Fixture!F328,0,IF(Fixture!F328&lt;Fixture!D328,0,1)))</f>
        <v>0</v>
      </c>
      <c r="H3323" s="18">
        <f t="shared" si="694"/>
        <v>0</v>
      </c>
      <c r="I3323" s="64">
        <f t="shared" si="695"/>
        <v>0</v>
      </c>
      <c r="J3323" s="64">
        <f t="shared" si="696"/>
        <v>0</v>
      </c>
      <c r="K3323" s="63">
        <f t="shared" si="697"/>
        <v>0</v>
      </c>
      <c r="L3323" s="63">
        <f t="shared" si="698"/>
        <v>0</v>
      </c>
      <c r="N3323" s="10" t="str">
        <f t="shared" si="689"/>
        <v>00</v>
      </c>
      <c r="O3323" s="10">
        <f t="shared" si="690"/>
        <v>0</v>
      </c>
      <c r="P3323" s="10">
        <f t="shared" si="691"/>
        <v>0</v>
      </c>
      <c r="Q3323" s="10">
        <f t="shared" si="692"/>
        <v>0</v>
      </c>
    </row>
    <row r="3324" spans="1:17">
      <c r="A3324" s="15">
        <f t="shared" si="699"/>
        <v>0</v>
      </c>
      <c r="B3324" s="15"/>
      <c r="C3324" s="17">
        <f>Fixture!E329</f>
        <v>0</v>
      </c>
      <c r="D3324" s="18">
        <f>IF(E3324=0,0,IF(Fixture!D329&lt;Fixture!F329,3,IF(Fixture!F329&lt;Fixture!D329,0,1)))</f>
        <v>0</v>
      </c>
      <c r="E3324" s="18">
        <f t="shared" si="693"/>
        <v>0</v>
      </c>
      <c r="F3324" s="18">
        <f>IF(E3324=0,0,IF(Fixture!D329&lt;Fixture!F329,1,IF(Fixture!F329&lt;Fixture!D329,0,0)))</f>
        <v>0</v>
      </c>
      <c r="G3324" s="18">
        <f>IF(E3324=0,0,IF(Fixture!D329&lt;Fixture!F329,0,IF(Fixture!F329&lt;Fixture!D329,0,1)))</f>
        <v>0</v>
      </c>
      <c r="H3324" s="18">
        <f t="shared" si="694"/>
        <v>0</v>
      </c>
      <c r="I3324" s="64">
        <f t="shared" si="695"/>
        <v>0</v>
      </c>
      <c r="J3324" s="64">
        <f t="shared" si="696"/>
        <v>0</v>
      </c>
      <c r="K3324" s="63">
        <f t="shared" si="697"/>
        <v>0</v>
      </c>
      <c r="L3324" s="63">
        <f t="shared" si="698"/>
        <v>0</v>
      </c>
      <c r="N3324" s="10" t="str">
        <f t="shared" si="689"/>
        <v>00</v>
      </c>
      <c r="O3324" s="10">
        <f t="shared" si="690"/>
        <v>0</v>
      </c>
      <c r="P3324" s="10">
        <f t="shared" si="691"/>
        <v>0</v>
      </c>
      <c r="Q3324" s="10">
        <f t="shared" si="692"/>
        <v>0</v>
      </c>
    </row>
    <row r="3325" spans="1:17">
      <c r="A3325" s="15">
        <f t="shared" si="699"/>
        <v>0</v>
      </c>
      <c r="B3325" s="15"/>
      <c r="C3325" s="17">
        <f>Fixture!E330</f>
        <v>0</v>
      </c>
      <c r="D3325" s="18">
        <f>IF(E3325=0,0,IF(Fixture!D330&lt;Fixture!F330,3,IF(Fixture!F330&lt;Fixture!D330,0,1)))</f>
        <v>0</v>
      </c>
      <c r="E3325" s="18">
        <f t="shared" si="693"/>
        <v>0</v>
      </c>
      <c r="F3325" s="18">
        <f>IF(E3325=0,0,IF(Fixture!D330&lt;Fixture!F330,1,IF(Fixture!F330&lt;Fixture!D330,0,0)))</f>
        <v>0</v>
      </c>
      <c r="G3325" s="18">
        <f>IF(E3325=0,0,IF(Fixture!D330&lt;Fixture!F330,0,IF(Fixture!F330&lt;Fixture!D330,0,1)))</f>
        <v>0</v>
      </c>
      <c r="H3325" s="18">
        <f t="shared" si="694"/>
        <v>0</v>
      </c>
      <c r="I3325" s="64">
        <f t="shared" si="695"/>
        <v>0</v>
      </c>
      <c r="J3325" s="64">
        <f t="shared" si="696"/>
        <v>0</v>
      </c>
      <c r="K3325" s="63">
        <f t="shared" si="697"/>
        <v>0</v>
      </c>
      <c r="L3325" s="63">
        <f t="shared" si="698"/>
        <v>0</v>
      </c>
      <c r="N3325" s="10" t="str">
        <f t="shared" si="689"/>
        <v>00</v>
      </c>
      <c r="O3325" s="10">
        <f t="shared" si="690"/>
        <v>0</v>
      </c>
      <c r="P3325" s="10">
        <f t="shared" si="691"/>
        <v>0</v>
      </c>
      <c r="Q3325" s="10">
        <f t="shared" si="692"/>
        <v>0</v>
      </c>
    </row>
    <row r="3326" spans="1:17">
      <c r="A3326" s="15">
        <f t="shared" si="699"/>
        <v>0</v>
      </c>
      <c r="B3326" s="15"/>
      <c r="C3326" s="17">
        <f>Fixture!E331</f>
        <v>0</v>
      </c>
      <c r="D3326" s="18">
        <f>IF(E3326=0,0,IF(Fixture!D331&lt;Fixture!F331,3,IF(Fixture!F331&lt;Fixture!D331,0,1)))</f>
        <v>0</v>
      </c>
      <c r="E3326" s="18">
        <f t="shared" si="693"/>
        <v>0</v>
      </c>
      <c r="F3326" s="18">
        <f>IF(E3326=0,0,IF(Fixture!D331&lt;Fixture!F331,1,IF(Fixture!F331&lt;Fixture!D331,0,0)))</f>
        <v>0</v>
      </c>
      <c r="G3326" s="18">
        <f>IF(E3326=0,0,IF(Fixture!D331&lt;Fixture!F331,0,IF(Fixture!F331&lt;Fixture!D331,0,1)))</f>
        <v>0</v>
      </c>
      <c r="H3326" s="18">
        <f t="shared" si="694"/>
        <v>0</v>
      </c>
      <c r="I3326" s="64">
        <f t="shared" si="695"/>
        <v>0</v>
      </c>
      <c r="J3326" s="64">
        <f t="shared" si="696"/>
        <v>0</v>
      </c>
      <c r="K3326" s="63">
        <f t="shared" si="697"/>
        <v>0</v>
      </c>
      <c r="L3326" s="63">
        <f t="shared" si="698"/>
        <v>0</v>
      </c>
      <c r="N3326" s="10" t="str">
        <f t="shared" si="689"/>
        <v>00</v>
      </c>
      <c r="O3326" s="10">
        <f t="shared" si="690"/>
        <v>0</v>
      </c>
      <c r="P3326" s="10">
        <f t="shared" si="691"/>
        <v>0</v>
      </c>
      <c r="Q3326" s="10">
        <f t="shared" si="692"/>
        <v>0</v>
      </c>
    </row>
    <row r="3327" spans="1:17">
      <c r="A3327" s="15">
        <f t="shared" si="699"/>
        <v>0</v>
      </c>
      <c r="B3327" s="15"/>
      <c r="C3327" s="17">
        <f>Fixture!E332</f>
        <v>0</v>
      </c>
      <c r="D3327" s="18">
        <f>IF(E3327=0,0,IF(Fixture!D332&lt;Fixture!F332,3,IF(Fixture!F332&lt;Fixture!D332,0,1)))</f>
        <v>0</v>
      </c>
      <c r="E3327" s="18">
        <f t="shared" si="693"/>
        <v>0</v>
      </c>
      <c r="F3327" s="18">
        <f>IF(E3327=0,0,IF(Fixture!D332&lt;Fixture!F332,1,IF(Fixture!F332&lt;Fixture!D332,0,0)))</f>
        <v>0</v>
      </c>
      <c r="G3327" s="18">
        <f>IF(E3327=0,0,IF(Fixture!D332&lt;Fixture!F332,0,IF(Fixture!F332&lt;Fixture!D332,0,1)))</f>
        <v>0</v>
      </c>
      <c r="H3327" s="18">
        <f t="shared" si="694"/>
        <v>0</v>
      </c>
      <c r="I3327" s="64">
        <f t="shared" si="695"/>
        <v>0</v>
      </c>
      <c r="J3327" s="64">
        <f t="shared" si="696"/>
        <v>0</v>
      </c>
      <c r="K3327" s="63">
        <f t="shared" si="697"/>
        <v>0</v>
      </c>
      <c r="L3327" s="63">
        <f t="shared" si="698"/>
        <v>0</v>
      </c>
      <c r="N3327" s="10" t="str">
        <f t="shared" si="689"/>
        <v>00</v>
      </c>
      <c r="O3327" s="10">
        <f t="shared" si="690"/>
        <v>0</v>
      </c>
      <c r="P3327" s="10">
        <f t="shared" si="691"/>
        <v>0</v>
      </c>
      <c r="Q3327" s="10">
        <f t="shared" si="692"/>
        <v>0</v>
      </c>
    </row>
    <row r="3328" spans="1:17">
      <c r="A3328" s="15">
        <f t="shared" si="699"/>
        <v>0</v>
      </c>
      <c r="B3328" s="15"/>
      <c r="C3328" s="17">
        <f>Fixture!E333</f>
        <v>0</v>
      </c>
      <c r="D3328" s="18">
        <f>IF(E3328=0,0,IF(Fixture!D333&lt;Fixture!F333,3,IF(Fixture!F333&lt;Fixture!D333,0,1)))</f>
        <v>0</v>
      </c>
      <c r="E3328" s="18">
        <f t="shared" si="693"/>
        <v>0</v>
      </c>
      <c r="F3328" s="18">
        <f>IF(E3328=0,0,IF(Fixture!D333&lt;Fixture!F333,1,IF(Fixture!F333&lt;Fixture!D333,0,0)))</f>
        <v>0</v>
      </c>
      <c r="G3328" s="18">
        <f>IF(E3328=0,0,IF(Fixture!D333&lt;Fixture!F333,0,IF(Fixture!F333&lt;Fixture!D333,0,1)))</f>
        <v>0</v>
      </c>
      <c r="H3328" s="18">
        <f t="shared" si="694"/>
        <v>0</v>
      </c>
      <c r="I3328" s="64">
        <f t="shared" si="695"/>
        <v>0</v>
      </c>
      <c r="J3328" s="64">
        <f t="shared" si="696"/>
        <v>0</v>
      </c>
      <c r="K3328" s="63">
        <f t="shared" si="697"/>
        <v>0</v>
      </c>
      <c r="L3328" s="63">
        <f t="shared" si="698"/>
        <v>0</v>
      </c>
      <c r="N3328" s="10" t="str">
        <f t="shared" si="689"/>
        <v>00</v>
      </c>
      <c r="O3328" s="10">
        <f t="shared" si="690"/>
        <v>0</v>
      </c>
      <c r="P3328" s="10">
        <f t="shared" si="691"/>
        <v>0</v>
      </c>
      <c r="Q3328" s="10">
        <f t="shared" si="692"/>
        <v>0</v>
      </c>
    </row>
    <row r="3329" spans="1:17">
      <c r="A3329" s="15">
        <f t="shared" si="699"/>
        <v>0</v>
      </c>
      <c r="B3329" s="15"/>
      <c r="C3329" s="17">
        <f>Fixture!E334</f>
        <v>0</v>
      </c>
      <c r="D3329" s="18">
        <f>IF(E3329=0,0,IF(Fixture!D334&lt;Fixture!F334,3,IF(Fixture!F334&lt;Fixture!D334,0,1)))</f>
        <v>0</v>
      </c>
      <c r="E3329" s="18">
        <f t="shared" si="693"/>
        <v>0</v>
      </c>
      <c r="F3329" s="18">
        <f>IF(E3329=0,0,IF(Fixture!D334&lt;Fixture!F334,1,IF(Fixture!F334&lt;Fixture!D334,0,0)))</f>
        <v>0</v>
      </c>
      <c r="G3329" s="18">
        <f>IF(E3329=0,0,IF(Fixture!D334&lt;Fixture!F334,0,IF(Fixture!F334&lt;Fixture!D334,0,1)))</f>
        <v>0</v>
      </c>
      <c r="H3329" s="18">
        <f t="shared" si="694"/>
        <v>0</v>
      </c>
      <c r="I3329" s="64">
        <f t="shared" si="695"/>
        <v>0</v>
      </c>
      <c r="J3329" s="64">
        <f t="shared" si="696"/>
        <v>0</v>
      </c>
      <c r="K3329" s="63">
        <f t="shared" si="697"/>
        <v>0</v>
      </c>
      <c r="L3329" s="63">
        <f t="shared" si="698"/>
        <v>0</v>
      </c>
      <c r="N3329" s="10" t="str">
        <f t="shared" si="689"/>
        <v>00</v>
      </c>
      <c r="O3329" s="10">
        <f t="shared" si="690"/>
        <v>0</v>
      </c>
      <c r="P3329" s="10">
        <f t="shared" si="691"/>
        <v>0</v>
      </c>
      <c r="Q3329" s="10">
        <f t="shared" si="692"/>
        <v>0</v>
      </c>
    </row>
    <row r="3330" spans="1:17">
      <c r="A3330" s="15">
        <f t="shared" si="699"/>
        <v>0</v>
      </c>
      <c r="B3330" s="15"/>
      <c r="C3330" s="17">
        <f>Fixture!E335</f>
        <v>0</v>
      </c>
      <c r="D3330" s="18">
        <f>IF(E3330=0,0,IF(Fixture!D335&lt;Fixture!F335,3,IF(Fixture!F335&lt;Fixture!D335,0,1)))</f>
        <v>0</v>
      </c>
      <c r="E3330" s="18">
        <f t="shared" si="693"/>
        <v>0</v>
      </c>
      <c r="F3330" s="18">
        <f>IF(E3330=0,0,IF(Fixture!D335&lt;Fixture!F335,1,IF(Fixture!F335&lt;Fixture!D335,0,0)))</f>
        <v>0</v>
      </c>
      <c r="G3330" s="18">
        <f>IF(E3330=0,0,IF(Fixture!D335&lt;Fixture!F335,0,IF(Fixture!F335&lt;Fixture!D335,0,1)))</f>
        <v>0</v>
      </c>
      <c r="H3330" s="18">
        <f t="shared" si="694"/>
        <v>0</v>
      </c>
      <c r="I3330" s="64">
        <f t="shared" si="695"/>
        <v>0</v>
      </c>
      <c r="J3330" s="64">
        <f t="shared" si="696"/>
        <v>0</v>
      </c>
      <c r="K3330" s="63">
        <f t="shared" si="697"/>
        <v>0</v>
      </c>
      <c r="L3330" s="63">
        <f t="shared" si="698"/>
        <v>0</v>
      </c>
      <c r="N3330" s="10" t="str">
        <f t="shared" si="689"/>
        <v>00</v>
      </c>
      <c r="O3330" s="10">
        <f t="shared" si="690"/>
        <v>0</v>
      </c>
      <c r="P3330" s="10">
        <f t="shared" si="691"/>
        <v>0</v>
      </c>
      <c r="Q3330" s="10">
        <f t="shared" si="692"/>
        <v>0</v>
      </c>
    </row>
    <row r="3331" spans="1:17">
      <c r="A3331" s="15">
        <f t="shared" si="699"/>
        <v>0</v>
      </c>
      <c r="B3331" s="15"/>
      <c r="C3331" s="17">
        <f>Fixture!E336</f>
        <v>0</v>
      </c>
      <c r="D3331" s="18">
        <f>IF(E3331=0,0,IF(Fixture!D336&lt;Fixture!F336,3,IF(Fixture!F336&lt;Fixture!D336,0,1)))</f>
        <v>0</v>
      </c>
      <c r="E3331" s="18">
        <f t="shared" si="693"/>
        <v>0</v>
      </c>
      <c r="F3331" s="18">
        <f>IF(E3331=0,0,IF(Fixture!D336&lt;Fixture!F336,1,IF(Fixture!F336&lt;Fixture!D336,0,0)))</f>
        <v>0</v>
      </c>
      <c r="G3331" s="18">
        <f>IF(E3331=0,0,IF(Fixture!D336&lt;Fixture!F336,0,IF(Fixture!F336&lt;Fixture!D336,0,1)))</f>
        <v>0</v>
      </c>
      <c r="H3331" s="18">
        <f t="shared" si="694"/>
        <v>0</v>
      </c>
      <c r="I3331" s="64">
        <f t="shared" si="695"/>
        <v>0</v>
      </c>
      <c r="J3331" s="64">
        <f t="shared" si="696"/>
        <v>0</v>
      </c>
      <c r="K3331" s="63">
        <f t="shared" si="697"/>
        <v>0</v>
      </c>
      <c r="L3331" s="63">
        <f t="shared" si="698"/>
        <v>0</v>
      </c>
      <c r="N3331" s="10" t="str">
        <f t="shared" si="689"/>
        <v>00</v>
      </c>
      <c r="O3331" s="10">
        <f t="shared" si="690"/>
        <v>0</v>
      </c>
      <c r="P3331" s="10">
        <f t="shared" si="691"/>
        <v>0</v>
      </c>
      <c r="Q3331" s="10">
        <f t="shared" si="692"/>
        <v>0</v>
      </c>
    </row>
    <row r="3332" spans="1:17">
      <c r="A3332" s="15">
        <f t="shared" si="699"/>
        <v>0</v>
      </c>
      <c r="B3332" s="15"/>
      <c r="C3332" s="17">
        <f>Fixture!E337</f>
        <v>0</v>
      </c>
      <c r="D3332" s="18">
        <f>IF(E3332=0,0,IF(Fixture!D337&lt;Fixture!F337,3,IF(Fixture!F337&lt;Fixture!D337,0,1)))</f>
        <v>0</v>
      </c>
      <c r="E3332" s="18">
        <f t="shared" si="693"/>
        <v>0</v>
      </c>
      <c r="F3332" s="18">
        <f>IF(E3332=0,0,IF(Fixture!D337&lt;Fixture!F337,1,IF(Fixture!F337&lt;Fixture!D337,0,0)))</f>
        <v>0</v>
      </c>
      <c r="G3332" s="18">
        <f>IF(E3332=0,0,IF(Fixture!D337&lt;Fixture!F337,0,IF(Fixture!F337&lt;Fixture!D337,0,1)))</f>
        <v>0</v>
      </c>
      <c r="H3332" s="18">
        <f t="shared" si="694"/>
        <v>0</v>
      </c>
      <c r="I3332" s="64">
        <f t="shared" si="695"/>
        <v>0</v>
      </c>
      <c r="J3332" s="64">
        <f t="shared" si="696"/>
        <v>0</v>
      </c>
      <c r="K3332" s="63">
        <f t="shared" si="697"/>
        <v>0</v>
      </c>
      <c r="L3332" s="63">
        <f t="shared" si="698"/>
        <v>0</v>
      </c>
      <c r="N3332" s="10" t="str">
        <f t="shared" si="689"/>
        <v>00</v>
      </c>
      <c r="O3332" s="10">
        <f t="shared" si="690"/>
        <v>0</v>
      </c>
      <c r="P3332" s="10">
        <f t="shared" si="691"/>
        <v>0</v>
      </c>
      <c r="Q3332" s="10">
        <f t="shared" si="692"/>
        <v>0</v>
      </c>
    </row>
    <row r="3333" spans="1:17">
      <c r="A3333" s="15">
        <f t="shared" si="699"/>
        <v>0</v>
      </c>
      <c r="B3333" s="15"/>
      <c r="C3333" s="17">
        <f>Fixture!E338</f>
        <v>0</v>
      </c>
      <c r="D3333" s="18">
        <f>IF(E3333=0,0,IF(Fixture!D338&lt;Fixture!F338,3,IF(Fixture!F338&lt;Fixture!D338,0,1)))</f>
        <v>0</v>
      </c>
      <c r="E3333" s="18">
        <f t="shared" si="693"/>
        <v>0</v>
      </c>
      <c r="F3333" s="18">
        <f>IF(E3333=0,0,IF(Fixture!D338&lt;Fixture!F338,1,IF(Fixture!F338&lt;Fixture!D338,0,0)))</f>
        <v>0</v>
      </c>
      <c r="G3333" s="18">
        <f>IF(E3333=0,0,IF(Fixture!D338&lt;Fixture!F338,0,IF(Fixture!F338&lt;Fixture!D338,0,1)))</f>
        <v>0</v>
      </c>
      <c r="H3333" s="18">
        <f t="shared" si="694"/>
        <v>0</v>
      </c>
      <c r="I3333" s="64">
        <f t="shared" si="695"/>
        <v>0</v>
      </c>
      <c r="J3333" s="64">
        <f t="shared" si="696"/>
        <v>0</v>
      </c>
      <c r="K3333" s="63">
        <f t="shared" si="697"/>
        <v>0</v>
      </c>
      <c r="L3333" s="63">
        <f t="shared" si="698"/>
        <v>0</v>
      </c>
      <c r="N3333" s="10" t="str">
        <f t="shared" si="689"/>
        <v>00</v>
      </c>
      <c r="O3333" s="10">
        <f t="shared" si="690"/>
        <v>0</v>
      </c>
      <c r="P3333" s="10">
        <f t="shared" si="691"/>
        <v>0</v>
      </c>
      <c r="Q3333" s="10">
        <f t="shared" si="692"/>
        <v>0</v>
      </c>
    </row>
    <row r="3334" spans="1:17">
      <c r="A3334" s="15">
        <f t="shared" si="699"/>
        <v>0</v>
      </c>
      <c r="B3334" s="15"/>
      <c r="C3334" s="17">
        <f>Fixture!E339</f>
        <v>0</v>
      </c>
      <c r="D3334" s="18">
        <f>IF(E3334=0,0,IF(Fixture!D339&lt;Fixture!F339,3,IF(Fixture!F339&lt;Fixture!D339,0,1)))</f>
        <v>0</v>
      </c>
      <c r="E3334" s="18">
        <f t="shared" si="693"/>
        <v>0</v>
      </c>
      <c r="F3334" s="18">
        <f>IF(E3334=0,0,IF(Fixture!D339&lt;Fixture!F339,1,IF(Fixture!F339&lt;Fixture!D339,0,0)))</f>
        <v>0</v>
      </c>
      <c r="G3334" s="18">
        <f>IF(E3334=0,0,IF(Fixture!D339&lt;Fixture!F339,0,IF(Fixture!F339&lt;Fixture!D339,0,1)))</f>
        <v>0</v>
      </c>
      <c r="H3334" s="18">
        <f t="shared" si="694"/>
        <v>0</v>
      </c>
      <c r="I3334" s="64">
        <f t="shared" si="695"/>
        <v>0</v>
      </c>
      <c r="J3334" s="64">
        <f t="shared" si="696"/>
        <v>0</v>
      </c>
      <c r="K3334" s="63">
        <f t="shared" si="697"/>
        <v>0</v>
      </c>
      <c r="L3334" s="63">
        <f t="shared" si="698"/>
        <v>0</v>
      </c>
      <c r="N3334" s="10" t="str">
        <f t="shared" si="689"/>
        <v>00</v>
      </c>
      <c r="O3334" s="10">
        <f t="shared" si="690"/>
        <v>0</v>
      </c>
      <c r="P3334" s="10">
        <f t="shared" si="691"/>
        <v>0</v>
      </c>
      <c r="Q3334" s="10">
        <f t="shared" si="692"/>
        <v>0</v>
      </c>
    </row>
    <row r="3335" spans="1:17">
      <c r="A3335" s="15">
        <f t="shared" si="699"/>
        <v>0</v>
      </c>
      <c r="B3335" s="15"/>
      <c r="C3335" s="17">
        <f>Fixture!E340</f>
        <v>0</v>
      </c>
      <c r="D3335" s="18">
        <f>IF(E3335=0,0,IF(Fixture!D340&lt;Fixture!F340,3,IF(Fixture!F340&lt;Fixture!D340,0,1)))</f>
        <v>0</v>
      </c>
      <c r="E3335" s="18">
        <f t="shared" si="693"/>
        <v>0</v>
      </c>
      <c r="F3335" s="18">
        <f>IF(E3335=0,0,IF(Fixture!D340&lt;Fixture!F340,1,IF(Fixture!F340&lt;Fixture!D340,0,0)))</f>
        <v>0</v>
      </c>
      <c r="G3335" s="18">
        <f>IF(E3335=0,0,IF(Fixture!D340&lt;Fixture!F340,0,IF(Fixture!F340&lt;Fixture!D340,0,1)))</f>
        <v>0</v>
      </c>
      <c r="H3335" s="18">
        <f t="shared" si="694"/>
        <v>0</v>
      </c>
      <c r="I3335" s="64">
        <f t="shared" si="695"/>
        <v>0</v>
      </c>
      <c r="J3335" s="64">
        <f t="shared" si="696"/>
        <v>0</v>
      </c>
      <c r="K3335" s="63">
        <f t="shared" si="697"/>
        <v>0</v>
      </c>
      <c r="L3335" s="63">
        <f t="shared" si="698"/>
        <v>0</v>
      </c>
      <c r="N3335" s="10" t="str">
        <f t="shared" si="689"/>
        <v>00</v>
      </c>
      <c r="O3335" s="10">
        <f t="shared" si="690"/>
        <v>0</v>
      </c>
      <c r="P3335" s="10">
        <f t="shared" si="691"/>
        <v>0</v>
      </c>
      <c r="Q3335" s="10">
        <f t="shared" si="692"/>
        <v>0</v>
      </c>
    </row>
    <row r="3336" spans="1:17">
      <c r="A3336" s="15">
        <f t="shared" si="699"/>
        <v>0</v>
      </c>
      <c r="B3336" s="15"/>
      <c r="C3336" s="17">
        <f>Fixture!E341</f>
        <v>0</v>
      </c>
      <c r="D3336" s="18">
        <f>IF(E3336=0,0,IF(Fixture!D341&lt;Fixture!F341,3,IF(Fixture!F341&lt;Fixture!D341,0,1)))</f>
        <v>0</v>
      </c>
      <c r="E3336" s="18">
        <f t="shared" si="693"/>
        <v>0</v>
      </c>
      <c r="F3336" s="18">
        <f>IF(E3336=0,0,IF(Fixture!D341&lt;Fixture!F341,1,IF(Fixture!F341&lt;Fixture!D341,0,0)))</f>
        <v>0</v>
      </c>
      <c r="G3336" s="18">
        <f>IF(E3336=0,0,IF(Fixture!D341&lt;Fixture!F341,0,IF(Fixture!F341&lt;Fixture!D341,0,1)))</f>
        <v>0</v>
      </c>
      <c r="H3336" s="18">
        <f t="shared" si="694"/>
        <v>0</v>
      </c>
      <c r="I3336" s="64">
        <f t="shared" si="695"/>
        <v>0</v>
      </c>
      <c r="J3336" s="64">
        <f t="shared" si="696"/>
        <v>0</v>
      </c>
      <c r="K3336" s="63">
        <f t="shared" si="697"/>
        <v>0</v>
      </c>
      <c r="L3336" s="63">
        <f t="shared" si="698"/>
        <v>0</v>
      </c>
      <c r="N3336" s="10" t="str">
        <f t="shared" si="689"/>
        <v>00</v>
      </c>
      <c r="O3336" s="10">
        <f t="shared" si="690"/>
        <v>0</v>
      </c>
      <c r="P3336" s="10">
        <f t="shared" si="691"/>
        <v>0</v>
      </c>
      <c r="Q3336" s="10">
        <f t="shared" si="692"/>
        <v>0</v>
      </c>
    </row>
    <row r="3337" spans="1:17">
      <c r="A3337" s="15">
        <f t="shared" si="699"/>
        <v>0</v>
      </c>
      <c r="B3337" s="15"/>
      <c r="C3337" s="17">
        <f>Fixture!E342</f>
        <v>0</v>
      </c>
      <c r="D3337" s="18">
        <f>IF(E3337=0,0,IF(Fixture!D342&lt;Fixture!F342,3,IF(Fixture!F342&lt;Fixture!D342,0,1)))</f>
        <v>0</v>
      </c>
      <c r="E3337" s="18">
        <f t="shared" si="693"/>
        <v>0</v>
      </c>
      <c r="F3337" s="18">
        <f>IF(E3337=0,0,IF(Fixture!D342&lt;Fixture!F342,1,IF(Fixture!F342&lt;Fixture!D342,0,0)))</f>
        <v>0</v>
      </c>
      <c r="G3337" s="18">
        <f>IF(E3337=0,0,IF(Fixture!D342&lt;Fixture!F342,0,IF(Fixture!F342&lt;Fixture!D342,0,1)))</f>
        <v>0</v>
      </c>
      <c r="H3337" s="18">
        <f t="shared" si="694"/>
        <v>0</v>
      </c>
      <c r="I3337" s="64">
        <f t="shared" si="695"/>
        <v>0</v>
      </c>
      <c r="J3337" s="64">
        <f t="shared" si="696"/>
        <v>0</v>
      </c>
      <c r="K3337" s="63">
        <f t="shared" si="697"/>
        <v>0</v>
      </c>
      <c r="L3337" s="63">
        <f t="shared" si="698"/>
        <v>0</v>
      </c>
      <c r="N3337" s="10" t="str">
        <f t="shared" si="689"/>
        <v>00</v>
      </c>
      <c r="O3337" s="10">
        <f t="shared" si="690"/>
        <v>0</v>
      </c>
      <c r="P3337" s="10">
        <f t="shared" si="691"/>
        <v>0</v>
      </c>
      <c r="Q3337" s="10">
        <f t="shared" si="692"/>
        <v>0</v>
      </c>
    </row>
    <row r="3338" spans="1:17">
      <c r="A3338" s="15">
        <f t="shared" si="699"/>
        <v>0</v>
      </c>
      <c r="B3338" s="15"/>
      <c r="C3338" s="17">
        <f>Fixture!E343</f>
        <v>0</v>
      </c>
      <c r="D3338" s="18">
        <f>IF(E3338=0,0,IF(Fixture!D343&lt;Fixture!F343,3,IF(Fixture!F343&lt;Fixture!D343,0,1)))</f>
        <v>0</v>
      </c>
      <c r="E3338" s="18">
        <f t="shared" si="693"/>
        <v>0</v>
      </c>
      <c r="F3338" s="18">
        <f>IF(E3338=0,0,IF(Fixture!D343&lt;Fixture!F343,1,IF(Fixture!F343&lt;Fixture!D343,0,0)))</f>
        <v>0</v>
      </c>
      <c r="G3338" s="18">
        <f>IF(E3338=0,0,IF(Fixture!D343&lt;Fixture!F343,0,IF(Fixture!F343&lt;Fixture!D343,0,1)))</f>
        <v>0</v>
      </c>
      <c r="H3338" s="18">
        <f t="shared" si="694"/>
        <v>0</v>
      </c>
      <c r="I3338" s="64">
        <f t="shared" si="695"/>
        <v>0</v>
      </c>
      <c r="J3338" s="64">
        <f t="shared" si="696"/>
        <v>0</v>
      </c>
      <c r="K3338" s="63">
        <f t="shared" si="697"/>
        <v>0</v>
      </c>
      <c r="L3338" s="63">
        <f t="shared" si="698"/>
        <v>0</v>
      </c>
      <c r="N3338" s="10" t="str">
        <f t="shared" si="689"/>
        <v>00</v>
      </c>
      <c r="O3338" s="10">
        <f t="shared" si="690"/>
        <v>0</v>
      </c>
      <c r="P3338" s="10">
        <f t="shared" si="691"/>
        <v>0</v>
      </c>
      <c r="Q3338" s="10">
        <f t="shared" si="692"/>
        <v>0</v>
      </c>
    </row>
    <row r="3339" spans="1:17">
      <c r="A3339" s="15">
        <f t="shared" si="699"/>
        <v>0</v>
      </c>
      <c r="B3339" s="15"/>
      <c r="C3339" s="17">
        <f>Fixture!E344</f>
        <v>0</v>
      </c>
      <c r="D3339" s="18">
        <f>IF(E3339=0,0,IF(Fixture!D344&lt;Fixture!F344,3,IF(Fixture!F344&lt;Fixture!D344,0,1)))</f>
        <v>0</v>
      </c>
      <c r="E3339" s="18">
        <f t="shared" si="693"/>
        <v>0</v>
      </c>
      <c r="F3339" s="18">
        <f>IF(E3339=0,0,IF(Fixture!D344&lt;Fixture!F344,1,IF(Fixture!F344&lt;Fixture!D344,0,0)))</f>
        <v>0</v>
      </c>
      <c r="G3339" s="18">
        <f>IF(E3339=0,0,IF(Fixture!D344&lt;Fixture!F344,0,IF(Fixture!F344&lt;Fixture!D344,0,1)))</f>
        <v>0</v>
      </c>
      <c r="H3339" s="18">
        <f t="shared" si="694"/>
        <v>0</v>
      </c>
      <c r="I3339" s="64">
        <f t="shared" si="695"/>
        <v>0</v>
      </c>
      <c r="J3339" s="64">
        <f t="shared" si="696"/>
        <v>0</v>
      </c>
      <c r="K3339" s="63">
        <f t="shared" si="697"/>
        <v>0</v>
      </c>
      <c r="L3339" s="63">
        <f t="shared" si="698"/>
        <v>0</v>
      </c>
      <c r="N3339" s="10" t="str">
        <f t="shared" si="689"/>
        <v>00</v>
      </c>
      <c r="O3339" s="10">
        <f t="shared" si="690"/>
        <v>0</v>
      </c>
      <c r="P3339" s="10">
        <f t="shared" si="691"/>
        <v>0</v>
      </c>
      <c r="Q3339" s="10">
        <f t="shared" si="692"/>
        <v>0</v>
      </c>
    </row>
    <row r="3340" spans="1:17">
      <c r="A3340" s="15">
        <f t="shared" si="699"/>
        <v>0</v>
      </c>
      <c r="B3340" s="15"/>
      <c r="C3340" s="17">
        <f>Fixture!E345</f>
        <v>0</v>
      </c>
      <c r="D3340" s="18">
        <f>IF(E3340=0,0,IF(Fixture!D345&lt;Fixture!F345,3,IF(Fixture!F345&lt;Fixture!D345,0,1)))</f>
        <v>0</v>
      </c>
      <c r="E3340" s="18">
        <f t="shared" si="693"/>
        <v>0</v>
      </c>
      <c r="F3340" s="18">
        <f>IF(E3340=0,0,IF(Fixture!D345&lt;Fixture!F345,1,IF(Fixture!F345&lt;Fixture!D345,0,0)))</f>
        <v>0</v>
      </c>
      <c r="G3340" s="18">
        <f>IF(E3340=0,0,IF(Fixture!D345&lt;Fixture!F345,0,IF(Fixture!F345&lt;Fixture!D345,0,1)))</f>
        <v>0</v>
      </c>
      <c r="H3340" s="18">
        <f t="shared" si="694"/>
        <v>0</v>
      </c>
      <c r="I3340" s="64">
        <f t="shared" si="695"/>
        <v>0</v>
      </c>
      <c r="J3340" s="64">
        <f t="shared" si="696"/>
        <v>0</v>
      </c>
      <c r="K3340" s="63">
        <f t="shared" si="697"/>
        <v>0</v>
      </c>
      <c r="L3340" s="63">
        <f t="shared" si="698"/>
        <v>0</v>
      </c>
      <c r="N3340" s="10" t="str">
        <f t="shared" si="689"/>
        <v>00</v>
      </c>
      <c r="O3340" s="10">
        <f t="shared" si="690"/>
        <v>0</v>
      </c>
      <c r="P3340" s="10">
        <f t="shared" si="691"/>
        <v>0</v>
      </c>
      <c r="Q3340" s="10">
        <f t="shared" si="692"/>
        <v>0</v>
      </c>
    </row>
    <row r="3341" spans="1:17">
      <c r="A3341" s="15">
        <f t="shared" si="699"/>
        <v>0</v>
      </c>
      <c r="B3341" s="15"/>
      <c r="C3341" s="17">
        <f>Fixture!E346</f>
        <v>0</v>
      </c>
      <c r="D3341" s="18">
        <f>IF(E3341=0,0,IF(Fixture!D346&lt;Fixture!F346,3,IF(Fixture!F346&lt;Fixture!D346,0,1)))</f>
        <v>0</v>
      </c>
      <c r="E3341" s="18">
        <f t="shared" si="693"/>
        <v>0</v>
      </c>
      <c r="F3341" s="18">
        <f>IF(E3341=0,0,IF(Fixture!D346&lt;Fixture!F346,1,IF(Fixture!F346&lt;Fixture!D346,0,0)))</f>
        <v>0</v>
      </c>
      <c r="G3341" s="18">
        <f>IF(E3341=0,0,IF(Fixture!D346&lt;Fixture!F346,0,IF(Fixture!F346&lt;Fixture!D346,0,1)))</f>
        <v>0</v>
      </c>
      <c r="H3341" s="18">
        <f t="shared" si="694"/>
        <v>0</v>
      </c>
      <c r="I3341" s="64">
        <f t="shared" si="695"/>
        <v>0</v>
      </c>
      <c r="J3341" s="64">
        <f t="shared" si="696"/>
        <v>0</v>
      </c>
      <c r="K3341" s="63">
        <f t="shared" si="697"/>
        <v>0</v>
      </c>
      <c r="L3341" s="63">
        <f t="shared" si="698"/>
        <v>0</v>
      </c>
      <c r="N3341" s="10" t="str">
        <f t="shared" si="689"/>
        <v>00</v>
      </c>
      <c r="O3341" s="10">
        <f t="shared" si="690"/>
        <v>0</v>
      </c>
      <c r="P3341" s="10">
        <f t="shared" si="691"/>
        <v>0</v>
      </c>
      <c r="Q3341" s="10">
        <f t="shared" si="692"/>
        <v>0</v>
      </c>
    </row>
    <row r="3342" spans="1:17">
      <c r="A3342" s="15">
        <f t="shared" si="699"/>
        <v>0</v>
      </c>
      <c r="B3342" s="15"/>
      <c r="C3342" s="17">
        <f>Fixture!E347</f>
        <v>0</v>
      </c>
      <c r="D3342" s="18">
        <f>IF(E3342=0,0,IF(Fixture!D347&lt;Fixture!F347,3,IF(Fixture!F347&lt;Fixture!D347,0,1)))</f>
        <v>0</v>
      </c>
      <c r="E3342" s="18">
        <f t="shared" si="693"/>
        <v>0</v>
      </c>
      <c r="F3342" s="18">
        <f>IF(E3342=0,0,IF(Fixture!D347&lt;Fixture!F347,1,IF(Fixture!F347&lt;Fixture!D347,0,0)))</f>
        <v>0</v>
      </c>
      <c r="G3342" s="18">
        <f>IF(E3342=0,0,IF(Fixture!D347&lt;Fixture!F347,0,IF(Fixture!F347&lt;Fixture!D347,0,1)))</f>
        <v>0</v>
      </c>
      <c r="H3342" s="18">
        <f t="shared" si="694"/>
        <v>0</v>
      </c>
      <c r="I3342" s="64">
        <f t="shared" si="695"/>
        <v>0</v>
      </c>
      <c r="J3342" s="64">
        <f t="shared" si="696"/>
        <v>0</v>
      </c>
      <c r="K3342" s="63">
        <f t="shared" si="697"/>
        <v>0</v>
      </c>
      <c r="L3342" s="63">
        <f t="shared" si="698"/>
        <v>0</v>
      </c>
      <c r="N3342" s="10" t="str">
        <f t="shared" si="689"/>
        <v>00</v>
      </c>
      <c r="O3342" s="10">
        <f t="shared" si="690"/>
        <v>0</v>
      </c>
      <c r="P3342" s="10">
        <f t="shared" si="691"/>
        <v>0</v>
      </c>
      <c r="Q3342" s="10">
        <f t="shared" si="692"/>
        <v>0</v>
      </c>
    </row>
    <row r="3343" spans="1:17">
      <c r="A3343" s="15">
        <f t="shared" si="699"/>
        <v>0</v>
      </c>
      <c r="B3343" s="15"/>
      <c r="C3343" s="17">
        <f>Fixture!E348</f>
        <v>0</v>
      </c>
      <c r="D3343" s="18">
        <f>IF(E3343=0,0,IF(Fixture!D348&lt;Fixture!F348,3,IF(Fixture!F348&lt;Fixture!D348,0,1)))</f>
        <v>0</v>
      </c>
      <c r="E3343" s="18">
        <f t="shared" si="693"/>
        <v>0</v>
      </c>
      <c r="F3343" s="18">
        <f>IF(E3343=0,0,IF(Fixture!D348&lt;Fixture!F348,1,IF(Fixture!F348&lt;Fixture!D348,0,0)))</f>
        <v>0</v>
      </c>
      <c r="G3343" s="18">
        <f>IF(E3343=0,0,IF(Fixture!D348&lt;Fixture!F348,0,IF(Fixture!F348&lt;Fixture!D348,0,1)))</f>
        <v>0</v>
      </c>
      <c r="H3343" s="18">
        <f t="shared" si="694"/>
        <v>0</v>
      </c>
      <c r="I3343" s="64">
        <f t="shared" si="695"/>
        <v>0</v>
      </c>
      <c r="J3343" s="64">
        <f t="shared" si="696"/>
        <v>0</v>
      </c>
      <c r="K3343" s="63">
        <f t="shared" si="697"/>
        <v>0</v>
      </c>
      <c r="L3343" s="63">
        <f t="shared" si="698"/>
        <v>0</v>
      </c>
      <c r="N3343" s="10" t="str">
        <f t="shared" si="689"/>
        <v>00</v>
      </c>
      <c r="O3343" s="10">
        <f t="shared" si="690"/>
        <v>0</v>
      </c>
      <c r="P3343" s="10">
        <f t="shared" si="691"/>
        <v>0</v>
      </c>
      <c r="Q3343" s="10">
        <f t="shared" si="692"/>
        <v>0</v>
      </c>
    </row>
    <row r="3344" spans="1:17">
      <c r="A3344" s="15">
        <f t="shared" si="699"/>
        <v>0</v>
      </c>
      <c r="B3344" s="15"/>
      <c r="C3344" s="17">
        <f>Fixture!E349</f>
        <v>0</v>
      </c>
      <c r="D3344" s="18">
        <f>IF(E3344=0,0,IF(Fixture!D349&lt;Fixture!F349,3,IF(Fixture!F349&lt;Fixture!D349,0,1)))</f>
        <v>0</v>
      </c>
      <c r="E3344" s="18">
        <f t="shared" si="693"/>
        <v>0</v>
      </c>
      <c r="F3344" s="18">
        <f>IF(E3344=0,0,IF(Fixture!D349&lt;Fixture!F349,1,IF(Fixture!F349&lt;Fixture!D349,0,0)))</f>
        <v>0</v>
      </c>
      <c r="G3344" s="18">
        <f>IF(E3344=0,0,IF(Fixture!D349&lt;Fixture!F349,0,IF(Fixture!F349&lt;Fixture!D349,0,1)))</f>
        <v>0</v>
      </c>
      <c r="H3344" s="18">
        <f t="shared" si="694"/>
        <v>0</v>
      </c>
      <c r="I3344" s="64">
        <f t="shared" si="695"/>
        <v>0</v>
      </c>
      <c r="J3344" s="64">
        <f t="shared" si="696"/>
        <v>0</v>
      </c>
      <c r="K3344" s="63">
        <f t="shared" si="697"/>
        <v>0</v>
      </c>
      <c r="L3344" s="63">
        <f t="shared" si="698"/>
        <v>0</v>
      </c>
      <c r="N3344" s="10" t="str">
        <f t="shared" si="689"/>
        <v>00</v>
      </c>
      <c r="O3344" s="10">
        <f t="shared" si="690"/>
        <v>0</v>
      </c>
      <c r="P3344" s="10">
        <f t="shared" si="691"/>
        <v>0</v>
      </c>
      <c r="Q3344" s="10">
        <f t="shared" si="692"/>
        <v>0</v>
      </c>
    </row>
    <row r="3345" spans="1:17">
      <c r="A3345" s="15">
        <f t="shared" si="699"/>
        <v>0</v>
      </c>
      <c r="B3345" s="15"/>
      <c r="C3345" s="17">
        <f>Fixture!E350</f>
        <v>0</v>
      </c>
      <c r="D3345" s="18">
        <f>IF(E3345=0,0,IF(Fixture!D350&lt;Fixture!F350,3,IF(Fixture!F350&lt;Fixture!D350,0,1)))</f>
        <v>0</v>
      </c>
      <c r="E3345" s="18">
        <f t="shared" si="693"/>
        <v>0</v>
      </c>
      <c r="F3345" s="18">
        <f>IF(E3345=0,0,IF(Fixture!D350&lt;Fixture!F350,1,IF(Fixture!F350&lt;Fixture!D350,0,0)))</f>
        <v>0</v>
      </c>
      <c r="G3345" s="18">
        <f>IF(E3345=0,0,IF(Fixture!D350&lt;Fixture!F350,0,IF(Fixture!F350&lt;Fixture!D350,0,1)))</f>
        <v>0</v>
      </c>
      <c r="H3345" s="18">
        <f t="shared" si="694"/>
        <v>0</v>
      </c>
      <c r="I3345" s="64">
        <f t="shared" si="695"/>
        <v>0</v>
      </c>
      <c r="J3345" s="64">
        <f t="shared" si="696"/>
        <v>0</v>
      </c>
      <c r="K3345" s="63">
        <f t="shared" si="697"/>
        <v>0</v>
      </c>
      <c r="L3345" s="63">
        <f t="shared" si="698"/>
        <v>0</v>
      </c>
      <c r="N3345" s="10" t="str">
        <f t="shared" si="689"/>
        <v>00</v>
      </c>
      <c r="O3345" s="10">
        <f t="shared" si="690"/>
        <v>0</v>
      </c>
      <c r="P3345" s="10">
        <f t="shared" si="691"/>
        <v>0</v>
      </c>
      <c r="Q3345" s="10">
        <f t="shared" si="692"/>
        <v>0</v>
      </c>
    </row>
    <row r="3346" spans="1:17">
      <c r="A3346" s="15">
        <f t="shared" si="699"/>
        <v>0</v>
      </c>
      <c r="B3346" s="15"/>
      <c r="C3346" s="17">
        <f>Fixture!E351</f>
        <v>0</v>
      </c>
      <c r="D3346" s="18">
        <f>IF(E3346=0,0,IF(Fixture!D351&lt;Fixture!F351,3,IF(Fixture!F351&lt;Fixture!D351,0,1)))</f>
        <v>0</v>
      </c>
      <c r="E3346" s="18">
        <f t="shared" si="693"/>
        <v>0</v>
      </c>
      <c r="F3346" s="18">
        <f>IF(E3346=0,0,IF(Fixture!D351&lt;Fixture!F351,1,IF(Fixture!F351&lt;Fixture!D351,0,0)))</f>
        <v>0</v>
      </c>
      <c r="G3346" s="18">
        <f>IF(E3346=0,0,IF(Fixture!D351&lt;Fixture!F351,0,IF(Fixture!F351&lt;Fixture!D351,0,1)))</f>
        <v>0</v>
      </c>
      <c r="H3346" s="18">
        <f t="shared" si="694"/>
        <v>0</v>
      </c>
      <c r="I3346" s="64">
        <f t="shared" si="695"/>
        <v>0</v>
      </c>
      <c r="J3346" s="64">
        <f t="shared" si="696"/>
        <v>0</v>
      </c>
      <c r="K3346" s="63">
        <f t="shared" si="697"/>
        <v>0</v>
      </c>
      <c r="L3346" s="63">
        <f t="shared" si="698"/>
        <v>0</v>
      </c>
      <c r="N3346" s="10" t="str">
        <f t="shared" ref="N3346:N3409" si="700">CONCATENATE(C3346,A3346)</f>
        <v>00</v>
      </c>
      <c r="O3346" s="10">
        <f t="shared" ref="O3346:O3409" si="701">D3346</f>
        <v>0</v>
      </c>
      <c r="P3346" s="10">
        <f t="shared" ref="P3346:P3409" si="702">I3346</f>
        <v>0</v>
      </c>
      <c r="Q3346" s="10">
        <f t="shared" ref="Q3346:Q3409" si="703">J3346</f>
        <v>0</v>
      </c>
    </row>
    <row r="3347" spans="1:17">
      <c r="A3347" s="15">
        <f t="shared" si="699"/>
        <v>0</v>
      </c>
      <c r="B3347" s="15"/>
      <c r="C3347" s="17">
        <f>Fixture!E352</f>
        <v>0</v>
      </c>
      <c r="D3347" s="18">
        <f>IF(E3347=0,0,IF(Fixture!D352&lt;Fixture!F352,3,IF(Fixture!F352&lt;Fixture!D352,0,1)))</f>
        <v>0</v>
      </c>
      <c r="E3347" s="18">
        <f t="shared" si="693"/>
        <v>0</v>
      </c>
      <c r="F3347" s="18">
        <f>IF(E3347=0,0,IF(Fixture!D352&lt;Fixture!F352,1,IF(Fixture!F352&lt;Fixture!D352,0,0)))</f>
        <v>0</v>
      </c>
      <c r="G3347" s="18">
        <f>IF(E3347=0,0,IF(Fixture!D352&lt;Fixture!F352,0,IF(Fixture!F352&lt;Fixture!D352,0,1)))</f>
        <v>0</v>
      </c>
      <c r="H3347" s="18">
        <f t="shared" si="694"/>
        <v>0</v>
      </c>
      <c r="I3347" s="64">
        <f t="shared" si="695"/>
        <v>0</v>
      </c>
      <c r="J3347" s="64">
        <f t="shared" si="696"/>
        <v>0</v>
      </c>
      <c r="K3347" s="63">
        <f t="shared" si="697"/>
        <v>0</v>
      </c>
      <c r="L3347" s="63">
        <f t="shared" si="698"/>
        <v>0</v>
      </c>
      <c r="N3347" s="10" t="str">
        <f t="shared" si="700"/>
        <v>00</v>
      </c>
      <c r="O3347" s="10">
        <f t="shared" si="701"/>
        <v>0</v>
      </c>
      <c r="P3347" s="10">
        <f t="shared" si="702"/>
        <v>0</v>
      </c>
      <c r="Q3347" s="10">
        <f t="shared" si="703"/>
        <v>0</v>
      </c>
    </row>
    <row r="3348" spans="1:17">
      <c r="A3348" s="15">
        <f t="shared" si="699"/>
        <v>0</v>
      </c>
      <c r="B3348" s="15"/>
      <c r="C3348" s="17">
        <f>Fixture!E353</f>
        <v>0</v>
      </c>
      <c r="D3348" s="18">
        <f>IF(E3348=0,0,IF(Fixture!D353&lt;Fixture!F353,3,IF(Fixture!F353&lt;Fixture!D353,0,1)))</f>
        <v>0</v>
      </c>
      <c r="E3348" s="18">
        <f t="shared" si="693"/>
        <v>0</v>
      </c>
      <c r="F3348" s="18">
        <f>IF(E3348=0,0,IF(Fixture!D353&lt;Fixture!F353,1,IF(Fixture!F353&lt;Fixture!D353,0,0)))</f>
        <v>0</v>
      </c>
      <c r="G3348" s="18">
        <f>IF(E3348=0,0,IF(Fixture!D353&lt;Fixture!F353,0,IF(Fixture!F353&lt;Fixture!D353,0,1)))</f>
        <v>0</v>
      </c>
      <c r="H3348" s="18">
        <f t="shared" si="694"/>
        <v>0</v>
      </c>
      <c r="I3348" s="64">
        <f t="shared" si="695"/>
        <v>0</v>
      </c>
      <c r="J3348" s="64">
        <f t="shared" si="696"/>
        <v>0</v>
      </c>
      <c r="K3348" s="63">
        <f t="shared" si="697"/>
        <v>0</v>
      </c>
      <c r="L3348" s="63">
        <f t="shared" si="698"/>
        <v>0</v>
      </c>
      <c r="N3348" s="10" t="str">
        <f t="shared" si="700"/>
        <v>00</v>
      </c>
      <c r="O3348" s="10">
        <f t="shared" si="701"/>
        <v>0</v>
      </c>
      <c r="P3348" s="10">
        <f t="shared" si="702"/>
        <v>0</v>
      </c>
      <c r="Q3348" s="10">
        <f t="shared" si="703"/>
        <v>0</v>
      </c>
    </row>
    <row r="3349" spans="1:17">
      <c r="A3349" s="15">
        <f t="shared" si="699"/>
        <v>0</v>
      </c>
      <c r="B3349" s="15"/>
      <c r="C3349" s="17">
        <f>Fixture!E354</f>
        <v>0</v>
      </c>
      <c r="D3349" s="18">
        <f>IF(E3349=0,0,IF(Fixture!D354&lt;Fixture!F354,3,IF(Fixture!F354&lt;Fixture!D354,0,1)))</f>
        <v>0</v>
      </c>
      <c r="E3349" s="18">
        <f t="shared" si="693"/>
        <v>0</v>
      </c>
      <c r="F3349" s="18">
        <f>IF(E3349=0,0,IF(Fixture!D354&lt;Fixture!F354,1,IF(Fixture!F354&lt;Fixture!D354,0,0)))</f>
        <v>0</v>
      </c>
      <c r="G3349" s="18">
        <f>IF(E3349=0,0,IF(Fixture!D354&lt;Fixture!F354,0,IF(Fixture!F354&lt;Fixture!D354,0,1)))</f>
        <v>0</v>
      </c>
      <c r="H3349" s="18">
        <f t="shared" si="694"/>
        <v>0</v>
      </c>
      <c r="I3349" s="64">
        <f t="shared" si="695"/>
        <v>0</v>
      </c>
      <c r="J3349" s="64">
        <f t="shared" si="696"/>
        <v>0</v>
      </c>
      <c r="K3349" s="63">
        <f t="shared" si="697"/>
        <v>0</v>
      </c>
      <c r="L3349" s="63">
        <f t="shared" si="698"/>
        <v>0</v>
      </c>
      <c r="N3349" s="10" t="str">
        <f t="shared" si="700"/>
        <v>00</v>
      </c>
      <c r="O3349" s="10">
        <f t="shared" si="701"/>
        <v>0</v>
      </c>
      <c r="P3349" s="10">
        <f t="shared" si="702"/>
        <v>0</v>
      </c>
      <c r="Q3349" s="10">
        <f t="shared" si="703"/>
        <v>0</v>
      </c>
    </row>
    <row r="3350" spans="1:17">
      <c r="A3350" s="15">
        <f t="shared" si="699"/>
        <v>0</v>
      </c>
      <c r="B3350" s="15"/>
      <c r="C3350" s="17">
        <f>Fixture!E355</f>
        <v>0</v>
      </c>
      <c r="D3350" s="18">
        <f>IF(E3350=0,0,IF(Fixture!D355&lt;Fixture!F355,3,IF(Fixture!F355&lt;Fixture!D355,0,1)))</f>
        <v>0</v>
      </c>
      <c r="E3350" s="18">
        <f t="shared" si="693"/>
        <v>0</v>
      </c>
      <c r="F3350" s="18">
        <f>IF(E3350=0,0,IF(Fixture!D355&lt;Fixture!F355,1,IF(Fixture!F355&lt;Fixture!D355,0,0)))</f>
        <v>0</v>
      </c>
      <c r="G3350" s="18">
        <f>IF(E3350=0,0,IF(Fixture!D355&lt;Fixture!F355,0,IF(Fixture!F355&lt;Fixture!D355,0,1)))</f>
        <v>0</v>
      </c>
      <c r="H3350" s="18">
        <f t="shared" si="694"/>
        <v>0</v>
      </c>
      <c r="I3350" s="64">
        <f t="shared" si="695"/>
        <v>0</v>
      </c>
      <c r="J3350" s="64">
        <f t="shared" si="696"/>
        <v>0</v>
      </c>
      <c r="K3350" s="63">
        <f t="shared" si="697"/>
        <v>0</v>
      </c>
      <c r="L3350" s="63">
        <f t="shared" si="698"/>
        <v>0</v>
      </c>
      <c r="N3350" s="10" t="str">
        <f t="shared" si="700"/>
        <v>00</v>
      </c>
      <c r="O3350" s="10">
        <f t="shared" si="701"/>
        <v>0</v>
      </c>
      <c r="P3350" s="10">
        <f t="shared" si="702"/>
        <v>0</v>
      </c>
      <c r="Q3350" s="10">
        <f t="shared" si="703"/>
        <v>0</v>
      </c>
    </row>
    <row r="3351" spans="1:17">
      <c r="A3351" s="15">
        <f t="shared" si="699"/>
        <v>0</v>
      </c>
      <c r="B3351" s="15"/>
      <c r="C3351" s="17">
        <f>Fixture!E356</f>
        <v>0</v>
      </c>
      <c r="D3351" s="18">
        <f>IF(E3351=0,0,IF(Fixture!D356&lt;Fixture!F356,3,IF(Fixture!F356&lt;Fixture!D356,0,1)))</f>
        <v>0</v>
      </c>
      <c r="E3351" s="18">
        <f t="shared" si="693"/>
        <v>0</v>
      </c>
      <c r="F3351" s="18">
        <f>IF(E3351=0,0,IF(Fixture!D356&lt;Fixture!F356,1,IF(Fixture!F356&lt;Fixture!D356,0,0)))</f>
        <v>0</v>
      </c>
      <c r="G3351" s="18">
        <f>IF(E3351=0,0,IF(Fixture!D356&lt;Fixture!F356,0,IF(Fixture!F356&lt;Fixture!D356,0,1)))</f>
        <v>0</v>
      </c>
      <c r="H3351" s="18">
        <f t="shared" si="694"/>
        <v>0</v>
      </c>
      <c r="I3351" s="64">
        <f t="shared" si="695"/>
        <v>0</v>
      </c>
      <c r="J3351" s="64">
        <f t="shared" si="696"/>
        <v>0</v>
      </c>
      <c r="K3351" s="63">
        <f t="shared" si="697"/>
        <v>0</v>
      </c>
      <c r="L3351" s="63">
        <f t="shared" si="698"/>
        <v>0</v>
      </c>
      <c r="N3351" s="10" t="str">
        <f t="shared" si="700"/>
        <v>00</v>
      </c>
      <c r="O3351" s="10">
        <f t="shared" si="701"/>
        <v>0</v>
      </c>
      <c r="P3351" s="10">
        <f t="shared" si="702"/>
        <v>0</v>
      </c>
      <c r="Q3351" s="10">
        <f t="shared" si="703"/>
        <v>0</v>
      </c>
    </row>
    <row r="3352" spans="1:17">
      <c r="A3352" s="15">
        <f t="shared" si="699"/>
        <v>0</v>
      </c>
      <c r="B3352" s="15"/>
      <c r="C3352" s="17">
        <f>Fixture!E357</f>
        <v>0</v>
      </c>
      <c r="D3352" s="18">
        <f>IF(E3352=0,0,IF(Fixture!D357&lt;Fixture!F357,3,IF(Fixture!F357&lt;Fixture!D357,0,1)))</f>
        <v>0</v>
      </c>
      <c r="E3352" s="18">
        <f t="shared" si="693"/>
        <v>0</v>
      </c>
      <c r="F3352" s="18">
        <f>IF(E3352=0,0,IF(Fixture!D357&lt;Fixture!F357,1,IF(Fixture!F357&lt;Fixture!D357,0,0)))</f>
        <v>0</v>
      </c>
      <c r="G3352" s="18">
        <f>IF(E3352=0,0,IF(Fixture!D357&lt;Fixture!F357,0,IF(Fixture!F357&lt;Fixture!D357,0,1)))</f>
        <v>0</v>
      </c>
      <c r="H3352" s="18">
        <f t="shared" si="694"/>
        <v>0</v>
      </c>
      <c r="I3352" s="64">
        <f t="shared" si="695"/>
        <v>0</v>
      </c>
      <c r="J3352" s="64">
        <f t="shared" si="696"/>
        <v>0</v>
      </c>
      <c r="K3352" s="63">
        <f t="shared" si="697"/>
        <v>0</v>
      </c>
      <c r="L3352" s="63">
        <f t="shared" si="698"/>
        <v>0</v>
      </c>
      <c r="N3352" s="10" t="str">
        <f t="shared" si="700"/>
        <v>00</v>
      </c>
      <c r="O3352" s="10">
        <f t="shared" si="701"/>
        <v>0</v>
      </c>
      <c r="P3352" s="10">
        <f t="shared" si="702"/>
        <v>0</v>
      </c>
      <c r="Q3352" s="10">
        <f t="shared" si="703"/>
        <v>0</v>
      </c>
    </row>
    <row r="3353" spans="1:17">
      <c r="A3353" s="15">
        <f t="shared" si="699"/>
        <v>0</v>
      </c>
      <c r="B3353" s="15"/>
      <c r="C3353" s="17">
        <f>Fixture!E358</f>
        <v>0</v>
      </c>
      <c r="D3353" s="18">
        <f>IF(E3353=0,0,IF(Fixture!D358&lt;Fixture!F358,3,IF(Fixture!F358&lt;Fixture!D358,0,1)))</f>
        <v>0</v>
      </c>
      <c r="E3353" s="18">
        <f t="shared" si="693"/>
        <v>0</v>
      </c>
      <c r="F3353" s="18">
        <f>IF(E3353=0,0,IF(Fixture!D358&lt;Fixture!F358,1,IF(Fixture!F358&lt;Fixture!D358,0,0)))</f>
        <v>0</v>
      </c>
      <c r="G3353" s="18">
        <f>IF(E3353=0,0,IF(Fixture!D358&lt;Fixture!F358,0,IF(Fixture!F358&lt;Fixture!D358,0,1)))</f>
        <v>0</v>
      </c>
      <c r="H3353" s="18">
        <f t="shared" si="694"/>
        <v>0</v>
      </c>
      <c r="I3353" s="64">
        <f t="shared" si="695"/>
        <v>0</v>
      </c>
      <c r="J3353" s="64">
        <f t="shared" si="696"/>
        <v>0</v>
      </c>
      <c r="K3353" s="63">
        <f t="shared" si="697"/>
        <v>0</v>
      </c>
      <c r="L3353" s="63">
        <f t="shared" si="698"/>
        <v>0</v>
      </c>
      <c r="N3353" s="10" t="str">
        <f t="shared" si="700"/>
        <v>00</v>
      </c>
      <c r="O3353" s="10">
        <f t="shared" si="701"/>
        <v>0</v>
      </c>
      <c r="P3353" s="10">
        <f t="shared" si="702"/>
        <v>0</v>
      </c>
      <c r="Q3353" s="10">
        <f t="shared" si="703"/>
        <v>0</v>
      </c>
    </row>
    <row r="3354" spans="1:17">
      <c r="A3354" s="15">
        <f t="shared" si="699"/>
        <v>0</v>
      </c>
      <c r="B3354" s="15"/>
      <c r="C3354" s="17">
        <f>Fixture!E359</f>
        <v>0</v>
      </c>
      <c r="D3354" s="18">
        <f>IF(E3354=0,0,IF(Fixture!D359&lt;Fixture!F359,3,IF(Fixture!F359&lt;Fixture!D359,0,1)))</f>
        <v>0</v>
      </c>
      <c r="E3354" s="18">
        <f t="shared" si="693"/>
        <v>0</v>
      </c>
      <c r="F3354" s="18">
        <f>IF(E3354=0,0,IF(Fixture!D359&lt;Fixture!F359,1,IF(Fixture!F359&lt;Fixture!D359,0,0)))</f>
        <v>0</v>
      </c>
      <c r="G3354" s="18">
        <f>IF(E3354=0,0,IF(Fixture!D359&lt;Fixture!F359,0,IF(Fixture!F359&lt;Fixture!D359,0,1)))</f>
        <v>0</v>
      </c>
      <c r="H3354" s="18">
        <f t="shared" si="694"/>
        <v>0</v>
      </c>
      <c r="I3354" s="64">
        <f t="shared" si="695"/>
        <v>0</v>
      </c>
      <c r="J3354" s="64">
        <f t="shared" si="696"/>
        <v>0</v>
      </c>
      <c r="K3354" s="63">
        <f t="shared" si="697"/>
        <v>0</v>
      </c>
      <c r="L3354" s="63">
        <f t="shared" si="698"/>
        <v>0</v>
      </c>
      <c r="N3354" s="10" t="str">
        <f t="shared" si="700"/>
        <v>00</v>
      </c>
      <c r="O3354" s="10">
        <f t="shared" si="701"/>
        <v>0</v>
      </c>
      <c r="P3354" s="10">
        <f t="shared" si="702"/>
        <v>0</v>
      </c>
      <c r="Q3354" s="10">
        <f t="shared" si="703"/>
        <v>0</v>
      </c>
    </row>
    <row r="3355" spans="1:17">
      <c r="A3355" s="15">
        <f t="shared" si="699"/>
        <v>0</v>
      </c>
      <c r="B3355" s="15"/>
      <c r="C3355" s="17">
        <f>Fixture!E360</f>
        <v>0</v>
      </c>
      <c r="D3355" s="18">
        <f>IF(E3355=0,0,IF(Fixture!D360&lt;Fixture!F360,3,IF(Fixture!F360&lt;Fixture!D360,0,1)))</f>
        <v>0</v>
      </c>
      <c r="E3355" s="18">
        <f t="shared" si="693"/>
        <v>0</v>
      </c>
      <c r="F3355" s="18">
        <f>IF(E3355=0,0,IF(Fixture!D360&lt;Fixture!F360,1,IF(Fixture!F360&lt;Fixture!D360,0,0)))</f>
        <v>0</v>
      </c>
      <c r="G3355" s="18">
        <f>IF(E3355=0,0,IF(Fixture!D360&lt;Fixture!F360,0,IF(Fixture!F360&lt;Fixture!D360,0,1)))</f>
        <v>0</v>
      </c>
      <c r="H3355" s="18">
        <f t="shared" si="694"/>
        <v>0</v>
      </c>
      <c r="I3355" s="64">
        <f t="shared" si="695"/>
        <v>0</v>
      </c>
      <c r="J3355" s="64">
        <f t="shared" si="696"/>
        <v>0</v>
      </c>
      <c r="K3355" s="63">
        <f t="shared" si="697"/>
        <v>0</v>
      </c>
      <c r="L3355" s="63">
        <f t="shared" si="698"/>
        <v>0</v>
      </c>
      <c r="N3355" s="10" t="str">
        <f t="shared" si="700"/>
        <v>00</v>
      </c>
      <c r="O3355" s="10">
        <f t="shared" si="701"/>
        <v>0</v>
      </c>
      <c r="P3355" s="10">
        <f t="shared" si="702"/>
        <v>0</v>
      </c>
      <c r="Q3355" s="10">
        <f t="shared" si="703"/>
        <v>0</v>
      </c>
    </row>
    <row r="3356" spans="1:17">
      <c r="A3356" s="15">
        <f t="shared" si="699"/>
        <v>0</v>
      </c>
      <c r="B3356" s="15"/>
      <c r="C3356" s="17">
        <f>Fixture!E361</f>
        <v>0</v>
      </c>
      <c r="D3356" s="18">
        <f>IF(E3356=0,0,IF(Fixture!D361&lt;Fixture!F361,3,IF(Fixture!F361&lt;Fixture!D361,0,1)))</f>
        <v>0</v>
      </c>
      <c r="E3356" s="18">
        <f t="shared" si="693"/>
        <v>0</v>
      </c>
      <c r="F3356" s="18">
        <f>IF(E3356=0,0,IF(Fixture!D361&lt;Fixture!F361,1,IF(Fixture!F361&lt;Fixture!D361,0,0)))</f>
        <v>0</v>
      </c>
      <c r="G3356" s="18">
        <f>IF(E3356=0,0,IF(Fixture!D361&lt;Fixture!F361,0,IF(Fixture!F361&lt;Fixture!D361,0,1)))</f>
        <v>0</v>
      </c>
      <c r="H3356" s="18">
        <f t="shared" si="694"/>
        <v>0</v>
      </c>
      <c r="I3356" s="64">
        <f t="shared" si="695"/>
        <v>0</v>
      </c>
      <c r="J3356" s="64">
        <f t="shared" si="696"/>
        <v>0</v>
      </c>
      <c r="K3356" s="63">
        <f t="shared" si="697"/>
        <v>0</v>
      </c>
      <c r="L3356" s="63">
        <f t="shared" si="698"/>
        <v>0</v>
      </c>
      <c r="N3356" s="10" t="str">
        <f t="shared" si="700"/>
        <v>00</v>
      </c>
      <c r="O3356" s="10">
        <f t="shared" si="701"/>
        <v>0</v>
      </c>
      <c r="P3356" s="10">
        <f t="shared" si="702"/>
        <v>0</v>
      </c>
      <c r="Q3356" s="10">
        <f t="shared" si="703"/>
        <v>0</v>
      </c>
    </row>
    <row r="3357" spans="1:17">
      <c r="A3357" s="15">
        <f t="shared" si="699"/>
        <v>0</v>
      </c>
      <c r="B3357" s="15"/>
      <c r="C3357" s="17">
        <f>Fixture!E362</f>
        <v>0</v>
      </c>
      <c r="D3357" s="18">
        <f>IF(E3357=0,0,IF(Fixture!D362&lt;Fixture!F362,3,IF(Fixture!F362&lt;Fixture!D362,0,1)))</f>
        <v>0</v>
      </c>
      <c r="E3357" s="18">
        <f t="shared" si="693"/>
        <v>0</v>
      </c>
      <c r="F3357" s="18">
        <f>IF(E3357=0,0,IF(Fixture!D362&lt;Fixture!F362,1,IF(Fixture!F362&lt;Fixture!D362,0,0)))</f>
        <v>0</v>
      </c>
      <c r="G3357" s="18">
        <f>IF(E3357=0,0,IF(Fixture!D362&lt;Fixture!F362,0,IF(Fixture!F362&lt;Fixture!D362,0,1)))</f>
        <v>0</v>
      </c>
      <c r="H3357" s="18">
        <f t="shared" si="694"/>
        <v>0</v>
      </c>
      <c r="I3357" s="64">
        <f t="shared" si="695"/>
        <v>0</v>
      </c>
      <c r="J3357" s="64">
        <f t="shared" si="696"/>
        <v>0</v>
      </c>
      <c r="K3357" s="63">
        <f t="shared" si="697"/>
        <v>0</v>
      </c>
      <c r="L3357" s="63">
        <f t="shared" si="698"/>
        <v>0</v>
      </c>
      <c r="N3357" s="10" t="str">
        <f t="shared" si="700"/>
        <v>00</v>
      </c>
      <c r="O3357" s="10">
        <f t="shared" si="701"/>
        <v>0</v>
      </c>
      <c r="P3357" s="10">
        <f t="shared" si="702"/>
        <v>0</v>
      </c>
      <c r="Q3357" s="10">
        <f t="shared" si="703"/>
        <v>0</v>
      </c>
    </row>
    <row r="3358" spans="1:17">
      <c r="A3358" s="15">
        <f t="shared" si="699"/>
        <v>0</v>
      </c>
      <c r="B3358" s="15"/>
      <c r="C3358" s="17">
        <f>Fixture!E363</f>
        <v>0</v>
      </c>
      <c r="D3358" s="18">
        <f>IF(E3358=0,0,IF(Fixture!D363&lt;Fixture!F363,3,IF(Fixture!F363&lt;Fixture!D363,0,1)))</f>
        <v>0</v>
      </c>
      <c r="E3358" s="18">
        <f t="shared" si="693"/>
        <v>0</v>
      </c>
      <c r="F3358" s="18">
        <f>IF(E3358=0,0,IF(Fixture!D363&lt;Fixture!F363,1,IF(Fixture!F363&lt;Fixture!D363,0,0)))</f>
        <v>0</v>
      </c>
      <c r="G3358" s="18">
        <f>IF(E3358=0,0,IF(Fixture!D363&lt;Fixture!F363,0,IF(Fixture!F363&lt;Fixture!D363,0,1)))</f>
        <v>0</v>
      </c>
      <c r="H3358" s="18">
        <f t="shared" si="694"/>
        <v>0</v>
      </c>
      <c r="I3358" s="64">
        <f t="shared" si="695"/>
        <v>0</v>
      </c>
      <c r="J3358" s="64">
        <f t="shared" si="696"/>
        <v>0</v>
      </c>
      <c r="K3358" s="63">
        <f t="shared" si="697"/>
        <v>0</v>
      </c>
      <c r="L3358" s="63">
        <f t="shared" si="698"/>
        <v>0</v>
      </c>
      <c r="N3358" s="10" t="str">
        <f t="shared" si="700"/>
        <v>00</v>
      </c>
      <c r="O3358" s="10">
        <f t="shared" si="701"/>
        <v>0</v>
      </c>
      <c r="P3358" s="10">
        <f t="shared" si="702"/>
        <v>0</v>
      </c>
      <c r="Q3358" s="10">
        <f t="shared" si="703"/>
        <v>0</v>
      </c>
    </row>
    <row r="3359" spans="1:17">
      <c r="A3359" s="15">
        <f t="shared" si="699"/>
        <v>0</v>
      </c>
      <c r="B3359" s="15"/>
      <c r="C3359" s="17">
        <f>Fixture!E364</f>
        <v>0</v>
      </c>
      <c r="D3359" s="18">
        <f>IF(E3359=0,0,IF(Fixture!D364&lt;Fixture!F364,3,IF(Fixture!F364&lt;Fixture!D364,0,1)))</f>
        <v>0</v>
      </c>
      <c r="E3359" s="18">
        <f t="shared" si="693"/>
        <v>0</v>
      </c>
      <c r="F3359" s="18">
        <f>IF(E3359=0,0,IF(Fixture!D364&lt;Fixture!F364,1,IF(Fixture!F364&lt;Fixture!D364,0,0)))</f>
        <v>0</v>
      </c>
      <c r="G3359" s="18">
        <f>IF(E3359=0,0,IF(Fixture!D364&lt;Fixture!F364,0,IF(Fixture!F364&lt;Fixture!D364,0,1)))</f>
        <v>0</v>
      </c>
      <c r="H3359" s="18">
        <f t="shared" si="694"/>
        <v>0</v>
      </c>
      <c r="I3359" s="64">
        <f t="shared" si="695"/>
        <v>0</v>
      </c>
      <c r="J3359" s="64">
        <f t="shared" si="696"/>
        <v>0</v>
      </c>
      <c r="K3359" s="63">
        <f t="shared" si="697"/>
        <v>0</v>
      </c>
      <c r="L3359" s="63">
        <f t="shared" si="698"/>
        <v>0</v>
      </c>
      <c r="N3359" s="10" t="str">
        <f t="shared" si="700"/>
        <v>00</v>
      </c>
      <c r="O3359" s="10">
        <f t="shared" si="701"/>
        <v>0</v>
      </c>
      <c r="P3359" s="10">
        <f t="shared" si="702"/>
        <v>0</v>
      </c>
      <c r="Q3359" s="10">
        <f t="shared" si="703"/>
        <v>0</v>
      </c>
    </row>
    <row r="3360" spans="1:17">
      <c r="A3360" s="15">
        <f t="shared" si="699"/>
        <v>0</v>
      </c>
      <c r="B3360" s="15"/>
      <c r="C3360" s="17">
        <f>Fixture!E365</f>
        <v>0</v>
      </c>
      <c r="D3360" s="18">
        <f>IF(E3360=0,0,IF(Fixture!D365&lt;Fixture!F365,3,IF(Fixture!F365&lt;Fixture!D365,0,1)))</f>
        <v>0</v>
      </c>
      <c r="E3360" s="18">
        <f t="shared" si="693"/>
        <v>0</v>
      </c>
      <c r="F3360" s="18">
        <f>IF(E3360=0,0,IF(Fixture!D365&lt;Fixture!F365,1,IF(Fixture!F365&lt;Fixture!D365,0,0)))</f>
        <v>0</v>
      </c>
      <c r="G3360" s="18">
        <f>IF(E3360=0,0,IF(Fixture!D365&lt;Fixture!F365,0,IF(Fixture!F365&lt;Fixture!D365,0,1)))</f>
        <v>0</v>
      </c>
      <c r="H3360" s="18">
        <f t="shared" si="694"/>
        <v>0</v>
      </c>
      <c r="I3360" s="64">
        <f t="shared" si="695"/>
        <v>0</v>
      </c>
      <c r="J3360" s="64">
        <f t="shared" si="696"/>
        <v>0</v>
      </c>
      <c r="K3360" s="63">
        <f t="shared" si="697"/>
        <v>0</v>
      </c>
      <c r="L3360" s="63">
        <f t="shared" si="698"/>
        <v>0</v>
      </c>
      <c r="N3360" s="10" t="str">
        <f t="shared" si="700"/>
        <v>00</v>
      </c>
      <c r="O3360" s="10">
        <f t="shared" si="701"/>
        <v>0</v>
      </c>
      <c r="P3360" s="10">
        <f t="shared" si="702"/>
        <v>0</v>
      </c>
      <c r="Q3360" s="10">
        <f t="shared" si="703"/>
        <v>0</v>
      </c>
    </row>
    <row r="3361" spans="1:17">
      <c r="A3361" s="15">
        <f t="shared" si="699"/>
        <v>0</v>
      </c>
      <c r="B3361" s="15"/>
      <c r="C3361" s="17">
        <f>Fixture!E366</f>
        <v>0</v>
      </c>
      <c r="D3361" s="18">
        <f>IF(E3361=0,0,IF(Fixture!D366&lt;Fixture!F366,3,IF(Fixture!F366&lt;Fixture!D366,0,1)))</f>
        <v>0</v>
      </c>
      <c r="E3361" s="18">
        <f t="shared" si="693"/>
        <v>0</v>
      </c>
      <c r="F3361" s="18">
        <f>IF(E3361=0,0,IF(Fixture!D366&lt;Fixture!F366,1,IF(Fixture!F366&lt;Fixture!D366,0,0)))</f>
        <v>0</v>
      </c>
      <c r="G3361" s="18">
        <f>IF(E3361=0,0,IF(Fixture!D366&lt;Fixture!F366,0,IF(Fixture!F366&lt;Fixture!D366,0,1)))</f>
        <v>0</v>
      </c>
      <c r="H3361" s="18">
        <f t="shared" si="694"/>
        <v>0</v>
      </c>
      <c r="I3361" s="64">
        <f t="shared" si="695"/>
        <v>0</v>
      </c>
      <c r="J3361" s="64">
        <f t="shared" si="696"/>
        <v>0</v>
      </c>
      <c r="K3361" s="63">
        <f t="shared" si="697"/>
        <v>0</v>
      </c>
      <c r="L3361" s="63">
        <f t="shared" si="698"/>
        <v>0</v>
      </c>
      <c r="N3361" s="10" t="str">
        <f t="shared" si="700"/>
        <v>00</v>
      </c>
      <c r="O3361" s="10">
        <f t="shared" si="701"/>
        <v>0</v>
      </c>
      <c r="P3361" s="10">
        <f t="shared" si="702"/>
        <v>0</v>
      </c>
      <c r="Q3361" s="10">
        <f t="shared" si="703"/>
        <v>0</v>
      </c>
    </row>
    <row r="3362" spans="1:17">
      <c r="A3362" s="15">
        <f t="shared" si="699"/>
        <v>0</v>
      </c>
      <c r="B3362" s="15"/>
      <c r="C3362" s="17">
        <f>Fixture!E367</f>
        <v>0</v>
      </c>
      <c r="D3362" s="18">
        <f>IF(E3362=0,0,IF(Fixture!D367&lt;Fixture!F367,3,IF(Fixture!F367&lt;Fixture!D367,0,1)))</f>
        <v>0</v>
      </c>
      <c r="E3362" s="18">
        <f t="shared" si="693"/>
        <v>0</v>
      </c>
      <c r="F3362" s="18">
        <f>IF(E3362=0,0,IF(Fixture!D367&lt;Fixture!F367,1,IF(Fixture!F367&lt;Fixture!D367,0,0)))</f>
        <v>0</v>
      </c>
      <c r="G3362" s="18">
        <f>IF(E3362=0,0,IF(Fixture!D367&lt;Fixture!F367,0,IF(Fixture!F367&lt;Fixture!D367,0,1)))</f>
        <v>0</v>
      </c>
      <c r="H3362" s="18">
        <f t="shared" si="694"/>
        <v>0</v>
      </c>
      <c r="I3362" s="64">
        <f t="shared" si="695"/>
        <v>0</v>
      </c>
      <c r="J3362" s="64">
        <f t="shared" si="696"/>
        <v>0</v>
      </c>
      <c r="K3362" s="63">
        <f t="shared" si="697"/>
        <v>0</v>
      </c>
      <c r="L3362" s="63">
        <f t="shared" si="698"/>
        <v>0</v>
      </c>
      <c r="N3362" s="10" t="str">
        <f t="shared" si="700"/>
        <v>00</v>
      </c>
      <c r="O3362" s="10">
        <f t="shared" si="701"/>
        <v>0</v>
      </c>
      <c r="P3362" s="10">
        <f t="shared" si="702"/>
        <v>0</v>
      </c>
      <c r="Q3362" s="10">
        <f t="shared" si="703"/>
        <v>0</v>
      </c>
    </row>
    <row r="3363" spans="1:17">
      <c r="A3363" s="15">
        <f t="shared" si="699"/>
        <v>0</v>
      </c>
      <c r="B3363" s="15"/>
      <c r="C3363" s="17">
        <f>Fixture!E368</f>
        <v>0</v>
      </c>
      <c r="D3363" s="18">
        <f>IF(E3363=0,0,IF(Fixture!D368&lt;Fixture!F368,3,IF(Fixture!F368&lt;Fixture!D368,0,1)))</f>
        <v>0</v>
      </c>
      <c r="E3363" s="18">
        <f t="shared" si="693"/>
        <v>0</v>
      </c>
      <c r="F3363" s="18">
        <f>IF(E3363=0,0,IF(Fixture!D368&lt;Fixture!F368,1,IF(Fixture!F368&lt;Fixture!D368,0,0)))</f>
        <v>0</v>
      </c>
      <c r="G3363" s="18">
        <f>IF(E3363=0,0,IF(Fixture!D368&lt;Fixture!F368,0,IF(Fixture!F368&lt;Fixture!D368,0,1)))</f>
        <v>0</v>
      </c>
      <c r="H3363" s="18">
        <f t="shared" si="694"/>
        <v>0</v>
      </c>
      <c r="I3363" s="64">
        <f t="shared" si="695"/>
        <v>0</v>
      </c>
      <c r="J3363" s="64">
        <f t="shared" si="696"/>
        <v>0</v>
      </c>
      <c r="K3363" s="63">
        <f t="shared" si="697"/>
        <v>0</v>
      </c>
      <c r="L3363" s="63">
        <f t="shared" si="698"/>
        <v>0</v>
      </c>
      <c r="N3363" s="10" t="str">
        <f t="shared" si="700"/>
        <v>00</v>
      </c>
      <c r="O3363" s="10">
        <f t="shared" si="701"/>
        <v>0</v>
      </c>
      <c r="P3363" s="10">
        <f t="shared" si="702"/>
        <v>0</v>
      </c>
      <c r="Q3363" s="10">
        <f t="shared" si="703"/>
        <v>0</v>
      </c>
    </row>
    <row r="3364" spans="1:17">
      <c r="A3364" s="15">
        <f t="shared" si="699"/>
        <v>0</v>
      </c>
      <c r="B3364" s="15"/>
      <c r="C3364" s="17">
        <f>Fixture!E369</f>
        <v>0</v>
      </c>
      <c r="D3364" s="18">
        <f>IF(E3364=0,0,IF(Fixture!D369&lt;Fixture!F369,3,IF(Fixture!F369&lt;Fixture!D369,0,1)))</f>
        <v>0</v>
      </c>
      <c r="E3364" s="18">
        <f t="shared" si="693"/>
        <v>0</v>
      </c>
      <c r="F3364" s="18">
        <f>IF(E3364=0,0,IF(Fixture!D369&lt;Fixture!F369,1,IF(Fixture!F369&lt;Fixture!D369,0,0)))</f>
        <v>0</v>
      </c>
      <c r="G3364" s="18">
        <f>IF(E3364=0,0,IF(Fixture!D369&lt;Fixture!F369,0,IF(Fixture!F369&lt;Fixture!D369,0,1)))</f>
        <v>0</v>
      </c>
      <c r="H3364" s="18">
        <f t="shared" si="694"/>
        <v>0</v>
      </c>
      <c r="I3364" s="64">
        <f t="shared" si="695"/>
        <v>0</v>
      </c>
      <c r="J3364" s="64">
        <f t="shared" si="696"/>
        <v>0</v>
      </c>
      <c r="K3364" s="63">
        <f t="shared" si="697"/>
        <v>0</v>
      </c>
      <c r="L3364" s="63">
        <f t="shared" si="698"/>
        <v>0</v>
      </c>
      <c r="N3364" s="10" t="str">
        <f t="shared" si="700"/>
        <v>00</v>
      </c>
      <c r="O3364" s="10">
        <f t="shared" si="701"/>
        <v>0</v>
      </c>
      <c r="P3364" s="10">
        <f t="shared" si="702"/>
        <v>0</v>
      </c>
      <c r="Q3364" s="10">
        <f t="shared" si="703"/>
        <v>0</v>
      </c>
    </row>
    <row r="3365" spans="1:17">
      <c r="A3365" s="15">
        <f t="shared" si="699"/>
        <v>0</v>
      </c>
      <c r="B3365" s="15"/>
      <c r="C3365" s="17">
        <f>Fixture!E370</f>
        <v>0</v>
      </c>
      <c r="D3365" s="18">
        <f>IF(E3365=0,0,IF(Fixture!D370&lt;Fixture!F370,3,IF(Fixture!F370&lt;Fixture!D370,0,1)))</f>
        <v>0</v>
      </c>
      <c r="E3365" s="18">
        <f t="shared" si="693"/>
        <v>0</v>
      </c>
      <c r="F3365" s="18">
        <f>IF(E3365=0,0,IF(Fixture!D370&lt;Fixture!F370,1,IF(Fixture!F370&lt;Fixture!D370,0,0)))</f>
        <v>0</v>
      </c>
      <c r="G3365" s="18">
        <f>IF(E3365=0,0,IF(Fixture!D370&lt;Fixture!F370,0,IF(Fixture!F370&lt;Fixture!D370,0,1)))</f>
        <v>0</v>
      </c>
      <c r="H3365" s="18">
        <f t="shared" si="694"/>
        <v>0</v>
      </c>
      <c r="I3365" s="64">
        <f t="shared" si="695"/>
        <v>0</v>
      </c>
      <c r="J3365" s="64">
        <f t="shared" si="696"/>
        <v>0</v>
      </c>
      <c r="K3365" s="63">
        <f t="shared" si="697"/>
        <v>0</v>
      </c>
      <c r="L3365" s="63">
        <f t="shared" si="698"/>
        <v>0</v>
      </c>
      <c r="N3365" s="10" t="str">
        <f t="shared" si="700"/>
        <v>00</v>
      </c>
      <c r="O3365" s="10">
        <f t="shared" si="701"/>
        <v>0</v>
      </c>
      <c r="P3365" s="10">
        <f t="shared" si="702"/>
        <v>0</v>
      </c>
      <c r="Q3365" s="10">
        <f t="shared" si="703"/>
        <v>0</v>
      </c>
    </row>
    <row r="3366" spans="1:17">
      <c r="A3366" s="15">
        <f t="shared" si="699"/>
        <v>0</v>
      </c>
      <c r="B3366" s="15"/>
      <c r="C3366" s="17">
        <f>Fixture!E371</f>
        <v>0</v>
      </c>
      <c r="D3366" s="18">
        <f>IF(E3366=0,0,IF(Fixture!D371&lt;Fixture!F371,3,IF(Fixture!F371&lt;Fixture!D371,0,1)))</f>
        <v>0</v>
      </c>
      <c r="E3366" s="18">
        <f t="shared" si="693"/>
        <v>0</v>
      </c>
      <c r="F3366" s="18">
        <f>IF(E3366=0,0,IF(Fixture!D371&lt;Fixture!F371,1,IF(Fixture!F371&lt;Fixture!D371,0,0)))</f>
        <v>0</v>
      </c>
      <c r="G3366" s="18">
        <f>IF(E3366=0,0,IF(Fixture!D371&lt;Fixture!F371,0,IF(Fixture!F371&lt;Fixture!D371,0,1)))</f>
        <v>0</v>
      </c>
      <c r="H3366" s="18">
        <f t="shared" si="694"/>
        <v>0</v>
      </c>
      <c r="I3366" s="64">
        <f t="shared" si="695"/>
        <v>0</v>
      </c>
      <c r="J3366" s="64">
        <f t="shared" si="696"/>
        <v>0</v>
      </c>
      <c r="K3366" s="63">
        <f t="shared" si="697"/>
        <v>0</v>
      </c>
      <c r="L3366" s="63">
        <f t="shared" si="698"/>
        <v>0</v>
      </c>
      <c r="N3366" s="10" t="str">
        <f t="shared" si="700"/>
        <v>00</v>
      </c>
      <c r="O3366" s="10">
        <f t="shared" si="701"/>
        <v>0</v>
      </c>
      <c r="P3366" s="10">
        <f t="shared" si="702"/>
        <v>0</v>
      </c>
      <c r="Q3366" s="10">
        <f t="shared" si="703"/>
        <v>0</v>
      </c>
    </row>
    <row r="3367" spans="1:17">
      <c r="A3367" s="15">
        <f t="shared" si="699"/>
        <v>0</v>
      </c>
      <c r="B3367" s="15"/>
      <c r="C3367" s="17">
        <f>Fixture!E372</f>
        <v>0</v>
      </c>
      <c r="D3367" s="18">
        <f>IF(E3367=0,0,IF(Fixture!D372&lt;Fixture!F372,3,IF(Fixture!F372&lt;Fixture!D372,0,1)))</f>
        <v>0</v>
      </c>
      <c r="E3367" s="18">
        <f t="shared" si="693"/>
        <v>0</v>
      </c>
      <c r="F3367" s="18">
        <f>IF(E3367=0,0,IF(Fixture!D372&lt;Fixture!F372,1,IF(Fixture!F372&lt;Fixture!D372,0,0)))</f>
        <v>0</v>
      </c>
      <c r="G3367" s="18">
        <f>IF(E3367=0,0,IF(Fixture!D372&lt;Fixture!F372,0,IF(Fixture!F372&lt;Fixture!D372,0,1)))</f>
        <v>0</v>
      </c>
      <c r="H3367" s="18">
        <f t="shared" si="694"/>
        <v>0</v>
      </c>
      <c r="I3367" s="64">
        <f t="shared" si="695"/>
        <v>0</v>
      </c>
      <c r="J3367" s="64">
        <f t="shared" si="696"/>
        <v>0</v>
      </c>
      <c r="K3367" s="63">
        <f t="shared" si="697"/>
        <v>0</v>
      </c>
      <c r="L3367" s="63">
        <f t="shared" si="698"/>
        <v>0</v>
      </c>
      <c r="N3367" s="10" t="str">
        <f t="shared" si="700"/>
        <v>00</v>
      </c>
      <c r="O3367" s="10">
        <f t="shared" si="701"/>
        <v>0</v>
      </c>
      <c r="P3367" s="10">
        <f t="shared" si="702"/>
        <v>0</v>
      </c>
      <c r="Q3367" s="10">
        <f t="shared" si="703"/>
        <v>0</v>
      </c>
    </row>
    <row r="3368" spans="1:17">
      <c r="A3368" s="15">
        <f t="shared" si="699"/>
        <v>0</v>
      </c>
      <c r="B3368" s="15"/>
      <c r="C3368" s="17">
        <f>Fixture!E373</f>
        <v>0</v>
      </c>
      <c r="D3368" s="18">
        <f>IF(E3368=0,0,IF(Fixture!D373&lt;Fixture!F373,3,IF(Fixture!F373&lt;Fixture!D373,0,1)))</f>
        <v>0</v>
      </c>
      <c r="E3368" s="18">
        <f t="shared" si="693"/>
        <v>0</v>
      </c>
      <c r="F3368" s="18">
        <f>IF(E3368=0,0,IF(Fixture!D373&lt;Fixture!F373,1,IF(Fixture!F373&lt;Fixture!D373,0,0)))</f>
        <v>0</v>
      </c>
      <c r="G3368" s="18">
        <f>IF(E3368=0,0,IF(Fixture!D373&lt;Fixture!F373,0,IF(Fixture!F373&lt;Fixture!D373,0,1)))</f>
        <v>0</v>
      </c>
      <c r="H3368" s="18">
        <f t="shared" si="694"/>
        <v>0</v>
      </c>
      <c r="I3368" s="64">
        <f t="shared" si="695"/>
        <v>0</v>
      </c>
      <c r="J3368" s="64">
        <f t="shared" si="696"/>
        <v>0</v>
      </c>
      <c r="K3368" s="63">
        <f t="shared" si="697"/>
        <v>0</v>
      </c>
      <c r="L3368" s="63">
        <f t="shared" si="698"/>
        <v>0</v>
      </c>
      <c r="N3368" s="10" t="str">
        <f t="shared" si="700"/>
        <v>00</v>
      </c>
      <c r="O3368" s="10">
        <f t="shared" si="701"/>
        <v>0</v>
      </c>
      <c r="P3368" s="10">
        <f t="shared" si="702"/>
        <v>0</v>
      </c>
      <c r="Q3368" s="10">
        <f t="shared" si="703"/>
        <v>0</v>
      </c>
    </row>
    <row r="3369" spans="1:17">
      <c r="A3369" s="15">
        <f t="shared" si="699"/>
        <v>0</v>
      </c>
      <c r="B3369" s="15"/>
      <c r="C3369" s="17">
        <f>Fixture!E374</f>
        <v>0</v>
      </c>
      <c r="D3369" s="18">
        <f>IF(E3369=0,0,IF(Fixture!D374&lt;Fixture!F374,3,IF(Fixture!F374&lt;Fixture!D374,0,1)))</f>
        <v>0</v>
      </c>
      <c r="E3369" s="18">
        <f t="shared" si="693"/>
        <v>0</v>
      </c>
      <c r="F3369" s="18">
        <f>IF(E3369=0,0,IF(Fixture!D374&lt;Fixture!F374,1,IF(Fixture!F374&lt;Fixture!D374,0,0)))</f>
        <v>0</v>
      </c>
      <c r="G3369" s="18">
        <f>IF(E3369=0,0,IF(Fixture!D374&lt;Fixture!F374,0,IF(Fixture!F374&lt;Fixture!D374,0,1)))</f>
        <v>0</v>
      </c>
      <c r="H3369" s="18">
        <f t="shared" si="694"/>
        <v>0</v>
      </c>
      <c r="I3369" s="64">
        <f t="shared" si="695"/>
        <v>0</v>
      </c>
      <c r="J3369" s="64">
        <f t="shared" si="696"/>
        <v>0</v>
      </c>
      <c r="K3369" s="63">
        <f t="shared" si="697"/>
        <v>0</v>
      </c>
      <c r="L3369" s="63">
        <f t="shared" si="698"/>
        <v>0</v>
      </c>
      <c r="N3369" s="10" t="str">
        <f t="shared" si="700"/>
        <v>00</v>
      </c>
      <c r="O3369" s="10">
        <f t="shared" si="701"/>
        <v>0</v>
      </c>
      <c r="P3369" s="10">
        <f t="shared" si="702"/>
        <v>0</v>
      </c>
      <c r="Q3369" s="10">
        <f t="shared" si="703"/>
        <v>0</v>
      </c>
    </row>
    <row r="3370" spans="1:17">
      <c r="A3370" s="15">
        <f t="shared" si="699"/>
        <v>0</v>
      </c>
      <c r="B3370" s="15"/>
      <c r="C3370" s="17">
        <f>Fixture!E375</f>
        <v>0</v>
      </c>
      <c r="D3370" s="18">
        <f>IF(E3370=0,0,IF(Fixture!D375&lt;Fixture!F375,3,IF(Fixture!F375&lt;Fixture!D375,0,1)))</f>
        <v>0</v>
      </c>
      <c r="E3370" s="18">
        <f t="shared" si="693"/>
        <v>0</v>
      </c>
      <c r="F3370" s="18">
        <f>IF(E3370=0,0,IF(Fixture!D375&lt;Fixture!F375,1,IF(Fixture!F375&lt;Fixture!D375,0,0)))</f>
        <v>0</v>
      </c>
      <c r="G3370" s="18">
        <f>IF(E3370=0,0,IF(Fixture!D375&lt;Fixture!F375,0,IF(Fixture!F375&lt;Fixture!D375,0,1)))</f>
        <v>0</v>
      </c>
      <c r="H3370" s="18">
        <f t="shared" si="694"/>
        <v>0</v>
      </c>
      <c r="I3370" s="64">
        <f t="shared" si="695"/>
        <v>0</v>
      </c>
      <c r="J3370" s="64">
        <f t="shared" si="696"/>
        <v>0</v>
      </c>
      <c r="K3370" s="63">
        <f t="shared" si="697"/>
        <v>0</v>
      </c>
      <c r="L3370" s="63">
        <f t="shared" si="698"/>
        <v>0</v>
      </c>
      <c r="N3370" s="10" t="str">
        <f t="shared" si="700"/>
        <v>00</v>
      </c>
      <c r="O3370" s="10">
        <f t="shared" si="701"/>
        <v>0</v>
      </c>
      <c r="P3370" s="10">
        <f t="shared" si="702"/>
        <v>0</v>
      </c>
      <c r="Q3370" s="10">
        <f t="shared" si="703"/>
        <v>0</v>
      </c>
    </row>
    <row r="3371" spans="1:17">
      <c r="A3371" s="15">
        <f t="shared" si="699"/>
        <v>0</v>
      </c>
      <c r="B3371" s="15"/>
      <c r="C3371" s="17">
        <f>Fixture!E376</f>
        <v>0</v>
      </c>
      <c r="D3371" s="18">
        <f>IF(E3371=0,0,IF(Fixture!D376&lt;Fixture!F376,3,IF(Fixture!F376&lt;Fixture!D376,0,1)))</f>
        <v>0</v>
      </c>
      <c r="E3371" s="18">
        <f t="shared" si="693"/>
        <v>0</v>
      </c>
      <c r="F3371" s="18">
        <f>IF(E3371=0,0,IF(Fixture!D376&lt;Fixture!F376,1,IF(Fixture!F376&lt;Fixture!D376,0,0)))</f>
        <v>0</v>
      </c>
      <c r="G3371" s="18">
        <f>IF(E3371=0,0,IF(Fixture!D376&lt;Fixture!F376,0,IF(Fixture!F376&lt;Fixture!D376,0,1)))</f>
        <v>0</v>
      </c>
      <c r="H3371" s="18">
        <f t="shared" si="694"/>
        <v>0</v>
      </c>
      <c r="I3371" s="64">
        <f t="shared" si="695"/>
        <v>0</v>
      </c>
      <c r="J3371" s="64">
        <f t="shared" si="696"/>
        <v>0</v>
      </c>
      <c r="K3371" s="63">
        <f t="shared" si="697"/>
        <v>0</v>
      </c>
      <c r="L3371" s="63">
        <f t="shared" si="698"/>
        <v>0</v>
      </c>
      <c r="N3371" s="10" t="str">
        <f t="shared" si="700"/>
        <v>00</v>
      </c>
      <c r="O3371" s="10">
        <f t="shared" si="701"/>
        <v>0</v>
      </c>
      <c r="P3371" s="10">
        <f t="shared" si="702"/>
        <v>0</v>
      </c>
      <c r="Q3371" s="10">
        <f t="shared" si="703"/>
        <v>0</v>
      </c>
    </row>
    <row r="3372" spans="1:17">
      <c r="A3372" s="15">
        <f t="shared" si="699"/>
        <v>0</v>
      </c>
      <c r="B3372" s="15"/>
      <c r="C3372" s="17">
        <f>Fixture!E377</f>
        <v>0</v>
      </c>
      <c r="D3372" s="18">
        <f>IF(E3372=0,0,IF(Fixture!D377&lt;Fixture!F377,3,IF(Fixture!F377&lt;Fixture!D377,0,1)))</f>
        <v>0</v>
      </c>
      <c r="E3372" s="18">
        <f t="shared" si="693"/>
        <v>0</v>
      </c>
      <c r="F3372" s="18">
        <f>IF(E3372=0,0,IF(Fixture!D377&lt;Fixture!F377,1,IF(Fixture!F377&lt;Fixture!D377,0,0)))</f>
        <v>0</v>
      </c>
      <c r="G3372" s="18">
        <f>IF(E3372=0,0,IF(Fixture!D377&lt;Fixture!F377,0,IF(Fixture!F377&lt;Fixture!D377,0,1)))</f>
        <v>0</v>
      </c>
      <c r="H3372" s="18">
        <f t="shared" si="694"/>
        <v>0</v>
      </c>
      <c r="I3372" s="64">
        <f t="shared" si="695"/>
        <v>0</v>
      </c>
      <c r="J3372" s="64">
        <f t="shared" si="696"/>
        <v>0</v>
      </c>
      <c r="K3372" s="63">
        <f t="shared" si="697"/>
        <v>0</v>
      </c>
      <c r="L3372" s="63">
        <f t="shared" si="698"/>
        <v>0</v>
      </c>
      <c r="N3372" s="10" t="str">
        <f t="shared" si="700"/>
        <v>00</v>
      </c>
      <c r="O3372" s="10">
        <f t="shared" si="701"/>
        <v>0</v>
      </c>
      <c r="P3372" s="10">
        <f t="shared" si="702"/>
        <v>0</v>
      </c>
      <c r="Q3372" s="10">
        <f t="shared" si="703"/>
        <v>0</v>
      </c>
    </row>
    <row r="3373" spans="1:17">
      <c r="A3373" s="15">
        <f t="shared" si="699"/>
        <v>0</v>
      </c>
      <c r="B3373" s="15"/>
      <c r="C3373" s="17">
        <f>Fixture!E378</f>
        <v>0</v>
      </c>
      <c r="D3373" s="18">
        <f>IF(E3373=0,0,IF(Fixture!D378&lt;Fixture!F378,3,IF(Fixture!F378&lt;Fixture!D378,0,1)))</f>
        <v>0</v>
      </c>
      <c r="E3373" s="18">
        <f t="shared" si="693"/>
        <v>0</v>
      </c>
      <c r="F3373" s="18">
        <f>IF(E3373=0,0,IF(Fixture!D378&lt;Fixture!F378,1,IF(Fixture!F378&lt;Fixture!D378,0,0)))</f>
        <v>0</v>
      </c>
      <c r="G3373" s="18">
        <f>IF(E3373=0,0,IF(Fixture!D378&lt;Fixture!F378,0,IF(Fixture!F378&lt;Fixture!D378,0,1)))</f>
        <v>0</v>
      </c>
      <c r="H3373" s="18">
        <f t="shared" si="694"/>
        <v>0</v>
      </c>
      <c r="I3373" s="64">
        <f t="shared" si="695"/>
        <v>0</v>
      </c>
      <c r="J3373" s="64">
        <f t="shared" si="696"/>
        <v>0</v>
      </c>
      <c r="K3373" s="63">
        <f t="shared" si="697"/>
        <v>0</v>
      </c>
      <c r="L3373" s="63">
        <f t="shared" si="698"/>
        <v>0</v>
      </c>
      <c r="N3373" s="10" t="str">
        <f t="shared" si="700"/>
        <v>00</v>
      </c>
      <c r="O3373" s="10">
        <f t="shared" si="701"/>
        <v>0</v>
      </c>
      <c r="P3373" s="10">
        <f t="shared" si="702"/>
        <v>0</v>
      </c>
      <c r="Q3373" s="10">
        <f t="shared" si="703"/>
        <v>0</v>
      </c>
    </row>
    <row r="3374" spans="1:17">
      <c r="A3374" s="15">
        <f t="shared" si="699"/>
        <v>0</v>
      </c>
      <c r="B3374" s="15"/>
      <c r="C3374" s="17">
        <f>Fixture!E379</f>
        <v>0</v>
      </c>
      <c r="D3374" s="18">
        <f>IF(E3374=0,0,IF(Fixture!D379&lt;Fixture!F379,3,IF(Fixture!F379&lt;Fixture!D379,0,1)))</f>
        <v>0</v>
      </c>
      <c r="E3374" s="18">
        <f t="shared" si="693"/>
        <v>0</v>
      </c>
      <c r="F3374" s="18">
        <f>IF(E3374=0,0,IF(Fixture!D379&lt;Fixture!F379,1,IF(Fixture!F379&lt;Fixture!D379,0,0)))</f>
        <v>0</v>
      </c>
      <c r="G3374" s="18">
        <f>IF(E3374=0,0,IF(Fixture!D379&lt;Fixture!F379,0,IF(Fixture!F379&lt;Fixture!D379,0,1)))</f>
        <v>0</v>
      </c>
      <c r="H3374" s="18">
        <f t="shared" si="694"/>
        <v>0</v>
      </c>
      <c r="I3374" s="64">
        <f t="shared" si="695"/>
        <v>0</v>
      </c>
      <c r="J3374" s="64">
        <f t="shared" si="696"/>
        <v>0</v>
      </c>
      <c r="K3374" s="63">
        <f t="shared" si="697"/>
        <v>0</v>
      </c>
      <c r="L3374" s="63">
        <f t="shared" si="698"/>
        <v>0</v>
      </c>
      <c r="N3374" s="10" t="str">
        <f t="shared" si="700"/>
        <v>00</v>
      </c>
      <c r="O3374" s="10">
        <f t="shared" si="701"/>
        <v>0</v>
      </c>
      <c r="P3374" s="10">
        <f t="shared" si="702"/>
        <v>0</v>
      </c>
      <c r="Q3374" s="10">
        <f t="shared" si="703"/>
        <v>0</v>
      </c>
    </row>
    <row r="3375" spans="1:17">
      <c r="A3375" s="15">
        <f t="shared" si="699"/>
        <v>0</v>
      </c>
      <c r="B3375" s="15"/>
      <c r="C3375" s="17">
        <f>Fixture!E380</f>
        <v>0</v>
      </c>
      <c r="D3375" s="18">
        <f>IF(E3375=0,0,IF(Fixture!D380&lt;Fixture!F380,3,IF(Fixture!F380&lt;Fixture!D380,0,1)))</f>
        <v>0</v>
      </c>
      <c r="E3375" s="18">
        <f t="shared" si="693"/>
        <v>0</v>
      </c>
      <c r="F3375" s="18">
        <f>IF(E3375=0,0,IF(Fixture!D380&lt;Fixture!F380,1,IF(Fixture!F380&lt;Fixture!D380,0,0)))</f>
        <v>0</v>
      </c>
      <c r="G3375" s="18">
        <f>IF(E3375=0,0,IF(Fixture!D380&lt;Fixture!F380,0,IF(Fixture!F380&lt;Fixture!D380,0,1)))</f>
        <v>0</v>
      </c>
      <c r="H3375" s="18">
        <f t="shared" si="694"/>
        <v>0</v>
      </c>
      <c r="I3375" s="64">
        <f t="shared" si="695"/>
        <v>0</v>
      </c>
      <c r="J3375" s="64">
        <f t="shared" si="696"/>
        <v>0</v>
      </c>
      <c r="K3375" s="63">
        <f t="shared" si="697"/>
        <v>0</v>
      </c>
      <c r="L3375" s="63">
        <f t="shared" si="698"/>
        <v>0</v>
      </c>
      <c r="N3375" s="10" t="str">
        <f t="shared" si="700"/>
        <v>00</v>
      </c>
      <c r="O3375" s="10">
        <f t="shared" si="701"/>
        <v>0</v>
      </c>
      <c r="P3375" s="10">
        <f t="shared" si="702"/>
        <v>0</v>
      </c>
      <c r="Q3375" s="10">
        <f t="shared" si="703"/>
        <v>0</v>
      </c>
    </row>
    <row r="3376" spans="1:17">
      <c r="A3376" s="15">
        <f t="shared" si="699"/>
        <v>0</v>
      </c>
      <c r="B3376" s="15"/>
      <c r="C3376" s="17">
        <f>Fixture!E381</f>
        <v>0</v>
      </c>
      <c r="D3376" s="18">
        <f>IF(E3376=0,0,IF(Fixture!D381&lt;Fixture!F381,3,IF(Fixture!F381&lt;Fixture!D381,0,1)))</f>
        <v>0</v>
      </c>
      <c r="E3376" s="18">
        <f t="shared" si="693"/>
        <v>0</v>
      </c>
      <c r="F3376" s="18">
        <f>IF(E3376=0,0,IF(Fixture!D381&lt;Fixture!F381,1,IF(Fixture!F381&lt;Fixture!D381,0,0)))</f>
        <v>0</v>
      </c>
      <c r="G3376" s="18">
        <f>IF(E3376=0,0,IF(Fixture!D381&lt;Fixture!F381,0,IF(Fixture!F381&lt;Fixture!D381,0,1)))</f>
        <v>0</v>
      </c>
      <c r="H3376" s="18">
        <f t="shared" si="694"/>
        <v>0</v>
      </c>
      <c r="I3376" s="64">
        <f t="shared" si="695"/>
        <v>0</v>
      </c>
      <c r="J3376" s="64">
        <f t="shared" si="696"/>
        <v>0</v>
      </c>
      <c r="K3376" s="63">
        <f t="shared" si="697"/>
        <v>0</v>
      </c>
      <c r="L3376" s="63">
        <f t="shared" si="698"/>
        <v>0</v>
      </c>
      <c r="N3376" s="10" t="str">
        <f t="shared" si="700"/>
        <v>00</v>
      </c>
      <c r="O3376" s="10">
        <f t="shared" si="701"/>
        <v>0</v>
      </c>
      <c r="P3376" s="10">
        <f t="shared" si="702"/>
        <v>0</v>
      </c>
      <c r="Q3376" s="10">
        <f t="shared" si="703"/>
        <v>0</v>
      </c>
    </row>
    <row r="3377" spans="1:17">
      <c r="A3377" s="15">
        <f t="shared" si="699"/>
        <v>0</v>
      </c>
      <c r="B3377" s="15"/>
      <c r="C3377" s="17">
        <f>Fixture!E382</f>
        <v>0</v>
      </c>
      <c r="D3377" s="18">
        <f>IF(E3377=0,0,IF(Fixture!D382&lt;Fixture!F382,3,IF(Fixture!F382&lt;Fixture!D382,0,1)))</f>
        <v>0</v>
      </c>
      <c r="E3377" s="18">
        <f t="shared" si="693"/>
        <v>0</v>
      </c>
      <c r="F3377" s="18">
        <f>IF(E3377=0,0,IF(Fixture!D382&lt;Fixture!F382,1,IF(Fixture!F382&lt;Fixture!D382,0,0)))</f>
        <v>0</v>
      </c>
      <c r="G3377" s="18">
        <f>IF(E3377=0,0,IF(Fixture!D382&lt;Fixture!F382,0,IF(Fixture!F382&lt;Fixture!D382,0,1)))</f>
        <v>0</v>
      </c>
      <c r="H3377" s="18">
        <f t="shared" si="694"/>
        <v>0</v>
      </c>
      <c r="I3377" s="64">
        <f t="shared" si="695"/>
        <v>0</v>
      </c>
      <c r="J3377" s="64">
        <f t="shared" si="696"/>
        <v>0</v>
      </c>
      <c r="K3377" s="63">
        <f t="shared" si="697"/>
        <v>0</v>
      </c>
      <c r="L3377" s="63">
        <f t="shared" si="698"/>
        <v>0</v>
      </c>
      <c r="N3377" s="10" t="str">
        <f t="shared" si="700"/>
        <v>00</v>
      </c>
      <c r="O3377" s="10">
        <f t="shared" si="701"/>
        <v>0</v>
      </c>
      <c r="P3377" s="10">
        <f t="shared" si="702"/>
        <v>0</v>
      </c>
      <c r="Q3377" s="10">
        <f t="shared" si="703"/>
        <v>0</v>
      </c>
    </row>
    <row r="3378" spans="1:17">
      <c r="A3378" s="15">
        <f t="shared" si="699"/>
        <v>0</v>
      </c>
      <c r="B3378" s="15"/>
      <c r="C3378" s="17">
        <f>Fixture!E383</f>
        <v>0</v>
      </c>
      <c r="D3378" s="18">
        <f>IF(E3378=0,0,IF(Fixture!D383&lt;Fixture!F383,3,IF(Fixture!F383&lt;Fixture!D383,0,1)))</f>
        <v>0</v>
      </c>
      <c r="E3378" s="18">
        <f t="shared" si="693"/>
        <v>0</v>
      </c>
      <c r="F3378" s="18">
        <f>IF(E3378=0,0,IF(Fixture!D383&lt;Fixture!F383,1,IF(Fixture!F383&lt;Fixture!D383,0,0)))</f>
        <v>0</v>
      </c>
      <c r="G3378" s="18">
        <f>IF(E3378=0,0,IF(Fixture!D383&lt;Fixture!F383,0,IF(Fixture!F383&lt;Fixture!D383,0,1)))</f>
        <v>0</v>
      </c>
      <c r="H3378" s="18">
        <f t="shared" si="694"/>
        <v>0</v>
      </c>
      <c r="I3378" s="64">
        <f t="shared" si="695"/>
        <v>0</v>
      </c>
      <c r="J3378" s="64">
        <f t="shared" si="696"/>
        <v>0</v>
      </c>
      <c r="K3378" s="63">
        <f t="shared" si="697"/>
        <v>0</v>
      </c>
      <c r="L3378" s="63">
        <f t="shared" si="698"/>
        <v>0</v>
      </c>
      <c r="N3378" s="10" t="str">
        <f t="shared" si="700"/>
        <v>00</v>
      </c>
      <c r="O3378" s="10">
        <f t="shared" si="701"/>
        <v>0</v>
      </c>
      <c r="P3378" s="10">
        <f t="shared" si="702"/>
        <v>0</v>
      </c>
      <c r="Q3378" s="10">
        <f t="shared" si="703"/>
        <v>0</v>
      </c>
    </row>
    <row r="3379" spans="1:17">
      <c r="A3379" s="15">
        <f t="shared" si="699"/>
        <v>0</v>
      </c>
      <c r="B3379" s="15"/>
      <c r="C3379" s="17">
        <f>Fixture!E384</f>
        <v>0</v>
      </c>
      <c r="D3379" s="18">
        <f>IF(E3379=0,0,IF(Fixture!D384&lt;Fixture!F384,3,IF(Fixture!F384&lt;Fixture!D384,0,1)))</f>
        <v>0</v>
      </c>
      <c r="E3379" s="18">
        <f t="shared" si="693"/>
        <v>0</v>
      </c>
      <c r="F3379" s="18">
        <f>IF(E3379=0,0,IF(Fixture!D384&lt;Fixture!F384,1,IF(Fixture!F384&lt;Fixture!D384,0,0)))</f>
        <v>0</v>
      </c>
      <c r="G3379" s="18">
        <f>IF(E3379=0,0,IF(Fixture!D384&lt;Fixture!F384,0,IF(Fixture!F384&lt;Fixture!D384,0,1)))</f>
        <v>0</v>
      </c>
      <c r="H3379" s="18">
        <f t="shared" si="694"/>
        <v>0</v>
      </c>
      <c r="I3379" s="64">
        <f t="shared" si="695"/>
        <v>0</v>
      </c>
      <c r="J3379" s="64">
        <f t="shared" si="696"/>
        <v>0</v>
      </c>
      <c r="K3379" s="63">
        <f t="shared" si="697"/>
        <v>0</v>
      </c>
      <c r="L3379" s="63">
        <f t="shared" si="698"/>
        <v>0</v>
      </c>
      <c r="N3379" s="10" t="str">
        <f t="shared" si="700"/>
        <v>00</v>
      </c>
      <c r="O3379" s="10">
        <f t="shared" si="701"/>
        <v>0</v>
      </c>
      <c r="P3379" s="10">
        <f t="shared" si="702"/>
        <v>0</v>
      </c>
      <c r="Q3379" s="10">
        <f t="shared" si="703"/>
        <v>0</v>
      </c>
    </row>
    <row r="3380" spans="1:17">
      <c r="A3380" s="15">
        <f t="shared" si="699"/>
        <v>0</v>
      </c>
      <c r="B3380" s="15"/>
      <c r="C3380" s="17">
        <f>Fixture!E385</f>
        <v>0</v>
      </c>
      <c r="D3380" s="18">
        <f>IF(E3380=0,0,IF(Fixture!D385&lt;Fixture!F385,3,IF(Fixture!F385&lt;Fixture!D385,0,1)))</f>
        <v>0</v>
      </c>
      <c r="E3380" s="18">
        <f t="shared" si="693"/>
        <v>0</v>
      </c>
      <c r="F3380" s="18">
        <f>IF(E3380=0,0,IF(Fixture!D385&lt;Fixture!F385,1,IF(Fixture!F385&lt;Fixture!D385,0,0)))</f>
        <v>0</v>
      </c>
      <c r="G3380" s="18">
        <f>IF(E3380=0,0,IF(Fixture!D385&lt;Fixture!F385,0,IF(Fixture!F385&lt;Fixture!D385,0,1)))</f>
        <v>0</v>
      </c>
      <c r="H3380" s="18">
        <f t="shared" si="694"/>
        <v>0</v>
      </c>
      <c r="I3380" s="64">
        <f t="shared" si="695"/>
        <v>0</v>
      </c>
      <c r="J3380" s="64">
        <f t="shared" si="696"/>
        <v>0</v>
      </c>
      <c r="K3380" s="63">
        <f t="shared" si="697"/>
        <v>0</v>
      </c>
      <c r="L3380" s="63">
        <f t="shared" si="698"/>
        <v>0</v>
      </c>
      <c r="N3380" s="10" t="str">
        <f t="shared" si="700"/>
        <v>00</v>
      </c>
      <c r="O3380" s="10">
        <f t="shared" si="701"/>
        <v>0</v>
      </c>
      <c r="P3380" s="10">
        <f t="shared" si="702"/>
        <v>0</v>
      </c>
      <c r="Q3380" s="10">
        <f t="shared" si="703"/>
        <v>0</v>
      </c>
    </row>
    <row r="3381" spans="1:17">
      <c r="A3381" s="15">
        <f t="shared" si="699"/>
        <v>0</v>
      </c>
      <c r="B3381" s="15"/>
      <c r="C3381" s="17">
        <f>Fixture!E386</f>
        <v>0</v>
      </c>
      <c r="D3381" s="18">
        <f>IF(E3381=0,0,IF(Fixture!D386&lt;Fixture!F386,3,IF(Fixture!F386&lt;Fixture!D386,0,1)))</f>
        <v>0</v>
      </c>
      <c r="E3381" s="18">
        <f t="shared" si="693"/>
        <v>0</v>
      </c>
      <c r="F3381" s="18">
        <f>IF(E3381=0,0,IF(Fixture!D386&lt;Fixture!F386,1,IF(Fixture!F386&lt;Fixture!D386,0,0)))</f>
        <v>0</v>
      </c>
      <c r="G3381" s="18">
        <f>IF(E3381=0,0,IF(Fixture!D386&lt;Fixture!F386,0,IF(Fixture!F386&lt;Fixture!D386,0,1)))</f>
        <v>0</v>
      </c>
      <c r="H3381" s="18">
        <f t="shared" si="694"/>
        <v>0</v>
      </c>
      <c r="I3381" s="64">
        <f t="shared" si="695"/>
        <v>0</v>
      </c>
      <c r="J3381" s="64">
        <f t="shared" si="696"/>
        <v>0</v>
      </c>
      <c r="K3381" s="63">
        <f t="shared" si="697"/>
        <v>0</v>
      </c>
      <c r="L3381" s="63">
        <f t="shared" si="698"/>
        <v>0</v>
      </c>
      <c r="N3381" s="10" t="str">
        <f t="shared" si="700"/>
        <v>00</v>
      </c>
      <c r="O3381" s="10">
        <f t="shared" si="701"/>
        <v>0</v>
      </c>
      <c r="P3381" s="10">
        <f t="shared" si="702"/>
        <v>0</v>
      </c>
      <c r="Q3381" s="10">
        <f t="shared" si="703"/>
        <v>0</v>
      </c>
    </row>
    <row r="3382" spans="1:17">
      <c r="A3382" s="15">
        <f t="shared" si="699"/>
        <v>0</v>
      </c>
      <c r="B3382" s="15"/>
      <c r="C3382" s="17">
        <f>Fixture!E387</f>
        <v>0</v>
      </c>
      <c r="D3382" s="18">
        <f>IF(E3382=0,0,IF(Fixture!D387&lt;Fixture!F387,3,IF(Fixture!F387&lt;Fixture!D387,0,1)))</f>
        <v>0</v>
      </c>
      <c r="E3382" s="18">
        <f t="shared" si="693"/>
        <v>0</v>
      </c>
      <c r="F3382" s="18">
        <f>IF(E3382=0,0,IF(Fixture!D387&lt;Fixture!F387,1,IF(Fixture!F387&lt;Fixture!D387,0,0)))</f>
        <v>0</v>
      </c>
      <c r="G3382" s="18">
        <f>IF(E3382=0,0,IF(Fixture!D387&lt;Fixture!F387,0,IF(Fixture!F387&lt;Fixture!D387,0,1)))</f>
        <v>0</v>
      </c>
      <c r="H3382" s="18">
        <f t="shared" si="694"/>
        <v>0</v>
      </c>
      <c r="I3382" s="64">
        <f t="shared" si="695"/>
        <v>0</v>
      </c>
      <c r="J3382" s="64">
        <f t="shared" si="696"/>
        <v>0</v>
      </c>
      <c r="K3382" s="63">
        <f t="shared" si="697"/>
        <v>0</v>
      </c>
      <c r="L3382" s="63">
        <f t="shared" si="698"/>
        <v>0</v>
      </c>
      <c r="N3382" s="10" t="str">
        <f t="shared" si="700"/>
        <v>00</v>
      </c>
      <c r="O3382" s="10">
        <f t="shared" si="701"/>
        <v>0</v>
      </c>
      <c r="P3382" s="10">
        <f t="shared" si="702"/>
        <v>0</v>
      </c>
      <c r="Q3382" s="10">
        <f t="shared" si="703"/>
        <v>0</v>
      </c>
    </row>
    <row r="3383" spans="1:17">
      <c r="A3383" s="15">
        <f t="shared" si="699"/>
        <v>0</v>
      </c>
      <c r="B3383" s="15"/>
      <c r="C3383" s="17">
        <f>Fixture!E388</f>
        <v>0</v>
      </c>
      <c r="D3383" s="18">
        <f>IF(E3383=0,0,IF(Fixture!D388&lt;Fixture!F388,3,IF(Fixture!F388&lt;Fixture!D388,0,1)))</f>
        <v>0</v>
      </c>
      <c r="E3383" s="18">
        <f t="shared" si="693"/>
        <v>0</v>
      </c>
      <c r="F3383" s="18">
        <f>IF(E3383=0,0,IF(Fixture!D388&lt;Fixture!F388,1,IF(Fixture!F388&lt;Fixture!D388,0,0)))</f>
        <v>0</v>
      </c>
      <c r="G3383" s="18">
        <f>IF(E3383=0,0,IF(Fixture!D388&lt;Fixture!F388,0,IF(Fixture!F388&lt;Fixture!D388,0,1)))</f>
        <v>0</v>
      </c>
      <c r="H3383" s="18">
        <f t="shared" si="694"/>
        <v>0</v>
      </c>
      <c r="I3383" s="64">
        <f t="shared" si="695"/>
        <v>0</v>
      </c>
      <c r="J3383" s="64">
        <f t="shared" si="696"/>
        <v>0</v>
      </c>
      <c r="K3383" s="63">
        <f t="shared" si="697"/>
        <v>0</v>
      </c>
      <c r="L3383" s="63">
        <f t="shared" si="698"/>
        <v>0</v>
      </c>
      <c r="N3383" s="10" t="str">
        <f t="shared" si="700"/>
        <v>00</v>
      </c>
      <c r="O3383" s="10">
        <f t="shared" si="701"/>
        <v>0</v>
      </c>
      <c r="P3383" s="10">
        <f t="shared" si="702"/>
        <v>0</v>
      </c>
      <c r="Q3383" s="10">
        <f t="shared" si="703"/>
        <v>0</v>
      </c>
    </row>
    <row r="3384" spans="1:17">
      <c r="A3384" s="15">
        <f t="shared" si="699"/>
        <v>0</v>
      </c>
      <c r="B3384" s="15"/>
      <c r="C3384" s="17">
        <f>Fixture!E389</f>
        <v>0</v>
      </c>
      <c r="D3384" s="18">
        <f>IF(E3384=0,0,IF(Fixture!D389&lt;Fixture!F389,3,IF(Fixture!F389&lt;Fixture!D389,0,1)))</f>
        <v>0</v>
      </c>
      <c r="E3384" s="18">
        <f t="shared" ref="E3384:E3447" si="704">E2385</f>
        <v>0</v>
      </c>
      <c r="F3384" s="18">
        <f>IF(E3384=0,0,IF(Fixture!D389&lt;Fixture!F389,1,IF(Fixture!F389&lt;Fixture!D389,0,0)))</f>
        <v>0</v>
      </c>
      <c r="G3384" s="18">
        <f>IF(E3384=0,0,IF(Fixture!D389&lt;Fixture!F389,0,IF(Fixture!F389&lt;Fixture!D389,0,1)))</f>
        <v>0</v>
      </c>
      <c r="H3384" s="18">
        <f t="shared" ref="H3384:H3447" si="705">IF(E3384=0,0,IF(D3384&lt;&gt;0,0,1))</f>
        <v>0</v>
      </c>
      <c r="I3384" s="64">
        <f t="shared" ref="I3384:I3447" si="706">J2385</f>
        <v>0</v>
      </c>
      <c r="J3384" s="64">
        <f t="shared" ref="J3384:J3447" si="707">I2385</f>
        <v>0</v>
      </c>
      <c r="K3384" s="63">
        <f t="shared" ref="K3384:K3447" si="708">IF(E3384=0,0,IF(I3384&gt;0,0,1))</f>
        <v>0</v>
      </c>
      <c r="L3384" s="63">
        <f t="shared" ref="L3384:L3447" si="709">IF(E3384=0,0,IF(J3384&gt;0,0,1))</f>
        <v>0</v>
      </c>
      <c r="N3384" s="10" t="str">
        <f t="shared" si="700"/>
        <v>00</v>
      </c>
      <c r="O3384" s="10">
        <f t="shared" si="701"/>
        <v>0</v>
      </c>
      <c r="P3384" s="10">
        <f t="shared" si="702"/>
        <v>0</v>
      </c>
      <c r="Q3384" s="10">
        <f t="shared" si="703"/>
        <v>0</v>
      </c>
    </row>
    <row r="3385" spans="1:17">
      <c r="A3385" s="15">
        <f t="shared" ref="A3385:A3448" si="710">B429</f>
        <v>0</v>
      </c>
      <c r="B3385" s="15"/>
      <c r="C3385" s="17">
        <f>Fixture!E390</f>
        <v>0</v>
      </c>
      <c r="D3385" s="18">
        <f>IF(E3385=0,0,IF(Fixture!D390&lt;Fixture!F390,3,IF(Fixture!F390&lt;Fixture!D390,0,1)))</f>
        <v>0</v>
      </c>
      <c r="E3385" s="18">
        <f t="shared" si="704"/>
        <v>0</v>
      </c>
      <c r="F3385" s="18">
        <f>IF(E3385=0,0,IF(Fixture!D390&lt;Fixture!F390,1,IF(Fixture!F390&lt;Fixture!D390,0,0)))</f>
        <v>0</v>
      </c>
      <c r="G3385" s="18">
        <f>IF(E3385=0,0,IF(Fixture!D390&lt;Fixture!F390,0,IF(Fixture!F390&lt;Fixture!D390,0,1)))</f>
        <v>0</v>
      </c>
      <c r="H3385" s="18">
        <f t="shared" si="705"/>
        <v>0</v>
      </c>
      <c r="I3385" s="64">
        <f t="shared" si="706"/>
        <v>0</v>
      </c>
      <c r="J3385" s="64">
        <f t="shared" si="707"/>
        <v>0</v>
      </c>
      <c r="K3385" s="63">
        <f t="shared" si="708"/>
        <v>0</v>
      </c>
      <c r="L3385" s="63">
        <f t="shared" si="709"/>
        <v>0</v>
      </c>
      <c r="N3385" s="10" t="str">
        <f t="shared" si="700"/>
        <v>00</v>
      </c>
      <c r="O3385" s="10">
        <f t="shared" si="701"/>
        <v>0</v>
      </c>
      <c r="P3385" s="10">
        <f t="shared" si="702"/>
        <v>0</v>
      </c>
      <c r="Q3385" s="10">
        <f t="shared" si="703"/>
        <v>0</v>
      </c>
    </row>
    <row r="3386" spans="1:17">
      <c r="A3386" s="15">
        <f t="shared" si="710"/>
        <v>0</v>
      </c>
      <c r="B3386" s="15"/>
      <c r="C3386" s="17">
        <f>Fixture!E391</f>
        <v>0</v>
      </c>
      <c r="D3386" s="18">
        <f>IF(E3386=0,0,IF(Fixture!D391&lt;Fixture!F391,3,IF(Fixture!F391&lt;Fixture!D391,0,1)))</f>
        <v>0</v>
      </c>
      <c r="E3386" s="18">
        <f t="shared" si="704"/>
        <v>0</v>
      </c>
      <c r="F3386" s="18">
        <f>IF(E3386=0,0,IF(Fixture!D391&lt;Fixture!F391,1,IF(Fixture!F391&lt;Fixture!D391,0,0)))</f>
        <v>0</v>
      </c>
      <c r="G3386" s="18">
        <f>IF(E3386=0,0,IF(Fixture!D391&lt;Fixture!F391,0,IF(Fixture!F391&lt;Fixture!D391,0,1)))</f>
        <v>0</v>
      </c>
      <c r="H3386" s="18">
        <f t="shared" si="705"/>
        <v>0</v>
      </c>
      <c r="I3386" s="64">
        <f t="shared" si="706"/>
        <v>0</v>
      </c>
      <c r="J3386" s="64">
        <f t="shared" si="707"/>
        <v>0</v>
      </c>
      <c r="K3386" s="63">
        <f t="shared" si="708"/>
        <v>0</v>
      </c>
      <c r="L3386" s="63">
        <f t="shared" si="709"/>
        <v>0</v>
      </c>
      <c r="N3386" s="10" t="str">
        <f t="shared" si="700"/>
        <v>00</v>
      </c>
      <c r="O3386" s="10">
        <f t="shared" si="701"/>
        <v>0</v>
      </c>
      <c r="P3386" s="10">
        <f t="shared" si="702"/>
        <v>0</v>
      </c>
      <c r="Q3386" s="10">
        <f t="shared" si="703"/>
        <v>0</v>
      </c>
    </row>
    <row r="3387" spans="1:17">
      <c r="A3387" s="15">
        <f t="shared" si="710"/>
        <v>0</v>
      </c>
      <c r="B3387" s="15"/>
      <c r="C3387" s="17">
        <f>Fixture!E392</f>
        <v>0</v>
      </c>
      <c r="D3387" s="18">
        <f>IF(E3387=0,0,IF(Fixture!D392&lt;Fixture!F392,3,IF(Fixture!F392&lt;Fixture!D392,0,1)))</f>
        <v>0</v>
      </c>
      <c r="E3387" s="18">
        <f t="shared" si="704"/>
        <v>0</v>
      </c>
      <c r="F3387" s="18">
        <f>IF(E3387=0,0,IF(Fixture!D392&lt;Fixture!F392,1,IF(Fixture!F392&lt;Fixture!D392,0,0)))</f>
        <v>0</v>
      </c>
      <c r="G3387" s="18">
        <f>IF(E3387=0,0,IF(Fixture!D392&lt;Fixture!F392,0,IF(Fixture!F392&lt;Fixture!D392,0,1)))</f>
        <v>0</v>
      </c>
      <c r="H3387" s="18">
        <f t="shared" si="705"/>
        <v>0</v>
      </c>
      <c r="I3387" s="64">
        <f t="shared" si="706"/>
        <v>0</v>
      </c>
      <c r="J3387" s="64">
        <f t="shared" si="707"/>
        <v>0</v>
      </c>
      <c r="K3387" s="63">
        <f t="shared" si="708"/>
        <v>0</v>
      </c>
      <c r="L3387" s="63">
        <f t="shared" si="709"/>
        <v>0</v>
      </c>
      <c r="N3387" s="10" t="str">
        <f t="shared" si="700"/>
        <v>00</v>
      </c>
      <c r="O3387" s="10">
        <f t="shared" si="701"/>
        <v>0</v>
      </c>
      <c r="P3387" s="10">
        <f t="shared" si="702"/>
        <v>0</v>
      </c>
      <c r="Q3387" s="10">
        <f t="shared" si="703"/>
        <v>0</v>
      </c>
    </row>
    <row r="3388" spans="1:17">
      <c r="A3388" s="15">
        <f t="shared" si="710"/>
        <v>0</v>
      </c>
      <c r="B3388" s="15"/>
      <c r="C3388" s="17">
        <f>Fixture!E393</f>
        <v>0</v>
      </c>
      <c r="D3388" s="18">
        <f>IF(E3388=0,0,IF(Fixture!D393&lt;Fixture!F393,3,IF(Fixture!F393&lt;Fixture!D393,0,1)))</f>
        <v>0</v>
      </c>
      <c r="E3388" s="18">
        <f t="shared" si="704"/>
        <v>0</v>
      </c>
      <c r="F3388" s="18">
        <f>IF(E3388=0,0,IF(Fixture!D393&lt;Fixture!F393,1,IF(Fixture!F393&lt;Fixture!D393,0,0)))</f>
        <v>0</v>
      </c>
      <c r="G3388" s="18">
        <f>IF(E3388=0,0,IF(Fixture!D393&lt;Fixture!F393,0,IF(Fixture!F393&lt;Fixture!D393,0,1)))</f>
        <v>0</v>
      </c>
      <c r="H3388" s="18">
        <f t="shared" si="705"/>
        <v>0</v>
      </c>
      <c r="I3388" s="64">
        <f t="shared" si="706"/>
        <v>0</v>
      </c>
      <c r="J3388" s="64">
        <f t="shared" si="707"/>
        <v>0</v>
      </c>
      <c r="K3388" s="63">
        <f t="shared" si="708"/>
        <v>0</v>
      </c>
      <c r="L3388" s="63">
        <f t="shared" si="709"/>
        <v>0</v>
      </c>
      <c r="N3388" s="10" t="str">
        <f t="shared" si="700"/>
        <v>00</v>
      </c>
      <c r="O3388" s="10">
        <f t="shared" si="701"/>
        <v>0</v>
      </c>
      <c r="P3388" s="10">
        <f t="shared" si="702"/>
        <v>0</v>
      </c>
      <c r="Q3388" s="10">
        <f t="shared" si="703"/>
        <v>0</v>
      </c>
    </row>
    <row r="3389" spans="1:17">
      <c r="A3389" s="15">
        <f t="shared" si="710"/>
        <v>0</v>
      </c>
      <c r="B3389" s="15"/>
      <c r="C3389" s="17">
        <f>Fixture!E394</f>
        <v>0</v>
      </c>
      <c r="D3389" s="18">
        <f>IF(E3389=0,0,IF(Fixture!D394&lt;Fixture!F394,3,IF(Fixture!F394&lt;Fixture!D394,0,1)))</f>
        <v>0</v>
      </c>
      <c r="E3389" s="18">
        <f t="shared" si="704"/>
        <v>0</v>
      </c>
      <c r="F3389" s="18">
        <f>IF(E3389=0,0,IF(Fixture!D394&lt;Fixture!F394,1,IF(Fixture!F394&lt;Fixture!D394,0,0)))</f>
        <v>0</v>
      </c>
      <c r="G3389" s="18">
        <f>IF(E3389=0,0,IF(Fixture!D394&lt;Fixture!F394,0,IF(Fixture!F394&lt;Fixture!D394,0,1)))</f>
        <v>0</v>
      </c>
      <c r="H3389" s="18">
        <f t="shared" si="705"/>
        <v>0</v>
      </c>
      <c r="I3389" s="64">
        <f t="shared" si="706"/>
        <v>0</v>
      </c>
      <c r="J3389" s="64">
        <f t="shared" si="707"/>
        <v>0</v>
      </c>
      <c r="K3389" s="63">
        <f t="shared" si="708"/>
        <v>0</v>
      </c>
      <c r="L3389" s="63">
        <f t="shared" si="709"/>
        <v>0</v>
      </c>
      <c r="N3389" s="10" t="str">
        <f t="shared" si="700"/>
        <v>00</v>
      </c>
      <c r="O3389" s="10">
        <f t="shared" si="701"/>
        <v>0</v>
      </c>
      <c r="P3389" s="10">
        <f t="shared" si="702"/>
        <v>0</v>
      </c>
      <c r="Q3389" s="10">
        <f t="shared" si="703"/>
        <v>0</v>
      </c>
    </row>
    <row r="3390" spans="1:17">
      <c r="A3390" s="15">
        <f t="shared" si="710"/>
        <v>0</v>
      </c>
      <c r="B3390" s="15"/>
      <c r="C3390" s="17">
        <f>Fixture!E395</f>
        <v>0</v>
      </c>
      <c r="D3390" s="18">
        <f>IF(E3390=0,0,IF(Fixture!D395&lt;Fixture!F395,3,IF(Fixture!F395&lt;Fixture!D395,0,1)))</f>
        <v>0</v>
      </c>
      <c r="E3390" s="18">
        <f t="shared" si="704"/>
        <v>0</v>
      </c>
      <c r="F3390" s="18">
        <f>IF(E3390=0,0,IF(Fixture!D395&lt;Fixture!F395,1,IF(Fixture!F395&lt;Fixture!D395,0,0)))</f>
        <v>0</v>
      </c>
      <c r="G3390" s="18">
        <f>IF(E3390=0,0,IF(Fixture!D395&lt;Fixture!F395,0,IF(Fixture!F395&lt;Fixture!D395,0,1)))</f>
        <v>0</v>
      </c>
      <c r="H3390" s="18">
        <f t="shared" si="705"/>
        <v>0</v>
      </c>
      <c r="I3390" s="64">
        <f t="shared" si="706"/>
        <v>0</v>
      </c>
      <c r="J3390" s="64">
        <f t="shared" si="707"/>
        <v>0</v>
      </c>
      <c r="K3390" s="63">
        <f t="shared" si="708"/>
        <v>0</v>
      </c>
      <c r="L3390" s="63">
        <f t="shared" si="709"/>
        <v>0</v>
      </c>
      <c r="N3390" s="10" t="str">
        <f t="shared" si="700"/>
        <v>00</v>
      </c>
      <c r="O3390" s="10">
        <f t="shared" si="701"/>
        <v>0</v>
      </c>
      <c r="P3390" s="10">
        <f t="shared" si="702"/>
        <v>0</v>
      </c>
      <c r="Q3390" s="10">
        <f t="shared" si="703"/>
        <v>0</v>
      </c>
    </row>
    <row r="3391" spans="1:17">
      <c r="A3391" s="15">
        <f t="shared" si="710"/>
        <v>0</v>
      </c>
      <c r="B3391" s="15"/>
      <c r="C3391" s="17">
        <f>Fixture!E396</f>
        <v>0</v>
      </c>
      <c r="D3391" s="18">
        <f>IF(E3391=0,0,IF(Fixture!D396&lt;Fixture!F396,3,IF(Fixture!F396&lt;Fixture!D396,0,1)))</f>
        <v>0</v>
      </c>
      <c r="E3391" s="18">
        <f t="shared" si="704"/>
        <v>0</v>
      </c>
      <c r="F3391" s="18">
        <f>IF(E3391=0,0,IF(Fixture!D396&lt;Fixture!F396,1,IF(Fixture!F396&lt;Fixture!D396,0,0)))</f>
        <v>0</v>
      </c>
      <c r="G3391" s="18">
        <f>IF(E3391=0,0,IF(Fixture!D396&lt;Fixture!F396,0,IF(Fixture!F396&lt;Fixture!D396,0,1)))</f>
        <v>0</v>
      </c>
      <c r="H3391" s="18">
        <f t="shared" si="705"/>
        <v>0</v>
      </c>
      <c r="I3391" s="64">
        <f t="shared" si="706"/>
        <v>0</v>
      </c>
      <c r="J3391" s="64">
        <f t="shared" si="707"/>
        <v>0</v>
      </c>
      <c r="K3391" s="63">
        <f t="shared" si="708"/>
        <v>0</v>
      </c>
      <c r="L3391" s="63">
        <f t="shared" si="709"/>
        <v>0</v>
      </c>
      <c r="N3391" s="10" t="str">
        <f t="shared" si="700"/>
        <v>00</v>
      </c>
      <c r="O3391" s="10">
        <f t="shared" si="701"/>
        <v>0</v>
      </c>
      <c r="P3391" s="10">
        <f t="shared" si="702"/>
        <v>0</v>
      </c>
      <c r="Q3391" s="10">
        <f t="shared" si="703"/>
        <v>0</v>
      </c>
    </row>
    <row r="3392" spans="1:17">
      <c r="A3392" s="15">
        <f t="shared" si="710"/>
        <v>0</v>
      </c>
      <c r="B3392" s="15"/>
      <c r="C3392" s="17">
        <f>Fixture!E397</f>
        <v>0</v>
      </c>
      <c r="D3392" s="18">
        <f>IF(E3392=0,0,IF(Fixture!D397&lt;Fixture!F397,3,IF(Fixture!F397&lt;Fixture!D397,0,1)))</f>
        <v>0</v>
      </c>
      <c r="E3392" s="18">
        <f t="shared" si="704"/>
        <v>0</v>
      </c>
      <c r="F3392" s="18">
        <f>IF(E3392=0,0,IF(Fixture!D397&lt;Fixture!F397,1,IF(Fixture!F397&lt;Fixture!D397,0,0)))</f>
        <v>0</v>
      </c>
      <c r="G3392" s="18">
        <f>IF(E3392=0,0,IF(Fixture!D397&lt;Fixture!F397,0,IF(Fixture!F397&lt;Fixture!D397,0,1)))</f>
        <v>0</v>
      </c>
      <c r="H3392" s="18">
        <f t="shared" si="705"/>
        <v>0</v>
      </c>
      <c r="I3392" s="64">
        <f t="shared" si="706"/>
        <v>0</v>
      </c>
      <c r="J3392" s="64">
        <f t="shared" si="707"/>
        <v>0</v>
      </c>
      <c r="K3392" s="63">
        <f t="shared" si="708"/>
        <v>0</v>
      </c>
      <c r="L3392" s="63">
        <f t="shared" si="709"/>
        <v>0</v>
      </c>
      <c r="N3392" s="10" t="str">
        <f t="shared" si="700"/>
        <v>00</v>
      </c>
      <c r="O3392" s="10">
        <f t="shared" si="701"/>
        <v>0</v>
      </c>
      <c r="P3392" s="10">
        <f t="shared" si="702"/>
        <v>0</v>
      </c>
      <c r="Q3392" s="10">
        <f t="shared" si="703"/>
        <v>0</v>
      </c>
    </row>
    <row r="3393" spans="1:17">
      <c r="A3393" s="15">
        <f t="shared" si="710"/>
        <v>0</v>
      </c>
      <c r="B3393" s="15"/>
      <c r="C3393" s="17">
        <f>Fixture!E398</f>
        <v>0</v>
      </c>
      <c r="D3393" s="18">
        <f>IF(E3393=0,0,IF(Fixture!D398&lt;Fixture!F398,3,IF(Fixture!F398&lt;Fixture!D398,0,1)))</f>
        <v>0</v>
      </c>
      <c r="E3393" s="18">
        <f t="shared" si="704"/>
        <v>0</v>
      </c>
      <c r="F3393" s="18">
        <f>IF(E3393=0,0,IF(Fixture!D398&lt;Fixture!F398,1,IF(Fixture!F398&lt;Fixture!D398,0,0)))</f>
        <v>0</v>
      </c>
      <c r="G3393" s="18">
        <f>IF(E3393=0,0,IF(Fixture!D398&lt;Fixture!F398,0,IF(Fixture!F398&lt;Fixture!D398,0,1)))</f>
        <v>0</v>
      </c>
      <c r="H3393" s="18">
        <f t="shared" si="705"/>
        <v>0</v>
      </c>
      <c r="I3393" s="64">
        <f t="shared" si="706"/>
        <v>0</v>
      </c>
      <c r="J3393" s="64">
        <f t="shared" si="707"/>
        <v>0</v>
      </c>
      <c r="K3393" s="63">
        <f t="shared" si="708"/>
        <v>0</v>
      </c>
      <c r="L3393" s="63">
        <f t="shared" si="709"/>
        <v>0</v>
      </c>
      <c r="N3393" s="10" t="str">
        <f t="shared" si="700"/>
        <v>00</v>
      </c>
      <c r="O3393" s="10">
        <f t="shared" si="701"/>
        <v>0</v>
      </c>
      <c r="P3393" s="10">
        <f t="shared" si="702"/>
        <v>0</v>
      </c>
      <c r="Q3393" s="10">
        <f t="shared" si="703"/>
        <v>0</v>
      </c>
    </row>
    <row r="3394" spans="1:17">
      <c r="A3394" s="15">
        <f t="shared" si="710"/>
        <v>0</v>
      </c>
      <c r="B3394" s="15"/>
      <c r="C3394" s="17">
        <f>Fixture!E399</f>
        <v>0</v>
      </c>
      <c r="D3394" s="18">
        <f>IF(E3394=0,0,IF(Fixture!D399&lt;Fixture!F399,3,IF(Fixture!F399&lt;Fixture!D399,0,1)))</f>
        <v>0</v>
      </c>
      <c r="E3394" s="18">
        <f t="shared" si="704"/>
        <v>0</v>
      </c>
      <c r="F3394" s="18">
        <f>IF(E3394=0,0,IF(Fixture!D399&lt;Fixture!F399,1,IF(Fixture!F399&lt;Fixture!D399,0,0)))</f>
        <v>0</v>
      </c>
      <c r="G3394" s="18">
        <f>IF(E3394=0,0,IF(Fixture!D399&lt;Fixture!F399,0,IF(Fixture!F399&lt;Fixture!D399,0,1)))</f>
        <v>0</v>
      </c>
      <c r="H3394" s="18">
        <f t="shared" si="705"/>
        <v>0</v>
      </c>
      <c r="I3394" s="64">
        <f t="shared" si="706"/>
        <v>0</v>
      </c>
      <c r="J3394" s="64">
        <f t="shared" si="707"/>
        <v>0</v>
      </c>
      <c r="K3394" s="63">
        <f t="shared" si="708"/>
        <v>0</v>
      </c>
      <c r="L3394" s="63">
        <f t="shared" si="709"/>
        <v>0</v>
      </c>
      <c r="N3394" s="10" t="str">
        <f t="shared" si="700"/>
        <v>00</v>
      </c>
      <c r="O3394" s="10">
        <f t="shared" si="701"/>
        <v>0</v>
      </c>
      <c r="P3394" s="10">
        <f t="shared" si="702"/>
        <v>0</v>
      </c>
      <c r="Q3394" s="10">
        <f t="shared" si="703"/>
        <v>0</v>
      </c>
    </row>
    <row r="3395" spans="1:17">
      <c r="A3395" s="15">
        <f t="shared" si="710"/>
        <v>0</v>
      </c>
      <c r="B3395" s="15"/>
      <c r="C3395" s="17">
        <f>Fixture!E400</f>
        <v>0</v>
      </c>
      <c r="D3395" s="18">
        <f>IF(E3395=0,0,IF(Fixture!D400&lt;Fixture!F400,3,IF(Fixture!F400&lt;Fixture!D400,0,1)))</f>
        <v>0</v>
      </c>
      <c r="E3395" s="18">
        <f t="shared" si="704"/>
        <v>0</v>
      </c>
      <c r="F3395" s="18">
        <f>IF(E3395=0,0,IF(Fixture!D400&lt;Fixture!F400,1,IF(Fixture!F400&lt;Fixture!D400,0,0)))</f>
        <v>0</v>
      </c>
      <c r="G3395" s="18">
        <f>IF(E3395=0,0,IF(Fixture!D400&lt;Fixture!F400,0,IF(Fixture!F400&lt;Fixture!D400,0,1)))</f>
        <v>0</v>
      </c>
      <c r="H3395" s="18">
        <f t="shared" si="705"/>
        <v>0</v>
      </c>
      <c r="I3395" s="64">
        <f t="shared" si="706"/>
        <v>0</v>
      </c>
      <c r="J3395" s="64">
        <f t="shared" si="707"/>
        <v>0</v>
      </c>
      <c r="K3395" s="63">
        <f t="shared" si="708"/>
        <v>0</v>
      </c>
      <c r="L3395" s="63">
        <f t="shared" si="709"/>
        <v>0</v>
      </c>
      <c r="N3395" s="10" t="str">
        <f t="shared" si="700"/>
        <v>00</v>
      </c>
      <c r="O3395" s="10">
        <f t="shared" si="701"/>
        <v>0</v>
      </c>
      <c r="P3395" s="10">
        <f t="shared" si="702"/>
        <v>0</v>
      </c>
      <c r="Q3395" s="10">
        <f t="shared" si="703"/>
        <v>0</v>
      </c>
    </row>
    <row r="3396" spans="1:17">
      <c r="A3396" s="15">
        <f t="shared" si="710"/>
        <v>0</v>
      </c>
      <c r="B3396" s="15"/>
      <c r="C3396" s="17">
        <f>Fixture!E401</f>
        <v>0</v>
      </c>
      <c r="D3396" s="18">
        <f>IF(E3396=0,0,IF(Fixture!D401&lt;Fixture!F401,3,IF(Fixture!F401&lt;Fixture!D401,0,1)))</f>
        <v>0</v>
      </c>
      <c r="E3396" s="18">
        <f t="shared" si="704"/>
        <v>0</v>
      </c>
      <c r="F3396" s="18">
        <f>IF(E3396=0,0,IF(Fixture!D401&lt;Fixture!F401,1,IF(Fixture!F401&lt;Fixture!D401,0,0)))</f>
        <v>0</v>
      </c>
      <c r="G3396" s="18">
        <f>IF(E3396=0,0,IF(Fixture!D401&lt;Fixture!F401,0,IF(Fixture!F401&lt;Fixture!D401,0,1)))</f>
        <v>0</v>
      </c>
      <c r="H3396" s="18">
        <f t="shared" si="705"/>
        <v>0</v>
      </c>
      <c r="I3396" s="64">
        <f t="shared" si="706"/>
        <v>0</v>
      </c>
      <c r="J3396" s="64">
        <f t="shared" si="707"/>
        <v>0</v>
      </c>
      <c r="K3396" s="63">
        <f t="shared" si="708"/>
        <v>0</v>
      </c>
      <c r="L3396" s="63">
        <f t="shared" si="709"/>
        <v>0</v>
      </c>
      <c r="N3396" s="10" t="str">
        <f t="shared" si="700"/>
        <v>00</v>
      </c>
      <c r="O3396" s="10">
        <f t="shared" si="701"/>
        <v>0</v>
      </c>
      <c r="P3396" s="10">
        <f t="shared" si="702"/>
        <v>0</v>
      </c>
      <c r="Q3396" s="10">
        <f t="shared" si="703"/>
        <v>0</v>
      </c>
    </row>
    <row r="3397" spans="1:17">
      <c r="A3397" s="15">
        <f t="shared" si="710"/>
        <v>0</v>
      </c>
      <c r="B3397" s="15"/>
      <c r="C3397" s="17">
        <f>Fixture!E402</f>
        <v>0</v>
      </c>
      <c r="D3397" s="18">
        <f>IF(E3397=0,0,IF(Fixture!D402&lt;Fixture!F402,3,IF(Fixture!F402&lt;Fixture!D402,0,1)))</f>
        <v>0</v>
      </c>
      <c r="E3397" s="18">
        <f t="shared" si="704"/>
        <v>0</v>
      </c>
      <c r="F3397" s="18">
        <f>IF(E3397=0,0,IF(Fixture!D402&lt;Fixture!F402,1,IF(Fixture!F402&lt;Fixture!D402,0,0)))</f>
        <v>0</v>
      </c>
      <c r="G3397" s="18">
        <f>IF(E3397=0,0,IF(Fixture!D402&lt;Fixture!F402,0,IF(Fixture!F402&lt;Fixture!D402,0,1)))</f>
        <v>0</v>
      </c>
      <c r="H3397" s="18">
        <f t="shared" si="705"/>
        <v>0</v>
      </c>
      <c r="I3397" s="64">
        <f t="shared" si="706"/>
        <v>0</v>
      </c>
      <c r="J3397" s="64">
        <f t="shared" si="707"/>
        <v>0</v>
      </c>
      <c r="K3397" s="63">
        <f t="shared" si="708"/>
        <v>0</v>
      </c>
      <c r="L3397" s="63">
        <f t="shared" si="709"/>
        <v>0</v>
      </c>
      <c r="N3397" s="10" t="str">
        <f t="shared" si="700"/>
        <v>00</v>
      </c>
      <c r="O3397" s="10">
        <f t="shared" si="701"/>
        <v>0</v>
      </c>
      <c r="P3397" s="10">
        <f t="shared" si="702"/>
        <v>0</v>
      </c>
      <c r="Q3397" s="10">
        <f t="shared" si="703"/>
        <v>0</v>
      </c>
    </row>
    <row r="3398" spans="1:17">
      <c r="A3398" s="15">
        <f t="shared" si="710"/>
        <v>0</v>
      </c>
      <c r="B3398" s="15"/>
      <c r="C3398" s="17">
        <f>Fixture!E403</f>
        <v>0</v>
      </c>
      <c r="D3398" s="18">
        <f>IF(E3398=0,0,IF(Fixture!D403&lt;Fixture!F403,3,IF(Fixture!F403&lt;Fixture!D403,0,1)))</f>
        <v>0</v>
      </c>
      <c r="E3398" s="18">
        <f t="shared" si="704"/>
        <v>0</v>
      </c>
      <c r="F3398" s="18">
        <f>IF(E3398=0,0,IF(Fixture!D403&lt;Fixture!F403,1,IF(Fixture!F403&lt;Fixture!D403,0,0)))</f>
        <v>0</v>
      </c>
      <c r="G3398" s="18">
        <f>IF(E3398=0,0,IF(Fixture!D403&lt;Fixture!F403,0,IF(Fixture!F403&lt;Fixture!D403,0,1)))</f>
        <v>0</v>
      </c>
      <c r="H3398" s="18">
        <f t="shared" si="705"/>
        <v>0</v>
      </c>
      <c r="I3398" s="64">
        <f t="shared" si="706"/>
        <v>0</v>
      </c>
      <c r="J3398" s="64">
        <f t="shared" si="707"/>
        <v>0</v>
      </c>
      <c r="K3398" s="63">
        <f t="shared" si="708"/>
        <v>0</v>
      </c>
      <c r="L3398" s="63">
        <f t="shared" si="709"/>
        <v>0</v>
      </c>
      <c r="N3398" s="10" t="str">
        <f t="shared" si="700"/>
        <v>00</v>
      </c>
      <c r="O3398" s="10">
        <f t="shared" si="701"/>
        <v>0</v>
      </c>
      <c r="P3398" s="10">
        <f t="shared" si="702"/>
        <v>0</v>
      </c>
      <c r="Q3398" s="10">
        <f t="shared" si="703"/>
        <v>0</v>
      </c>
    </row>
    <row r="3399" spans="1:17">
      <c r="A3399" s="15">
        <f t="shared" si="710"/>
        <v>0</v>
      </c>
      <c r="B3399" s="15"/>
      <c r="C3399" s="17">
        <f>Fixture!E404</f>
        <v>0</v>
      </c>
      <c r="D3399" s="18">
        <f>IF(E3399=0,0,IF(Fixture!D404&lt;Fixture!F404,3,IF(Fixture!F404&lt;Fixture!D404,0,1)))</f>
        <v>0</v>
      </c>
      <c r="E3399" s="18">
        <f t="shared" si="704"/>
        <v>0</v>
      </c>
      <c r="F3399" s="18">
        <f>IF(E3399=0,0,IF(Fixture!D404&lt;Fixture!F404,1,IF(Fixture!F404&lt;Fixture!D404,0,0)))</f>
        <v>0</v>
      </c>
      <c r="G3399" s="18">
        <f>IF(E3399=0,0,IF(Fixture!D404&lt;Fixture!F404,0,IF(Fixture!F404&lt;Fixture!D404,0,1)))</f>
        <v>0</v>
      </c>
      <c r="H3399" s="18">
        <f t="shared" si="705"/>
        <v>0</v>
      </c>
      <c r="I3399" s="64">
        <f t="shared" si="706"/>
        <v>0</v>
      </c>
      <c r="J3399" s="64">
        <f t="shared" si="707"/>
        <v>0</v>
      </c>
      <c r="K3399" s="63">
        <f t="shared" si="708"/>
        <v>0</v>
      </c>
      <c r="L3399" s="63">
        <f t="shared" si="709"/>
        <v>0</v>
      </c>
      <c r="N3399" s="10" t="str">
        <f t="shared" si="700"/>
        <v>00</v>
      </c>
      <c r="O3399" s="10">
        <f t="shared" si="701"/>
        <v>0</v>
      </c>
      <c r="P3399" s="10">
        <f t="shared" si="702"/>
        <v>0</v>
      </c>
      <c r="Q3399" s="10">
        <f t="shared" si="703"/>
        <v>0</v>
      </c>
    </row>
    <row r="3400" spans="1:17">
      <c r="A3400" s="15">
        <f t="shared" si="710"/>
        <v>0</v>
      </c>
      <c r="B3400" s="15"/>
      <c r="C3400" s="17">
        <f>Fixture!E405</f>
        <v>0</v>
      </c>
      <c r="D3400" s="18">
        <f>IF(E3400=0,0,IF(Fixture!D405&lt;Fixture!F405,3,IF(Fixture!F405&lt;Fixture!D405,0,1)))</f>
        <v>0</v>
      </c>
      <c r="E3400" s="18">
        <f t="shared" si="704"/>
        <v>0</v>
      </c>
      <c r="F3400" s="18">
        <f>IF(E3400=0,0,IF(Fixture!D405&lt;Fixture!F405,1,IF(Fixture!F405&lt;Fixture!D405,0,0)))</f>
        <v>0</v>
      </c>
      <c r="G3400" s="18">
        <f>IF(E3400=0,0,IF(Fixture!D405&lt;Fixture!F405,0,IF(Fixture!F405&lt;Fixture!D405,0,1)))</f>
        <v>0</v>
      </c>
      <c r="H3400" s="18">
        <f t="shared" si="705"/>
        <v>0</v>
      </c>
      <c r="I3400" s="64">
        <f t="shared" si="706"/>
        <v>0</v>
      </c>
      <c r="J3400" s="64">
        <f t="shared" si="707"/>
        <v>0</v>
      </c>
      <c r="K3400" s="63">
        <f t="shared" si="708"/>
        <v>0</v>
      </c>
      <c r="L3400" s="63">
        <f t="shared" si="709"/>
        <v>0</v>
      </c>
      <c r="N3400" s="10" t="str">
        <f t="shared" si="700"/>
        <v>00</v>
      </c>
      <c r="O3400" s="10">
        <f t="shared" si="701"/>
        <v>0</v>
      </c>
      <c r="P3400" s="10">
        <f t="shared" si="702"/>
        <v>0</v>
      </c>
      <c r="Q3400" s="10">
        <f t="shared" si="703"/>
        <v>0</v>
      </c>
    </row>
    <row r="3401" spans="1:17">
      <c r="A3401" s="15">
        <f t="shared" si="710"/>
        <v>0</v>
      </c>
      <c r="B3401" s="15"/>
      <c r="C3401" s="17">
        <f>Fixture!E406</f>
        <v>0</v>
      </c>
      <c r="D3401" s="18">
        <f>IF(E3401=0,0,IF(Fixture!D406&lt;Fixture!F406,3,IF(Fixture!F406&lt;Fixture!D406,0,1)))</f>
        <v>0</v>
      </c>
      <c r="E3401" s="18">
        <f t="shared" si="704"/>
        <v>0</v>
      </c>
      <c r="F3401" s="18">
        <f>IF(E3401=0,0,IF(Fixture!D406&lt;Fixture!F406,1,IF(Fixture!F406&lt;Fixture!D406,0,0)))</f>
        <v>0</v>
      </c>
      <c r="G3401" s="18">
        <f>IF(E3401=0,0,IF(Fixture!D406&lt;Fixture!F406,0,IF(Fixture!F406&lt;Fixture!D406,0,1)))</f>
        <v>0</v>
      </c>
      <c r="H3401" s="18">
        <f t="shared" si="705"/>
        <v>0</v>
      </c>
      <c r="I3401" s="64">
        <f t="shared" si="706"/>
        <v>0</v>
      </c>
      <c r="J3401" s="64">
        <f t="shared" si="707"/>
        <v>0</v>
      </c>
      <c r="K3401" s="63">
        <f t="shared" si="708"/>
        <v>0</v>
      </c>
      <c r="L3401" s="63">
        <f t="shared" si="709"/>
        <v>0</v>
      </c>
      <c r="N3401" s="10" t="str">
        <f t="shared" si="700"/>
        <v>00</v>
      </c>
      <c r="O3401" s="10">
        <f t="shared" si="701"/>
        <v>0</v>
      </c>
      <c r="P3401" s="10">
        <f t="shared" si="702"/>
        <v>0</v>
      </c>
      <c r="Q3401" s="10">
        <f t="shared" si="703"/>
        <v>0</v>
      </c>
    </row>
    <row r="3402" spans="1:17">
      <c r="A3402" s="15">
        <f t="shared" si="710"/>
        <v>0</v>
      </c>
      <c r="B3402" s="15"/>
      <c r="C3402" s="17">
        <f>Fixture!E407</f>
        <v>0</v>
      </c>
      <c r="D3402" s="18">
        <f>IF(E3402=0,0,IF(Fixture!D407&lt;Fixture!F407,3,IF(Fixture!F407&lt;Fixture!D407,0,1)))</f>
        <v>0</v>
      </c>
      <c r="E3402" s="18">
        <f t="shared" si="704"/>
        <v>0</v>
      </c>
      <c r="F3402" s="18">
        <f>IF(E3402=0,0,IF(Fixture!D407&lt;Fixture!F407,1,IF(Fixture!F407&lt;Fixture!D407,0,0)))</f>
        <v>0</v>
      </c>
      <c r="G3402" s="18">
        <f>IF(E3402=0,0,IF(Fixture!D407&lt;Fixture!F407,0,IF(Fixture!F407&lt;Fixture!D407,0,1)))</f>
        <v>0</v>
      </c>
      <c r="H3402" s="18">
        <f t="shared" si="705"/>
        <v>0</v>
      </c>
      <c r="I3402" s="64">
        <f t="shared" si="706"/>
        <v>0</v>
      </c>
      <c r="J3402" s="64">
        <f t="shared" si="707"/>
        <v>0</v>
      </c>
      <c r="K3402" s="63">
        <f t="shared" si="708"/>
        <v>0</v>
      </c>
      <c r="L3402" s="63">
        <f t="shared" si="709"/>
        <v>0</v>
      </c>
      <c r="N3402" s="10" t="str">
        <f t="shared" si="700"/>
        <v>00</v>
      </c>
      <c r="O3402" s="10">
        <f t="shared" si="701"/>
        <v>0</v>
      </c>
      <c r="P3402" s="10">
        <f t="shared" si="702"/>
        <v>0</v>
      </c>
      <c r="Q3402" s="10">
        <f t="shared" si="703"/>
        <v>0</v>
      </c>
    </row>
    <row r="3403" spans="1:17">
      <c r="A3403" s="15">
        <f t="shared" si="710"/>
        <v>0</v>
      </c>
      <c r="B3403" s="15"/>
      <c r="C3403" s="17">
        <f>Fixture!E408</f>
        <v>0</v>
      </c>
      <c r="D3403" s="18">
        <f>IF(E3403=0,0,IF(Fixture!D408&lt;Fixture!F408,3,IF(Fixture!F408&lt;Fixture!D408,0,1)))</f>
        <v>0</v>
      </c>
      <c r="E3403" s="18">
        <f t="shared" si="704"/>
        <v>0</v>
      </c>
      <c r="F3403" s="18">
        <f>IF(E3403=0,0,IF(Fixture!D408&lt;Fixture!F408,1,IF(Fixture!F408&lt;Fixture!D408,0,0)))</f>
        <v>0</v>
      </c>
      <c r="G3403" s="18">
        <f>IF(E3403=0,0,IF(Fixture!D408&lt;Fixture!F408,0,IF(Fixture!F408&lt;Fixture!D408,0,1)))</f>
        <v>0</v>
      </c>
      <c r="H3403" s="18">
        <f t="shared" si="705"/>
        <v>0</v>
      </c>
      <c r="I3403" s="64">
        <f t="shared" si="706"/>
        <v>0</v>
      </c>
      <c r="J3403" s="64">
        <f t="shared" si="707"/>
        <v>0</v>
      </c>
      <c r="K3403" s="63">
        <f t="shared" si="708"/>
        <v>0</v>
      </c>
      <c r="L3403" s="63">
        <f t="shared" si="709"/>
        <v>0</v>
      </c>
      <c r="N3403" s="10" t="str">
        <f t="shared" si="700"/>
        <v>00</v>
      </c>
      <c r="O3403" s="10">
        <f t="shared" si="701"/>
        <v>0</v>
      </c>
      <c r="P3403" s="10">
        <f t="shared" si="702"/>
        <v>0</v>
      </c>
      <c r="Q3403" s="10">
        <f t="shared" si="703"/>
        <v>0</v>
      </c>
    </row>
    <row r="3404" spans="1:17">
      <c r="A3404" s="15">
        <f t="shared" si="710"/>
        <v>0</v>
      </c>
      <c r="B3404" s="15"/>
      <c r="C3404" s="17">
        <f>Fixture!E409</f>
        <v>0</v>
      </c>
      <c r="D3404" s="18">
        <f>IF(E3404=0,0,IF(Fixture!D409&lt;Fixture!F409,3,IF(Fixture!F409&lt;Fixture!D409,0,1)))</f>
        <v>0</v>
      </c>
      <c r="E3404" s="18">
        <f t="shared" si="704"/>
        <v>0</v>
      </c>
      <c r="F3404" s="18">
        <f>IF(E3404=0,0,IF(Fixture!D409&lt;Fixture!F409,1,IF(Fixture!F409&lt;Fixture!D409,0,0)))</f>
        <v>0</v>
      </c>
      <c r="G3404" s="18">
        <f>IF(E3404=0,0,IF(Fixture!D409&lt;Fixture!F409,0,IF(Fixture!F409&lt;Fixture!D409,0,1)))</f>
        <v>0</v>
      </c>
      <c r="H3404" s="18">
        <f t="shared" si="705"/>
        <v>0</v>
      </c>
      <c r="I3404" s="64">
        <f t="shared" si="706"/>
        <v>0</v>
      </c>
      <c r="J3404" s="64">
        <f t="shared" si="707"/>
        <v>0</v>
      </c>
      <c r="K3404" s="63">
        <f t="shared" si="708"/>
        <v>0</v>
      </c>
      <c r="L3404" s="63">
        <f t="shared" si="709"/>
        <v>0</v>
      </c>
      <c r="N3404" s="10" t="str">
        <f t="shared" si="700"/>
        <v>00</v>
      </c>
      <c r="O3404" s="10">
        <f t="shared" si="701"/>
        <v>0</v>
      </c>
      <c r="P3404" s="10">
        <f t="shared" si="702"/>
        <v>0</v>
      </c>
      <c r="Q3404" s="10">
        <f t="shared" si="703"/>
        <v>0</v>
      </c>
    </row>
    <row r="3405" spans="1:17">
      <c r="A3405" s="15">
        <f t="shared" si="710"/>
        <v>0</v>
      </c>
      <c r="B3405" s="15"/>
      <c r="C3405" s="17">
        <f>Fixture!E410</f>
        <v>0</v>
      </c>
      <c r="D3405" s="18">
        <f>IF(E3405=0,0,IF(Fixture!D410&lt;Fixture!F410,3,IF(Fixture!F410&lt;Fixture!D410,0,1)))</f>
        <v>0</v>
      </c>
      <c r="E3405" s="18">
        <f t="shared" si="704"/>
        <v>0</v>
      </c>
      <c r="F3405" s="18">
        <f>IF(E3405=0,0,IF(Fixture!D410&lt;Fixture!F410,1,IF(Fixture!F410&lt;Fixture!D410,0,0)))</f>
        <v>0</v>
      </c>
      <c r="G3405" s="18">
        <f>IF(E3405=0,0,IF(Fixture!D410&lt;Fixture!F410,0,IF(Fixture!F410&lt;Fixture!D410,0,1)))</f>
        <v>0</v>
      </c>
      <c r="H3405" s="18">
        <f t="shared" si="705"/>
        <v>0</v>
      </c>
      <c r="I3405" s="64">
        <f t="shared" si="706"/>
        <v>0</v>
      </c>
      <c r="J3405" s="64">
        <f t="shared" si="707"/>
        <v>0</v>
      </c>
      <c r="K3405" s="63">
        <f t="shared" si="708"/>
        <v>0</v>
      </c>
      <c r="L3405" s="63">
        <f t="shared" si="709"/>
        <v>0</v>
      </c>
      <c r="N3405" s="10" t="str">
        <f t="shared" si="700"/>
        <v>00</v>
      </c>
      <c r="O3405" s="10">
        <f t="shared" si="701"/>
        <v>0</v>
      </c>
      <c r="P3405" s="10">
        <f t="shared" si="702"/>
        <v>0</v>
      </c>
      <c r="Q3405" s="10">
        <f t="shared" si="703"/>
        <v>0</v>
      </c>
    </row>
    <row r="3406" spans="1:17">
      <c r="A3406" s="15">
        <f t="shared" si="710"/>
        <v>0</v>
      </c>
      <c r="B3406" s="15"/>
      <c r="C3406" s="17">
        <f>Fixture!E411</f>
        <v>0</v>
      </c>
      <c r="D3406" s="18">
        <f>IF(E3406=0,0,IF(Fixture!D411&lt;Fixture!F411,3,IF(Fixture!F411&lt;Fixture!D411,0,1)))</f>
        <v>0</v>
      </c>
      <c r="E3406" s="18">
        <f t="shared" si="704"/>
        <v>0</v>
      </c>
      <c r="F3406" s="18">
        <f>IF(E3406=0,0,IF(Fixture!D411&lt;Fixture!F411,1,IF(Fixture!F411&lt;Fixture!D411,0,0)))</f>
        <v>0</v>
      </c>
      <c r="G3406" s="18">
        <f>IF(E3406=0,0,IF(Fixture!D411&lt;Fixture!F411,0,IF(Fixture!F411&lt;Fixture!D411,0,1)))</f>
        <v>0</v>
      </c>
      <c r="H3406" s="18">
        <f t="shared" si="705"/>
        <v>0</v>
      </c>
      <c r="I3406" s="64">
        <f t="shared" si="706"/>
        <v>0</v>
      </c>
      <c r="J3406" s="64">
        <f t="shared" si="707"/>
        <v>0</v>
      </c>
      <c r="K3406" s="63">
        <f t="shared" si="708"/>
        <v>0</v>
      </c>
      <c r="L3406" s="63">
        <f t="shared" si="709"/>
        <v>0</v>
      </c>
      <c r="N3406" s="10" t="str">
        <f t="shared" si="700"/>
        <v>00</v>
      </c>
      <c r="O3406" s="10">
        <f t="shared" si="701"/>
        <v>0</v>
      </c>
      <c r="P3406" s="10">
        <f t="shared" si="702"/>
        <v>0</v>
      </c>
      <c r="Q3406" s="10">
        <f t="shared" si="703"/>
        <v>0</v>
      </c>
    </row>
    <row r="3407" spans="1:17">
      <c r="A3407" s="15">
        <f t="shared" si="710"/>
        <v>0</v>
      </c>
      <c r="B3407" s="15"/>
      <c r="C3407" s="17">
        <f>Fixture!E412</f>
        <v>0</v>
      </c>
      <c r="D3407" s="18">
        <f>IF(E3407=0,0,IF(Fixture!D412&lt;Fixture!F412,3,IF(Fixture!F412&lt;Fixture!D412,0,1)))</f>
        <v>0</v>
      </c>
      <c r="E3407" s="18">
        <f t="shared" si="704"/>
        <v>0</v>
      </c>
      <c r="F3407" s="18">
        <f>IF(E3407=0,0,IF(Fixture!D412&lt;Fixture!F412,1,IF(Fixture!F412&lt;Fixture!D412,0,0)))</f>
        <v>0</v>
      </c>
      <c r="G3407" s="18">
        <f>IF(E3407=0,0,IF(Fixture!D412&lt;Fixture!F412,0,IF(Fixture!F412&lt;Fixture!D412,0,1)))</f>
        <v>0</v>
      </c>
      <c r="H3407" s="18">
        <f t="shared" si="705"/>
        <v>0</v>
      </c>
      <c r="I3407" s="64">
        <f t="shared" si="706"/>
        <v>0</v>
      </c>
      <c r="J3407" s="64">
        <f t="shared" si="707"/>
        <v>0</v>
      </c>
      <c r="K3407" s="63">
        <f t="shared" si="708"/>
        <v>0</v>
      </c>
      <c r="L3407" s="63">
        <f t="shared" si="709"/>
        <v>0</v>
      </c>
      <c r="N3407" s="10" t="str">
        <f t="shared" si="700"/>
        <v>00</v>
      </c>
      <c r="O3407" s="10">
        <f t="shared" si="701"/>
        <v>0</v>
      </c>
      <c r="P3407" s="10">
        <f t="shared" si="702"/>
        <v>0</v>
      </c>
      <c r="Q3407" s="10">
        <f t="shared" si="703"/>
        <v>0</v>
      </c>
    </row>
    <row r="3408" spans="1:17">
      <c r="A3408" s="15">
        <f t="shared" si="710"/>
        <v>0</v>
      </c>
      <c r="B3408" s="15"/>
      <c r="C3408" s="17">
        <f>Fixture!E413</f>
        <v>0</v>
      </c>
      <c r="D3408" s="18">
        <f>IF(E3408=0,0,IF(Fixture!D413&lt;Fixture!F413,3,IF(Fixture!F413&lt;Fixture!D413,0,1)))</f>
        <v>0</v>
      </c>
      <c r="E3408" s="18">
        <f t="shared" si="704"/>
        <v>0</v>
      </c>
      <c r="F3408" s="18">
        <f>IF(E3408=0,0,IF(Fixture!D413&lt;Fixture!F413,1,IF(Fixture!F413&lt;Fixture!D413,0,0)))</f>
        <v>0</v>
      </c>
      <c r="G3408" s="18">
        <f>IF(E3408=0,0,IF(Fixture!D413&lt;Fixture!F413,0,IF(Fixture!F413&lt;Fixture!D413,0,1)))</f>
        <v>0</v>
      </c>
      <c r="H3408" s="18">
        <f t="shared" si="705"/>
        <v>0</v>
      </c>
      <c r="I3408" s="64">
        <f t="shared" si="706"/>
        <v>0</v>
      </c>
      <c r="J3408" s="64">
        <f t="shared" si="707"/>
        <v>0</v>
      </c>
      <c r="K3408" s="63">
        <f t="shared" si="708"/>
        <v>0</v>
      </c>
      <c r="L3408" s="63">
        <f t="shared" si="709"/>
        <v>0</v>
      </c>
      <c r="N3408" s="10" t="str">
        <f t="shared" si="700"/>
        <v>00</v>
      </c>
      <c r="O3408" s="10">
        <f t="shared" si="701"/>
        <v>0</v>
      </c>
      <c r="P3408" s="10">
        <f t="shared" si="702"/>
        <v>0</v>
      </c>
      <c r="Q3408" s="10">
        <f t="shared" si="703"/>
        <v>0</v>
      </c>
    </row>
    <row r="3409" spans="1:17">
      <c r="A3409" s="15">
        <f t="shared" si="710"/>
        <v>0</v>
      </c>
      <c r="B3409" s="15"/>
      <c r="C3409" s="17">
        <f>Fixture!E414</f>
        <v>0</v>
      </c>
      <c r="D3409" s="18">
        <f>IF(E3409=0,0,IF(Fixture!D414&lt;Fixture!F414,3,IF(Fixture!F414&lt;Fixture!D414,0,1)))</f>
        <v>0</v>
      </c>
      <c r="E3409" s="18">
        <f t="shared" si="704"/>
        <v>0</v>
      </c>
      <c r="F3409" s="18">
        <f>IF(E3409=0,0,IF(Fixture!D414&lt;Fixture!F414,1,IF(Fixture!F414&lt;Fixture!D414,0,0)))</f>
        <v>0</v>
      </c>
      <c r="G3409" s="18">
        <f>IF(E3409=0,0,IF(Fixture!D414&lt;Fixture!F414,0,IF(Fixture!F414&lt;Fixture!D414,0,1)))</f>
        <v>0</v>
      </c>
      <c r="H3409" s="18">
        <f t="shared" si="705"/>
        <v>0</v>
      </c>
      <c r="I3409" s="64">
        <f t="shared" si="706"/>
        <v>0</v>
      </c>
      <c r="J3409" s="64">
        <f t="shared" si="707"/>
        <v>0</v>
      </c>
      <c r="K3409" s="63">
        <f t="shared" si="708"/>
        <v>0</v>
      </c>
      <c r="L3409" s="63">
        <f t="shared" si="709"/>
        <v>0</v>
      </c>
      <c r="N3409" s="10" t="str">
        <f t="shared" si="700"/>
        <v>00</v>
      </c>
      <c r="O3409" s="10">
        <f t="shared" si="701"/>
        <v>0</v>
      </c>
      <c r="P3409" s="10">
        <f t="shared" si="702"/>
        <v>0</v>
      </c>
      <c r="Q3409" s="10">
        <f t="shared" si="703"/>
        <v>0</v>
      </c>
    </row>
    <row r="3410" spans="1:17">
      <c r="A3410" s="15">
        <f t="shared" si="710"/>
        <v>0</v>
      </c>
      <c r="B3410" s="15"/>
      <c r="C3410" s="17">
        <f>Fixture!E415</f>
        <v>0</v>
      </c>
      <c r="D3410" s="18">
        <f>IF(E3410=0,0,IF(Fixture!D415&lt;Fixture!F415,3,IF(Fixture!F415&lt;Fixture!D415,0,1)))</f>
        <v>0</v>
      </c>
      <c r="E3410" s="18">
        <f t="shared" si="704"/>
        <v>0</v>
      </c>
      <c r="F3410" s="18">
        <f>IF(E3410=0,0,IF(Fixture!D415&lt;Fixture!F415,1,IF(Fixture!F415&lt;Fixture!D415,0,0)))</f>
        <v>0</v>
      </c>
      <c r="G3410" s="18">
        <f>IF(E3410=0,0,IF(Fixture!D415&lt;Fixture!F415,0,IF(Fixture!F415&lt;Fixture!D415,0,1)))</f>
        <v>0</v>
      </c>
      <c r="H3410" s="18">
        <f t="shared" si="705"/>
        <v>0</v>
      </c>
      <c r="I3410" s="64">
        <f t="shared" si="706"/>
        <v>0</v>
      </c>
      <c r="J3410" s="64">
        <f t="shared" si="707"/>
        <v>0</v>
      </c>
      <c r="K3410" s="63">
        <f t="shared" si="708"/>
        <v>0</v>
      </c>
      <c r="L3410" s="63">
        <f t="shared" si="709"/>
        <v>0</v>
      </c>
      <c r="N3410" s="10" t="str">
        <f t="shared" ref="N3410:N3473" si="711">CONCATENATE(C3410,A3410)</f>
        <v>00</v>
      </c>
      <c r="O3410" s="10">
        <f t="shared" ref="O3410:O3473" si="712">D3410</f>
        <v>0</v>
      </c>
      <c r="P3410" s="10">
        <f t="shared" ref="P3410:P3473" si="713">I3410</f>
        <v>0</v>
      </c>
      <c r="Q3410" s="10">
        <f t="shared" ref="Q3410:Q3473" si="714">J3410</f>
        <v>0</v>
      </c>
    </row>
    <row r="3411" spans="1:17">
      <c r="A3411" s="15">
        <f t="shared" si="710"/>
        <v>0</v>
      </c>
      <c r="B3411" s="15"/>
      <c r="C3411" s="17">
        <f>Fixture!E416</f>
        <v>0</v>
      </c>
      <c r="D3411" s="18">
        <f>IF(E3411=0,0,IF(Fixture!D416&lt;Fixture!F416,3,IF(Fixture!F416&lt;Fixture!D416,0,1)))</f>
        <v>0</v>
      </c>
      <c r="E3411" s="18">
        <f t="shared" si="704"/>
        <v>0</v>
      </c>
      <c r="F3411" s="18">
        <f>IF(E3411=0,0,IF(Fixture!D416&lt;Fixture!F416,1,IF(Fixture!F416&lt;Fixture!D416,0,0)))</f>
        <v>0</v>
      </c>
      <c r="G3411" s="18">
        <f>IF(E3411=0,0,IF(Fixture!D416&lt;Fixture!F416,0,IF(Fixture!F416&lt;Fixture!D416,0,1)))</f>
        <v>0</v>
      </c>
      <c r="H3411" s="18">
        <f t="shared" si="705"/>
        <v>0</v>
      </c>
      <c r="I3411" s="64">
        <f t="shared" si="706"/>
        <v>0</v>
      </c>
      <c r="J3411" s="64">
        <f t="shared" si="707"/>
        <v>0</v>
      </c>
      <c r="K3411" s="63">
        <f t="shared" si="708"/>
        <v>0</v>
      </c>
      <c r="L3411" s="63">
        <f t="shared" si="709"/>
        <v>0</v>
      </c>
      <c r="N3411" s="10" t="str">
        <f t="shared" si="711"/>
        <v>00</v>
      </c>
      <c r="O3411" s="10">
        <f t="shared" si="712"/>
        <v>0</v>
      </c>
      <c r="P3411" s="10">
        <f t="shared" si="713"/>
        <v>0</v>
      </c>
      <c r="Q3411" s="10">
        <f t="shared" si="714"/>
        <v>0</v>
      </c>
    </row>
    <row r="3412" spans="1:17">
      <c r="A3412" s="15">
        <f t="shared" si="710"/>
        <v>0</v>
      </c>
      <c r="B3412" s="15"/>
      <c r="C3412" s="17">
        <f>Fixture!E417</f>
        <v>0</v>
      </c>
      <c r="D3412" s="18">
        <f>IF(E3412=0,0,IF(Fixture!D417&lt;Fixture!F417,3,IF(Fixture!F417&lt;Fixture!D417,0,1)))</f>
        <v>0</v>
      </c>
      <c r="E3412" s="18">
        <f t="shared" si="704"/>
        <v>0</v>
      </c>
      <c r="F3412" s="18">
        <f>IF(E3412=0,0,IF(Fixture!D417&lt;Fixture!F417,1,IF(Fixture!F417&lt;Fixture!D417,0,0)))</f>
        <v>0</v>
      </c>
      <c r="G3412" s="18">
        <f>IF(E3412=0,0,IF(Fixture!D417&lt;Fixture!F417,0,IF(Fixture!F417&lt;Fixture!D417,0,1)))</f>
        <v>0</v>
      </c>
      <c r="H3412" s="18">
        <f t="shared" si="705"/>
        <v>0</v>
      </c>
      <c r="I3412" s="64">
        <f t="shared" si="706"/>
        <v>0</v>
      </c>
      <c r="J3412" s="64">
        <f t="shared" si="707"/>
        <v>0</v>
      </c>
      <c r="K3412" s="63">
        <f t="shared" si="708"/>
        <v>0</v>
      </c>
      <c r="L3412" s="63">
        <f t="shared" si="709"/>
        <v>0</v>
      </c>
      <c r="N3412" s="10" t="str">
        <f t="shared" si="711"/>
        <v>00</v>
      </c>
      <c r="O3412" s="10">
        <f t="shared" si="712"/>
        <v>0</v>
      </c>
      <c r="P3412" s="10">
        <f t="shared" si="713"/>
        <v>0</v>
      </c>
      <c r="Q3412" s="10">
        <f t="shared" si="714"/>
        <v>0</v>
      </c>
    </row>
    <row r="3413" spans="1:17">
      <c r="A3413" s="15">
        <f t="shared" si="710"/>
        <v>0</v>
      </c>
      <c r="B3413" s="15"/>
      <c r="C3413" s="17">
        <f>Fixture!E418</f>
        <v>0</v>
      </c>
      <c r="D3413" s="18">
        <f>IF(E3413=0,0,IF(Fixture!D418&lt;Fixture!F418,3,IF(Fixture!F418&lt;Fixture!D418,0,1)))</f>
        <v>0</v>
      </c>
      <c r="E3413" s="18">
        <f t="shared" si="704"/>
        <v>0</v>
      </c>
      <c r="F3413" s="18">
        <f>IF(E3413=0,0,IF(Fixture!D418&lt;Fixture!F418,1,IF(Fixture!F418&lt;Fixture!D418,0,0)))</f>
        <v>0</v>
      </c>
      <c r="G3413" s="18">
        <f>IF(E3413=0,0,IF(Fixture!D418&lt;Fixture!F418,0,IF(Fixture!F418&lt;Fixture!D418,0,1)))</f>
        <v>0</v>
      </c>
      <c r="H3413" s="18">
        <f t="shared" si="705"/>
        <v>0</v>
      </c>
      <c r="I3413" s="64">
        <f t="shared" si="706"/>
        <v>0</v>
      </c>
      <c r="J3413" s="64">
        <f t="shared" si="707"/>
        <v>0</v>
      </c>
      <c r="K3413" s="63">
        <f t="shared" si="708"/>
        <v>0</v>
      </c>
      <c r="L3413" s="63">
        <f t="shared" si="709"/>
        <v>0</v>
      </c>
      <c r="N3413" s="10" t="str">
        <f t="shared" si="711"/>
        <v>00</v>
      </c>
      <c r="O3413" s="10">
        <f t="shared" si="712"/>
        <v>0</v>
      </c>
      <c r="P3413" s="10">
        <f t="shared" si="713"/>
        <v>0</v>
      </c>
      <c r="Q3413" s="10">
        <f t="shared" si="714"/>
        <v>0</v>
      </c>
    </row>
    <row r="3414" spans="1:17">
      <c r="A3414" s="15">
        <f t="shared" si="710"/>
        <v>0</v>
      </c>
      <c r="B3414" s="15"/>
      <c r="C3414" s="17">
        <f>Fixture!E419</f>
        <v>0</v>
      </c>
      <c r="D3414" s="18">
        <f>IF(E3414=0,0,IF(Fixture!D419&lt;Fixture!F419,3,IF(Fixture!F419&lt;Fixture!D419,0,1)))</f>
        <v>0</v>
      </c>
      <c r="E3414" s="18">
        <f t="shared" si="704"/>
        <v>0</v>
      </c>
      <c r="F3414" s="18">
        <f>IF(E3414=0,0,IF(Fixture!D419&lt;Fixture!F419,1,IF(Fixture!F419&lt;Fixture!D419,0,0)))</f>
        <v>0</v>
      </c>
      <c r="G3414" s="18">
        <f>IF(E3414=0,0,IF(Fixture!D419&lt;Fixture!F419,0,IF(Fixture!F419&lt;Fixture!D419,0,1)))</f>
        <v>0</v>
      </c>
      <c r="H3414" s="18">
        <f t="shared" si="705"/>
        <v>0</v>
      </c>
      <c r="I3414" s="64">
        <f t="shared" si="706"/>
        <v>0</v>
      </c>
      <c r="J3414" s="64">
        <f t="shared" si="707"/>
        <v>0</v>
      </c>
      <c r="K3414" s="63">
        <f t="shared" si="708"/>
        <v>0</v>
      </c>
      <c r="L3414" s="63">
        <f t="shared" si="709"/>
        <v>0</v>
      </c>
      <c r="N3414" s="10" t="str">
        <f t="shared" si="711"/>
        <v>00</v>
      </c>
      <c r="O3414" s="10">
        <f t="shared" si="712"/>
        <v>0</v>
      </c>
      <c r="P3414" s="10">
        <f t="shared" si="713"/>
        <v>0</v>
      </c>
      <c r="Q3414" s="10">
        <f t="shared" si="714"/>
        <v>0</v>
      </c>
    </row>
    <row r="3415" spans="1:17">
      <c r="A3415" s="15">
        <f t="shared" si="710"/>
        <v>0</v>
      </c>
      <c r="B3415" s="15"/>
      <c r="C3415" s="17">
        <f>Fixture!E420</f>
        <v>0</v>
      </c>
      <c r="D3415" s="18">
        <f>IF(E3415=0,0,IF(Fixture!D420&lt;Fixture!F420,3,IF(Fixture!F420&lt;Fixture!D420,0,1)))</f>
        <v>0</v>
      </c>
      <c r="E3415" s="18">
        <f t="shared" si="704"/>
        <v>0</v>
      </c>
      <c r="F3415" s="18">
        <f>IF(E3415=0,0,IF(Fixture!D420&lt;Fixture!F420,1,IF(Fixture!F420&lt;Fixture!D420,0,0)))</f>
        <v>0</v>
      </c>
      <c r="G3415" s="18">
        <f>IF(E3415=0,0,IF(Fixture!D420&lt;Fixture!F420,0,IF(Fixture!F420&lt;Fixture!D420,0,1)))</f>
        <v>0</v>
      </c>
      <c r="H3415" s="18">
        <f t="shared" si="705"/>
        <v>0</v>
      </c>
      <c r="I3415" s="64">
        <f t="shared" si="706"/>
        <v>0</v>
      </c>
      <c r="J3415" s="64">
        <f t="shared" si="707"/>
        <v>0</v>
      </c>
      <c r="K3415" s="63">
        <f t="shared" si="708"/>
        <v>0</v>
      </c>
      <c r="L3415" s="63">
        <f t="shared" si="709"/>
        <v>0</v>
      </c>
      <c r="N3415" s="10" t="str">
        <f t="shared" si="711"/>
        <v>00</v>
      </c>
      <c r="O3415" s="10">
        <f t="shared" si="712"/>
        <v>0</v>
      </c>
      <c r="P3415" s="10">
        <f t="shared" si="713"/>
        <v>0</v>
      </c>
      <c r="Q3415" s="10">
        <f t="shared" si="714"/>
        <v>0</v>
      </c>
    </row>
    <row r="3416" spans="1:17">
      <c r="A3416" s="15">
        <f t="shared" si="710"/>
        <v>0</v>
      </c>
      <c r="B3416" s="15"/>
      <c r="C3416" s="17">
        <f>Fixture!E421</f>
        <v>0</v>
      </c>
      <c r="D3416" s="18">
        <f>IF(E3416=0,0,IF(Fixture!D421&lt;Fixture!F421,3,IF(Fixture!F421&lt;Fixture!D421,0,1)))</f>
        <v>0</v>
      </c>
      <c r="E3416" s="18">
        <f t="shared" si="704"/>
        <v>0</v>
      </c>
      <c r="F3416" s="18">
        <f>IF(E3416=0,0,IF(Fixture!D421&lt;Fixture!F421,1,IF(Fixture!F421&lt;Fixture!D421,0,0)))</f>
        <v>0</v>
      </c>
      <c r="G3416" s="18">
        <f>IF(E3416=0,0,IF(Fixture!D421&lt;Fixture!F421,0,IF(Fixture!F421&lt;Fixture!D421,0,1)))</f>
        <v>0</v>
      </c>
      <c r="H3416" s="18">
        <f t="shared" si="705"/>
        <v>0</v>
      </c>
      <c r="I3416" s="64">
        <f t="shared" si="706"/>
        <v>0</v>
      </c>
      <c r="J3416" s="64">
        <f t="shared" si="707"/>
        <v>0</v>
      </c>
      <c r="K3416" s="63">
        <f t="shared" si="708"/>
        <v>0</v>
      </c>
      <c r="L3416" s="63">
        <f t="shared" si="709"/>
        <v>0</v>
      </c>
      <c r="N3416" s="10" t="str">
        <f t="shared" si="711"/>
        <v>00</v>
      </c>
      <c r="O3416" s="10">
        <f t="shared" si="712"/>
        <v>0</v>
      </c>
      <c r="P3416" s="10">
        <f t="shared" si="713"/>
        <v>0</v>
      </c>
      <c r="Q3416" s="10">
        <f t="shared" si="714"/>
        <v>0</v>
      </c>
    </row>
    <row r="3417" spans="1:17">
      <c r="A3417" s="15">
        <f t="shared" si="710"/>
        <v>0</v>
      </c>
      <c r="B3417" s="15"/>
      <c r="C3417" s="17">
        <f>Fixture!E422</f>
        <v>0</v>
      </c>
      <c r="D3417" s="18">
        <f>IF(E3417=0,0,IF(Fixture!D422&lt;Fixture!F422,3,IF(Fixture!F422&lt;Fixture!D422,0,1)))</f>
        <v>0</v>
      </c>
      <c r="E3417" s="18">
        <f t="shared" si="704"/>
        <v>0</v>
      </c>
      <c r="F3417" s="18">
        <f>IF(E3417=0,0,IF(Fixture!D422&lt;Fixture!F422,1,IF(Fixture!F422&lt;Fixture!D422,0,0)))</f>
        <v>0</v>
      </c>
      <c r="G3417" s="18">
        <f>IF(E3417=0,0,IF(Fixture!D422&lt;Fixture!F422,0,IF(Fixture!F422&lt;Fixture!D422,0,1)))</f>
        <v>0</v>
      </c>
      <c r="H3417" s="18">
        <f t="shared" si="705"/>
        <v>0</v>
      </c>
      <c r="I3417" s="64">
        <f t="shared" si="706"/>
        <v>0</v>
      </c>
      <c r="J3417" s="64">
        <f t="shared" si="707"/>
        <v>0</v>
      </c>
      <c r="K3417" s="63">
        <f t="shared" si="708"/>
        <v>0</v>
      </c>
      <c r="L3417" s="63">
        <f t="shared" si="709"/>
        <v>0</v>
      </c>
      <c r="N3417" s="10" t="str">
        <f t="shared" si="711"/>
        <v>00</v>
      </c>
      <c r="O3417" s="10">
        <f t="shared" si="712"/>
        <v>0</v>
      </c>
      <c r="P3417" s="10">
        <f t="shared" si="713"/>
        <v>0</v>
      </c>
      <c r="Q3417" s="10">
        <f t="shared" si="714"/>
        <v>0</v>
      </c>
    </row>
    <row r="3418" spans="1:17">
      <c r="A3418" s="15">
        <f t="shared" si="710"/>
        <v>0</v>
      </c>
      <c r="B3418" s="15"/>
      <c r="C3418" s="17">
        <f>Fixture!E423</f>
        <v>0</v>
      </c>
      <c r="D3418" s="18">
        <f>IF(E3418=0,0,IF(Fixture!D423&lt;Fixture!F423,3,IF(Fixture!F423&lt;Fixture!D423,0,1)))</f>
        <v>0</v>
      </c>
      <c r="E3418" s="18">
        <f t="shared" si="704"/>
        <v>0</v>
      </c>
      <c r="F3418" s="18">
        <f>IF(E3418=0,0,IF(Fixture!D423&lt;Fixture!F423,1,IF(Fixture!F423&lt;Fixture!D423,0,0)))</f>
        <v>0</v>
      </c>
      <c r="G3418" s="18">
        <f>IF(E3418=0,0,IF(Fixture!D423&lt;Fixture!F423,0,IF(Fixture!F423&lt;Fixture!D423,0,1)))</f>
        <v>0</v>
      </c>
      <c r="H3418" s="18">
        <f t="shared" si="705"/>
        <v>0</v>
      </c>
      <c r="I3418" s="64">
        <f t="shared" si="706"/>
        <v>0</v>
      </c>
      <c r="J3418" s="64">
        <f t="shared" si="707"/>
        <v>0</v>
      </c>
      <c r="K3418" s="63">
        <f t="shared" si="708"/>
        <v>0</v>
      </c>
      <c r="L3418" s="63">
        <f t="shared" si="709"/>
        <v>0</v>
      </c>
      <c r="N3418" s="10" t="str">
        <f t="shared" si="711"/>
        <v>00</v>
      </c>
      <c r="O3418" s="10">
        <f t="shared" si="712"/>
        <v>0</v>
      </c>
      <c r="P3418" s="10">
        <f t="shared" si="713"/>
        <v>0</v>
      </c>
      <c r="Q3418" s="10">
        <f t="shared" si="714"/>
        <v>0</v>
      </c>
    </row>
    <row r="3419" spans="1:17">
      <c r="A3419" s="15">
        <f t="shared" si="710"/>
        <v>0</v>
      </c>
      <c r="B3419" s="15"/>
      <c r="C3419" s="17">
        <f>Fixture!E424</f>
        <v>0</v>
      </c>
      <c r="D3419" s="18">
        <f>IF(E3419=0,0,IF(Fixture!D424&lt;Fixture!F424,3,IF(Fixture!F424&lt;Fixture!D424,0,1)))</f>
        <v>0</v>
      </c>
      <c r="E3419" s="18">
        <f t="shared" si="704"/>
        <v>0</v>
      </c>
      <c r="F3419" s="18">
        <f>IF(E3419=0,0,IF(Fixture!D424&lt;Fixture!F424,1,IF(Fixture!F424&lt;Fixture!D424,0,0)))</f>
        <v>0</v>
      </c>
      <c r="G3419" s="18">
        <f>IF(E3419=0,0,IF(Fixture!D424&lt;Fixture!F424,0,IF(Fixture!F424&lt;Fixture!D424,0,1)))</f>
        <v>0</v>
      </c>
      <c r="H3419" s="18">
        <f t="shared" si="705"/>
        <v>0</v>
      </c>
      <c r="I3419" s="64">
        <f t="shared" si="706"/>
        <v>0</v>
      </c>
      <c r="J3419" s="64">
        <f t="shared" si="707"/>
        <v>0</v>
      </c>
      <c r="K3419" s="63">
        <f t="shared" si="708"/>
        <v>0</v>
      </c>
      <c r="L3419" s="63">
        <f t="shared" si="709"/>
        <v>0</v>
      </c>
      <c r="N3419" s="10" t="str">
        <f t="shared" si="711"/>
        <v>00</v>
      </c>
      <c r="O3419" s="10">
        <f t="shared" si="712"/>
        <v>0</v>
      </c>
      <c r="P3419" s="10">
        <f t="shared" si="713"/>
        <v>0</v>
      </c>
      <c r="Q3419" s="10">
        <f t="shared" si="714"/>
        <v>0</v>
      </c>
    </row>
    <row r="3420" spans="1:17">
      <c r="A3420" s="15">
        <f t="shared" si="710"/>
        <v>0</v>
      </c>
      <c r="B3420" s="15"/>
      <c r="C3420" s="17">
        <f>Fixture!E425</f>
        <v>0</v>
      </c>
      <c r="D3420" s="18">
        <f>IF(E3420=0,0,IF(Fixture!D425&lt;Fixture!F425,3,IF(Fixture!F425&lt;Fixture!D425,0,1)))</f>
        <v>0</v>
      </c>
      <c r="E3420" s="18">
        <f t="shared" si="704"/>
        <v>0</v>
      </c>
      <c r="F3420" s="18">
        <f>IF(E3420=0,0,IF(Fixture!D425&lt;Fixture!F425,1,IF(Fixture!F425&lt;Fixture!D425,0,0)))</f>
        <v>0</v>
      </c>
      <c r="G3420" s="18">
        <f>IF(E3420=0,0,IF(Fixture!D425&lt;Fixture!F425,0,IF(Fixture!F425&lt;Fixture!D425,0,1)))</f>
        <v>0</v>
      </c>
      <c r="H3420" s="18">
        <f t="shared" si="705"/>
        <v>0</v>
      </c>
      <c r="I3420" s="64">
        <f t="shared" si="706"/>
        <v>0</v>
      </c>
      <c r="J3420" s="64">
        <f t="shared" si="707"/>
        <v>0</v>
      </c>
      <c r="K3420" s="63">
        <f t="shared" si="708"/>
        <v>0</v>
      </c>
      <c r="L3420" s="63">
        <f t="shared" si="709"/>
        <v>0</v>
      </c>
      <c r="N3420" s="10" t="str">
        <f t="shared" si="711"/>
        <v>00</v>
      </c>
      <c r="O3420" s="10">
        <f t="shared" si="712"/>
        <v>0</v>
      </c>
      <c r="P3420" s="10">
        <f t="shared" si="713"/>
        <v>0</v>
      </c>
      <c r="Q3420" s="10">
        <f t="shared" si="714"/>
        <v>0</v>
      </c>
    </row>
    <row r="3421" spans="1:17">
      <c r="A3421" s="15">
        <f t="shared" si="710"/>
        <v>0</v>
      </c>
      <c r="B3421" s="15"/>
      <c r="C3421" s="17">
        <f>Fixture!E426</f>
        <v>0</v>
      </c>
      <c r="D3421" s="18">
        <f>IF(E3421=0,0,IF(Fixture!D426&lt;Fixture!F426,3,IF(Fixture!F426&lt;Fixture!D426,0,1)))</f>
        <v>0</v>
      </c>
      <c r="E3421" s="18">
        <f t="shared" si="704"/>
        <v>0</v>
      </c>
      <c r="F3421" s="18">
        <f>IF(E3421=0,0,IF(Fixture!D426&lt;Fixture!F426,1,IF(Fixture!F426&lt;Fixture!D426,0,0)))</f>
        <v>0</v>
      </c>
      <c r="G3421" s="18">
        <f>IF(E3421=0,0,IF(Fixture!D426&lt;Fixture!F426,0,IF(Fixture!F426&lt;Fixture!D426,0,1)))</f>
        <v>0</v>
      </c>
      <c r="H3421" s="18">
        <f t="shared" si="705"/>
        <v>0</v>
      </c>
      <c r="I3421" s="64">
        <f t="shared" si="706"/>
        <v>0</v>
      </c>
      <c r="J3421" s="64">
        <f t="shared" si="707"/>
        <v>0</v>
      </c>
      <c r="K3421" s="63">
        <f t="shared" si="708"/>
        <v>0</v>
      </c>
      <c r="L3421" s="63">
        <f t="shared" si="709"/>
        <v>0</v>
      </c>
      <c r="N3421" s="10" t="str">
        <f t="shared" si="711"/>
        <v>00</v>
      </c>
      <c r="O3421" s="10">
        <f t="shared" si="712"/>
        <v>0</v>
      </c>
      <c r="P3421" s="10">
        <f t="shared" si="713"/>
        <v>0</v>
      </c>
      <c r="Q3421" s="10">
        <f t="shared" si="714"/>
        <v>0</v>
      </c>
    </row>
    <row r="3422" spans="1:17">
      <c r="A3422" s="15">
        <f t="shared" si="710"/>
        <v>0</v>
      </c>
      <c r="B3422" s="15"/>
      <c r="C3422" s="17">
        <f>Fixture!E427</f>
        <v>0</v>
      </c>
      <c r="D3422" s="18">
        <f>IF(E3422=0,0,IF(Fixture!D427&lt;Fixture!F427,3,IF(Fixture!F427&lt;Fixture!D427,0,1)))</f>
        <v>0</v>
      </c>
      <c r="E3422" s="18">
        <f t="shared" si="704"/>
        <v>0</v>
      </c>
      <c r="F3422" s="18">
        <f>IF(E3422=0,0,IF(Fixture!D427&lt;Fixture!F427,1,IF(Fixture!F427&lt;Fixture!D427,0,0)))</f>
        <v>0</v>
      </c>
      <c r="G3422" s="18">
        <f>IF(E3422=0,0,IF(Fixture!D427&lt;Fixture!F427,0,IF(Fixture!F427&lt;Fixture!D427,0,1)))</f>
        <v>0</v>
      </c>
      <c r="H3422" s="18">
        <f t="shared" si="705"/>
        <v>0</v>
      </c>
      <c r="I3422" s="64">
        <f t="shared" si="706"/>
        <v>0</v>
      </c>
      <c r="J3422" s="64">
        <f t="shared" si="707"/>
        <v>0</v>
      </c>
      <c r="K3422" s="63">
        <f t="shared" si="708"/>
        <v>0</v>
      </c>
      <c r="L3422" s="63">
        <f t="shared" si="709"/>
        <v>0</v>
      </c>
      <c r="N3422" s="10" t="str">
        <f t="shared" si="711"/>
        <v>00</v>
      </c>
      <c r="O3422" s="10">
        <f t="shared" si="712"/>
        <v>0</v>
      </c>
      <c r="P3422" s="10">
        <f t="shared" si="713"/>
        <v>0</v>
      </c>
      <c r="Q3422" s="10">
        <f t="shared" si="714"/>
        <v>0</v>
      </c>
    </row>
    <row r="3423" spans="1:17">
      <c r="A3423" s="15">
        <f t="shared" si="710"/>
        <v>0</v>
      </c>
      <c r="B3423" s="15"/>
      <c r="C3423" s="17">
        <f>Fixture!E428</f>
        <v>0</v>
      </c>
      <c r="D3423" s="18">
        <f>IF(E3423=0,0,IF(Fixture!D428&lt;Fixture!F428,3,IF(Fixture!F428&lt;Fixture!D428,0,1)))</f>
        <v>0</v>
      </c>
      <c r="E3423" s="18">
        <f t="shared" si="704"/>
        <v>0</v>
      </c>
      <c r="F3423" s="18">
        <f>IF(E3423=0,0,IF(Fixture!D428&lt;Fixture!F428,1,IF(Fixture!F428&lt;Fixture!D428,0,0)))</f>
        <v>0</v>
      </c>
      <c r="G3423" s="18">
        <f>IF(E3423=0,0,IF(Fixture!D428&lt;Fixture!F428,0,IF(Fixture!F428&lt;Fixture!D428,0,1)))</f>
        <v>0</v>
      </c>
      <c r="H3423" s="18">
        <f t="shared" si="705"/>
        <v>0</v>
      </c>
      <c r="I3423" s="64">
        <f t="shared" si="706"/>
        <v>0</v>
      </c>
      <c r="J3423" s="64">
        <f t="shared" si="707"/>
        <v>0</v>
      </c>
      <c r="K3423" s="63">
        <f t="shared" si="708"/>
        <v>0</v>
      </c>
      <c r="L3423" s="63">
        <f t="shared" si="709"/>
        <v>0</v>
      </c>
      <c r="N3423" s="10" t="str">
        <f t="shared" si="711"/>
        <v>00</v>
      </c>
      <c r="O3423" s="10">
        <f t="shared" si="712"/>
        <v>0</v>
      </c>
      <c r="P3423" s="10">
        <f t="shared" si="713"/>
        <v>0</v>
      </c>
      <c r="Q3423" s="10">
        <f t="shared" si="714"/>
        <v>0</v>
      </c>
    </row>
    <row r="3424" spans="1:17">
      <c r="A3424" s="15">
        <f t="shared" si="710"/>
        <v>0</v>
      </c>
      <c r="B3424" s="15"/>
      <c r="C3424" s="17">
        <f>Fixture!E429</f>
        <v>0</v>
      </c>
      <c r="D3424" s="18">
        <f>IF(E3424=0,0,IF(Fixture!D429&lt;Fixture!F429,3,IF(Fixture!F429&lt;Fixture!D429,0,1)))</f>
        <v>0</v>
      </c>
      <c r="E3424" s="18">
        <f t="shared" si="704"/>
        <v>0</v>
      </c>
      <c r="F3424" s="18">
        <f>IF(E3424=0,0,IF(Fixture!D429&lt;Fixture!F429,1,IF(Fixture!F429&lt;Fixture!D429,0,0)))</f>
        <v>0</v>
      </c>
      <c r="G3424" s="18">
        <f>IF(E3424=0,0,IF(Fixture!D429&lt;Fixture!F429,0,IF(Fixture!F429&lt;Fixture!D429,0,1)))</f>
        <v>0</v>
      </c>
      <c r="H3424" s="18">
        <f t="shared" si="705"/>
        <v>0</v>
      </c>
      <c r="I3424" s="64">
        <f t="shared" si="706"/>
        <v>0</v>
      </c>
      <c r="J3424" s="64">
        <f t="shared" si="707"/>
        <v>0</v>
      </c>
      <c r="K3424" s="63">
        <f t="shared" si="708"/>
        <v>0</v>
      </c>
      <c r="L3424" s="63">
        <f t="shared" si="709"/>
        <v>0</v>
      </c>
      <c r="N3424" s="10" t="str">
        <f t="shared" si="711"/>
        <v>00</v>
      </c>
      <c r="O3424" s="10">
        <f t="shared" si="712"/>
        <v>0</v>
      </c>
      <c r="P3424" s="10">
        <f t="shared" si="713"/>
        <v>0</v>
      </c>
      <c r="Q3424" s="10">
        <f t="shared" si="714"/>
        <v>0</v>
      </c>
    </row>
    <row r="3425" spans="1:17">
      <c r="A3425" s="15">
        <f t="shared" si="710"/>
        <v>0</v>
      </c>
      <c r="B3425" s="15"/>
      <c r="C3425" s="17">
        <f>Fixture!E430</f>
        <v>0</v>
      </c>
      <c r="D3425" s="18">
        <f>IF(E3425=0,0,IF(Fixture!D430&lt;Fixture!F430,3,IF(Fixture!F430&lt;Fixture!D430,0,1)))</f>
        <v>0</v>
      </c>
      <c r="E3425" s="18">
        <f t="shared" si="704"/>
        <v>0</v>
      </c>
      <c r="F3425" s="18">
        <f>IF(E3425=0,0,IF(Fixture!D430&lt;Fixture!F430,1,IF(Fixture!F430&lt;Fixture!D430,0,0)))</f>
        <v>0</v>
      </c>
      <c r="G3425" s="18">
        <f>IF(E3425=0,0,IF(Fixture!D430&lt;Fixture!F430,0,IF(Fixture!F430&lt;Fixture!D430,0,1)))</f>
        <v>0</v>
      </c>
      <c r="H3425" s="18">
        <f t="shared" si="705"/>
        <v>0</v>
      </c>
      <c r="I3425" s="64">
        <f t="shared" si="706"/>
        <v>0</v>
      </c>
      <c r="J3425" s="64">
        <f t="shared" si="707"/>
        <v>0</v>
      </c>
      <c r="K3425" s="63">
        <f t="shared" si="708"/>
        <v>0</v>
      </c>
      <c r="L3425" s="63">
        <f t="shared" si="709"/>
        <v>0</v>
      </c>
      <c r="N3425" s="10" t="str">
        <f t="shared" si="711"/>
        <v>00</v>
      </c>
      <c r="O3425" s="10">
        <f t="shared" si="712"/>
        <v>0</v>
      </c>
      <c r="P3425" s="10">
        <f t="shared" si="713"/>
        <v>0</v>
      </c>
      <c r="Q3425" s="10">
        <f t="shared" si="714"/>
        <v>0</v>
      </c>
    </row>
    <row r="3426" spans="1:17">
      <c r="A3426" s="15">
        <f t="shared" si="710"/>
        <v>0</v>
      </c>
      <c r="B3426" s="15"/>
      <c r="C3426" s="17">
        <f>Fixture!E431</f>
        <v>0</v>
      </c>
      <c r="D3426" s="18">
        <f>IF(E3426=0,0,IF(Fixture!D431&lt;Fixture!F431,3,IF(Fixture!F431&lt;Fixture!D431,0,1)))</f>
        <v>0</v>
      </c>
      <c r="E3426" s="18">
        <f t="shared" si="704"/>
        <v>0</v>
      </c>
      <c r="F3426" s="18">
        <f>IF(E3426=0,0,IF(Fixture!D431&lt;Fixture!F431,1,IF(Fixture!F431&lt;Fixture!D431,0,0)))</f>
        <v>0</v>
      </c>
      <c r="G3426" s="18">
        <f>IF(E3426=0,0,IF(Fixture!D431&lt;Fixture!F431,0,IF(Fixture!F431&lt;Fixture!D431,0,1)))</f>
        <v>0</v>
      </c>
      <c r="H3426" s="18">
        <f t="shared" si="705"/>
        <v>0</v>
      </c>
      <c r="I3426" s="64">
        <f t="shared" si="706"/>
        <v>0</v>
      </c>
      <c r="J3426" s="64">
        <f t="shared" si="707"/>
        <v>0</v>
      </c>
      <c r="K3426" s="63">
        <f t="shared" si="708"/>
        <v>0</v>
      </c>
      <c r="L3426" s="63">
        <f t="shared" si="709"/>
        <v>0</v>
      </c>
      <c r="N3426" s="10" t="str">
        <f t="shared" si="711"/>
        <v>00</v>
      </c>
      <c r="O3426" s="10">
        <f t="shared" si="712"/>
        <v>0</v>
      </c>
      <c r="P3426" s="10">
        <f t="shared" si="713"/>
        <v>0</v>
      </c>
      <c r="Q3426" s="10">
        <f t="shared" si="714"/>
        <v>0</v>
      </c>
    </row>
    <row r="3427" spans="1:17">
      <c r="A3427" s="15">
        <f t="shared" si="710"/>
        <v>0</v>
      </c>
      <c r="B3427" s="15"/>
      <c r="C3427" s="17">
        <f>Fixture!E432</f>
        <v>0</v>
      </c>
      <c r="D3427" s="18">
        <f>IF(E3427=0,0,IF(Fixture!D432&lt;Fixture!F432,3,IF(Fixture!F432&lt;Fixture!D432,0,1)))</f>
        <v>0</v>
      </c>
      <c r="E3427" s="18">
        <f t="shared" si="704"/>
        <v>0</v>
      </c>
      <c r="F3427" s="18">
        <f>IF(E3427=0,0,IF(Fixture!D432&lt;Fixture!F432,1,IF(Fixture!F432&lt;Fixture!D432,0,0)))</f>
        <v>0</v>
      </c>
      <c r="G3427" s="18">
        <f>IF(E3427=0,0,IF(Fixture!D432&lt;Fixture!F432,0,IF(Fixture!F432&lt;Fixture!D432,0,1)))</f>
        <v>0</v>
      </c>
      <c r="H3427" s="18">
        <f t="shared" si="705"/>
        <v>0</v>
      </c>
      <c r="I3427" s="64">
        <f t="shared" si="706"/>
        <v>0</v>
      </c>
      <c r="J3427" s="64">
        <f t="shared" si="707"/>
        <v>0</v>
      </c>
      <c r="K3427" s="63">
        <f t="shared" si="708"/>
        <v>0</v>
      </c>
      <c r="L3427" s="63">
        <f t="shared" si="709"/>
        <v>0</v>
      </c>
      <c r="N3427" s="10" t="str">
        <f t="shared" si="711"/>
        <v>00</v>
      </c>
      <c r="O3427" s="10">
        <f t="shared" si="712"/>
        <v>0</v>
      </c>
      <c r="P3427" s="10">
        <f t="shared" si="713"/>
        <v>0</v>
      </c>
      <c r="Q3427" s="10">
        <f t="shared" si="714"/>
        <v>0</v>
      </c>
    </row>
    <row r="3428" spans="1:17">
      <c r="A3428" s="15">
        <f t="shared" si="710"/>
        <v>0</v>
      </c>
      <c r="B3428" s="15"/>
      <c r="C3428" s="17">
        <f>Fixture!E433</f>
        <v>0</v>
      </c>
      <c r="D3428" s="18">
        <f>IF(E3428=0,0,IF(Fixture!D433&lt;Fixture!F433,3,IF(Fixture!F433&lt;Fixture!D433,0,1)))</f>
        <v>0</v>
      </c>
      <c r="E3428" s="18">
        <f t="shared" si="704"/>
        <v>0</v>
      </c>
      <c r="F3428" s="18">
        <f>IF(E3428=0,0,IF(Fixture!D433&lt;Fixture!F433,1,IF(Fixture!F433&lt;Fixture!D433,0,0)))</f>
        <v>0</v>
      </c>
      <c r="G3428" s="18">
        <f>IF(E3428=0,0,IF(Fixture!D433&lt;Fixture!F433,0,IF(Fixture!F433&lt;Fixture!D433,0,1)))</f>
        <v>0</v>
      </c>
      <c r="H3428" s="18">
        <f t="shared" si="705"/>
        <v>0</v>
      </c>
      <c r="I3428" s="64">
        <f t="shared" si="706"/>
        <v>0</v>
      </c>
      <c r="J3428" s="64">
        <f t="shared" si="707"/>
        <v>0</v>
      </c>
      <c r="K3428" s="63">
        <f t="shared" si="708"/>
        <v>0</v>
      </c>
      <c r="L3428" s="63">
        <f t="shared" si="709"/>
        <v>0</v>
      </c>
      <c r="N3428" s="10" t="str">
        <f t="shared" si="711"/>
        <v>00</v>
      </c>
      <c r="O3428" s="10">
        <f t="shared" si="712"/>
        <v>0</v>
      </c>
      <c r="P3428" s="10">
        <f t="shared" si="713"/>
        <v>0</v>
      </c>
      <c r="Q3428" s="10">
        <f t="shared" si="714"/>
        <v>0</v>
      </c>
    </row>
    <row r="3429" spans="1:17">
      <c r="A3429" s="15">
        <f t="shared" si="710"/>
        <v>0</v>
      </c>
      <c r="B3429" s="15"/>
      <c r="C3429" s="17">
        <f>Fixture!E434</f>
        <v>0</v>
      </c>
      <c r="D3429" s="18">
        <f>IF(E3429=0,0,IF(Fixture!D434&lt;Fixture!F434,3,IF(Fixture!F434&lt;Fixture!D434,0,1)))</f>
        <v>0</v>
      </c>
      <c r="E3429" s="18">
        <f t="shared" si="704"/>
        <v>0</v>
      </c>
      <c r="F3429" s="18">
        <f>IF(E3429=0,0,IF(Fixture!D434&lt;Fixture!F434,1,IF(Fixture!F434&lt;Fixture!D434,0,0)))</f>
        <v>0</v>
      </c>
      <c r="G3429" s="18">
        <f>IF(E3429=0,0,IF(Fixture!D434&lt;Fixture!F434,0,IF(Fixture!F434&lt;Fixture!D434,0,1)))</f>
        <v>0</v>
      </c>
      <c r="H3429" s="18">
        <f t="shared" si="705"/>
        <v>0</v>
      </c>
      <c r="I3429" s="64">
        <f t="shared" si="706"/>
        <v>0</v>
      </c>
      <c r="J3429" s="64">
        <f t="shared" si="707"/>
        <v>0</v>
      </c>
      <c r="K3429" s="63">
        <f t="shared" si="708"/>
        <v>0</v>
      </c>
      <c r="L3429" s="63">
        <f t="shared" si="709"/>
        <v>0</v>
      </c>
      <c r="N3429" s="10" t="str">
        <f t="shared" si="711"/>
        <v>00</v>
      </c>
      <c r="O3429" s="10">
        <f t="shared" si="712"/>
        <v>0</v>
      </c>
      <c r="P3429" s="10">
        <f t="shared" si="713"/>
        <v>0</v>
      </c>
      <c r="Q3429" s="10">
        <f t="shared" si="714"/>
        <v>0</v>
      </c>
    </row>
    <row r="3430" spans="1:17">
      <c r="A3430" s="15">
        <f t="shared" si="710"/>
        <v>0</v>
      </c>
      <c r="B3430" s="15"/>
      <c r="C3430" s="17">
        <f>Fixture!E435</f>
        <v>0</v>
      </c>
      <c r="D3430" s="18">
        <f>IF(E3430=0,0,IF(Fixture!D435&lt;Fixture!F435,3,IF(Fixture!F435&lt;Fixture!D435,0,1)))</f>
        <v>0</v>
      </c>
      <c r="E3430" s="18">
        <f t="shared" si="704"/>
        <v>0</v>
      </c>
      <c r="F3430" s="18">
        <f>IF(E3430=0,0,IF(Fixture!D435&lt;Fixture!F435,1,IF(Fixture!F435&lt;Fixture!D435,0,0)))</f>
        <v>0</v>
      </c>
      <c r="G3430" s="18">
        <f>IF(E3430=0,0,IF(Fixture!D435&lt;Fixture!F435,0,IF(Fixture!F435&lt;Fixture!D435,0,1)))</f>
        <v>0</v>
      </c>
      <c r="H3430" s="18">
        <f t="shared" si="705"/>
        <v>0</v>
      </c>
      <c r="I3430" s="64">
        <f t="shared" si="706"/>
        <v>0</v>
      </c>
      <c r="J3430" s="64">
        <f t="shared" si="707"/>
        <v>0</v>
      </c>
      <c r="K3430" s="63">
        <f t="shared" si="708"/>
        <v>0</v>
      </c>
      <c r="L3430" s="63">
        <f t="shared" si="709"/>
        <v>0</v>
      </c>
      <c r="N3430" s="10" t="str">
        <f t="shared" si="711"/>
        <v>00</v>
      </c>
      <c r="O3430" s="10">
        <f t="shared" si="712"/>
        <v>0</v>
      </c>
      <c r="P3430" s="10">
        <f t="shared" si="713"/>
        <v>0</v>
      </c>
      <c r="Q3430" s="10">
        <f t="shared" si="714"/>
        <v>0</v>
      </c>
    </row>
    <row r="3431" spans="1:17">
      <c r="A3431" s="15">
        <f t="shared" si="710"/>
        <v>0</v>
      </c>
      <c r="B3431" s="15"/>
      <c r="C3431" s="17">
        <f>Fixture!E436</f>
        <v>0</v>
      </c>
      <c r="D3431" s="18">
        <f>IF(E3431=0,0,IF(Fixture!D436&lt;Fixture!F436,3,IF(Fixture!F436&lt;Fixture!D436,0,1)))</f>
        <v>0</v>
      </c>
      <c r="E3431" s="18">
        <f t="shared" si="704"/>
        <v>0</v>
      </c>
      <c r="F3431" s="18">
        <f>IF(E3431=0,0,IF(Fixture!D436&lt;Fixture!F436,1,IF(Fixture!F436&lt;Fixture!D436,0,0)))</f>
        <v>0</v>
      </c>
      <c r="G3431" s="18">
        <f>IF(E3431=0,0,IF(Fixture!D436&lt;Fixture!F436,0,IF(Fixture!F436&lt;Fixture!D436,0,1)))</f>
        <v>0</v>
      </c>
      <c r="H3431" s="18">
        <f t="shared" si="705"/>
        <v>0</v>
      </c>
      <c r="I3431" s="64">
        <f t="shared" si="706"/>
        <v>0</v>
      </c>
      <c r="J3431" s="64">
        <f t="shared" si="707"/>
        <v>0</v>
      </c>
      <c r="K3431" s="63">
        <f t="shared" si="708"/>
        <v>0</v>
      </c>
      <c r="L3431" s="63">
        <f t="shared" si="709"/>
        <v>0</v>
      </c>
      <c r="N3431" s="10" t="str">
        <f t="shared" si="711"/>
        <v>00</v>
      </c>
      <c r="O3431" s="10">
        <f t="shared" si="712"/>
        <v>0</v>
      </c>
      <c r="P3431" s="10">
        <f t="shared" si="713"/>
        <v>0</v>
      </c>
      <c r="Q3431" s="10">
        <f t="shared" si="714"/>
        <v>0</v>
      </c>
    </row>
    <row r="3432" spans="1:17">
      <c r="A3432" s="15">
        <f t="shared" si="710"/>
        <v>0</v>
      </c>
      <c r="B3432" s="15"/>
      <c r="C3432" s="17">
        <f>Fixture!E437</f>
        <v>0</v>
      </c>
      <c r="D3432" s="18">
        <f>IF(E3432=0,0,IF(Fixture!D437&lt;Fixture!F437,3,IF(Fixture!F437&lt;Fixture!D437,0,1)))</f>
        <v>0</v>
      </c>
      <c r="E3432" s="18">
        <f t="shared" si="704"/>
        <v>0</v>
      </c>
      <c r="F3432" s="18">
        <f>IF(E3432=0,0,IF(Fixture!D437&lt;Fixture!F437,1,IF(Fixture!F437&lt;Fixture!D437,0,0)))</f>
        <v>0</v>
      </c>
      <c r="G3432" s="18">
        <f>IF(E3432=0,0,IF(Fixture!D437&lt;Fixture!F437,0,IF(Fixture!F437&lt;Fixture!D437,0,1)))</f>
        <v>0</v>
      </c>
      <c r="H3432" s="18">
        <f t="shared" si="705"/>
        <v>0</v>
      </c>
      <c r="I3432" s="64">
        <f t="shared" si="706"/>
        <v>0</v>
      </c>
      <c r="J3432" s="64">
        <f t="shared" si="707"/>
        <v>0</v>
      </c>
      <c r="K3432" s="63">
        <f t="shared" si="708"/>
        <v>0</v>
      </c>
      <c r="L3432" s="63">
        <f t="shared" si="709"/>
        <v>0</v>
      </c>
      <c r="N3432" s="10" t="str">
        <f t="shared" si="711"/>
        <v>00</v>
      </c>
      <c r="O3432" s="10">
        <f t="shared" si="712"/>
        <v>0</v>
      </c>
      <c r="P3432" s="10">
        <f t="shared" si="713"/>
        <v>0</v>
      </c>
      <c r="Q3432" s="10">
        <f t="shared" si="714"/>
        <v>0</v>
      </c>
    </row>
    <row r="3433" spans="1:17">
      <c r="A3433" s="15">
        <f t="shared" si="710"/>
        <v>0</v>
      </c>
      <c r="B3433" s="15"/>
      <c r="C3433" s="17">
        <f>Fixture!E438</f>
        <v>0</v>
      </c>
      <c r="D3433" s="18">
        <f>IF(E3433=0,0,IF(Fixture!D438&lt;Fixture!F438,3,IF(Fixture!F438&lt;Fixture!D438,0,1)))</f>
        <v>0</v>
      </c>
      <c r="E3433" s="18">
        <f t="shared" si="704"/>
        <v>0</v>
      </c>
      <c r="F3433" s="18">
        <f>IF(E3433=0,0,IF(Fixture!D438&lt;Fixture!F438,1,IF(Fixture!F438&lt;Fixture!D438,0,0)))</f>
        <v>0</v>
      </c>
      <c r="G3433" s="18">
        <f>IF(E3433=0,0,IF(Fixture!D438&lt;Fixture!F438,0,IF(Fixture!F438&lt;Fixture!D438,0,1)))</f>
        <v>0</v>
      </c>
      <c r="H3433" s="18">
        <f t="shared" si="705"/>
        <v>0</v>
      </c>
      <c r="I3433" s="64">
        <f t="shared" si="706"/>
        <v>0</v>
      </c>
      <c r="J3433" s="64">
        <f t="shared" si="707"/>
        <v>0</v>
      </c>
      <c r="K3433" s="63">
        <f t="shared" si="708"/>
        <v>0</v>
      </c>
      <c r="L3433" s="63">
        <f t="shared" si="709"/>
        <v>0</v>
      </c>
      <c r="N3433" s="10" t="str">
        <f t="shared" si="711"/>
        <v>00</v>
      </c>
      <c r="O3433" s="10">
        <f t="shared" si="712"/>
        <v>0</v>
      </c>
      <c r="P3433" s="10">
        <f t="shared" si="713"/>
        <v>0</v>
      </c>
      <c r="Q3433" s="10">
        <f t="shared" si="714"/>
        <v>0</v>
      </c>
    </row>
    <row r="3434" spans="1:17">
      <c r="A3434" s="15">
        <f t="shared" si="710"/>
        <v>0</v>
      </c>
      <c r="B3434" s="15"/>
      <c r="C3434" s="17">
        <f>Fixture!E439</f>
        <v>0</v>
      </c>
      <c r="D3434" s="18">
        <f>IF(E3434=0,0,IF(Fixture!D439&lt;Fixture!F439,3,IF(Fixture!F439&lt;Fixture!D439,0,1)))</f>
        <v>0</v>
      </c>
      <c r="E3434" s="18">
        <f t="shared" si="704"/>
        <v>0</v>
      </c>
      <c r="F3434" s="18">
        <f>IF(E3434=0,0,IF(Fixture!D439&lt;Fixture!F439,1,IF(Fixture!F439&lt;Fixture!D439,0,0)))</f>
        <v>0</v>
      </c>
      <c r="G3434" s="18">
        <f>IF(E3434=0,0,IF(Fixture!D439&lt;Fixture!F439,0,IF(Fixture!F439&lt;Fixture!D439,0,1)))</f>
        <v>0</v>
      </c>
      <c r="H3434" s="18">
        <f t="shared" si="705"/>
        <v>0</v>
      </c>
      <c r="I3434" s="64">
        <f t="shared" si="706"/>
        <v>0</v>
      </c>
      <c r="J3434" s="64">
        <f t="shared" si="707"/>
        <v>0</v>
      </c>
      <c r="K3434" s="63">
        <f t="shared" si="708"/>
        <v>0</v>
      </c>
      <c r="L3434" s="63">
        <f t="shared" si="709"/>
        <v>0</v>
      </c>
      <c r="N3434" s="10" t="str">
        <f t="shared" si="711"/>
        <v>00</v>
      </c>
      <c r="O3434" s="10">
        <f t="shared" si="712"/>
        <v>0</v>
      </c>
      <c r="P3434" s="10">
        <f t="shared" si="713"/>
        <v>0</v>
      </c>
      <c r="Q3434" s="10">
        <f t="shared" si="714"/>
        <v>0</v>
      </c>
    </row>
    <row r="3435" spans="1:17">
      <c r="A3435" s="15">
        <f t="shared" si="710"/>
        <v>0</v>
      </c>
      <c r="B3435" s="15"/>
      <c r="C3435" s="17">
        <f>Fixture!E440</f>
        <v>0</v>
      </c>
      <c r="D3435" s="18">
        <f>IF(E3435=0,0,IF(Fixture!D440&lt;Fixture!F440,3,IF(Fixture!F440&lt;Fixture!D440,0,1)))</f>
        <v>0</v>
      </c>
      <c r="E3435" s="18">
        <f t="shared" si="704"/>
        <v>0</v>
      </c>
      <c r="F3435" s="18">
        <f>IF(E3435=0,0,IF(Fixture!D440&lt;Fixture!F440,1,IF(Fixture!F440&lt;Fixture!D440,0,0)))</f>
        <v>0</v>
      </c>
      <c r="G3435" s="18">
        <f>IF(E3435=0,0,IF(Fixture!D440&lt;Fixture!F440,0,IF(Fixture!F440&lt;Fixture!D440,0,1)))</f>
        <v>0</v>
      </c>
      <c r="H3435" s="18">
        <f t="shared" si="705"/>
        <v>0</v>
      </c>
      <c r="I3435" s="64">
        <f t="shared" si="706"/>
        <v>0</v>
      </c>
      <c r="J3435" s="64">
        <f t="shared" si="707"/>
        <v>0</v>
      </c>
      <c r="K3435" s="63">
        <f t="shared" si="708"/>
        <v>0</v>
      </c>
      <c r="L3435" s="63">
        <f t="shared" si="709"/>
        <v>0</v>
      </c>
      <c r="N3435" s="10" t="str">
        <f t="shared" si="711"/>
        <v>00</v>
      </c>
      <c r="O3435" s="10">
        <f t="shared" si="712"/>
        <v>0</v>
      </c>
      <c r="P3435" s="10">
        <f t="shared" si="713"/>
        <v>0</v>
      </c>
      <c r="Q3435" s="10">
        <f t="shared" si="714"/>
        <v>0</v>
      </c>
    </row>
    <row r="3436" spans="1:17">
      <c r="A3436" s="15">
        <f t="shared" si="710"/>
        <v>0</v>
      </c>
      <c r="B3436" s="15"/>
      <c r="C3436" s="17">
        <f>Fixture!E441</f>
        <v>0</v>
      </c>
      <c r="D3436" s="18">
        <f>IF(E3436=0,0,IF(Fixture!D441&lt;Fixture!F441,3,IF(Fixture!F441&lt;Fixture!D441,0,1)))</f>
        <v>0</v>
      </c>
      <c r="E3436" s="18">
        <f t="shared" si="704"/>
        <v>0</v>
      </c>
      <c r="F3436" s="18">
        <f>IF(E3436=0,0,IF(Fixture!D441&lt;Fixture!F441,1,IF(Fixture!F441&lt;Fixture!D441,0,0)))</f>
        <v>0</v>
      </c>
      <c r="G3436" s="18">
        <f>IF(E3436=0,0,IF(Fixture!D441&lt;Fixture!F441,0,IF(Fixture!F441&lt;Fixture!D441,0,1)))</f>
        <v>0</v>
      </c>
      <c r="H3436" s="18">
        <f t="shared" si="705"/>
        <v>0</v>
      </c>
      <c r="I3436" s="64">
        <f t="shared" si="706"/>
        <v>0</v>
      </c>
      <c r="J3436" s="64">
        <f t="shared" si="707"/>
        <v>0</v>
      </c>
      <c r="K3436" s="63">
        <f t="shared" si="708"/>
        <v>0</v>
      </c>
      <c r="L3436" s="63">
        <f t="shared" si="709"/>
        <v>0</v>
      </c>
      <c r="N3436" s="10" t="str">
        <f t="shared" si="711"/>
        <v>00</v>
      </c>
      <c r="O3436" s="10">
        <f t="shared" si="712"/>
        <v>0</v>
      </c>
      <c r="P3436" s="10">
        <f t="shared" si="713"/>
        <v>0</v>
      </c>
      <c r="Q3436" s="10">
        <f t="shared" si="714"/>
        <v>0</v>
      </c>
    </row>
    <row r="3437" spans="1:17">
      <c r="A3437" s="15">
        <f t="shared" si="710"/>
        <v>0</v>
      </c>
      <c r="B3437" s="15"/>
      <c r="C3437" s="17">
        <f>Fixture!E442</f>
        <v>0</v>
      </c>
      <c r="D3437" s="18">
        <f>IF(E3437=0,0,IF(Fixture!D442&lt;Fixture!F442,3,IF(Fixture!F442&lt;Fixture!D442,0,1)))</f>
        <v>0</v>
      </c>
      <c r="E3437" s="18">
        <f t="shared" si="704"/>
        <v>0</v>
      </c>
      <c r="F3437" s="18">
        <f>IF(E3437=0,0,IF(Fixture!D442&lt;Fixture!F442,1,IF(Fixture!F442&lt;Fixture!D442,0,0)))</f>
        <v>0</v>
      </c>
      <c r="G3437" s="18">
        <f>IF(E3437=0,0,IF(Fixture!D442&lt;Fixture!F442,0,IF(Fixture!F442&lt;Fixture!D442,0,1)))</f>
        <v>0</v>
      </c>
      <c r="H3437" s="18">
        <f t="shared" si="705"/>
        <v>0</v>
      </c>
      <c r="I3437" s="64">
        <f t="shared" si="706"/>
        <v>0</v>
      </c>
      <c r="J3437" s="64">
        <f t="shared" si="707"/>
        <v>0</v>
      </c>
      <c r="K3437" s="63">
        <f t="shared" si="708"/>
        <v>0</v>
      </c>
      <c r="L3437" s="63">
        <f t="shared" si="709"/>
        <v>0</v>
      </c>
      <c r="N3437" s="10" t="str">
        <f t="shared" si="711"/>
        <v>00</v>
      </c>
      <c r="O3437" s="10">
        <f t="shared" si="712"/>
        <v>0</v>
      </c>
      <c r="P3437" s="10">
        <f t="shared" si="713"/>
        <v>0</v>
      </c>
      <c r="Q3437" s="10">
        <f t="shared" si="714"/>
        <v>0</v>
      </c>
    </row>
    <row r="3438" spans="1:17">
      <c r="A3438" s="15">
        <f t="shared" si="710"/>
        <v>0</v>
      </c>
      <c r="B3438" s="15"/>
      <c r="C3438" s="17">
        <f>Fixture!E443</f>
        <v>0</v>
      </c>
      <c r="D3438" s="18">
        <f>IF(E3438=0,0,IF(Fixture!D443&lt;Fixture!F443,3,IF(Fixture!F443&lt;Fixture!D443,0,1)))</f>
        <v>0</v>
      </c>
      <c r="E3438" s="18">
        <f t="shared" si="704"/>
        <v>0</v>
      </c>
      <c r="F3438" s="18">
        <f>IF(E3438=0,0,IF(Fixture!D443&lt;Fixture!F443,1,IF(Fixture!F443&lt;Fixture!D443,0,0)))</f>
        <v>0</v>
      </c>
      <c r="G3438" s="18">
        <f>IF(E3438=0,0,IF(Fixture!D443&lt;Fixture!F443,0,IF(Fixture!F443&lt;Fixture!D443,0,1)))</f>
        <v>0</v>
      </c>
      <c r="H3438" s="18">
        <f t="shared" si="705"/>
        <v>0</v>
      </c>
      <c r="I3438" s="64">
        <f t="shared" si="706"/>
        <v>0</v>
      </c>
      <c r="J3438" s="64">
        <f t="shared" si="707"/>
        <v>0</v>
      </c>
      <c r="K3438" s="63">
        <f t="shared" si="708"/>
        <v>0</v>
      </c>
      <c r="L3438" s="63">
        <f t="shared" si="709"/>
        <v>0</v>
      </c>
      <c r="N3438" s="10" t="str">
        <f t="shared" si="711"/>
        <v>00</v>
      </c>
      <c r="O3438" s="10">
        <f t="shared" si="712"/>
        <v>0</v>
      </c>
      <c r="P3438" s="10">
        <f t="shared" si="713"/>
        <v>0</v>
      </c>
      <c r="Q3438" s="10">
        <f t="shared" si="714"/>
        <v>0</v>
      </c>
    </row>
    <row r="3439" spans="1:17">
      <c r="A3439" s="15">
        <f t="shared" si="710"/>
        <v>0</v>
      </c>
      <c r="B3439" s="15"/>
      <c r="C3439" s="17">
        <f>Fixture!E444</f>
        <v>0</v>
      </c>
      <c r="D3439" s="18">
        <f>IF(E3439=0,0,IF(Fixture!D444&lt;Fixture!F444,3,IF(Fixture!F444&lt;Fixture!D444,0,1)))</f>
        <v>0</v>
      </c>
      <c r="E3439" s="18">
        <f t="shared" si="704"/>
        <v>0</v>
      </c>
      <c r="F3439" s="18">
        <f>IF(E3439=0,0,IF(Fixture!D444&lt;Fixture!F444,1,IF(Fixture!F444&lt;Fixture!D444,0,0)))</f>
        <v>0</v>
      </c>
      <c r="G3439" s="18">
        <f>IF(E3439=0,0,IF(Fixture!D444&lt;Fixture!F444,0,IF(Fixture!F444&lt;Fixture!D444,0,1)))</f>
        <v>0</v>
      </c>
      <c r="H3439" s="18">
        <f t="shared" si="705"/>
        <v>0</v>
      </c>
      <c r="I3439" s="64">
        <f t="shared" si="706"/>
        <v>0</v>
      </c>
      <c r="J3439" s="64">
        <f t="shared" si="707"/>
        <v>0</v>
      </c>
      <c r="K3439" s="63">
        <f t="shared" si="708"/>
        <v>0</v>
      </c>
      <c r="L3439" s="63">
        <f t="shared" si="709"/>
        <v>0</v>
      </c>
      <c r="N3439" s="10" t="str">
        <f t="shared" si="711"/>
        <v>00</v>
      </c>
      <c r="O3439" s="10">
        <f t="shared" si="712"/>
        <v>0</v>
      </c>
      <c r="P3439" s="10">
        <f t="shared" si="713"/>
        <v>0</v>
      </c>
      <c r="Q3439" s="10">
        <f t="shared" si="714"/>
        <v>0</v>
      </c>
    </row>
    <row r="3440" spans="1:17">
      <c r="A3440" s="15">
        <f t="shared" si="710"/>
        <v>0</v>
      </c>
      <c r="B3440" s="15"/>
      <c r="C3440" s="17">
        <f>Fixture!E445</f>
        <v>0</v>
      </c>
      <c r="D3440" s="18">
        <f>IF(E3440=0,0,IF(Fixture!D445&lt;Fixture!F445,3,IF(Fixture!F445&lt;Fixture!D445,0,1)))</f>
        <v>0</v>
      </c>
      <c r="E3440" s="18">
        <f t="shared" si="704"/>
        <v>0</v>
      </c>
      <c r="F3440" s="18">
        <f>IF(E3440=0,0,IF(Fixture!D445&lt;Fixture!F445,1,IF(Fixture!F445&lt;Fixture!D445,0,0)))</f>
        <v>0</v>
      </c>
      <c r="G3440" s="18">
        <f>IF(E3440=0,0,IF(Fixture!D445&lt;Fixture!F445,0,IF(Fixture!F445&lt;Fixture!D445,0,1)))</f>
        <v>0</v>
      </c>
      <c r="H3440" s="18">
        <f t="shared" si="705"/>
        <v>0</v>
      </c>
      <c r="I3440" s="64">
        <f t="shared" si="706"/>
        <v>0</v>
      </c>
      <c r="J3440" s="64">
        <f t="shared" si="707"/>
        <v>0</v>
      </c>
      <c r="K3440" s="63">
        <f t="shared" si="708"/>
        <v>0</v>
      </c>
      <c r="L3440" s="63">
        <f t="shared" si="709"/>
        <v>0</v>
      </c>
      <c r="N3440" s="10" t="str">
        <f t="shared" si="711"/>
        <v>00</v>
      </c>
      <c r="O3440" s="10">
        <f t="shared" si="712"/>
        <v>0</v>
      </c>
      <c r="P3440" s="10">
        <f t="shared" si="713"/>
        <v>0</v>
      </c>
      <c r="Q3440" s="10">
        <f t="shared" si="714"/>
        <v>0</v>
      </c>
    </row>
    <row r="3441" spans="1:17">
      <c r="A3441" s="15">
        <f t="shared" si="710"/>
        <v>0</v>
      </c>
      <c r="B3441" s="15"/>
      <c r="C3441" s="17">
        <f>Fixture!E446</f>
        <v>0</v>
      </c>
      <c r="D3441" s="18">
        <f>IF(E3441=0,0,IF(Fixture!D446&lt;Fixture!F446,3,IF(Fixture!F446&lt;Fixture!D446,0,1)))</f>
        <v>0</v>
      </c>
      <c r="E3441" s="18">
        <f t="shared" si="704"/>
        <v>0</v>
      </c>
      <c r="F3441" s="18">
        <f>IF(E3441=0,0,IF(Fixture!D446&lt;Fixture!F446,1,IF(Fixture!F446&lt;Fixture!D446,0,0)))</f>
        <v>0</v>
      </c>
      <c r="G3441" s="18">
        <f>IF(E3441=0,0,IF(Fixture!D446&lt;Fixture!F446,0,IF(Fixture!F446&lt;Fixture!D446,0,1)))</f>
        <v>0</v>
      </c>
      <c r="H3441" s="18">
        <f t="shared" si="705"/>
        <v>0</v>
      </c>
      <c r="I3441" s="64">
        <f t="shared" si="706"/>
        <v>0</v>
      </c>
      <c r="J3441" s="64">
        <f t="shared" si="707"/>
        <v>0</v>
      </c>
      <c r="K3441" s="63">
        <f t="shared" si="708"/>
        <v>0</v>
      </c>
      <c r="L3441" s="63">
        <f t="shared" si="709"/>
        <v>0</v>
      </c>
      <c r="N3441" s="10" t="str">
        <f t="shared" si="711"/>
        <v>00</v>
      </c>
      <c r="O3441" s="10">
        <f t="shared" si="712"/>
        <v>0</v>
      </c>
      <c r="P3441" s="10">
        <f t="shared" si="713"/>
        <v>0</v>
      </c>
      <c r="Q3441" s="10">
        <f t="shared" si="714"/>
        <v>0</v>
      </c>
    </row>
    <row r="3442" spans="1:17">
      <c r="A3442" s="15">
        <f t="shared" si="710"/>
        <v>0</v>
      </c>
      <c r="B3442" s="15"/>
      <c r="C3442" s="17">
        <f>Fixture!E447</f>
        <v>0</v>
      </c>
      <c r="D3442" s="18">
        <f>IF(E3442=0,0,IF(Fixture!D447&lt;Fixture!F447,3,IF(Fixture!F447&lt;Fixture!D447,0,1)))</f>
        <v>0</v>
      </c>
      <c r="E3442" s="18">
        <f t="shared" si="704"/>
        <v>0</v>
      </c>
      <c r="F3442" s="18">
        <f>IF(E3442=0,0,IF(Fixture!D447&lt;Fixture!F447,1,IF(Fixture!F447&lt;Fixture!D447,0,0)))</f>
        <v>0</v>
      </c>
      <c r="G3442" s="18">
        <f>IF(E3442=0,0,IF(Fixture!D447&lt;Fixture!F447,0,IF(Fixture!F447&lt;Fixture!D447,0,1)))</f>
        <v>0</v>
      </c>
      <c r="H3442" s="18">
        <f t="shared" si="705"/>
        <v>0</v>
      </c>
      <c r="I3442" s="64">
        <f t="shared" si="706"/>
        <v>0</v>
      </c>
      <c r="J3442" s="64">
        <f t="shared" si="707"/>
        <v>0</v>
      </c>
      <c r="K3442" s="63">
        <f t="shared" si="708"/>
        <v>0</v>
      </c>
      <c r="L3442" s="63">
        <f t="shared" si="709"/>
        <v>0</v>
      </c>
      <c r="N3442" s="10" t="str">
        <f t="shared" si="711"/>
        <v>00</v>
      </c>
      <c r="O3442" s="10">
        <f t="shared" si="712"/>
        <v>0</v>
      </c>
      <c r="P3442" s="10">
        <f t="shared" si="713"/>
        <v>0</v>
      </c>
      <c r="Q3442" s="10">
        <f t="shared" si="714"/>
        <v>0</v>
      </c>
    </row>
    <row r="3443" spans="1:17">
      <c r="A3443" s="15">
        <f t="shared" si="710"/>
        <v>0</v>
      </c>
      <c r="B3443" s="15"/>
      <c r="C3443" s="17">
        <f>Fixture!E448</f>
        <v>0</v>
      </c>
      <c r="D3443" s="18">
        <f>IF(E3443=0,0,IF(Fixture!D448&lt;Fixture!F448,3,IF(Fixture!F448&lt;Fixture!D448,0,1)))</f>
        <v>0</v>
      </c>
      <c r="E3443" s="18">
        <f t="shared" si="704"/>
        <v>0</v>
      </c>
      <c r="F3443" s="18">
        <f>IF(E3443=0,0,IF(Fixture!D448&lt;Fixture!F448,1,IF(Fixture!F448&lt;Fixture!D448,0,0)))</f>
        <v>0</v>
      </c>
      <c r="G3443" s="18">
        <f>IF(E3443=0,0,IF(Fixture!D448&lt;Fixture!F448,0,IF(Fixture!F448&lt;Fixture!D448,0,1)))</f>
        <v>0</v>
      </c>
      <c r="H3443" s="18">
        <f t="shared" si="705"/>
        <v>0</v>
      </c>
      <c r="I3443" s="64">
        <f t="shared" si="706"/>
        <v>0</v>
      </c>
      <c r="J3443" s="64">
        <f t="shared" si="707"/>
        <v>0</v>
      </c>
      <c r="K3443" s="63">
        <f t="shared" si="708"/>
        <v>0</v>
      </c>
      <c r="L3443" s="63">
        <f t="shared" si="709"/>
        <v>0</v>
      </c>
      <c r="N3443" s="10" t="str">
        <f t="shared" si="711"/>
        <v>00</v>
      </c>
      <c r="O3443" s="10">
        <f t="shared" si="712"/>
        <v>0</v>
      </c>
      <c r="P3443" s="10">
        <f t="shared" si="713"/>
        <v>0</v>
      </c>
      <c r="Q3443" s="10">
        <f t="shared" si="714"/>
        <v>0</v>
      </c>
    </row>
    <row r="3444" spans="1:17">
      <c r="A3444" s="15">
        <f t="shared" si="710"/>
        <v>0</v>
      </c>
      <c r="B3444" s="15"/>
      <c r="C3444" s="17">
        <f>Fixture!E449</f>
        <v>0</v>
      </c>
      <c r="D3444" s="18">
        <f>IF(E3444=0,0,IF(Fixture!D449&lt;Fixture!F449,3,IF(Fixture!F449&lt;Fixture!D449,0,1)))</f>
        <v>0</v>
      </c>
      <c r="E3444" s="18">
        <f t="shared" si="704"/>
        <v>0</v>
      </c>
      <c r="F3444" s="18">
        <f>IF(E3444=0,0,IF(Fixture!D449&lt;Fixture!F449,1,IF(Fixture!F449&lt;Fixture!D449,0,0)))</f>
        <v>0</v>
      </c>
      <c r="G3444" s="18">
        <f>IF(E3444=0,0,IF(Fixture!D449&lt;Fixture!F449,0,IF(Fixture!F449&lt;Fixture!D449,0,1)))</f>
        <v>0</v>
      </c>
      <c r="H3444" s="18">
        <f t="shared" si="705"/>
        <v>0</v>
      </c>
      <c r="I3444" s="64">
        <f t="shared" si="706"/>
        <v>0</v>
      </c>
      <c r="J3444" s="64">
        <f t="shared" si="707"/>
        <v>0</v>
      </c>
      <c r="K3444" s="63">
        <f t="shared" si="708"/>
        <v>0</v>
      </c>
      <c r="L3444" s="63">
        <f t="shared" si="709"/>
        <v>0</v>
      </c>
      <c r="N3444" s="10" t="str">
        <f t="shared" si="711"/>
        <v>00</v>
      </c>
      <c r="O3444" s="10">
        <f t="shared" si="712"/>
        <v>0</v>
      </c>
      <c r="P3444" s="10">
        <f t="shared" si="713"/>
        <v>0</v>
      </c>
      <c r="Q3444" s="10">
        <f t="shared" si="714"/>
        <v>0</v>
      </c>
    </row>
    <row r="3445" spans="1:17">
      <c r="A3445" s="15">
        <f t="shared" si="710"/>
        <v>0</v>
      </c>
      <c r="B3445" s="15"/>
      <c r="C3445" s="17">
        <f>Fixture!E450</f>
        <v>0</v>
      </c>
      <c r="D3445" s="18">
        <f>IF(E3445=0,0,IF(Fixture!D450&lt;Fixture!F450,3,IF(Fixture!F450&lt;Fixture!D450,0,1)))</f>
        <v>0</v>
      </c>
      <c r="E3445" s="18">
        <f t="shared" si="704"/>
        <v>0</v>
      </c>
      <c r="F3445" s="18">
        <f>IF(E3445=0,0,IF(Fixture!D450&lt;Fixture!F450,1,IF(Fixture!F450&lt;Fixture!D450,0,0)))</f>
        <v>0</v>
      </c>
      <c r="G3445" s="18">
        <f>IF(E3445=0,0,IF(Fixture!D450&lt;Fixture!F450,0,IF(Fixture!F450&lt;Fixture!D450,0,1)))</f>
        <v>0</v>
      </c>
      <c r="H3445" s="18">
        <f t="shared" si="705"/>
        <v>0</v>
      </c>
      <c r="I3445" s="64">
        <f t="shared" si="706"/>
        <v>0</v>
      </c>
      <c r="J3445" s="64">
        <f t="shared" si="707"/>
        <v>0</v>
      </c>
      <c r="K3445" s="63">
        <f t="shared" si="708"/>
        <v>0</v>
      </c>
      <c r="L3445" s="63">
        <f t="shared" si="709"/>
        <v>0</v>
      </c>
      <c r="N3445" s="10" t="str">
        <f t="shared" si="711"/>
        <v>00</v>
      </c>
      <c r="O3445" s="10">
        <f t="shared" si="712"/>
        <v>0</v>
      </c>
      <c r="P3445" s="10">
        <f t="shared" si="713"/>
        <v>0</v>
      </c>
      <c r="Q3445" s="10">
        <f t="shared" si="714"/>
        <v>0</v>
      </c>
    </row>
    <row r="3446" spans="1:17">
      <c r="A3446" s="15">
        <f t="shared" si="710"/>
        <v>0</v>
      </c>
      <c r="B3446" s="15"/>
      <c r="C3446" s="17">
        <f>Fixture!E451</f>
        <v>0</v>
      </c>
      <c r="D3446" s="18">
        <f>IF(E3446=0,0,IF(Fixture!D451&lt;Fixture!F451,3,IF(Fixture!F451&lt;Fixture!D451,0,1)))</f>
        <v>0</v>
      </c>
      <c r="E3446" s="18">
        <f t="shared" si="704"/>
        <v>0</v>
      </c>
      <c r="F3446" s="18">
        <f>IF(E3446=0,0,IF(Fixture!D451&lt;Fixture!F451,1,IF(Fixture!F451&lt;Fixture!D451,0,0)))</f>
        <v>0</v>
      </c>
      <c r="G3446" s="18">
        <f>IF(E3446=0,0,IF(Fixture!D451&lt;Fixture!F451,0,IF(Fixture!F451&lt;Fixture!D451,0,1)))</f>
        <v>0</v>
      </c>
      <c r="H3446" s="18">
        <f t="shared" si="705"/>
        <v>0</v>
      </c>
      <c r="I3446" s="64">
        <f t="shared" si="706"/>
        <v>0</v>
      </c>
      <c r="J3446" s="64">
        <f t="shared" si="707"/>
        <v>0</v>
      </c>
      <c r="K3446" s="63">
        <f t="shared" si="708"/>
        <v>0</v>
      </c>
      <c r="L3446" s="63">
        <f t="shared" si="709"/>
        <v>0</v>
      </c>
      <c r="N3446" s="10" t="str">
        <f t="shared" si="711"/>
        <v>00</v>
      </c>
      <c r="O3446" s="10">
        <f t="shared" si="712"/>
        <v>0</v>
      </c>
      <c r="P3446" s="10">
        <f t="shared" si="713"/>
        <v>0</v>
      </c>
      <c r="Q3446" s="10">
        <f t="shared" si="714"/>
        <v>0</v>
      </c>
    </row>
    <row r="3447" spans="1:17">
      <c r="A3447" s="15">
        <f t="shared" si="710"/>
        <v>0</v>
      </c>
      <c r="B3447" s="15"/>
      <c r="C3447" s="17">
        <f>Fixture!E452</f>
        <v>0</v>
      </c>
      <c r="D3447" s="18">
        <f>IF(E3447=0,0,IF(Fixture!D452&lt;Fixture!F452,3,IF(Fixture!F452&lt;Fixture!D452,0,1)))</f>
        <v>0</v>
      </c>
      <c r="E3447" s="18">
        <f t="shared" si="704"/>
        <v>0</v>
      </c>
      <c r="F3447" s="18">
        <f>IF(E3447=0,0,IF(Fixture!D452&lt;Fixture!F452,1,IF(Fixture!F452&lt;Fixture!D452,0,0)))</f>
        <v>0</v>
      </c>
      <c r="G3447" s="18">
        <f>IF(E3447=0,0,IF(Fixture!D452&lt;Fixture!F452,0,IF(Fixture!F452&lt;Fixture!D452,0,1)))</f>
        <v>0</v>
      </c>
      <c r="H3447" s="18">
        <f t="shared" si="705"/>
        <v>0</v>
      </c>
      <c r="I3447" s="64">
        <f t="shared" si="706"/>
        <v>0</v>
      </c>
      <c r="J3447" s="64">
        <f t="shared" si="707"/>
        <v>0</v>
      </c>
      <c r="K3447" s="63">
        <f t="shared" si="708"/>
        <v>0</v>
      </c>
      <c r="L3447" s="63">
        <f t="shared" si="709"/>
        <v>0</v>
      </c>
      <c r="N3447" s="10" t="str">
        <f t="shared" si="711"/>
        <v>00</v>
      </c>
      <c r="O3447" s="10">
        <f t="shared" si="712"/>
        <v>0</v>
      </c>
      <c r="P3447" s="10">
        <f t="shared" si="713"/>
        <v>0</v>
      </c>
      <c r="Q3447" s="10">
        <f t="shared" si="714"/>
        <v>0</v>
      </c>
    </row>
    <row r="3448" spans="1:17">
      <c r="A3448" s="15">
        <f t="shared" si="710"/>
        <v>0</v>
      </c>
      <c r="B3448" s="15"/>
      <c r="C3448" s="17">
        <f>Fixture!E453</f>
        <v>0</v>
      </c>
      <c r="D3448" s="18">
        <f>IF(E3448=0,0,IF(Fixture!D453&lt;Fixture!F453,3,IF(Fixture!F453&lt;Fixture!D453,0,1)))</f>
        <v>0</v>
      </c>
      <c r="E3448" s="18">
        <f t="shared" ref="E3448:E3511" si="715">E2449</f>
        <v>0</v>
      </c>
      <c r="F3448" s="18">
        <f>IF(E3448=0,0,IF(Fixture!D453&lt;Fixture!F453,1,IF(Fixture!F453&lt;Fixture!D453,0,0)))</f>
        <v>0</v>
      </c>
      <c r="G3448" s="18">
        <f>IF(E3448=0,0,IF(Fixture!D453&lt;Fixture!F453,0,IF(Fixture!F453&lt;Fixture!D453,0,1)))</f>
        <v>0</v>
      </c>
      <c r="H3448" s="18">
        <f t="shared" ref="H3448:H3511" si="716">IF(E3448=0,0,IF(D3448&lt;&gt;0,0,1))</f>
        <v>0</v>
      </c>
      <c r="I3448" s="64">
        <f t="shared" ref="I3448:I3511" si="717">J2449</f>
        <v>0</v>
      </c>
      <c r="J3448" s="64">
        <f t="shared" ref="J3448:J3511" si="718">I2449</f>
        <v>0</v>
      </c>
      <c r="K3448" s="63">
        <f t="shared" ref="K3448:K3511" si="719">IF(E3448=0,0,IF(I3448&gt;0,0,1))</f>
        <v>0</v>
      </c>
      <c r="L3448" s="63">
        <f t="shared" ref="L3448:L3511" si="720">IF(E3448=0,0,IF(J3448&gt;0,0,1))</f>
        <v>0</v>
      </c>
      <c r="N3448" s="10" t="str">
        <f t="shared" si="711"/>
        <v>00</v>
      </c>
      <c r="O3448" s="10">
        <f t="shared" si="712"/>
        <v>0</v>
      </c>
      <c r="P3448" s="10">
        <f t="shared" si="713"/>
        <v>0</v>
      </c>
      <c r="Q3448" s="10">
        <f t="shared" si="714"/>
        <v>0</v>
      </c>
    </row>
    <row r="3449" spans="1:17">
      <c r="A3449" s="15">
        <f t="shared" ref="A3449:A3512" si="721">B493</f>
        <v>0</v>
      </c>
      <c r="B3449" s="15"/>
      <c r="C3449" s="17">
        <f>Fixture!E454</f>
        <v>0</v>
      </c>
      <c r="D3449" s="18">
        <f>IF(E3449=0,0,IF(Fixture!D454&lt;Fixture!F454,3,IF(Fixture!F454&lt;Fixture!D454,0,1)))</f>
        <v>0</v>
      </c>
      <c r="E3449" s="18">
        <f t="shared" si="715"/>
        <v>0</v>
      </c>
      <c r="F3449" s="18">
        <f>IF(E3449=0,0,IF(Fixture!D454&lt;Fixture!F454,1,IF(Fixture!F454&lt;Fixture!D454,0,0)))</f>
        <v>0</v>
      </c>
      <c r="G3449" s="18">
        <f>IF(E3449=0,0,IF(Fixture!D454&lt;Fixture!F454,0,IF(Fixture!F454&lt;Fixture!D454,0,1)))</f>
        <v>0</v>
      </c>
      <c r="H3449" s="18">
        <f t="shared" si="716"/>
        <v>0</v>
      </c>
      <c r="I3449" s="64">
        <f t="shared" si="717"/>
        <v>0</v>
      </c>
      <c r="J3449" s="64">
        <f t="shared" si="718"/>
        <v>0</v>
      </c>
      <c r="K3449" s="63">
        <f t="shared" si="719"/>
        <v>0</v>
      </c>
      <c r="L3449" s="63">
        <f t="shared" si="720"/>
        <v>0</v>
      </c>
      <c r="N3449" s="10" t="str">
        <f t="shared" si="711"/>
        <v>00</v>
      </c>
      <c r="O3449" s="10">
        <f t="shared" si="712"/>
        <v>0</v>
      </c>
      <c r="P3449" s="10">
        <f t="shared" si="713"/>
        <v>0</v>
      </c>
      <c r="Q3449" s="10">
        <f t="shared" si="714"/>
        <v>0</v>
      </c>
    </row>
    <row r="3450" spans="1:17">
      <c r="A3450" s="15">
        <f t="shared" si="721"/>
        <v>0</v>
      </c>
      <c r="B3450" s="15"/>
      <c r="C3450" s="17">
        <f>Fixture!E455</f>
        <v>0</v>
      </c>
      <c r="D3450" s="18">
        <f>IF(E3450=0,0,IF(Fixture!D455&lt;Fixture!F455,3,IF(Fixture!F455&lt;Fixture!D455,0,1)))</f>
        <v>0</v>
      </c>
      <c r="E3450" s="18">
        <f t="shared" si="715"/>
        <v>0</v>
      </c>
      <c r="F3450" s="18">
        <f>IF(E3450=0,0,IF(Fixture!D455&lt;Fixture!F455,1,IF(Fixture!F455&lt;Fixture!D455,0,0)))</f>
        <v>0</v>
      </c>
      <c r="G3450" s="18">
        <f>IF(E3450=0,0,IF(Fixture!D455&lt;Fixture!F455,0,IF(Fixture!F455&lt;Fixture!D455,0,1)))</f>
        <v>0</v>
      </c>
      <c r="H3450" s="18">
        <f t="shared" si="716"/>
        <v>0</v>
      </c>
      <c r="I3450" s="64">
        <f t="shared" si="717"/>
        <v>0</v>
      </c>
      <c r="J3450" s="64">
        <f t="shared" si="718"/>
        <v>0</v>
      </c>
      <c r="K3450" s="63">
        <f t="shared" si="719"/>
        <v>0</v>
      </c>
      <c r="L3450" s="63">
        <f t="shared" si="720"/>
        <v>0</v>
      </c>
      <c r="N3450" s="10" t="str">
        <f t="shared" si="711"/>
        <v>00</v>
      </c>
      <c r="O3450" s="10">
        <f t="shared" si="712"/>
        <v>0</v>
      </c>
      <c r="P3450" s="10">
        <f t="shared" si="713"/>
        <v>0</v>
      </c>
      <c r="Q3450" s="10">
        <f t="shared" si="714"/>
        <v>0</v>
      </c>
    </row>
    <row r="3451" spans="1:17">
      <c r="A3451" s="15">
        <f t="shared" si="721"/>
        <v>0</v>
      </c>
      <c r="B3451" s="15"/>
      <c r="C3451" s="17">
        <f>Fixture!E456</f>
        <v>0</v>
      </c>
      <c r="D3451" s="18">
        <f>IF(E3451=0,0,IF(Fixture!D456&lt;Fixture!F456,3,IF(Fixture!F456&lt;Fixture!D456,0,1)))</f>
        <v>0</v>
      </c>
      <c r="E3451" s="18">
        <f t="shared" si="715"/>
        <v>0</v>
      </c>
      <c r="F3451" s="18">
        <f>IF(E3451=0,0,IF(Fixture!D456&lt;Fixture!F456,1,IF(Fixture!F456&lt;Fixture!D456,0,0)))</f>
        <v>0</v>
      </c>
      <c r="G3451" s="18">
        <f>IF(E3451=0,0,IF(Fixture!D456&lt;Fixture!F456,0,IF(Fixture!F456&lt;Fixture!D456,0,1)))</f>
        <v>0</v>
      </c>
      <c r="H3451" s="18">
        <f t="shared" si="716"/>
        <v>0</v>
      </c>
      <c r="I3451" s="64">
        <f t="shared" si="717"/>
        <v>0</v>
      </c>
      <c r="J3451" s="64">
        <f t="shared" si="718"/>
        <v>0</v>
      </c>
      <c r="K3451" s="63">
        <f t="shared" si="719"/>
        <v>0</v>
      </c>
      <c r="L3451" s="63">
        <f t="shared" si="720"/>
        <v>0</v>
      </c>
      <c r="N3451" s="10" t="str">
        <f t="shared" si="711"/>
        <v>00</v>
      </c>
      <c r="O3451" s="10">
        <f t="shared" si="712"/>
        <v>0</v>
      </c>
      <c r="P3451" s="10">
        <f t="shared" si="713"/>
        <v>0</v>
      </c>
      <c r="Q3451" s="10">
        <f t="shared" si="714"/>
        <v>0</v>
      </c>
    </row>
    <row r="3452" spans="1:17">
      <c r="A3452" s="15">
        <f t="shared" si="721"/>
        <v>0</v>
      </c>
      <c r="B3452" s="15"/>
      <c r="C3452" s="17">
        <f>Fixture!E457</f>
        <v>0</v>
      </c>
      <c r="D3452" s="18">
        <f>IF(E3452=0,0,IF(Fixture!D457&lt;Fixture!F457,3,IF(Fixture!F457&lt;Fixture!D457,0,1)))</f>
        <v>0</v>
      </c>
      <c r="E3452" s="18">
        <f t="shared" si="715"/>
        <v>0</v>
      </c>
      <c r="F3452" s="18">
        <f>IF(E3452=0,0,IF(Fixture!D457&lt;Fixture!F457,1,IF(Fixture!F457&lt;Fixture!D457,0,0)))</f>
        <v>0</v>
      </c>
      <c r="G3452" s="18">
        <f>IF(E3452=0,0,IF(Fixture!D457&lt;Fixture!F457,0,IF(Fixture!F457&lt;Fixture!D457,0,1)))</f>
        <v>0</v>
      </c>
      <c r="H3452" s="18">
        <f t="shared" si="716"/>
        <v>0</v>
      </c>
      <c r="I3452" s="64">
        <f t="shared" si="717"/>
        <v>0</v>
      </c>
      <c r="J3452" s="64">
        <f t="shared" si="718"/>
        <v>0</v>
      </c>
      <c r="K3452" s="63">
        <f t="shared" si="719"/>
        <v>0</v>
      </c>
      <c r="L3452" s="63">
        <f t="shared" si="720"/>
        <v>0</v>
      </c>
      <c r="N3452" s="10" t="str">
        <f t="shared" si="711"/>
        <v>00</v>
      </c>
      <c r="O3452" s="10">
        <f t="shared" si="712"/>
        <v>0</v>
      </c>
      <c r="P3452" s="10">
        <f t="shared" si="713"/>
        <v>0</v>
      </c>
      <c r="Q3452" s="10">
        <f t="shared" si="714"/>
        <v>0</v>
      </c>
    </row>
    <row r="3453" spans="1:17">
      <c r="A3453" s="15">
        <f t="shared" si="721"/>
        <v>0</v>
      </c>
      <c r="B3453" s="15"/>
      <c r="C3453" s="17">
        <f>Fixture!E458</f>
        <v>0</v>
      </c>
      <c r="D3453" s="18">
        <f>IF(E3453=0,0,IF(Fixture!D458&lt;Fixture!F458,3,IF(Fixture!F458&lt;Fixture!D458,0,1)))</f>
        <v>0</v>
      </c>
      <c r="E3453" s="18">
        <f t="shared" si="715"/>
        <v>0</v>
      </c>
      <c r="F3453" s="18">
        <f>IF(E3453=0,0,IF(Fixture!D458&lt;Fixture!F458,1,IF(Fixture!F458&lt;Fixture!D458,0,0)))</f>
        <v>0</v>
      </c>
      <c r="G3453" s="18">
        <f>IF(E3453=0,0,IF(Fixture!D458&lt;Fixture!F458,0,IF(Fixture!F458&lt;Fixture!D458,0,1)))</f>
        <v>0</v>
      </c>
      <c r="H3453" s="18">
        <f t="shared" si="716"/>
        <v>0</v>
      </c>
      <c r="I3453" s="64">
        <f t="shared" si="717"/>
        <v>0</v>
      </c>
      <c r="J3453" s="64">
        <f t="shared" si="718"/>
        <v>0</v>
      </c>
      <c r="K3453" s="63">
        <f t="shared" si="719"/>
        <v>0</v>
      </c>
      <c r="L3453" s="63">
        <f t="shared" si="720"/>
        <v>0</v>
      </c>
      <c r="N3453" s="10" t="str">
        <f t="shared" si="711"/>
        <v>00</v>
      </c>
      <c r="O3453" s="10">
        <f t="shared" si="712"/>
        <v>0</v>
      </c>
      <c r="P3453" s="10">
        <f t="shared" si="713"/>
        <v>0</v>
      </c>
      <c r="Q3453" s="10">
        <f t="shared" si="714"/>
        <v>0</v>
      </c>
    </row>
    <row r="3454" spans="1:17">
      <c r="A3454" s="15">
        <f t="shared" si="721"/>
        <v>0</v>
      </c>
      <c r="B3454" s="15"/>
      <c r="C3454" s="17">
        <f>Fixture!E459</f>
        <v>0</v>
      </c>
      <c r="D3454" s="18">
        <f>IF(E3454=0,0,IF(Fixture!D459&lt;Fixture!F459,3,IF(Fixture!F459&lt;Fixture!D459,0,1)))</f>
        <v>0</v>
      </c>
      <c r="E3454" s="18">
        <f t="shared" si="715"/>
        <v>0</v>
      </c>
      <c r="F3454" s="18">
        <f>IF(E3454=0,0,IF(Fixture!D459&lt;Fixture!F459,1,IF(Fixture!F459&lt;Fixture!D459,0,0)))</f>
        <v>0</v>
      </c>
      <c r="G3454" s="18">
        <f>IF(E3454=0,0,IF(Fixture!D459&lt;Fixture!F459,0,IF(Fixture!F459&lt;Fixture!D459,0,1)))</f>
        <v>0</v>
      </c>
      <c r="H3454" s="18">
        <f t="shared" si="716"/>
        <v>0</v>
      </c>
      <c r="I3454" s="64">
        <f t="shared" si="717"/>
        <v>0</v>
      </c>
      <c r="J3454" s="64">
        <f t="shared" si="718"/>
        <v>0</v>
      </c>
      <c r="K3454" s="63">
        <f t="shared" si="719"/>
        <v>0</v>
      </c>
      <c r="L3454" s="63">
        <f t="shared" si="720"/>
        <v>0</v>
      </c>
      <c r="N3454" s="10" t="str">
        <f t="shared" si="711"/>
        <v>00</v>
      </c>
      <c r="O3454" s="10">
        <f t="shared" si="712"/>
        <v>0</v>
      </c>
      <c r="P3454" s="10">
        <f t="shared" si="713"/>
        <v>0</v>
      </c>
      <c r="Q3454" s="10">
        <f t="shared" si="714"/>
        <v>0</v>
      </c>
    </row>
    <row r="3455" spans="1:17">
      <c r="A3455" s="15">
        <f t="shared" si="721"/>
        <v>0</v>
      </c>
      <c r="B3455" s="15"/>
      <c r="C3455" s="17">
        <f>Fixture!E460</f>
        <v>0</v>
      </c>
      <c r="D3455" s="18">
        <f>IF(E3455=0,0,IF(Fixture!D460&lt;Fixture!F460,3,IF(Fixture!F460&lt;Fixture!D460,0,1)))</f>
        <v>0</v>
      </c>
      <c r="E3455" s="18">
        <f t="shared" si="715"/>
        <v>0</v>
      </c>
      <c r="F3455" s="18">
        <f>IF(E3455=0,0,IF(Fixture!D460&lt;Fixture!F460,1,IF(Fixture!F460&lt;Fixture!D460,0,0)))</f>
        <v>0</v>
      </c>
      <c r="G3455" s="18">
        <f>IF(E3455=0,0,IF(Fixture!D460&lt;Fixture!F460,0,IF(Fixture!F460&lt;Fixture!D460,0,1)))</f>
        <v>0</v>
      </c>
      <c r="H3455" s="18">
        <f t="shared" si="716"/>
        <v>0</v>
      </c>
      <c r="I3455" s="64">
        <f t="shared" si="717"/>
        <v>0</v>
      </c>
      <c r="J3455" s="64">
        <f t="shared" si="718"/>
        <v>0</v>
      </c>
      <c r="K3455" s="63">
        <f t="shared" si="719"/>
        <v>0</v>
      </c>
      <c r="L3455" s="63">
        <f t="shared" si="720"/>
        <v>0</v>
      </c>
      <c r="N3455" s="10" t="str">
        <f t="shared" si="711"/>
        <v>00</v>
      </c>
      <c r="O3455" s="10">
        <f t="shared" si="712"/>
        <v>0</v>
      </c>
      <c r="P3455" s="10">
        <f t="shared" si="713"/>
        <v>0</v>
      </c>
      <c r="Q3455" s="10">
        <f t="shared" si="714"/>
        <v>0</v>
      </c>
    </row>
    <row r="3456" spans="1:17">
      <c r="A3456" s="15">
        <f t="shared" si="721"/>
        <v>0</v>
      </c>
      <c r="B3456" s="15"/>
      <c r="C3456" s="17">
        <f>Fixture!E461</f>
        <v>0</v>
      </c>
      <c r="D3456" s="18">
        <f>IF(E3456=0,0,IF(Fixture!D461&lt;Fixture!F461,3,IF(Fixture!F461&lt;Fixture!D461,0,1)))</f>
        <v>0</v>
      </c>
      <c r="E3456" s="18">
        <f t="shared" si="715"/>
        <v>0</v>
      </c>
      <c r="F3456" s="18">
        <f>IF(E3456=0,0,IF(Fixture!D461&lt;Fixture!F461,1,IF(Fixture!F461&lt;Fixture!D461,0,0)))</f>
        <v>0</v>
      </c>
      <c r="G3456" s="18">
        <f>IF(E3456=0,0,IF(Fixture!D461&lt;Fixture!F461,0,IF(Fixture!F461&lt;Fixture!D461,0,1)))</f>
        <v>0</v>
      </c>
      <c r="H3456" s="18">
        <f t="shared" si="716"/>
        <v>0</v>
      </c>
      <c r="I3456" s="64">
        <f t="shared" si="717"/>
        <v>0</v>
      </c>
      <c r="J3456" s="64">
        <f t="shared" si="718"/>
        <v>0</v>
      </c>
      <c r="K3456" s="63">
        <f t="shared" si="719"/>
        <v>0</v>
      </c>
      <c r="L3456" s="63">
        <f t="shared" si="720"/>
        <v>0</v>
      </c>
      <c r="N3456" s="10" t="str">
        <f t="shared" si="711"/>
        <v>00</v>
      </c>
      <c r="O3456" s="10">
        <f t="shared" si="712"/>
        <v>0</v>
      </c>
      <c r="P3456" s="10">
        <f t="shared" si="713"/>
        <v>0</v>
      </c>
      <c r="Q3456" s="10">
        <f t="shared" si="714"/>
        <v>0</v>
      </c>
    </row>
    <row r="3457" spans="1:17">
      <c r="A3457" s="15">
        <f t="shared" si="721"/>
        <v>0</v>
      </c>
      <c r="B3457" s="15"/>
      <c r="C3457" s="17">
        <f>Fixture!E462</f>
        <v>0</v>
      </c>
      <c r="D3457" s="18">
        <f>IF(E3457=0,0,IF(Fixture!D462&lt;Fixture!F462,3,IF(Fixture!F462&lt;Fixture!D462,0,1)))</f>
        <v>0</v>
      </c>
      <c r="E3457" s="18">
        <f t="shared" si="715"/>
        <v>0</v>
      </c>
      <c r="F3457" s="18">
        <f>IF(E3457=0,0,IF(Fixture!D462&lt;Fixture!F462,1,IF(Fixture!F462&lt;Fixture!D462,0,0)))</f>
        <v>0</v>
      </c>
      <c r="G3457" s="18">
        <f>IF(E3457=0,0,IF(Fixture!D462&lt;Fixture!F462,0,IF(Fixture!F462&lt;Fixture!D462,0,1)))</f>
        <v>0</v>
      </c>
      <c r="H3457" s="18">
        <f t="shared" si="716"/>
        <v>0</v>
      </c>
      <c r="I3457" s="64">
        <f t="shared" si="717"/>
        <v>0</v>
      </c>
      <c r="J3457" s="64">
        <f t="shared" si="718"/>
        <v>0</v>
      </c>
      <c r="K3457" s="63">
        <f t="shared" si="719"/>
        <v>0</v>
      </c>
      <c r="L3457" s="63">
        <f t="shared" si="720"/>
        <v>0</v>
      </c>
      <c r="N3457" s="10" t="str">
        <f t="shared" si="711"/>
        <v>00</v>
      </c>
      <c r="O3457" s="10">
        <f t="shared" si="712"/>
        <v>0</v>
      </c>
      <c r="P3457" s="10">
        <f t="shared" si="713"/>
        <v>0</v>
      </c>
      <c r="Q3457" s="10">
        <f t="shared" si="714"/>
        <v>0</v>
      </c>
    </row>
    <row r="3458" spans="1:17">
      <c r="A3458" s="15">
        <f t="shared" si="721"/>
        <v>0</v>
      </c>
      <c r="B3458" s="15"/>
      <c r="C3458" s="17">
        <f>Fixture!E463</f>
        <v>0</v>
      </c>
      <c r="D3458" s="18">
        <f>IF(E3458=0,0,IF(Fixture!D463&lt;Fixture!F463,3,IF(Fixture!F463&lt;Fixture!D463,0,1)))</f>
        <v>0</v>
      </c>
      <c r="E3458" s="18">
        <f t="shared" si="715"/>
        <v>0</v>
      </c>
      <c r="F3458" s="18">
        <f>IF(E3458=0,0,IF(Fixture!D463&lt;Fixture!F463,1,IF(Fixture!F463&lt;Fixture!D463,0,0)))</f>
        <v>0</v>
      </c>
      <c r="G3458" s="18">
        <f>IF(E3458=0,0,IF(Fixture!D463&lt;Fixture!F463,0,IF(Fixture!F463&lt;Fixture!D463,0,1)))</f>
        <v>0</v>
      </c>
      <c r="H3458" s="18">
        <f t="shared" si="716"/>
        <v>0</v>
      </c>
      <c r="I3458" s="64">
        <f t="shared" si="717"/>
        <v>0</v>
      </c>
      <c r="J3458" s="64">
        <f t="shared" si="718"/>
        <v>0</v>
      </c>
      <c r="K3458" s="63">
        <f t="shared" si="719"/>
        <v>0</v>
      </c>
      <c r="L3458" s="63">
        <f t="shared" si="720"/>
        <v>0</v>
      </c>
      <c r="N3458" s="10" t="str">
        <f t="shared" si="711"/>
        <v>00</v>
      </c>
      <c r="O3458" s="10">
        <f t="shared" si="712"/>
        <v>0</v>
      </c>
      <c r="P3458" s="10">
        <f t="shared" si="713"/>
        <v>0</v>
      </c>
      <c r="Q3458" s="10">
        <f t="shared" si="714"/>
        <v>0</v>
      </c>
    </row>
    <row r="3459" spans="1:17">
      <c r="A3459" s="15">
        <f t="shared" si="721"/>
        <v>0</v>
      </c>
      <c r="B3459" s="15"/>
      <c r="C3459" s="17">
        <f>Fixture!E464</f>
        <v>0</v>
      </c>
      <c r="D3459" s="18">
        <f>IF(E3459=0,0,IF(Fixture!D464&lt;Fixture!F464,3,IF(Fixture!F464&lt;Fixture!D464,0,1)))</f>
        <v>0</v>
      </c>
      <c r="E3459" s="18">
        <f t="shared" si="715"/>
        <v>0</v>
      </c>
      <c r="F3459" s="18">
        <f>IF(E3459=0,0,IF(Fixture!D464&lt;Fixture!F464,1,IF(Fixture!F464&lt;Fixture!D464,0,0)))</f>
        <v>0</v>
      </c>
      <c r="G3459" s="18">
        <f>IF(E3459=0,0,IF(Fixture!D464&lt;Fixture!F464,0,IF(Fixture!F464&lt;Fixture!D464,0,1)))</f>
        <v>0</v>
      </c>
      <c r="H3459" s="18">
        <f t="shared" si="716"/>
        <v>0</v>
      </c>
      <c r="I3459" s="64">
        <f t="shared" si="717"/>
        <v>0</v>
      </c>
      <c r="J3459" s="64">
        <f t="shared" si="718"/>
        <v>0</v>
      </c>
      <c r="K3459" s="63">
        <f t="shared" si="719"/>
        <v>0</v>
      </c>
      <c r="L3459" s="63">
        <f t="shared" si="720"/>
        <v>0</v>
      </c>
      <c r="N3459" s="10" t="str">
        <f t="shared" si="711"/>
        <v>00</v>
      </c>
      <c r="O3459" s="10">
        <f t="shared" si="712"/>
        <v>0</v>
      </c>
      <c r="P3459" s="10">
        <f t="shared" si="713"/>
        <v>0</v>
      </c>
      <c r="Q3459" s="10">
        <f t="shared" si="714"/>
        <v>0</v>
      </c>
    </row>
    <row r="3460" spans="1:17">
      <c r="A3460" s="15">
        <f t="shared" si="721"/>
        <v>0</v>
      </c>
      <c r="B3460" s="15"/>
      <c r="C3460" s="17">
        <f>Fixture!E465</f>
        <v>0</v>
      </c>
      <c r="D3460" s="18">
        <f>IF(E3460=0,0,IF(Fixture!D465&lt;Fixture!F465,3,IF(Fixture!F465&lt;Fixture!D465,0,1)))</f>
        <v>0</v>
      </c>
      <c r="E3460" s="18">
        <f t="shared" si="715"/>
        <v>0</v>
      </c>
      <c r="F3460" s="18">
        <f>IF(E3460=0,0,IF(Fixture!D465&lt;Fixture!F465,1,IF(Fixture!F465&lt;Fixture!D465,0,0)))</f>
        <v>0</v>
      </c>
      <c r="G3460" s="18">
        <f>IF(E3460=0,0,IF(Fixture!D465&lt;Fixture!F465,0,IF(Fixture!F465&lt;Fixture!D465,0,1)))</f>
        <v>0</v>
      </c>
      <c r="H3460" s="18">
        <f t="shared" si="716"/>
        <v>0</v>
      </c>
      <c r="I3460" s="64">
        <f t="shared" si="717"/>
        <v>0</v>
      </c>
      <c r="J3460" s="64">
        <f t="shared" si="718"/>
        <v>0</v>
      </c>
      <c r="K3460" s="63">
        <f t="shared" si="719"/>
        <v>0</v>
      </c>
      <c r="L3460" s="63">
        <f t="shared" si="720"/>
        <v>0</v>
      </c>
      <c r="N3460" s="10" t="str">
        <f t="shared" si="711"/>
        <v>00</v>
      </c>
      <c r="O3460" s="10">
        <f t="shared" si="712"/>
        <v>0</v>
      </c>
      <c r="P3460" s="10">
        <f t="shared" si="713"/>
        <v>0</v>
      </c>
      <c r="Q3460" s="10">
        <f t="shared" si="714"/>
        <v>0</v>
      </c>
    </row>
    <row r="3461" spans="1:17">
      <c r="A3461" s="15">
        <f t="shared" si="721"/>
        <v>0</v>
      </c>
      <c r="B3461" s="15"/>
      <c r="C3461" s="17">
        <f>Fixture!E466</f>
        <v>0</v>
      </c>
      <c r="D3461" s="18">
        <f>IF(E3461=0,0,IF(Fixture!D466&lt;Fixture!F466,3,IF(Fixture!F466&lt;Fixture!D466,0,1)))</f>
        <v>0</v>
      </c>
      <c r="E3461" s="18">
        <f t="shared" si="715"/>
        <v>0</v>
      </c>
      <c r="F3461" s="18">
        <f>IF(E3461=0,0,IF(Fixture!D466&lt;Fixture!F466,1,IF(Fixture!F466&lt;Fixture!D466,0,0)))</f>
        <v>0</v>
      </c>
      <c r="G3461" s="18">
        <f>IF(E3461=0,0,IF(Fixture!D466&lt;Fixture!F466,0,IF(Fixture!F466&lt;Fixture!D466,0,1)))</f>
        <v>0</v>
      </c>
      <c r="H3461" s="18">
        <f t="shared" si="716"/>
        <v>0</v>
      </c>
      <c r="I3461" s="64">
        <f t="shared" si="717"/>
        <v>0</v>
      </c>
      <c r="J3461" s="64">
        <f t="shared" si="718"/>
        <v>0</v>
      </c>
      <c r="K3461" s="63">
        <f t="shared" si="719"/>
        <v>0</v>
      </c>
      <c r="L3461" s="63">
        <f t="shared" si="720"/>
        <v>0</v>
      </c>
      <c r="N3461" s="10" t="str">
        <f t="shared" si="711"/>
        <v>00</v>
      </c>
      <c r="O3461" s="10">
        <f t="shared" si="712"/>
        <v>0</v>
      </c>
      <c r="P3461" s="10">
        <f t="shared" si="713"/>
        <v>0</v>
      </c>
      <c r="Q3461" s="10">
        <f t="shared" si="714"/>
        <v>0</v>
      </c>
    </row>
    <row r="3462" spans="1:17">
      <c r="A3462" s="15">
        <f t="shared" si="721"/>
        <v>0</v>
      </c>
      <c r="B3462" s="15"/>
      <c r="C3462" s="17">
        <f>Fixture!E467</f>
        <v>0</v>
      </c>
      <c r="D3462" s="18">
        <f>IF(E3462=0,0,IF(Fixture!D467&lt;Fixture!F467,3,IF(Fixture!F467&lt;Fixture!D467,0,1)))</f>
        <v>0</v>
      </c>
      <c r="E3462" s="18">
        <f t="shared" si="715"/>
        <v>0</v>
      </c>
      <c r="F3462" s="18">
        <f>IF(E3462=0,0,IF(Fixture!D467&lt;Fixture!F467,1,IF(Fixture!F467&lt;Fixture!D467,0,0)))</f>
        <v>0</v>
      </c>
      <c r="G3462" s="18">
        <f>IF(E3462=0,0,IF(Fixture!D467&lt;Fixture!F467,0,IF(Fixture!F467&lt;Fixture!D467,0,1)))</f>
        <v>0</v>
      </c>
      <c r="H3462" s="18">
        <f t="shared" si="716"/>
        <v>0</v>
      </c>
      <c r="I3462" s="64">
        <f t="shared" si="717"/>
        <v>0</v>
      </c>
      <c r="J3462" s="64">
        <f t="shared" si="718"/>
        <v>0</v>
      </c>
      <c r="K3462" s="63">
        <f t="shared" si="719"/>
        <v>0</v>
      </c>
      <c r="L3462" s="63">
        <f t="shared" si="720"/>
        <v>0</v>
      </c>
      <c r="N3462" s="10" t="str">
        <f t="shared" si="711"/>
        <v>00</v>
      </c>
      <c r="O3462" s="10">
        <f t="shared" si="712"/>
        <v>0</v>
      </c>
      <c r="P3462" s="10">
        <f t="shared" si="713"/>
        <v>0</v>
      </c>
      <c r="Q3462" s="10">
        <f t="shared" si="714"/>
        <v>0</v>
      </c>
    </row>
    <row r="3463" spans="1:17">
      <c r="A3463" s="15">
        <f t="shared" si="721"/>
        <v>0</v>
      </c>
      <c r="B3463" s="15"/>
      <c r="C3463" s="17">
        <f>Fixture!E468</f>
        <v>0</v>
      </c>
      <c r="D3463" s="18">
        <f>IF(E3463=0,0,IF(Fixture!D468&lt;Fixture!F468,3,IF(Fixture!F468&lt;Fixture!D468,0,1)))</f>
        <v>0</v>
      </c>
      <c r="E3463" s="18">
        <f t="shared" si="715"/>
        <v>0</v>
      </c>
      <c r="F3463" s="18">
        <f>IF(E3463=0,0,IF(Fixture!D468&lt;Fixture!F468,1,IF(Fixture!F468&lt;Fixture!D468,0,0)))</f>
        <v>0</v>
      </c>
      <c r="G3463" s="18">
        <f>IF(E3463=0,0,IF(Fixture!D468&lt;Fixture!F468,0,IF(Fixture!F468&lt;Fixture!D468,0,1)))</f>
        <v>0</v>
      </c>
      <c r="H3463" s="18">
        <f t="shared" si="716"/>
        <v>0</v>
      </c>
      <c r="I3463" s="64">
        <f t="shared" si="717"/>
        <v>0</v>
      </c>
      <c r="J3463" s="64">
        <f t="shared" si="718"/>
        <v>0</v>
      </c>
      <c r="K3463" s="63">
        <f t="shared" si="719"/>
        <v>0</v>
      </c>
      <c r="L3463" s="63">
        <f t="shared" si="720"/>
        <v>0</v>
      </c>
      <c r="N3463" s="10" t="str">
        <f t="shared" si="711"/>
        <v>00</v>
      </c>
      <c r="O3463" s="10">
        <f t="shared" si="712"/>
        <v>0</v>
      </c>
      <c r="P3463" s="10">
        <f t="shared" si="713"/>
        <v>0</v>
      </c>
      <c r="Q3463" s="10">
        <f t="shared" si="714"/>
        <v>0</v>
      </c>
    </row>
    <row r="3464" spans="1:17">
      <c r="A3464" s="15">
        <f t="shared" si="721"/>
        <v>0</v>
      </c>
      <c r="B3464" s="15"/>
      <c r="C3464" s="17">
        <f>Fixture!E469</f>
        <v>0</v>
      </c>
      <c r="D3464" s="18">
        <f>IF(E3464=0,0,IF(Fixture!D469&lt;Fixture!F469,3,IF(Fixture!F469&lt;Fixture!D469,0,1)))</f>
        <v>0</v>
      </c>
      <c r="E3464" s="18">
        <f t="shared" si="715"/>
        <v>0</v>
      </c>
      <c r="F3464" s="18">
        <f>IF(E3464=0,0,IF(Fixture!D469&lt;Fixture!F469,1,IF(Fixture!F469&lt;Fixture!D469,0,0)))</f>
        <v>0</v>
      </c>
      <c r="G3464" s="18">
        <f>IF(E3464=0,0,IF(Fixture!D469&lt;Fixture!F469,0,IF(Fixture!F469&lt;Fixture!D469,0,1)))</f>
        <v>0</v>
      </c>
      <c r="H3464" s="18">
        <f t="shared" si="716"/>
        <v>0</v>
      </c>
      <c r="I3464" s="64">
        <f t="shared" si="717"/>
        <v>0</v>
      </c>
      <c r="J3464" s="64">
        <f t="shared" si="718"/>
        <v>0</v>
      </c>
      <c r="K3464" s="63">
        <f t="shared" si="719"/>
        <v>0</v>
      </c>
      <c r="L3464" s="63">
        <f t="shared" si="720"/>
        <v>0</v>
      </c>
      <c r="N3464" s="10" t="str">
        <f t="shared" si="711"/>
        <v>00</v>
      </c>
      <c r="O3464" s="10">
        <f t="shared" si="712"/>
        <v>0</v>
      </c>
      <c r="P3464" s="10">
        <f t="shared" si="713"/>
        <v>0</v>
      </c>
      <c r="Q3464" s="10">
        <f t="shared" si="714"/>
        <v>0</v>
      </c>
    </row>
    <row r="3465" spans="1:17">
      <c r="A3465" s="15">
        <f t="shared" si="721"/>
        <v>0</v>
      </c>
      <c r="B3465" s="15"/>
      <c r="C3465" s="17">
        <f>Fixture!E470</f>
        <v>0</v>
      </c>
      <c r="D3465" s="18">
        <f>IF(E3465=0,0,IF(Fixture!D470&lt;Fixture!F470,3,IF(Fixture!F470&lt;Fixture!D470,0,1)))</f>
        <v>0</v>
      </c>
      <c r="E3465" s="18">
        <f t="shared" si="715"/>
        <v>0</v>
      </c>
      <c r="F3465" s="18">
        <f>IF(E3465=0,0,IF(Fixture!D470&lt;Fixture!F470,1,IF(Fixture!F470&lt;Fixture!D470,0,0)))</f>
        <v>0</v>
      </c>
      <c r="G3465" s="18">
        <f>IF(E3465=0,0,IF(Fixture!D470&lt;Fixture!F470,0,IF(Fixture!F470&lt;Fixture!D470,0,1)))</f>
        <v>0</v>
      </c>
      <c r="H3465" s="18">
        <f t="shared" si="716"/>
        <v>0</v>
      </c>
      <c r="I3465" s="64">
        <f t="shared" si="717"/>
        <v>0</v>
      </c>
      <c r="J3465" s="64">
        <f t="shared" si="718"/>
        <v>0</v>
      </c>
      <c r="K3465" s="63">
        <f t="shared" si="719"/>
        <v>0</v>
      </c>
      <c r="L3465" s="63">
        <f t="shared" si="720"/>
        <v>0</v>
      </c>
      <c r="N3465" s="10" t="str">
        <f t="shared" si="711"/>
        <v>00</v>
      </c>
      <c r="O3465" s="10">
        <f t="shared" si="712"/>
        <v>0</v>
      </c>
      <c r="P3465" s="10">
        <f t="shared" si="713"/>
        <v>0</v>
      </c>
      <c r="Q3465" s="10">
        <f t="shared" si="714"/>
        <v>0</v>
      </c>
    </row>
    <row r="3466" spans="1:17">
      <c r="A3466" s="15">
        <f t="shared" si="721"/>
        <v>0</v>
      </c>
      <c r="B3466" s="15"/>
      <c r="C3466" s="17">
        <f>Fixture!E471</f>
        <v>0</v>
      </c>
      <c r="D3466" s="18">
        <f>IF(E3466=0,0,IF(Fixture!D471&lt;Fixture!F471,3,IF(Fixture!F471&lt;Fixture!D471,0,1)))</f>
        <v>0</v>
      </c>
      <c r="E3466" s="18">
        <f t="shared" si="715"/>
        <v>0</v>
      </c>
      <c r="F3466" s="18">
        <f>IF(E3466=0,0,IF(Fixture!D471&lt;Fixture!F471,1,IF(Fixture!F471&lt;Fixture!D471,0,0)))</f>
        <v>0</v>
      </c>
      <c r="G3466" s="18">
        <f>IF(E3466=0,0,IF(Fixture!D471&lt;Fixture!F471,0,IF(Fixture!F471&lt;Fixture!D471,0,1)))</f>
        <v>0</v>
      </c>
      <c r="H3466" s="18">
        <f t="shared" si="716"/>
        <v>0</v>
      </c>
      <c r="I3466" s="64">
        <f t="shared" si="717"/>
        <v>0</v>
      </c>
      <c r="J3466" s="64">
        <f t="shared" si="718"/>
        <v>0</v>
      </c>
      <c r="K3466" s="63">
        <f t="shared" si="719"/>
        <v>0</v>
      </c>
      <c r="L3466" s="63">
        <f t="shared" si="720"/>
        <v>0</v>
      </c>
      <c r="N3466" s="10" t="str">
        <f t="shared" si="711"/>
        <v>00</v>
      </c>
      <c r="O3466" s="10">
        <f t="shared" si="712"/>
        <v>0</v>
      </c>
      <c r="P3466" s="10">
        <f t="shared" si="713"/>
        <v>0</v>
      </c>
      <c r="Q3466" s="10">
        <f t="shared" si="714"/>
        <v>0</v>
      </c>
    </row>
    <row r="3467" spans="1:17">
      <c r="A3467" s="15">
        <f t="shared" si="721"/>
        <v>0</v>
      </c>
      <c r="B3467" s="15"/>
      <c r="C3467" s="17">
        <f>Fixture!E472</f>
        <v>0</v>
      </c>
      <c r="D3467" s="18">
        <f>IF(E3467=0,0,IF(Fixture!D472&lt;Fixture!F472,3,IF(Fixture!F472&lt;Fixture!D472,0,1)))</f>
        <v>0</v>
      </c>
      <c r="E3467" s="18">
        <f t="shared" si="715"/>
        <v>0</v>
      </c>
      <c r="F3467" s="18">
        <f>IF(E3467=0,0,IF(Fixture!D472&lt;Fixture!F472,1,IF(Fixture!F472&lt;Fixture!D472,0,0)))</f>
        <v>0</v>
      </c>
      <c r="G3467" s="18">
        <f>IF(E3467=0,0,IF(Fixture!D472&lt;Fixture!F472,0,IF(Fixture!F472&lt;Fixture!D472,0,1)))</f>
        <v>0</v>
      </c>
      <c r="H3467" s="18">
        <f t="shared" si="716"/>
        <v>0</v>
      </c>
      <c r="I3467" s="64">
        <f t="shared" si="717"/>
        <v>0</v>
      </c>
      <c r="J3467" s="64">
        <f t="shared" si="718"/>
        <v>0</v>
      </c>
      <c r="K3467" s="63">
        <f t="shared" si="719"/>
        <v>0</v>
      </c>
      <c r="L3467" s="63">
        <f t="shared" si="720"/>
        <v>0</v>
      </c>
      <c r="N3467" s="10" t="str">
        <f t="shared" si="711"/>
        <v>00</v>
      </c>
      <c r="O3467" s="10">
        <f t="shared" si="712"/>
        <v>0</v>
      </c>
      <c r="P3467" s="10">
        <f t="shared" si="713"/>
        <v>0</v>
      </c>
      <c r="Q3467" s="10">
        <f t="shared" si="714"/>
        <v>0</v>
      </c>
    </row>
    <row r="3468" spans="1:17">
      <c r="A3468" s="15">
        <f t="shared" si="721"/>
        <v>0</v>
      </c>
      <c r="B3468" s="15"/>
      <c r="C3468" s="17">
        <f>Fixture!E473</f>
        <v>0</v>
      </c>
      <c r="D3468" s="18">
        <f>IF(E3468=0,0,IF(Fixture!D473&lt;Fixture!F473,3,IF(Fixture!F473&lt;Fixture!D473,0,1)))</f>
        <v>0</v>
      </c>
      <c r="E3468" s="18">
        <f t="shared" si="715"/>
        <v>0</v>
      </c>
      <c r="F3468" s="18">
        <f>IF(E3468=0,0,IF(Fixture!D473&lt;Fixture!F473,1,IF(Fixture!F473&lt;Fixture!D473,0,0)))</f>
        <v>0</v>
      </c>
      <c r="G3468" s="18">
        <f>IF(E3468=0,0,IF(Fixture!D473&lt;Fixture!F473,0,IF(Fixture!F473&lt;Fixture!D473,0,1)))</f>
        <v>0</v>
      </c>
      <c r="H3468" s="18">
        <f t="shared" si="716"/>
        <v>0</v>
      </c>
      <c r="I3468" s="64">
        <f t="shared" si="717"/>
        <v>0</v>
      </c>
      <c r="J3468" s="64">
        <f t="shared" si="718"/>
        <v>0</v>
      </c>
      <c r="K3468" s="63">
        <f t="shared" si="719"/>
        <v>0</v>
      </c>
      <c r="L3468" s="63">
        <f t="shared" si="720"/>
        <v>0</v>
      </c>
      <c r="N3468" s="10" t="str">
        <f t="shared" si="711"/>
        <v>00</v>
      </c>
      <c r="O3468" s="10">
        <f t="shared" si="712"/>
        <v>0</v>
      </c>
      <c r="P3468" s="10">
        <f t="shared" si="713"/>
        <v>0</v>
      </c>
      <c r="Q3468" s="10">
        <f t="shared" si="714"/>
        <v>0</v>
      </c>
    </row>
    <row r="3469" spans="1:17">
      <c r="A3469" s="15">
        <f t="shared" si="721"/>
        <v>0</v>
      </c>
      <c r="B3469" s="15"/>
      <c r="C3469" s="17">
        <f>Fixture!E474</f>
        <v>0</v>
      </c>
      <c r="D3469" s="18">
        <f>IF(E3469=0,0,IF(Fixture!D474&lt;Fixture!F474,3,IF(Fixture!F474&lt;Fixture!D474,0,1)))</f>
        <v>0</v>
      </c>
      <c r="E3469" s="18">
        <f t="shared" si="715"/>
        <v>0</v>
      </c>
      <c r="F3469" s="18">
        <f>IF(E3469=0,0,IF(Fixture!D474&lt;Fixture!F474,1,IF(Fixture!F474&lt;Fixture!D474,0,0)))</f>
        <v>0</v>
      </c>
      <c r="G3469" s="18">
        <f>IF(E3469=0,0,IF(Fixture!D474&lt;Fixture!F474,0,IF(Fixture!F474&lt;Fixture!D474,0,1)))</f>
        <v>0</v>
      </c>
      <c r="H3469" s="18">
        <f t="shared" si="716"/>
        <v>0</v>
      </c>
      <c r="I3469" s="64">
        <f t="shared" si="717"/>
        <v>0</v>
      </c>
      <c r="J3469" s="64">
        <f t="shared" si="718"/>
        <v>0</v>
      </c>
      <c r="K3469" s="63">
        <f t="shared" si="719"/>
        <v>0</v>
      </c>
      <c r="L3469" s="63">
        <f t="shared" si="720"/>
        <v>0</v>
      </c>
      <c r="N3469" s="10" t="str">
        <f t="shared" si="711"/>
        <v>00</v>
      </c>
      <c r="O3469" s="10">
        <f t="shared" si="712"/>
        <v>0</v>
      </c>
      <c r="P3469" s="10">
        <f t="shared" si="713"/>
        <v>0</v>
      </c>
      <c r="Q3469" s="10">
        <f t="shared" si="714"/>
        <v>0</v>
      </c>
    </row>
    <row r="3470" spans="1:17">
      <c r="A3470" s="15">
        <f t="shared" si="721"/>
        <v>0</v>
      </c>
      <c r="B3470" s="15"/>
      <c r="C3470" s="17">
        <f>Fixture!E475</f>
        <v>0</v>
      </c>
      <c r="D3470" s="18">
        <f>IF(E3470=0,0,IF(Fixture!D475&lt;Fixture!F475,3,IF(Fixture!F475&lt;Fixture!D475,0,1)))</f>
        <v>0</v>
      </c>
      <c r="E3470" s="18">
        <f t="shared" si="715"/>
        <v>0</v>
      </c>
      <c r="F3470" s="18">
        <f>IF(E3470=0,0,IF(Fixture!D475&lt;Fixture!F475,1,IF(Fixture!F475&lt;Fixture!D475,0,0)))</f>
        <v>0</v>
      </c>
      <c r="G3470" s="18">
        <f>IF(E3470=0,0,IF(Fixture!D475&lt;Fixture!F475,0,IF(Fixture!F475&lt;Fixture!D475,0,1)))</f>
        <v>0</v>
      </c>
      <c r="H3470" s="18">
        <f t="shared" si="716"/>
        <v>0</v>
      </c>
      <c r="I3470" s="64">
        <f t="shared" si="717"/>
        <v>0</v>
      </c>
      <c r="J3470" s="64">
        <f t="shared" si="718"/>
        <v>0</v>
      </c>
      <c r="K3470" s="63">
        <f t="shared" si="719"/>
        <v>0</v>
      </c>
      <c r="L3470" s="63">
        <f t="shared" si="720"/>
        <v>0</v>
      </c>
      <c r="N3470" s="10" t="str">
        <f t="shared" si="711"/>
        <v>00</v>
      </c>
      <c r="O3470" s="10">
        <f t="shared" si="712"/>
        <v>0</v>
      </c>
      <c r="P3470" s="10">
        <f t="shared" si="713"/>
        <v>0</v>
      </c>
      <c r="Q3470" s="10">
        <f t="shared" si="714"/>
        <v>0</v>
      </c>
    </row>
    <row r="3471" spans="1:17">
      <c r="A3471" s="15">
        <f t="shared" si="721"/>
        <v>0</v>
      </c>
      <c r="B3471" s="15"/>
      <c r="C3471" s="17">
        <f>Fixture!E476</f>
        <v>0</v>
      </c>
      <c r="D3471" s="18">
        <f>IF(E3471=0,0,IF(Fixture!D476&lt;Fixture!F476,3,IF(Fixture!F476&lt;Fixture!D476,0,1)))</f>
        <v>0</v>
      </c>
      <c r="E3471" s="18">
        <f t="shared" si="715"/>
        <v>0</v>
      </c>
      <c r="F3471" s="18">
        <f>IF(E3471=0,0,IF(Fixture!D476&lt;Fixture!F476,1,IF(Fixture!F476&lt;Fixture!D476,0,0)))</f>
        <v>0</v>
      </c>
      <c r="G3471" s="18">
        <f>IF(E3471=0,0,IF(Fixture!D476&lt;Fixture!F476,0,IF(Fixture!F476&lt;Fixture!D476,0,1)))</f>
        <v>0</v>
      </c>
      <c r="H3471" s="18">
        <f t="shared" si="716"/>
        <v>0</v>
      </c>
      <c r="I3471" s="64">
        <f t="shared" si="717"/>
        <v>0</v>
      </c>
      <c r="J3471" s="64">
        <f t="shared" si="718"/>
        <v>0</v>
      </c>
      <c r="K3471" s="63">
        <f t="shared" si="719"/>
        <v>0</v>
      </c>
      <c r="L3471" s="63">
        <f t="shared" si="720"/>
        <v>0</v>
      </c>
      <c r="N3471" s="10" t="str">
        <f t="shared" si="711"/>
        <v>00</v>
      </c>
      <c r="O3471" s="10">
        <f t="shared" si="712"/>
        <v>0</v>
      </c>
      <c r="P3471" s="10">
        <f t="shared" si="713"/>
        <v>0</v>
      </c>
      <c r="Q3471" s="10">
        <f t="shared" si="714"/>
        <v>0</v>
      </c>
    </row>
    <row r="3472" spans="1:17">
      <c r="A3472" s="15">
        <f t="shared" si="721"/>
        <v>0</v>
      </c>
      <c r="B3472" s="15"/>
      <c r="C3472" s="17">
        <f>Fixture!E477</f>
        <v>0</v>
      </c>
      <c r="D3472" s="18">
        <f>IF(E3472=0,0,IF(Fixture!D477&lt;Fixture!F477,3,IF(Fixture!F477&lt;Fixture!D477,0,1)))</f>
        <v>0</v>
      </c>
      <c r="E3472" s="18">
        <f t="shared" si="715"/>
        <v>0</v>
      </c>
      <c r="F3472" s="18">
        <f>IF(E3472=0,0,IF(Fixture!D477&lt;Fixture!F477,1,IF(Fixture!F477&lt;Fixture!D477,0,0)))</f>
        <v>0</v>
      </c>
      <c r="G3472" s="18">
        <f>IF(E3472=0,0,IF(Fixture!D477&lt;Fixture!F477,0,IF(Fixture!F477&lt;Fixture!D477,0,1)))</f>
        <v>0</v>
      </c>
      <c r="H3472" s="18">
        <f t="shared" si="716"/>
        <v>0</v>
      </c>
      <c r="I3472" s="64">
        <f t="shared" si="717"/>
        <v>0</v>
      </c>
      <c r="J3472" s="64">
        <f t="shared" si="718"/>
        <v>0</v>
      </c>
      <c r="K3472" s="63">
        <f t="shared" si="719"/>
        <v>0</v>
      </c>
      <c r="L3472" s="63">
        <f t="shared" si="720"/>
        <v>0</v>
      </c>
      <c r="N3472" s="10" t="str">
        <f t="shared" si="711"/>
        <v>00</v>
      </c>
      <c r="O3472" s="10">
        <f t="shared" si="712"/>
        <v>0</v>
      </c>
      <c r="P3472" s="10">
        <f t="shared" si="713"/>
        <v>0</v>
      </c>
      <c r="Q3472" s="10">
        <f t="shared" si="714"/>
        <v>0</v>
      </c>
    </row>
    <row r="3473" spans="1:17">
      <c r="A3473" s="15">
        <f t="shared" si="721"/>
        <v>0</v>
      </c>
      <c r="B3473" s="15"/>
      <c r="C3473" s="17">
        <f>Fixture!E478</f>
        <v>0</v>
      </c>
      <c r="D3473" s="18">
        <f>IF(E3473=0,0,IF(Fixture!D478&lt;Fixture!F478,3,IF(Fixture!F478&lt;Fixture!D478,0,1)))</f>
        <v>0</v>
      </c>
      <c r="E3473" s="18">
        <f t="shared" si="715"/>
        <v>0</v>
      </c>
      <c r="F3473" s="18">
        <f>IF(E3473=0,0,IF(Fixture!D478&lt;Fixture!F478,1,IF(Fixture!F478&lt;Fixture!D478,0,0)))</f>
        <v>0</v>
      </c>
      <c r="G3473" s="18">
        <f>IF(E3473=0,0,IF(Fixture!D478&lt;Fixture!F478,0,IF(Fixture!F478&lt;Fixture!D478,0,1)))</f>
        <v>0</v>
      </c>
      <c r="H3473" s="18">
        <f t="shared" si="716"/>
        <v>0</v>
      </c>
      <c r="I3473" s="64">
        <f t="shared" si="717"/>
        <v>0</v>
      </c>
      <c r="J3473" s="64">
        <f t="shared" si="718"/>
        <v>0</v>
      </c>
      <c r="K3473" s="63">
        <f t="shared" si="719"/>
        <v>0</v>
      </c>
      <c r="L3473" s="63">
        <f t="shared" si="720"/>
        <v>0</v>
      </c>
      <c r="N3473" s="10" t="str">
        <f t="shared" si="711"/>
        <v>00</v>
      </c>
      <c r="O3473" s="10">
        <f t="shared" si="712"/>
        <v>0</v>
      </c>
      <c r="P3473" s="10">
        <f t="shared" si="713"/>
        <v>0</v>
      </c>
      <c r="Q3473" s="10">
        <f t="shared" si="714"/>
        <v>0</v>
      </c>
    </row>
    <row r="3474" spans="1:17">
      <c r="A3474" s="15">
        <f t="shared" si="721"/>
        <v>0</v>
      </c>
      <c r="B3474" s="15"/>
      <c r="C3474" s="17">
        <f>Fixture!E479</f>
        <v>0</v>
      </c>
      <c r="D3474" s="18">
        <f>IF(E3474=0,0,IF(Fixture!D479&lt;Fixture!F479,3,IF(Fixture!F479&lt;Fixture!D479,0,1)))</f>
        <v>0</v>
      </c>
      <c r="E3474" s="18">
        <f t="shared" si="715"/>
        <v>0</v>
      </c>
      <c r="F3474" s="18">
        <f>IF(E3474=0,0,IF(Fixture!D479&lt;Fixture!F479,1,IF(Fixture!F479&lt;Fixture!D479,0,0)))</f>
        <v>0</v>
      </c>
      <c r="G3474" s="18">
        <f>IF(E3474=0,0,IF(Fixture!D479&lt;Fixture!F479,0,IF(Fixture!F479&lt;Fixture!D479,0,1)))</f>
        <v>0</v>
      </c>
      <c r="H3474" s="18">
        <f t="shared" si="716"/>
        <v>0</v>
      </c>
      <c r="I3474" s="64">
        <f t="shared" si="717"/>
        <v>0</v>
      </c>
      <c r="J3474" s="64">
        <f t="shared" si="718"/>
        <v>0</v>
      </c>
      <c r="K3474" s="63">
        <f t="shared" si="719"/>
        <v>0</v>
      </c>
      <c r="L3474" s="63">
        <f t="shared" si="720"/>
        <v>0</v>
      </c>
      <c r="N3474" s="10" t="str">
        <f t="shared" ref="N3474:N3537" si="722">CONCATENATE(C3474,A3474)</f>
        <v>00</v>
      </c>
      <c r="O3474" s="10">
        <f t="shared" ref="O3474:O3537" si="723">D3474</f>
        <v>0</v>
      </c>
      <c r="P3474" s="10">
        <f t="shared" ref="P3474:P3537" si="724">I3474</f>
        <v>0</v>
      </c>
      <c r="Q3474" s="10">
        <f t="shared" ref="Q3474:Q3537" si="725">J3474</f>
        <v>0</v>
      </c>
    </row>
    <row r="3475" spans="1:17">
      <c r="A3475" s="15">
        <f t="shared" si="721"/>
        <v>0</v>
      </c>
      <c r="B3475" s="15"/>
      <c r="C3475" s="17">
        <f>Fixture!E480</f>
        <v>0</v>
      </c>
      <c r="D3475" s="18">
        <f>IF(E3475=0,0,IF(Fixture!D480&lt;Fixture!F480,3,IF(Fixture!F480&lt;Fixture!D480,0,1)))</f>
        <v>0</v>
      </c>
      <c r="E3475" s="18">
        <f t="shared" si="715"/>
        <v>0</v>
      </c>
      <c r="F3475" s="18">
        <f>IF(E3475=0,0,IF(Fixture!D480&lt;Fixture!F480,1,IF(Fixture!F480&lt;Fixture!D480,0,0)))</f>
        <v>0</v>
      </c>
      <c r="G3475" s="18">
        <f>IF(E3475=0,0,IF(Fixture!D480&lt;Fixture!F480,0,IF(Fixture!F480&lt;Fixture!D480,0,1)))</f>
        <v>0</v>
      </c>
      <c r="H3475" s="18">
        <f t="shared" si="716"/>
        <v>0</v>
      </c>
      <c r="I3475" s="64">
        <f t="shared" si="717"/>
        <v>0</v>
      </c>
      <c r="J3475" s="64">
        <f t="shared" si="718"/>
        <v>0</v>
      </c>
      <c r="K3475" s="63">
        <f t="shared" si="719"/>
        <v>0</v>
      </c>
      <c r="L3475" s="63">
        <f t="shared" si="720"/>
        <v>0</v>
      </c>
      <c r="N3475" s="10" t="str">
        <f t="shared" si="722"/>
        <v>00</v>
      </c>
      <c r="O3475" s="10">
        <f t="shared" si="723"/>
        <v>0</v>
      </c>
      <c r="P3475" s="10">
        <f t="shared" si="724"/>
        <v>0</v>
      </c>
      <c r="Q3475" s="10">
        <f t="shared" si="725"/>
        <v>0</v>
      </c>
    </row>
    <row r="3476" spans="1:17">
      <c r="A3476" s="15">
        <f t="shared" si="721"/>
        <v>0</v>
      </c>
      <c r="B3476" s="15"/>
      <c r="C3476" s="17">
        <f>Fixture!E481</f>
        <v>0</v>
      </c>
      <c r="D3476" s="18">
        <f>IF(E3476=0,0,IF(Fixture!D481&lt;Fixture!F481,3,IF(Fixture!F481&lt;Fixture!D481,0,1)))</f>
        <v>0</v>
      </c>
      <c r="E3476" s="18">
        <f t="shared" si="715"/>
        <v>0</v>
      </c>
      <c r="F3476" s="18">
        <f>IF(E3476=0,0,IF(Fixture!D481&lt;Fixture!F481,1,IF(Fixture!F481&lt;Fixture!D481,0,0)))</f>
        <v>0</v>
      </c>
      <c r="G3476" s="18">
        <f>IF(E3476=0,0,IF(Fixture!D481&lt;Fixture!F481,0,IF(Fixture!F481&lt;Fixture!D481,0,1)))</f>
        <v>0</v>
      </c>
      <c r="H3476" s="18">
        <f t="shared" si="716"/>
        <v>0</v>
      </c>
      <c r="I3476" s="64">
        <f t="shared" si="717"/>
        <v>0</v>
      </c>
      <c r="J3476" s="64">
        <f t="shared" si="718"/>
        <v>0</v>
      </c>
      <c r="K3476" s="63">
        <f t="shared" si="719"/>
        <v>0</v>
      </c>
      <c r="L3476" s="63">
        <f t="shared" si="720"/>
        <v>0</v>
      </c>
      <c r="N3476" s="10" t="str">
        <f t="shared" si="722"/>
        <v>00</v>
      </c>
      <c r="O3476" s="10">
        <f t="shared" si="723"/>
        <v>0</v>
      </c>
      <c r="P3476" s="10">
        <f t="shared" si="724"/>
        <v>0</v>
      </c>
      <c r="Q3476" s="10">
        <f t="shared" si="725"/>
        <v>0</v>
      </c>
    </row>
    <row r="3477" spans="1:17">
      <c r="A3477" s="15">
        <f t="shared" si="721"/>
        <v>0</v>
      </c>
      <c r="B3477" s="15"/>
      <c r="C3477" s="17">
        <f>Fixture!E482</f>
        <v>0</v>
      </c>
      <c r="D3477" s="18">
        <f>IF(E3477=0,0,IF(Fixture!D482&lt;Fixture!F482,3,IF(Fixture!F482&lt;Fixture!D482,0,1)))</f>
        <v>0</v>
      </c>
      <c r="E3477" s="18">
        <f t="shared" si="715"/>
        <v>0</v>
      </c>
      <c r="F3477" s="18">
        <f>IF(E3477=0,0,IF(Fixture!D482&lt;Fixture!F482,1,IF(Fixture!F482&lt;Fixture!D482,0,0)))</f>
        <v>0</v>
      </c>
      <c r="G3477" s="18">
        <f>IF(E3477=0,0,IF(Fixture!D482&lt;Fixture!F482,0,IF(Fixture!F482&lt;Fixture!D482,0,1)))</f>
        <v>0</v>
      </c>
      <c r="H3477" s="18">
        <f t="shared" si="716"/>
        <v>0</v>
      </c>
      <c r="I3477" s="64">
        <f t="shared" si="717"/>
        <v>0</v>
      </c>
      <c r="J3477" s="64">
        <f t="shared" si="718"/>
        <v>0</v>
      </c>
      <c r="K3477" s="63">
        <f t="shared" si="719"/>
        <v>0</v>
      </c>
      <c r="L3477" s="63">
        <f t="shared" si="720"/>
        <v>0</v>
      </c>
      <c r="N3477" s="10" t="str">
        <f t="shared" si="722"/>
        <v>00</v>
      </c>
      <c r="O3477" s="10">
        <f t="shared" si="723"/>
        <v>0</v>
      </c>
      <c r="P3477" s="10">
        <f t="shared" si="724"/>
        <v>0</v>
      </c>
      <c r="Q3477" s="10">
        <f t="shared" si="725"/>
        <v>0</v>
      </c>
    </row>
    <row r="3478" spans="1:17">
      <c r="A3478" s="15">
        <f t="shared" si="721"/>
        <v>0</v>
      </c>
      <c r="B3478" s="15"/>
      <c r="C3478" s="17">
        <f>Fixture!E483</f>
        <v>0</v>
      </c>
      <c r="D3478" s="18">
        <f>IF(E3478=0,0,IF(Fixture!D483&lt;Fixture!F483,3,IF(Fixture!F483&lt;Fixture!D483,0,1)))</f>
        <v>0</v>
      </c>
      <c r="E3478" s="18">
        <f t="shared" si="715"/>
        <v>0</v>
      </c>
      <c r="F3478" s="18">
        <f>IF(E3478=0,0,IF(Fixture!D483&lt;Fixture!F483,1,IF(Fixture!F483&lt;Fixture!D483,0,0)))</f>
        <v>0</v>
      </c>
      <c r="G3478" s="18">
        <f>IF(E3478=0,0,IF(Fixture!D483&lt;Fixture!F483,0,IF(Fixture!F483&lt;Fixture!D483,0,1)))</f>
        <v>0</v>
      </c>
      <c r="H3478" s="18">
        <f t="shared" si="716"/>
        <v>0</v>
      </c>
      <c r="I3478" s="64">
        <f t="shared" si="717"/>
        <v>0</v>
      </c>
      <c r="J3478" s="64">
        <f t="shared" si="718"/>
        <v>0</v>
      </c>
      <c r="K3478" s="63">
        <f t="shared" si="719"/>
        <v>0</v>
      </c>
      <c r="L3478" s="63">
        <f t="shared" si="720"/>
        <v>0</v>
      </c>
      <c r="N3478" s="10" t="str">
        <f t="shared" si="722"/>
        <v>00</v>
      </c>
      <c r="O3478" s="10">
        <f t="shared" si="723"/>
        <v>0</v>
      </c>
      <c r="P3478" s="10">
        <f t="shared" si="724"/>
        <v>0</v>
      </c>
      <c r="Q3478" s="10">
        <f t="shared" si="725"/>
        <v>0</v>
      </c>
    </row>
    <row r="3479" spans="1:17">
      <c r="A3479" s="15">
        <f t="shared" si="721"/>
        <v>0</v>
      </c>
      <c r="B3479" s="15"/>
      <c r="C3479" s="17">
        <f>Fixture!E484</f>
        <v>0</v>
      </c>
      <c r="D3479" s="18">
        <f>IF(E3479=0,0,IF(Fixture!D484&lt;Fixture!F484,3,IF(Fixture!F484&lt;Fixture!D484,0,1)))</f>
        <v>0</v>
      </c>
      <c r="E3479" s="18">
        <f t="shared" si="715"/>
        <v>0</v>
      </c>
      <c r="F3479" s="18">
        <f>IF(E3479=0,0,IF(Fixture!D484&lt;Fixture!F484,1,IF(Fixture!F484&lt;Fixture!D484,0,0)))</f>
        <v>0</v>
      </c>
      <c r="G3479" s="18">
        <f>IF(E3479=0,0,IF(Fixture!D484&lt;Fixture!F484,0,IF(Fixture!F484&lt;Fixture!D484,0,1)))</f>
        <v>0</v>
      </c>
      <c r="H3479" s="18">
        <f t="shared" si="716"/>
        <v>0</v>
      </c>
      <c r="I3479" s="64">
        <f t="shared" si="717"/>
        <v>0</v>
      </c>
      <c r="J3479" s="64">
        <f t="shared" si="718"/>
        <v>0</v>
      </c>
      <c r="K3479" s="63">
        <f t="shared" si="719"/>
        <v>0</v>
      </c>
      <c r="L3479" s="63">
        <f t="shared" si="720"/>
        <v>0</v>
      </c>
      <c r="N3479" s="10" t="str">
        <f t="shared" si="722"/>
        <v>00</v>
      </c>
      <c r="O3479" s="10">
        <f t="shared" si="723"/>
        <v>0</v>
      </c>
      <c r="P3479" s="10">
        <f t="shared" si="724"/>
        <v>0</v>
      </c>
      <c r="Q3479" s="10">
        <f t="shared" si="725"/>
        <v>0</v>
      </c>
    </row>
    <row r="3480" spans="1:17">
      <c r="A3480" s="15">
        <f t="shared" si="721"/>
        <v>0</v>
      </c>
      <c r="B3480" s="15"/>
      <c r="C3480" s="17">
        <f>Fixture!E485</f>
        <v>0</v>
      </c>
      <c r="D3480" s="18">
        <f>IF(E3480=0,0,IF(Fixture!D485&lt;Fixture!F485,3,IF(Fixture!F485&lt;Fixture!D485,0,1)))</f>
        <v>0</v>
      </c>
      <c r="E3480" s="18">
        <f t="shared" si="715"/>
        <v>0</v>
      </c>
      <c r="F3480" s="18">
        <f>IF(E3480=0,0,IF(Fixture!D485&lt;Fixture!F485,1,IF(Fixture!F485&lt;Fixture!D485,0,0)))</f>
        <v>0</v>
      </c>
      <c r="G3480" s="18">
        <f>IF(E3480=0,0,IF(Fixture!D485&lt;Fixture!F485,0,IF(Fixture!F485&lt;Fixture!D485,0,1)))</f>
        <v>0</v>
      </c>
      <c r="H3480" s="18">
        <f t="shared" si="716"/>
        <v>0</v>
      </c>
      <c r="I3480" s="64">
        <f t="shared" si="717"/>
        <v>0</v>
      </c>
      <c r="J3480" s="64">
        <f t="shared" si="718"/>
        <v>0</v>
      </c>
      <c r="K3480" s="63">
        <f t="shared" si="719"/>
        <v>0</v>
      </c>
      <c r="L3480" s="63">
        <f t="shared" si="720"/>
        <v>0</v>
      </c>
      <c r="N3480" s="10" t="str">
        <f t="shared" si="722"/>
        <v>00</v>
      </c>
      <c r="O3480" s="10">
        <f t="shared" si="723"/>
        <v>0</v>
      </c>
      <c r="P3480" s="10">
        <f t="shared" si="724"/>
        <v>0</v>
      </c>
      <c r="Q3480" s="10">
        <f t="shared" si="725"/>
        <v>0</v>
      </c>
    </row>
    <row r="3481" spans="1:17">
      <c r="A3481" s="15">
        <f t="shared" si="721"/>
        <v>0</v>
      </c>
      <c r="B3481" s="15"/>
      <c r="C3481" s="17">
        <f>Fixture!E486</f>
        <v>0</v>
      </c>
      <c r="D3481" s="18">
        <f>IF(E3481=0,0,IF(Fixture!D486&lt;Fixture!F486,3,IF(Fixture!F486&lt;Fixture!D486,0,1)))</f>
        <v>0</v>
      </c>
      <c r="E3481" s="18">
        <f t="shared" si="715"/>
        <v>0</v>
      </c>
      <c r="F3481" s="18">
        <f>IF(E3481=0,0,IF(Fixture!D486&lt;Fixture!F486,1,IF(Fixture!F486&lt;Fixture!D486,0,0)))</f>
        <v>0</v>
      </c>
      <c r="G3481" s="18">
        <f>IF(E3481=0,0,IF(Fixture!D486&lt;Fixture!F486,0,IF(Fixture!F486&lt;Fixture!D486,0,1)))</f>
        <v>0</v>
      </c>
      <c r="H3481" s="18">
        <f t="shared" si="716"/>
        <v>0</v>
      </c>
      <c r="I3481" s="64">
        <f t="shared" si="717"/>
        <v>0</v>
      </c>
      <c r="J3481" s="64">
        <f t="shared" si="718"/>
        <v>0</v>
      </c>
      <c r="K3481" s="63">
        <f t="shared" si="719"/>
        <v>0</v>
      </c>
      <c r="L3481" s="63">
        <f t="shared" si="720"/>
        <v>0</v>
      </c>
      <c r="N3481" s="10" t="str">
        <f t="shared" si="722"/>
        <v>00</v>
      </c>
      <c r="O3481" s="10">
        <f t="shared" si="723"/>
        <v>0</v>
      </c>
      <c r="P3481" s="10">
        <f t="shared" si="724"/>
        <v>0</v>
      </c>
      <c r="Q3481" s="10">
        <f t="shared" si="725"/>
        <v>0</v>
      </c>
    </row>
    <row r="3482" spans="1:17">
      <c r="A3482" s="15">
        <f t="shared" si="721"/>
        <v>0</v>
      </c>
      <c r="B3482" s="15"/>
      <c r="C3482" s="17">
        <f>Fixture!E487</f>
        <v>0</v>
      </c>
      <c r="D3482" s="18">
        <f>IF(E3482=0,0,IF(Fixture!D487&lt;Fixture!F487,3,IF(Fixture!F487&lt;Fixture!D487,0,1)))</f>
        <v>0</v>
      </c>
      <c r="E3482" s="18">
        <f t="shared" si="715"/>
        <v>0</v>
      </c>
      <c r="F3482" s="18">
        <f>IF(E3482=0,0,IF(Fixture!D487&lt;Fixture!F487,1,IF(Fixture!F487&lt;Fixture!D487,0,0)))</f>
        <v>0</v>
      </c>
      <c r="G3482" s="18">
        <f>IF(E3482=0,0,IF(Fixture!D487&lt;Fixture!F487,0,IF(Fixture!F487&lt;Fixture!D487,0,1)))</f>
        <v>0</v>
      </c>
      <c r="H3482" s="18">
        <f t="shared" si="716"/>
        <v>0</v>
      </c>
      <c r="I3482" s="64">
        <f t="shared" si="717"/>
        <v>0</v>
      </c>
      <c r="J3482" s="64">
        <f t="shared" si="718"/>
        <v>0</v>
      </c>
      <c r="K3482" s="63">
        <f t="shared" si="719"/>
        <v>0</v>
      </c>
      <c r="L3482" s="63">
        <f t="shared" si="720"/>
        <v>0</v>
      </c>
      <c r="N3482" s="10" t="str">
        <f t="shared" si="722"/>
        <v>00</v>
      </c>
      <c r="O3482" s="10">
        <f t="shared" si="723"/>
        <v>0</v>
      </c>
      <c r="P3482" s="10">
        <f t="shared" si="724"/>
        <v>0</v>
      </c>
      <c r="Q3482" s="10">
        <f t="shared" si="725"/>
        <v>0</v>
      </c>
    </row>
    <row r="3483" spans="1:17">
      <c r="A3483" s="15">
        <f t="shared" si="721"/>
        <v>0</v>
      </c>
      <c r="B3483" s="15"/>
      <c r="C3483" s="17">
        <f>Fixture!E488</f>
        <v>0</v>
      </c>
      <c r="D3483" s="18">
        <f>IF(E3483=0,0,IF(Fixture!D488&lt;Fixture!F488,3,IF(Fixture!F488&lt;Fixture!D488,0,1)))</f>
        <v>0</v>
      </c>
      <c r="E3483" s="18">
        <f t="shared" si="715"/>
        <v>0</v>
      </c>
      <c r="F3483" s="18">
        <f>IF(E3483=0,0,IF(Fixture!D488&lt;Fixture!F488,1,IF(Fixture!F488&lt;Fixture!D488,0,0)))</f>
        <v>0</v>
      </c>
      <c r="G3483" s="18">
        <f>IF(E3483=0,0,IF(Fixture!D488&lt;Fixture!F488,0,IF(Fixture!F488&lt;Fixture!D488,0,1)))</f>
        <v>0</v>
      </c>
      <c r="H3483" s="18">
        <f t="shared" si="716"/>
        <v>0</v>
      </c>
      <c r="I3483" s="64">
        <f t="shared" si="717"/>
        <v>0</v>
      </c>
      <c r="J3483" s="64">
        <f t="shared" si="718"/>
        <v>0</v>
      </c>
      <c r="K3483" s="63">
        <f t="shared" si="719"/>
        <v>0</v>
      </c>
      <c r="L3483" s="63">
        <f t="shared" si="720"/>
        <v>0</v>
      </c>
      <c r="N3483" s="10" t="str">
        <f t="shared" si="722"/>
        <v>00</v>
      </c>
      <c r="O3483" s="10">
        <f t="shared" si="723"/>
        <v>0</v>
      </c>
      <c r="P3483" s="10">
        <f t="shared" si="724"/>
        <v>0</v>
      </c>
      <c r="Q3483" s="10">
        <f t="shared" si="725"/>
        <v>0</v>
      </c>
    </row>
    <row r="3484" spans="1:17">
      <c r="A3484" s="15">
        <f t="shared" si="721"/>
        <v>0</v>
      </c>
      <c r="B3484" s="15"/>
      <c r="C3484" s="17">
        <f>Fixture!E489</f>
        <v>0</v>
      </c>
      <c r="D3484" s="18">
        <f>IF(E3484=0,0,IF(Fixture!D489&lt;Fixture!F489,3,IF(Fixture!F489&lt;Fixture!D489,0,1)))</f>
        <v>0</v>
      </c>
      <c r="E3484" s="18">
        <f t="shared" si="715"/>
        <v>0</v>
      </c>
      <c r="F3484" s="18">
        <f>IF(E3484=0,0,IF(Fixture!D489&lt;Fixture!F489,1,IF(Fixture!F489&lt;Fixture!D489,0,0)))</f>
        <v>0</v>
      </c>
      <c r="G3484" s="18">
        <f>IF(E3484=0,0,IF(Fixture!D489&lt;Fixture!F489,0,IF(Fixture!F489&lt;Fixture!D489,0,1)))</f>
        <v>0</v>
      </c>
      <c r="H3484" s="18">
        <f t="shared" si="716"/>
        <v>0</v>
      </c>
      <c r="I3484" s="64">
        <f t="shared" si="717"/>
        <v>0</v>
      </c>
      <c r="J3484" s="64">
        <f t="shared" si="718"/>
        <v>0</v>
      </c>
      <c r="K3484" s="63">
        <f t="shared" si="719"/>
        <v>0</v>
      </c>
      <c r="L3484" s="63">
        <f t="shared" si="720"/>
        <v>0</v>
      </c>
      <c r="N3484" s="10" t="str">
        <f t="shared" si="722"/>
        <v>00</v>
      </c>
      <c r="O3484" s="10">
        <f t="shared" si="723"/>
        <v>0</v>
      </c>
      <c r="P3484" s="10">
        <f t="shared" si="724"/>
        <v>0</v>
      </c>
      <c r="Q3484" s="10">
        <f t="shared" si="725"/>
        <v>0</v>
      </c>
    </row>
    <row r="3485" spans="1:17">
      <c r="A3485" s="15">
        <f t="shared" si="721"/>
        <v>0</v>
      </c>
      <c r="B3485" s="15"/>
      <c r="C3485" s="17">
        <f>Fixture!E490</f>
        <v>0</v>
      </c>
      <c r="D3485" s="18">
        <f>IF(E3485=0,0,IF(Fixture!D490&lt;Fixture!F490,3,IF(Fixture!F490&lt;Fixture!D490,0,1)))</f>
        <v>0</v>
      </c>
      <c r="E3485" s="18">
        <f t="shared" si="715"/>
        <v>0</v>
      </c>
      <c r="F3485" s="18">
        <f>IF(E3485=0,0,IF(Fixture!D490&lt;Fixture!F490,1,IF(Fixture!F490&lt;Fixture!D490,0,0)))</f>
        <v>0</v>
      </c>
      <c r="G3485" s="18">
        <f>IF(E3485=0,0,IF(Fixture!D490&lt;Fixture!F490,0,IF(Fixture!F490&lt;Fixture!D490,0,1)))</f>
        <v>0</v>
      </c>
      <c r="H3485" s="18">
        <f t="shared" si="716"/>
        <v>0</v>
      </c>
      <c r="I3485" s="64">
        <f t="shared" si="717"/>
        <v>0</v>
      </c>
      <c r="J3485" s="64">
        <f t="shared" si="718"/>
        <v>0</v>
      </c>
      <c r="K3485" s="63">
        <f t="shared" si="719"/>
        <v>0</v>
      </c>
      <c r="L3485" s="63">
        <f t="shared" si="720"/>
        <v>0</v>
      </c>
      <c r="N3485" s="10" t="str">
        <f t="shared" si="722"/>
        <v>00</v>
      </c>
      <c r="O3485" s="10">
        <f t="shared" si="723"/>
        <v>0</v>
      </c>
      <c r="P3485" s="10">
        <f t="shared" si="724"/>
        <v>0</v>
      </c>
      <c r="Q3485" s="10">
        <f t="shared" si="725"/>
        <v>0</v>
      </c>
    </row>
    <row r="3486" spans="1:17">
      <c r="A3486" s="15">
        <f t="shared" si="721"/>
        <v>0</v>
      </c>
      <c r="B3486" s="15"/>
      <c r="C3486" s="17">
        <f>Fixture!E491</f>
        <v>0</v>
      </c>
      <c r="D3486" s="18">
        <f>IF(E3486=0,0,IF(Fixture!D491&lt;Fixture!F491,3,IF(Fixture!F491&lt;Fixture!D491,0,1)))</f>
        <v>0</v>
      </c>
      <c r="E3486" s="18">
        <f t="shared" si="715"/>
        <v>0</v>
      </c>
      <c r="F3486" s="18">
        <f>IF(E3486=0,0,IF(Fixture!D491&lt;Fixture!F491,1,IF(Fixture!F491&lt;Fixture!D491,0,0)))</f>
        <v>0</v>
      </c>
      <c r="G3486" s="18">
        <f>IF(E3486=0,0,IF(Fixture!D491&lt;Fixture!F491,0,IF(Fixture!F491&lt;Fixture!D491,0,1)))</f>
        <v>0</v>
      </c>
      <c r="H3486" s="18">
        <f t="shared" si="716"/>
        <v>0</v>
      </c>
      <c r="I3486" s="64">
        <f t="shared" si="717"/>
        <v>0</v>
      </c>
      <c r="J3486" s="64">
        <f t="shared" si="718"/>
        <v>0</v>
      </c>
      <c r="K3486" s="63">
        <f t="shared" si="719"/>
        <v>0</v>
      </c>
      <c r="L3486" s="63">
        <f t="shared" si="720"/>
        <v>0</v>
      </c>
      <c r="N3486" s="10" t="str">
        <f t="shared" si="722"/>
        <v>00</v>
      </c>
      <c r="O3486" s="10">
        <f t="shared" si="723"/>
        <v>0</v>
      </c>
      <c r="P3486" s="10">
        <f t="shared" si="724"/>
        <v>0</v>
      </c>
      <c r="Q3486" s="10">
        <f t="shared" si="725"/>
        <v>0</v>
      </c>
    </row>
    <row r="3487" spans="1:17">
      <c r="A3487" s="15">
        <f t="shared" si="721"/>
        <v>0</v>
      </c>
      <c r="B3487" s="15"/>
      <c r="C3487" s="17">
        <f>Fixture!E492</f>
        <v>0</v>
      </c>
      <c r="D3487" s="18">
        <f>IF(E3487=0,0,IF(Fixture!D492&lt;Fixture!F492,3,IF(Fixture!F492&lt;Fixture!D492,0,1)))</f>
        <v>0</v>
      </c>
      <c r="E3487" s="18">
        <f t="shared" si="715"/>
        <v>0</v>
      </c>
      <c r="F3487" s="18">
        <f>IF(E3487=0,0,IF(Fixture!D492&lt;Fixture!F492,1,IF(Fixture!F492&lt;Fixture!D492,0,0)))</f>
        <v>0</v>
      </c>
      <c r="G3487" s="18">
        <f>IF(E3487=0,0,IF(Fixture!D492&lt;Fixture!F492,0,IF(Fixture!F492&lt;Fixture!D492,0,1)))</f>
        <v>0</v>
      </c>
      <c r="H3487" s="18">
        <f t="shared" si="716"/>
        <v>0</v>
      </c>
      <c r="I3487" s="64">
        <f t="shared" si="717"/>
        <v>0</v>
      </c>
      <c r="J3487" s="64">
        <f t="shared" si="718"/>
        <v>0</v>
      </c>
      <c r="K3487" s="63">
        <f t="shared" si="719"/>
        <v>0</v>
      </c>
      <c r="L3487" s="63">
        <f t="shared" si="720"/>
        <v>0</v>
      </c>
      <c r="N3487" s="10" t="str">
        <f t="shared" si="722"/>
        <v>00</v>
      </c>
      <c r="O3487" s="10">
        <f t="shared" si="723"/>
        <v>0</v>
      </c>
      <c r="P3487" s="10">
        <f t="shared" si="724"/>
        <v>0</v>
      </c>
      <c r="Q3487" s="10">
        <f t="shared" si="725"/>
        <v>0</v>
      </c>
    </row>
    <row r="3488" spans="1:17">
      <c r="A3488" s="15">
        <f t="shared" si="721"/>
        <v>0</v>
      </c>
      <c r="B3488" s="15"/>
      <c r="C3488" s="17">
        <f>Fixture!E493</f>
        <v>0</v>
      </c>
      <c r="D3488" s="18">
        <f>IF(E3488=0,0,IF(Fixture!D493&lt;Fixture!F493,3,IF(Fixture!F493&lt;Fixture!D493,0,1)))</f>
        <v>0</v>
      </c>
      <c r="E3488" s="18">
        <f t="shared" si="715"/>
        <v>0</v>
      </c>
      <c r="F3488" s="18">
        <f>IF(E3488=0,0,IF(Fixture!D493&lt;Fixture!F493,1,IF(Fixture!F493&lt;Fixture!D493,0,0)))</f>
        <v>0</v>
      </c>
      <c r="G3488" s="18">
        <f>IF(E3488=0,0,IF(Fixture!D493&lt;Fixture!F493,0,IF(Fixture!F493&lt;Fixture!D493,0,1)))</f>
        <v>0</v>
      </c>
      <c r="H3488" s="18">
        <f t="shared" si="716"/>
        <v>0</v>
      </c>
      <c r="I3488" s="64">
        <f t="shared" si="717"/>
        <v>0</v>
      </c>
      <c r="J3488" s="64">
        <f t="shared" si="718"/>
        <v>0</v>
      </c>
      <c r="K3488" s="63">
        <f t="shared" si="719"/>
        <v>0</v>
      </c>
      <c r="L3488" s="63">
        <f t="shared" si="720"/>
        <v>0</v>
      </c>
      <c r="N3488" s="10" t="str">
        <f t="shared" si="722"/>
        <v>00</v>
      </c>
      <c r="O3488" s="10">
        <f t="shared" si="723"/>
        <v>0</v>
      </c>
      <c r="P3488" s="10">
        <f t="shared" si="724"/>
        <v>0</v>
      </c>
      <c r="Q3488" s="10">
        <f t="shared" si="725"/>
        <v>0</v>
      </c>
    </row>
    <row r="3489" spans="1:17">
      <c r="A3489" s="15">
        <f t="shared" si="721"/>
        <v>0</v>
      </c>
      <c r="B3489" s="15"/>
      <c r="C3489" s="17">
        <f>Fixture!E494</f>
        <v>0</v>
      </c>
      <c r="D3489" s="18">
        <f>IF(E3489=0,0,IF(Fixture!D494&lt;Fixture!F494,3,IF(Fixture!F494&lt;Fixture!D494,0,1)))</f>
        <v>0</v>
      </c>
      <c r="E3489" s="18">
        <f t="shared" si="715"/>
        <v>0</v>
      </c>
      <c r="F3489" s="18">
        <f>IF(E3489=0,0,IF(Fixture!D494&lt;Fixture!F494,1,IF(Fixture!F494&lt;Fixture!D494,0,0)))</f>
        <v>0</v>
      </c>
      <c r="G3489" s="18">
        <f>IF(E3489=0,0,IF(Fixture!D494&lt;Fixture!F494,0,IF(Fixture!F494&lt;Fixture!D494,0,1)))</f>
        <v>0</v>
      </c>
      <c r="H3489" s="18">
        <f t="shared" si="716"/>
        <v>0</v>
      </c>
      <c r="I3489" s="64">
        <f t="shared" si="717"/>
        <v>0</v>
      </c>
      <c r="J3489" s="64">
        <f t="shared" si="718"/>
        <v>0</v>
      </c>
      <c r="K3489" s="63">
        <f t="shared" si="719"/>
        <v>0</v>
      </c>
      <c r="L3489" s="63">
        <f t="shared" si="720"/>
        <v>0</v>
      </c>
      <c r="N3489" s="10" t="str">
        <f t="shared" si="722"/>
        <v>00</v>
      </c>
      <c r="O3489" s="10">
        <f t="shared" si="723"/>
        <v>0</v>
      </c>
      <c r="P3489" s="10">
        <f t="shared" si="724"/>
        <v>0</v>
      </c>
      <c r="Q3489" s="10">
        <f t="shared" si="725"/>
        <v>0</v>
      </c>
    </row>
    <row r="3490" spans="1:17">
      <c r="A3490" s="15">
        <f t="shared" si="721"/>
        <v>0</v>
      </c>
      <c r="B3490" s="15"/>
      <c r="C3490" s="17">
        <f>Fixture!E495</f>
        <v>0</v>
      </c>
      <c r="D3490" s="18">
        <f>IF(E3490=0,0,IF(Fixture!D495&lt;Fixture!F495,3,IF(Fixture!F495&lt;Fixture!D495,0,1)))</f>
        <v>0</v>
      </c>
      <c r="E3490" s="18">
        <f t="shared" si="715"/>
        <v>0</v>
      </c>
      <c r="F3490" s="18">
        <f>IF(E3490=0,0,IF(Fixture!D495&lt;Fixture!F495,1,IF(Fixture!F495&lt;Fixture!D495,0,0)))</f>
        <v>0</v>
      </c>
      <c r="G3490" s="18">
        <f>IF(E3490=0,0,IF(Fixture!D495&lt;Fixture!F495,0,IF(Fixture!F495&lt;Fixture!D495,0,1)))</f>
        <v>0</v>
      </c>
      <c r="H3490" s="18">
        <f t="shared" si="716"/>
        <v>0</v>
      </c>
      <c r="I3490" s="64">
        <f t="shared" si="717"/>
        <v>0</v>
      </c>
      <c r="J3490" s="64">
        <f t="shared" si="718"/>
        <v>0</v>
      </c>
      <c r="K3490" s="63">
        <f t="shared" si="719"/>
        <v>0</v>
      </c>
      <c r="L3490" s="63">
        <f t="shared" si="720"/>
        <v>0</v>
      </c>
      <c r="N3490" s="10" t="str">
        <f t="shared" si="722"/>
        <v>00</v>
      </c>
      <c r="O3490" s="10">
        <f t="shared" si="723"/>
        <v>0</v>
      </c>
      <c r="P3490" s="10">
        <f t="shared" si="724"/>
        <v>0</v>
      </c>
      <c r="Q3490" s="10">
        <f t="shared" si="725"/>
        <v>0</v>
      </c>
    </row>
    <row r="3491" spans="1:17">
      <c r="A3491" s="15">
        <f t="shared" si="721"/>
        <v>0</v>
      </c>
      <c r="B3491" s="15"/>
      <c r="C3491" s="17">
        <f>Fixture!E496</f>
        <v>0</v>
      </c>
      <c r="D3491" s="18">
        <f>IF(E3491=0,0,IF(Fixture!D496&lt;Fixture!F496,3,IF(Fixture!F496&lt;Fixture!D496,0,1)))</f>
        <v>0</v>
      </c>
      <c r="E3491" s="18">
        <f t="shared" si="715"/>
        <v>0</v>
      </c>
      <c r="F3491" s="18">
        <f>IF(E3491=0,0,IF(Fixture!D496&lt;Fixture!F496,1,IF(Fixture!F496&lt;Fixture!D496,0,0)))</f>
        <v>0</v>
      </c>
      <c r="G3491" s="18">
        <f>IF(E3491=0,0,IF(Fixture!D496&lt;Fixture!F496,0,IF(Fixture!F496&lt;Fixture!D496,0,1)))</f>
        <v>0</v>
      </c>
      <c r="H3491" s="18">
        <f t="shared" si="716"/>
        <v>0</v>
      </c>
      <c r="I3491" s="64">
        <f t="shared" si="717"/>
        <v>0</v>
      </c>
      <c r="J3491" s="64">
        <f t="shared" si="718"/>
        <v>0</v>
      </c>
      <c r="K3491" s="63">
        <f t="shared" si="719"/>
        <v>0</v>
      </c>
      <c r="L3491" s="63">
        <f t="shared" si="720"/>
        <v>0</v>
      </c>
      <c r="N3491" s="10" t="str">
        <f t="shared" si="722"/>
        <v>00</v>
      </c>
      <c r="O3491" s="10">
        <f t="shared" si="723"/>
        <v>0</v>
      </c>
      <c r="P3491" s="10">
        <f t="shared" si="724"/>
        <v>0</v>
      </c>
      <c r="Q3491" s="10">
        <f t="shared" si="725"/>
        <v>0</v>
      </c>
    </row>
    <row r="3492" spans="1:17">
      <c r="A3492" s="15">
        <f t="shared" si="721"/>
        <v>0</v>
      </c>
      <c r="B3492" s="15"/>
      <c r="C3492" s="17">
        <f>Fixture!E497</f>
        <v>0</v>
      </c>
      <c r="D3492" s="18">
        <f>IF(E3492=0,0,IF(Fixture!D497&lt;Fixture!F497,3,IF(Fixture!F497&lt;Fixture!D497,0,1)))</f>
        <v>0</v>
      </c>
      <c r="E3492" s="18">
        <f t="shared" si="715"/>
        <v>0</v>
      </c>
      <c r="F3492" s="18">
        <f>IF(E3492=0,0,IF(Fixture!D497&lt;Fixture!F497,1,IF(Fixture!F497&lt;Fixture!D497,0,0)))</f>
        <v>0</v>
      </c>
      <c r="G3492" s="18">
        <f>IF(E3492=0,0,IF(Fixture!D497&lt;Fixture!F497,0,IF(Fixture!F497&lt;Fixture!D497,0,1)))</f>
        <v>0</v>
      </c>
      <c r="H3492" s="18">
        <f t="shared" si="716"/>
        <v>0</v>
      </c>
      <c r="I3492" s="64">
        <f t="shared" si="717"/>
        <v>0</v>
      </c>
      <c r="J3492" s="64">
        <f t="shared" si="718"/>
        <v>0</v>
      </c>
      <c r="K3492" s="63">
        <f t="shared" si="719"/>
        <v>0</v>
      </c>
      <c r="L3492" s="63">
        <f t="shared" si="720"/>
        <v>0</v>
      </c>
      <c r="N3492" s="10" t="str">
        <f t="shared" si="722"/>
        <v>00</v>
      </c>
      <c r="O3492" s="10">
        <f t="shared" si="723"/>
        <v>0</v>
      </c>
      <c r="P3492" s="10">
        <f t="shared" si="724"/>
        <v>0</v>
      </c>
      <c r="Q3492" s="10">
        <f t="shared" si="725"/>
        <v>0</v>
      </c>
    </row>
    <row r="3493" spans="1:17">
      <c r="A3493" s="15">
        <f t="shared" si="721"/>
        <v>0</v>
      </c>
      <c r="B3493" s="15"/>
      <c r="C3493" s="17">
        <f>Fixture!E498</f>
        <v>0</v>
      </c>
      <c r="D3493" s="18">
        <f>IF(E3493=0,0,IF(Fixture!D498&lt;Fixture!F498,3,IF(Fixture!F498&lt;Fixture!D498,0,1)))</f>
        <v>0</v>
      </c>
      <c r="E3493" s="18">
        <f t="shared" si="715"/>
        <v>0</v>
      </c>
      <c r="F3493" s="18">
        <f>IF(E3493=0,0,IF(Fixture!D498&lt;Fixture!F498,1,IF(Fixture!F498&lt;Fixture!D498,0,0)))</f>
        <v>0</v>
      </c>
      <c r="G3493" s="18">
        <f>IF(E3493=0,0,IF(Fixture!D498&lt;Fixture!F498,0,IF(Fixture!F498&lt;Fixture!D498,0,1)))</f>
        <v>0</v>
      </c>
      <c r="H3493" s="18">
        <f t="shared" si="716"/>
        <v>0</v>
      </c>
      <c r="I3493" s="64">
        <f t="shared" si="717"/>
        <v>0</v>
      </c>
      <c r="J3493" s="64">
        <f t="shared" si="718"/>
        <v>0</v>
      </c>
      <c r="K3493" s="63">
        <f t="shared" si="719"/>
        <v>0</v>
      </c>
      <c r="L3493" s="63">
        <f t="shared" si="720"/>
        <v>0</v>
      </c>
      <c r="N3493" s="10" t="str">
        <f t="shared" si="722"/>
        <v>00</v>
      </c>
      <c r="O3493" s="10">
        <f t="shared" si="723"/>
        <v>0</v>
      </c>
      <c r="P3493" s="10">
        <f t="shared" si="724"/>
        <v>0</v>
      </c>
      <c r="Q3493" s="10">
        <f t="shared" si="725"/>
        <v>0</v>
      </c>
    </row>
    <row r="3494" spans="1:17">
      <c r="A3494" s="15">
        <f t="shared" si="721"/>
        <v>0</v>
      </c>
      <c r="B3494" s="15"/>
      <c r="C3494" s="17">
        <f>Fixture!E499</f>
        <v>0</v>
      </c>
      <c r="D3494" s="18">
        <f>IF(E3494=0,0,IF(Fixture!D499&lt;Fixture!F499,3,IF(Fixture!F499&lt;Fixture!D499,0,1)))</f>
        <v>0</v>
      </c>
      <c r="E3494" s="18">
        <f t="shared" si="715"/>
        <v>0</v>
      </c>
      <c r="F3494" s="18">
        <f>IF(E3494=0,0,IF(Fixture!D499&lt;Fixture!F499,1,IF(Fixture!F499&lt;Fixture!D499,0,0)))</f>
        <v>0</v>
      </c>
      <c r="G3494" s="18">
        <f>IF(E3494=0,0,IF(Fixture!D499&lt;Fixture!F499,0,IF(Fixture!F499&lt;Fixture!D499,0,1)))</f>
        <v>0</v>
      </c>
      <c r="H3494" s="18">
        <f t="shared" si="716"/>
        <v>0</v>
      </c>
      <c r="I3494" s="64">
        <f t="shared" si="717"/>
        <v>0</v>
      </c>
      <c r="J3494" s="64">
        <f t="shared" si="718"/>
        <v>0</v>
      </c>
      <c r="K3494" s="63">
        <f t="shared" si="719"/>
        <v>0</v>
      </c>
      <c r="L3494" s="63">
        <f t="shared" si="720"/>
        <v>0</v>
      </c>
      <c r="N3494" s="10" t="str">
        <f t="shared" si="722"/>
        <v>00</v>
      </c>
      <c r="O3494" s="10">
        <f t="shared" si="723"/>
        <v>0</v>
      </c>
      <c r="P3494" s="10">
        <f t="shared" si="724"/>
        <v>0</v>
      </c>
      <c r="Q3494" s="10">
        <f t="shared" si="725"/>
        <v>0</v>
      </c>
    </row>
    <row r="3495" spans="1:17">
      <c r="A3495" s="15">
        <f t="shared" si="721"/>
        <v>0</v>
      </c>
      <c r="B3495" s="15"/>
      <c r="C3495" s="17">
        <f>Fixture!E500</f>
        <v>0</v>
      </c>
      <c r="D3495" s="18">
        <f>IF(E3495=0,0,IF(Fixture!D500&lt;Fixture!F500,3,IF(Fixture!F500&lt;Fixture!D500,0,1)))</f>
        <v>0</v>
      </c>
      <c r="E3495" s="18">
        <f t="shared" si="715"/>
        <v>0</v>
      </c>
      <c r="F3495" s="18">
        <f>IF(E3495=0,0,IF(Fixture!D500&lt;Fixture!F500,1,IF(Fixture!F500&lt;Fixture!D500,0,0)))</f>
        <v>0</v>
      </c>
      <c r="G3495" s="18">
        <f>IF(E3495=0,0,IF(Fixture!D500&lt;Fixture!F500,0,IF(Fixture!F500&lt;Fixture!D500,0,1)))</f>
        <v>0</v>
      </c>
      <c r="H3495" s="18">
        <f t="shared" si="716"/>
        <v>0</v>
      </c>
      <c r="I3495" s="64">
        <f t="shared" si="717"/>
        <v>0</v>
      </c>
      <c r="J3495" s="64">
        <f t="shared" si="718"/>
        <v>0</v>
      </c>
      <c r="K3495" s="63">
        <f t="shared" si="719"/>
        <v>0</v>
      </c>
      <c r="L3495" s="63">
        <f t="shared" si="720"/>
        <v>0</v>
      </c>
      <c r="N3495" s="10" t="str">
        <f t="shared" si="722"/>
        <v>00</v>
      </c>
      <c r="O3495" s="10">
        <f t="shared" si="723"/>
        <v>0</v>
      </c>
      <c r="P3495" s="10">
        <f t="shared" si="724"/>
        <v>0</v>
      </c>
      <c r="Q3495" s="10">
        <f t="shared" si="725"/>
        <v>0</v>
      </c>
    </row>
    <row r="3496" spans="1:17">
      <c r="A3496" s="15">
        <f t="shared" si="721"/>
        <v>0</v>
      </c>
      <c r="B3496" s="15"/>
      <c r="C3496" s="17">
        <f>Fixture!E501</f>
        <v>0</v>
      </c>
      <c r="D3496" s="18">
        <f>IF(E3496=0,0,IF(Fixture!D501&lt;Fixture!F501,3,IF(Fixture!F501&lt;Fixture!D501,0,1)))</f>
        <v>0</v>
      </c>
      <c r="E3496" s="18">
        <f t="shared" si="715"/>
        <v>0</v>
      </c>
      <c r="F3496" s="18">
        <f>IF(E3496=0,0,IF(Fixture!D501&lt;Fixture!F501,1,IF(Fixture!F501&lt;Fixture!D501,0,0)))</f>
        <v>0</v>
      </c>
      <c r="G3496" s="18">
        <f>IF(E3496=0,0,IF(Fixture!D501&lt;Fixture!F501,0,IF(Fixture!F501&lt;Fixture!D501,0,1)))</f>
        <v>0</v>
      </c>
      <c r="H3496" s="18">
        <f t="shared" si="716"/>
        <v>0</v>
      </c>
      <c r="I3496" s="64">
        <f t="shared" si="717"/>
        <v>0</v>
      </c>
      <c r="J3496" s="64">
        <f t="shared" si="718"/>
        <v>0</v>
      </c>
      <c r="K3496" s="63">
        <f t="shared" si="719"/>
        <v>0</v>
      </c>
      <c r="L3496" s="63">
        <f t="shared" si="720"/>
        <v>0</v>
      </c>
      <c r="N3496" s="10" t="str">
        <f t="shared" si="722"/>
        <v>00</v>
      </c>
      <c r="O3496" s="10">
        <f t="shared" si="723"/>
        <v>0</v>
      </c>
      <c r="P3496" s="10">
        <f t="shared" si="724"/>
        <v>0</v>
      </c>
      <c r="Q3496" s="10">
        <f t="shared" si="725"/>
        <v>0</v>
      </c>
    </row>
    <row r="3497" spans="1:17">
      <c r="A3497" s="15">
        <f t="shared" si="721"/>
        <v>0</v>
      </c>
      <c r="B3497" s="15"/>
      <c r="C3497" s="17">
        <f>Fixture!E502</f>
        <v>0</v>
      </c>
      <c r="D3497" s="18">
        <f>IF(E3497=0,0,IF(Fixture!D502&lt;Fixture!F502,3,IF(Fixture!F502&lt;Fixture!D502,0,1)))</f>
        <v>0</v>
      </c>
      <c r="E3497" s="18">
        <f t="shared" si="715"/>
        <v>0</v>
      </c>
      <c r="F3497" s="18">
        <f>IF(E3497=0,0,IF(Fixture!D502&lt;Fixture!F502,1,IF(Fixture!F502&lt;Fixture!D502,0,0)))</f>
        <v>0</v>
      </c>
      <c r="G3497" s="18">
        <f>IF(E3497=0,0,IF(Fixture!D502&lt;Fixture!F502,0,IF(Fixture!F502&lt;Fixture!D502,0,1)))</f>
        <v>0</v>
      </c>
      <c r="H3497" s="18">
        <f t="shared" si="716"/>
        <v>0</v>
      </c>
      <c r="I3497" s="64">
        <f t="shared" si="717"/>
        <v>0</v>
      </c>
      <c r="J3497" s="64">
        <f t="shared" si="718"/>
        <v>0</v>
      </c>
      <c r="K3497" s="63">
        <f t="shared" si="719"/>
        <v>0</v>
      </c>
      <c r="L3497" s="63">
        <f t="shared" si="720"/>
        <v>0</v>
      </c>
      <c r="N3497" s="10" t="str">
        <f t="shared" si="722"/>
        <v>00</v>
      </c>
      <c r="O3497" s="10">
        <f t="shared" si="723"/>
        <v>0</v>
      </c>
      <c r="P3497" s="10">
        <f t="shared" si="724"/>
        <v>0</v>
      </c>
      <c r="Q3497" s="10">
        <f t="shared" si="725"/>
        <v>0</v>
      </c>
    </row>
    <row r="3498" spans="1:17">
      <c r="A3498" s="15">
        <f t="shared" si="721"/>
        <v>0</v>
      </c>
      <c r="B3498" s="15"/>
      <c r="C3498" s="17">
        <f>Fixture!E503</f>
        <v>0</v>
      </c>
      <c r="D3498" s="18">
        <f>IF(E3498=0,0,IF(Fixture!D503&lt;Fixture!F503,3,IF(Fixture!F503&lt;Fixture!D503,0,1)))</f>
        <v>0</v>
      </c>
      <c r="E3498" s="18">
        <f t="shared" si="715"/>
        <v>0</v>
      </c>
      <c r="F3498" s="18">
        <f>IF(E3498=0,0,IF(Fixture!D503&lt;Fixture!F503,1,IF(Fixture!F503&lt;Fixture!D503,0,0)))</f>
        <v>0</v>
      </c>
      <c r="G3498" s="18">
        <f>IF(E3498=0,0,IF(Fixture!D503&lt;Fixture!F503,0,IF(Fixture!F503&lt;Fixture!D503,0,1)))</f>
        <v>0</v>
      </c>
      <c r="H3498" s="18">
        <f t="shared" si="716"/>
        <v>0</v>
      </c>
      <c r="I3498" s="64">
        <f t="shared" si="717"/>
        <v>0</v>
      </c>
      <c r="J3498" s="64">
        <f t="shared" si="718"/>
        <v>0</v>
      </c>
      <c r="K3498" s="63">
        <f t="shared" si="719"/>
        <v>0</v>
      </c>
      <c r="L3498" s="63">
        <f t="shared" si="720"/>
        <v>0</v>
      </c>
      <c r="N3498" s="10" t="str">
        <f t="shared" si="722"/>
        <v>00</v>
      </c>
      <c r="O3498" s="10">
        <f t="shared" si="723"/>
        <v>0</v>
      </c>
      <c r="P3498" s="10">
        <f t="shared" si="724"/>
        <v>0</v>
      </c>
      <c r="Q3498" s="10">
        <f t="shared" si="725"/>
        <v>0</v>
      </c>
    </row>
    <row r="3499" spans="1:17">
      <c r="A3499" s="15">
        <f t="shared" si="721"/>
        <v>0</v>
      </c>
      <c r="B3499" s="15"/>
      <c r="C3499" s="17">
        <f>Fixture!E504</f>
        <v>0</v>
      </c>
      <c r="D3499" s="18">
        <f>IF(E3499=0,0,IF(Fixture!D504&lt;Fixture!F504,3,IF(Fixture!F504&lt;Fixture!D504,0,1)))</f>
        <v>0</v>
      </c>
      <c r="E3499" s="18">
        <f t="shared" si="715"/>
        <v>0</v>
      </c>
      <c r="F3499" s="18">
        <f>IF(E3499=0,0,IF(Fixture!D504&lt;Fixture!F504,1,IF(Fixture!F504&lt;Fixture!D504,0,0)))</f>
        <v>0</v>
      </c>
      <c r="G3499" s="18">
        <f>IF(E3499=0,0,IF(Fixture!D504&lt;Fixture!F504,0,IF(Fixture!F504&lt;Fixture!D504,0,1)))</f>
        <v>0</v>
      </c>
      <c r="H3499" s="18">
        <f t="shared" si="716"/>
        <v>0</v>
      </c>
      <c r="I3499" s="64">
        <f t="shared" si="717"/>
        <v>0</v>
      </c>
      <c r="J3499" s="64">
        <f t="shared" si="718"/>
        <v>0</v>
      </c>
      <c r="K3499" s="63">
        <f t="shared" si="719"/>
        <v>0</v>
      </c>
      <c r="L3499" s="63">
        <f t="shared" si="720"/>
        <v>0</v>
      </c>
      <c r="N3499" s="10" t="str">
        <f t="shared" si="722"/>
        <v>00</v>
      </c>
      <c r="O3499" s="10">
        <f t="shared" si="723"/>
        <v>0</v>
      </c>
      <c r="P3499" s="10">
        <f t="shared" si="724"/>
        <v>0</v>
      </c>
      <c r="Q3499" s="10">
        <f t="shared" si="725"/>
        <v>0</v>
      </c>
    </row>
    <row r="3500" spans="1:17">
      <c r="A3500" s="15">
        <f t="shared" si="721"/>
        <v>0</v>
      </c>
      <c r="B3500" s="15"/>
      <c r="C3500" s="17">
        <f>Fixture!E505</f>
        <v>0</v>
      </c>
      <c r="D3500" s="18">
        <f>IF(E3500=0,0,IF(Fixture!D505&lt;Fixture!F505,3,IF(Fixture!F505&lt;Fixture!D505,0,1)))</f>
        <v>0</v>
      </c>
      <c r="E3500" s="18">
        <f t="shared" si="715"/>
        <v>0</v>
      </c>
      <c r="F3500" s="18">
        <f>IF(E3500=0,0,IF(Fixture!D505&lt;Fixture!F505,1,IF(Fixture!F505&lt;Fixture!D505,0,0)))</f>
        <v>0</v>
      </c>
      <c r="G3500" s="18">
        <f>IF(E3500=0,0,IF(Fixture!D505&lt;Fixture!F505,0,IF(Fixture!F505&lt;Fixture!D505,0,1)))</f>
        <v>0</v>
      </c>
      <c r="H3500" s="18">
        <f t="shared" si="716"/>
        <v>0</v>
      </c>
      <c r="I3500" s="64">
        <f t="shared" si="717"/>
        <v>0</v>
      </c>
      <c r="J3500" s="64">
        <f t="shared" si="718"/>
        <v>0</v>
      </c>
      <c r="K3500" s="63">
        <f t="shared" si="719"/>
        <v>0</v>
      </c>
      <c r="L3500" s="63">
        <f t="shared" si="720"/>
        <v>0</v>
      </c>
      <c r="N3500" s="10" t="str">
        <f t="shared" si="722"/>
        <v>00</v>
      </c>
      <c r="O3500" s="10">
        <f t="shared" si="723"/>
        <v>0</v>
      </c>
      <c r="P3500" s="10">
        <f t="shared" si="724"/>
        <v>0</v>
      </c>
      <c r="Q3500" s="10">
        <f t="shared" si="725"/>
        <v>0</v>
      </c>
    </row>
    <row r="3501" spans="1:17">
      <c r="A3501" s="15">
        <f t="shared" si="721"/>
        <v>0</v>
      </c>
      <c r="B3501" s="15"/>
      <c r="C3501" s="17">
        <f>Fixture!E506</f>
        <v>0</v>
      </c>
      <c r="D3501" s="18">
        <f>IF(E3501=0,0,IF(Fixture!D506&lt;Fixture!F506,3,IF(Fixture!F506&lt;Fixture!D506,0,1)))</f>
        <v>0</v>
      </c>
      <c r="E3501" s="18">
        <f t="shared" si="715"/>
        <v>0</v>
      </c>
      <c r="F3501" s="18">
        <f>IF(E3501=0,0,IF(Fixture!D506&lt;Fixture!F506,1,IF(Fixture!F506&lt;Fixture!D506,0,0)))</f>
        <v>0</v>
      </c>
      <c r="G3501" s="18">
        <f>IF(E3501=0,0,IF(Fixture!D506&lt;Fixture!F506,0,IF(Fixture!F506&lt;Fixture!D506,0,1)))</f>
        <v>0</v>
      </c>
      <c r="H3501" s="18">
        <f t="shared" si="716"/>
        <v>0</v>
      </c>
      <c r="I3501" s="64">
        <f t="shared" si="717"/>
        <v>0</v>
      </c>
      <c r="J3501" s="64">
        <f t="shared" si="718"/>
        <v>0</v>
      </c>
      <c r="K3501" s="63">
        <f t="shared" si="719"/>
        <v>0</v>
      </c>
      <c r="L3501" s="63">
        <f t="shared" si="720"/>
        <v>0</v>
      </c>
      <c r="N3501" s="10" t="str">
        <f t="shared" si="722"/>
        <v>00</v>
      </c>
      <c r="O3501" s="10">
        <f t="shared" si="723"/>
        <v>0</v>
      </c>
      <c r="P3501" s="10">
        <f t="shared" si="724"/>
        <v>0</v>
      </c>
      <c r="Q3501" s="10">
        <f t="shared" si="725"/>
        <v>0</v>
      </c>
    </row>
    <row r="3502" spans="1:17">
      <c r="A3502" s="15">
        <f t="shared" si="721"/>
        <v>0</v>
      </c>
      <c r="B3502" s="15"/>
      <c r="C3502" s="17">
        <f>Fixture!E507</f>
        <v>0</v>
      </c>
      <c r="D3502" s="18">
        <f>IF(E3502=0,0,IF(Fixture!D507&lt;Fixture!F507,3,IF(Fixture!F507&lt;Fixture!D507,0,1)))</f>
        <v>0</v>
      </c>
      <c r="E3502" s="18">
        <f t="shared" si="715"/>
        <v>0</v>
      </c>
      <c r="F3502" s="18">
        <f>IF(E3502=0,0,IF(Fixture!D507&lt;Fixture!F507,1,IF(Fixture!F507&lt;Fixture!D507,0,0)))</f>
        <v>0</v>
      </c>
      <c r="G3502" s="18">
        <f>IF(E3502=0,0,IF(Fixture!D507&lt;Fixture!F507,0,IF(Fixture!F507&lt;Fixture!D507,0,1)))</f>
        <v>0</v>
      </c>
      <c r="H3502" s="18">
        <f t="shared" si="716"/>
        <v>0</v>
      </c>
      <c r="I3502" s="64">
        <f t="shared" si="717"/>
        <v>0</v>
      </c>
      <c r="J3502" s="64">
        <f t="shared" si="718"/>
        <v>0</v>
      </c>
      <c r="K3502" s="63">
        <f t="shared" si="719"/>
        <v>0</v>
      </c>
      <c r="L3502" s="63">
        <f t="shared" si="720"/>
        <v>0</v>
      </c>
      <c r="N3502" s="10" t="str">
        <f t="shared" si="722"/>
        <v>00</v>
      </c>
      <c r="O3502" s="10">
        <f t="shared" si="723"/>
        <v>0</v>
      </c>
      <c r="P3502" s="10">
        <f t="shared" si="724"/>
        <v>0</v>
      </c>
      <c r="Q3502" s="10">
        <f t="shared" si="725"/>
        <v>0</v>
      </c>
    </row>
    <row r="3503" spans="1:17">
      <c r="A3503" s="15">
        <f t="shared" si="721"/>
        <v>0</v>
      </c>
      <c r="B3503" s="15"/>
      <c r="C3503" s="17">
        <f>Fixture!E508</f>
        <v>0</v>
      </c>
      <c r="D3503" s="18">
        <f>IF(E3503=0,0,IF(Fixture!D508&lt;Fixture!F508,3,IF(Fixture!F508&lt;Fixture!D508,0,1)))</f>
        <v>0</v>
      </c>
      <c r="E3503" s="18">
        <f t="shared" si="715"/>
        <v>0</v>
      </c>
      <c r="F3503" s="18">
        <f>IF(E3503=0,0,IF(Fixture!D508&lt;Fixture!F508,1,IF(Fixture!F508&lt;Fixture!D508,0,0)))</f>
        <v>0</v>
      </c>
      <c r="G3503" s="18">
        <f>IF(E3503=0,0,IF(Fixture!D508&lt;Fixture!F508,0,IF(Fixture!F508&lt;Fixture!D508,0,1)))</f>
        <v>0</v>
      </c>
      <c r="H3503" s="18">
        <f t="shared" si="716"/>
        <v>0</v>
      </c>
      <c r="I3503" s="64">
        <f t="shared" si="717"/>
        <v>0</v>
      </c>
      <c r="J3503" s="64">
        <f t="shared" si="718"/>
        <v>0</v>
      </c>
      <c r="K3503" s="63">
        <f t="shared" si="719"/>
        <v>0</v>
      </c>
      <c r="L3503" s="63">
        <f t="shared" si="720"/>
        <v>0</v>
      </c>
      <c r="N3503" s="10" t="str">
        <f t="shared" si="722"/>
        <v>00</v>
      </c>
      <c r="O3503" s="10">
        <f t="shared" si="723"/>
        <v>0</v>
      </c>
      <c r="P3503" s="10">
        <f t="shared" si="724"/>
        <v>0</v>
      </c>
      <c r="Q3503" s="10">
        <f t="shared" si="725"/>
        <v>0</v>
      </c>
    </row>
    <row r="3504" spans="1:17">
      <c r="A3504" s="15">
        <f t="shared" si="721"/>
        <v>0</v>
      </c>
      <c r="B3504" s="15"/>
      <c r="C3504" s="17">
        <f>Fixture!E509</f>
        <v>0</v>
      </c>
      <c r="D3504" s="18">
        <f>IF(E3504=0,0,IF(Fixture!D509&lt;Fixture!F509,3,IF(Fixture!F509&lt;Fixture!D509,0,1)))</f>
        <v>0</v>
      </c>
      <c r="E3504" s="18">
        <f t="shared" si="715"/>
        <v>0</v>
      </c>
      <c r="F3504" s="18">
        <f>IF(E3504=0,0,IF(Fixture!D509&lt;Fixture!F509,1,IF(Fixture!F509&lt;Fixture!D509,0,0)))</f>
        <v>0</v>
      </c>
      <c r="G3504" s="18">
        <f>IF(E3504=0,0,IF(Fixture!D509&lt;Fixture!F509,0,IF(Fixture!F509&lt;Fixture!D509,0,1)))</f>
        <v>0</v>
      </c>
      <c r="H3504" s="18">
        <f t="shared" si="716"/>
        <v>0</v>
      </c>
      <c r="I3504" s="64">
        <f t="shared" si="717"/>
        <v>0</v>
      </c>
      <c r="J3504" s="64">
        <f t="shared" si="718"/>
        <v>0</v>
      </c>
      <c r="K3504" s="63">
        <f t="shared" si="719"/>
        <v>0</v>
      </c>
      <c r="L3504" s="63">
        <f t="shared" si="720"/>
        <v>0</v>
      </c>
      <c r="N3504" s="10" t="str">
        <f t="shared" si="722"/>
        <v>00</v>
      </c>
      <c r="O3504" s="10">
        <f t="shared" si="723"/>
        <v>0</v>
      </c>
      <c r="P3504" s="10">
        <f t="shared" si="724"/>
        <v>0</v>
      </c>
      <c r="Q3504" s="10">
        <f t="shared" si="725"/>
        <v>0</v>
      </c>
    </row>
    <row r="3505" spans="1:17">
      <c r="A3505" s="15">
        <f t="shared" si="721"/>
        <v>0</v>
      </c>
      <c r="B3505" s="15"/>
      <c r="C3505" s="17">
        <f>Fixture!E510</f>
        <v>0</v>
      </c>
      <c r="D3505" s="18">
        <f>IF(E3505=0,0,IF(Fixture!D510&lt;Fixture!F510,3,IF(Fixture!F510&lt;Fixture!D510,0,1)))</f>
        <v>0</v>
      </c>
      <c r="E3505" s="18">
        <f t="shared" si="715"/>
        <v>0</v>
      </c>
      <c r="F3505" s="18">
        <f>IF(E3505=0,0,IF(Fixture!D510&lt;Fixture!F510,1,IF(Fixture!F510&lt;Fixture!D510,0,0)))</f>
        <v>0</v>
      </c>
      <c r="G3505" s="18">
        <f>IF(E3505=0,0,IF(Fixture!D510&lt;Fixture!F510,0,IF(Fixture!F510&lt;Fixture!D510,0,1)))</f>
        <v>0</v>
      </c>
      <c r="H3505" s="18">
        <f t="shared" si="716"/>
        <v>0</v>
      </c>
      <c r="I3505" s="64">
        <f t="shared" si="717"/>
        <v>0</v>
      </c>
      <c r="J3505" s="64">
        <f t="shared" si="718"/>
        <v>0</v>
      </c>
      <c r="K3505" s="63">
        <f t="shared" si="719"/>
        <v>0</v>
      </c>
      <c r="L3505" s="63">
        <f t="shared" si="720"/>
        <v>0</v>
      </c>
      <c r="N3505" s="10" t="str">
        <f t="shared" si="722"/>
        <v>00</v>
      </c>
      <c r="O3505" s="10">
        <f t="shared" si="723"/>
        <v>0</v>
      </c>
      <c r="P3505" s="10">
        <f t="shared" si="724"/>
        <v>0</v>
      </c>
      <c r="Q3505" s="10">
        <f t="shared" si="725"/>
        <v>0</v>
      </c>
    </row>
    <row r="3506" spans="1:17">
      <c r="A3506" s="15">
        <f t="shared" si="721"/>
        <v>0</v>
      </c>
      <c r="B3506" s="15"/>
      <c r="C3506" s="17">
        <f>Fixture!E511</f>
        <v>0</v>
      </c>
      <c r="D3506" s="18">
        <f>IF(E3506=0,0,IF(Fixture!D511&lt;Fixture!F511,3,IF(Fixture!F511&lt;Fixture!D511,0,1)))</f>
        <v>0</v>
      </c>
      <c r="E3506" s="18">
        <f t="shared" si="715"/>
        <v>0</v>
      </c>
      <c r="F3506" s="18">
        <f>IF(E3506=0,0,IF(Fixture!D511&lt;Fixture!F511,1,IF(Fixture!F511&lt;Fixture!D511,0,0)))</f>
        <v>0</v>
      </c>
      <c r="G3506" s="18">
        <f>IF(E3506=0,0,IF(Fixture!D511&lt;Fixture!F511,0,IF(Fixture!F511&lt;Fixture!D511,0,1)))</f>
        <v>0</v>
      </c>
      <c r="H3506" s="18">
        <f t="shared" si="716"/>
        <v>0</v>
      </c>
      <c r="I3506" s="64">
        <f t="shared" si="717"/>
        <v>0</v>
      </c>
      <c r="J3506" s="64">
        <f t="shared" si="718"/>
        <v>0</v>
      </c>
      <c r="K3506" s="63">
        <f t="shared" si="719"/>
        <v>0</v>
      </c>
      <c r="L3506" s="63">
        <f t="shared" si="720"/>
        <v>0</v>
      </c>
      <c r="N3506" s="10" t="str">
        <f t="shared" si="722"/>
        <v>00</v>
      </c>
      <c r="O3506" s="10">
        <f t="shared" si="723"/>
        <v>0</v>
      </c>
      <c r="P3506" s="10">
        <f t="shared" si="724"/>
        <v>0</v>
      </c>
      <c r="Q3506" s="10">
        <f t="shared" si="725"/>
        <v>0</v>
      </c>
    </row>
    <row r="3507" spans="1:17">
      <c r="A3507" s="15">
        <f t="shared" si="721"/>
        <v>0</v>
      </c>
      <c r="B3507" s="15"/>
      <c r="C3507" s="17">
        <f>Fixture!E512</f>
        <v>0</v>
      </c>
      <c r="D3507" s="18">
        <f>IF(E3507=0,0,IF(Fixture!D512&lt;Fixture!F512,3,IF(Fixture!F512&lt;Fixture!D512,0,1)))</f>
        <v>0</v>
      </c>
      <c r="E3507" s="18">
        <f t="shared" si="715"/>
        <v>0</v>
      </c>
      <c r="F3507" s="18">
        <f>IF(E3507=0,0,IF(Fixture!D512&lt;Fixture!F512,1,IF(Fixture!F512&lt;Fixture!D512,0,0)))</f>
        <v>0</v>
      </c>
      <c r="G3507" s="18">
        <f>IF(E3507=0,0,IF(Fixture!D512&lt;Fixture!F512,0,IF(Fixture!F512&lt;Fixture!D512,0,1)))</f>
        <v>0</v>
      </c>
      <c r="H3507" s="18">
        <f t="shared" si="716"/>
        <v>0</v>
      </c>
      <c r="I3507" s="64">
        <f t="shared" si="717"/>
        <v>0</v>
      </c>
      <c r="J3507" s="64">
        <f t="shared" si="718"/>
        <v>0</v>
      </c>
      <c r="K3507" s="63">
        <f t="shared" si="719"/>
        <v>0</v>
      </c>
      <c r="L3507" s="63">
        <f t="shared" si="720"/>
        <v>0</v>
      </c>
      <c r="N3507" s="10" t="str">
        <f t="shared" si="722"/>
        <v>00</v>
      </c>
      <c r="O3507" s="10">
        <f t="shared" si="723"/>
        <v>0</v>
      </c>
      <c r="P3507" s="10">
        <f t="shared" si="724"/>
        <v>0</v>
      </c>
      <c r="Q3507" s="10">
        <f t="shared" si="725"/>
        <v>0</v>
      </c>
    </row>
    <row r="3508" spans="1:17">
      <c r="A3508" s="15">
        <f t="shared" si="721"/>
        <v>0</v>
      </c>
      <c r="B3508" s="15"/>
      <c r="C3508" s="17">
        <f>Fixture!E513</f>
        <v>0</v>
      </c>
      <c r="D3508" s="18">
        <f>IF(E3508=0,0,IF(Fixture!D513&lt;Fixture!F513,3,IF(Fixture!F513&lt;Fixture!D513,0,1)))</f>
        <v>0</v>
      </c>
      <c r="E3508" s="18">
        <f t="shared" si="715"/>
        <v>0</v>
      </c>
      <c r="F3508" s="18">
        <f>IF(E3508=0,0,IF(Fixture!D513&lt;Fixture!F513,1,IF(Fixture!F513&lt;Fixture!D513,0,0)))</f>
        <v>0</v>
      </c>
      <c r="G3508" s="18">
        <f>IF(E3508=0,0,IF(Fixture!D513&lt;Fixture!F513,0,IF(Fixture!F513&lt;Fixture!D513,0,1)))</f>
        <v>0</v>
      </c>
      <c r="H3508" s="18">
        <f t="shared" si="716"/>
        <v>0</v>
      </c>
      <c r="I3508" s="64">
        <f t="shared" si="717"/>
        <v>0</v>
      </c>
      <c r="J3508" s="64">
        <f t="shared" si="718"/>
        <v>0</v>
      </c>
      <c r="K3508" s="63">
        <f t="shared" si="719"/>
        <v>0</v>
      </c>
      <c r="L3508" s="63">
        <f t="shared" si="720"/>
        <v>0</v>
      </c>
      <c r="N3508" s="10" t="str">
        <f t="shared" si="722"/>
        <v>00</v>
      </c>
      <c r="O3508" s="10">
        <f t="shared" si="723"/>
        <v>0</v>
      </c>
      <c r="P3508" s="10">
        <f t="shared" si="724"/>
        <v>0</v>
      </c>
      <c r="Q3508" s="10">
        <f t="shared" si="725"/>
        <v>0</v>
      </c>
    </row>
    <row r="3509" spans="1:17">
      <c r="A3509" s="15">
        <f t="shared" si="721"/>
        <v>0</v>
      </c>
      <c r="B3509" s="15"/>
      <c r="C3509" s="17">
        <f>Fixture!E514</f>
        <v>0</v>
      </c>
      <c r="D3509" s="18">
        <f>IF(E3509=0,0,IF(Fixture!D514&lt;Fixture!F514,3,IF(Fixture!F514&lt;Fixture!D514,0,1)))</f>
        <v>0</v>
      </c>
      <c r="E3509" s="18">
        <f t="shared" si="715"/>
        <v>0</v>
      </c>
      <c r="F3509" s="18">
        <f>IF(E3509=0,0,IF(Fixture!D514&lt;Fixture!F514,1,IF(Fixture!F514&lt;Fixture!D514,0,0)))</f>
        <v>0</v>
      </c>
      <c r="G3509" s="18">
        <f>IF(E3509=0,0,IF(Fixture!D514&lt;Fixture!F514,0,IF(Fixture!F514&lt;Fixture!D514,0,1)))</f>
        <v>0</v>
      </c>
      <c r="H3509" s="18">
        <f t="shared" si="716"/>
        <v>0</v>
      </c>
      <c r="I3509" s="64">
        <f t="shared" si="717"/>
        <v>0</v>
      </c>
      <c r="J3509" s="64">
        <f t="shared" si="718"/>
        <v>0</v>
      </c>
      <c r="K3509" s="63">
        <f t="shared" si="719"/>
        <v>0</v>
      </c>
      <c r="L3509" s="63">
        <f t="shared" si="720"/>
        <v>0</v>
      </c>
      <c r="N3509" s="10" t="str">
        <f t="shared" si="722"/>
        <v>00</v>
      </c>
      <c r="O3509" s="10">
        <f t="shared" si="723"/>
        <v>0</v>
      </c>
      <c r="P3509" s="10">
        <f t="shared" si="724"/>
        <v>0</v>
      </c>
      <c r="Q3509" s="10">
        <f t="shared" si="725"/>
        <v>0</v>
      </c>
    </row>
    <row r="3510" spans="1:17">
      <c r="A3510" s="15">
        <f t="shared" si="721"/>
        <v>0</v>
      </c>
      <c r="B3510" s="15"/>
      <c r="C3510" s="17">
        <f>Fixture!E515</f>
        <v>0</v>
      </c>
      <c r="D3510" s="18">
        <f>IF(E3510=0,0,IF(Fixture!D515&lt;Fixture!F515,3,IF(Fixture!F515&lt;Fixture!D515,0,1)))</f>
        <v>0</v>
      </c>
      <c r="E3510" s="18">
        <f t="shared" si="715"/>
        <v>0</v>
      </c>
      <c r="F3510" s="18">
        <f>IF(E3510=0,0,IF(Fixture!D515&lt;Fixture!F515,1,IF(Fixture!F515&lt;Fixture!D515,0,0)))</f>
        <v>0</v>
      </c>
      <c r="G3510" s="18">
        <f>IF(E3510=0,0,IF(Fixture!D515&lt;Fixture!F515,0,IF(Fixture!F515&lt;Fixture!D515,0,1)))</f>
        <v>0</v>
      </c>
      <c r="H3510" s="18">
        <f t="shared" si="716"/>
        <v>0</v>
      </c>
      <c r="I3510" s="64">
        <f t="shared" si="717"/>
        <v>0</v>
      </c>
      <c r="J3510" s="64">
        <f t="shared" si="718"/>
        <v>0</v>
      </c>
      <c r="K3510" s="63">
        <f t="shared" si="719"/>
        <v>0</v>
      </c>
      <c r="L3510" s="63">
        <f t="shared" si="720"/>
        <v>0</v>
      </c>
      <c r="N3510" s="10" t="str">
        <f t="shared" si="722"/>
        <v>00</v>
      </c>
      <c r="O3510" s="10">
        <f t="shared" si="723"/>
        <v>0</v>
      </c>
      <c r="P3510" s="10">
        <f t="shared" si="724"/>
        <v>0</v>
      </c>
      <c r="Q3510" s="10">
        <f t="shared" si="725"/>
        <v>0</v>
      </c>
    </row>
    <row r="3511" spans="1:17">
      <c r="A3511" s="15">
        <f t="shared" si="721"/>
        <v>0</v>
      </c>
      <c r="B3511" s="15"/>
      <c r="C3511" s="17">
        <f>Fixture!E516</f>
        <v>0</v>
      </c>
      <c r="D3511" s="18">
        <f>IF(E3511=0,0,IF(Fixture!D516&lt;Fixture!F516,3,IF(Fixture!F516&lt;Fixture!D516,0,1)))</f>
        <v>0</v>
      </c>
      <c r="E3511" s="18">
        <f t="shared" si="715"/>
        <v>0</v>
      </c>
      <c r="F3511" s="18">
        <f>IF(E3511=0,0,IF(Fixture!D516&lt;Fixture!F516,1,IF(Fixture!F516&lt;Fixture!D516,0,0)))</f>
        <v>0</v>
      </c>
      <c r="G3511" s="18">
        <f>IF(E3511=0,0,IF(Fixture!D516&lt;Fixture!F516,0,IF(Fixture!F516&lt;Fixture!D516,0,1)))</f>
        <v>0</v>
      </c>
      <c r="H3511" s="18">
        <f t="shared" si="716"/>
        <v>0</v>
      </c>
      <c r="I3511" s="64">
        <f t="shared" si="717"/>
        <v>0</v>
      </c>
      <c r="J3511" s="64">
        <f t="shared" si="718"/>
        <v>0</v>
      </c>
      <c r="K3511" s="63">
        <f t="shared" si="719"/>
        <v>0</v>
      </c>
      <c r="L3511" s="63">
        <f t="shared" si="720"/>
        <v>0</v>
      </c>
      <c r="N3511" s="10" t="str">
        <f t="shared" si="722"/>
        <v>00</v>
      </c>
      <c r="O3511" s="10">
        <f t="shared" si="723"/>
        <v>0</v>
      </c>
      <c r="P3511" s="10">
        <f t="shared" si="724"/>
        <v>0</v>
      </c>
      <c r="Q3511" s="10">
        <f t="shared" si="725"/>
        <v>0</v>
      </c>
    </row>
    <row r="3512" spans="1:17">
      <c r="A3512" s="15">
        <f t="shared" si="721"/>
        <v>0</v>
      </c>
      <c r="B3512" s="15"/>
      <c r="C3512" s="17">
        <f>Fixture!E517</f>
        <v>0</v>
      </c>
      <c r="D3512" s="18">
        <f>IF(E3512=0,0,IF(Fixture!D517&lt;Fixture!F517,3,IF(Fixture!F517&lt;Fixture!D517,0,1)))</f>
        <v>0</v>
      </c>
      <c r="E3512" s="18">
        <f t="shared" ref="E3512:E3575" si="726">E2513</f>
        <v>0</v>
      </c>
      <c r="F3512" s="18">
        <f>IF(E3512=0,0,IF(Fixture!D517&lt;Fixture!F517,1,IF(Fixture!F517&lt;Fixture!D517,0,0)))</f>
        <v>0</v>
      </c>
      <c r="G3512" s="18">
        <f>IF(E3512=0,0,IF(Fixture!D517&lt;Fixture!F517,0,IF(Fixture!F517&lt;Fixture!D517,0,1)))</f>
        <v>0</v>
      </c>
      <c r="H3512" s="18">
        <f t="shared" ref="H3512:H3575" si="727">IF(E3512=0,0,IF(D3512&lt;&gt;0,0,1))</f>
        <v>0</v>
      </c>
      <c r="I3512" s="64">
        <f t="shared" ref="I3512:I3575" si="728">J2513</f>
        <v>0</v>
      </c>
      <c r="J3512" s="64">
        <f t="shared" ref="J3512:J3575" si="729">I2513</f>
        <v>0</v>
      </c>
      <c r="K3512" s="63">
        <f t="shared" ref="K3512:K3575" si="730">IF(E3512=0,0,IF(I3512&gt;0,0,1))</f>
        <v>0</v>
      </c>
      <c r="L3512" s="63">
        <f t="shared" ref="L3512:L3575" si="731">IF(E3512=0,0,IF(J3512&gt;0,0,1))</f>
        <v>0</v>
      </c>
      <c r="N3512" s="10" t="str">
        <f t="shared" si="722"/>
        <v>00</v>
      </c>
      <c r="O3512" s="10">
        <f t="shared" si="723"/>
        <v>0</v>
      </c>
      <c r="P3512" s="10">
        <f t="shared" si="724"/>
        <v>0</v>
      </c>
      <c r="Q3512" s="10">
        <f t="shared" si="725"/>
        <v>0</v>
      </c>
    </row>
    <row r="3513" spans="1:17">
      <c r="A3513" s="15">
        <f t="shared" ref="A3513:A3576" si="732">B557</f>
        <v>0</v>
      </c>
      <c r="B3513" s="15"/>
      <c r="C3513" s="17">
        <f>Fixture!E518</f>
        <v>0</v>
      </c>
      <c r="D3513" s="18">
        <f>IF(E3513=0,0,IF(Fixture!D518&lt;Fixture!F518,3,IF(Fixture!F518&lt;Fixture!D518,0,1)))</f>
        <v>0</v>
      </c>
      <c r="E3513" s="18">
        <f t="shared" si="726"/>
        <v>0</v>
      </c>
      <c r="F3513" s="18">
        <f>IF(E3513=0,0,IF(Fixture!D518&lt;Fixture!F518,1,IF(Fixture!F518&lt;Fixture!D518,0,0)))</f>
        <v>0</v>
      </c>
      <c r="G3513" s="18">
        <f>IF(E3513=0,0,IF(Fixture!D518&lt;Fixture!F518,0,IF(Fixture!F518&lt;Fixture!D518,0,1)))</f>
        <v>0</v>
      </c>
      <c r="H3513" s="18">
        <f t="shared" si="727"/>
        <v>0</v>
      </c>
      <c r="I3513" s="64">
        <f t="shared" si="728"/>
        <v>0</v>
      </c>
      <c r="J3513" s="64">
        <f t="shared" si="729"/>
        <v>0</v>
      </c>
      <c r="K3513" s="63">
        <f t="shared" si="730"/>
        <v>0</v>
      </c>
      <c r="L3513" s="63">
        <f t="shared" si="731"/>
        <v>0</v>
      </c>
      <c r="N3513" s="10" t="str">
        <f t="shared" si="722"/>
        <v>00</v>
      </c>
      <c r="O3513" s="10">
        <f t="shared" si="723"/>
        <v>0</v>
      </c>
      <c r="P3513" s="10">
        <f t="shared" si="724"/>
        <v>0</v>
      </c>
      <c r="Q3513" s="10">
        <f t="shared" si="725"/>
        <v>0</v>
      </c>
    </row>
    <row r="3514" spans="1:17">
      <c r="A3514" s="15">
        <f t="shared" si="732"/>
        <v>0</v>
      </c>
      <c r="B3514" s="15"/>
      <c r="C3514" s="17">
        <f>Fixture!E519</f>
        <v>0</v>
      </c>
      <c r="D3514" s="18">
        <f>IF(E3514=0,0,IF(Fixture!D519&lt;Fixture!F519,3,IF(Fixture!F519&lt;Fixture!D519,0,1)))</f>
        <v>0</v>
      </c>
      <c r="E3514" s="18">
        <f t="shared" si="726"/>
        <v>0</v>
      </c>
      <c r="F3514" s="18">
        <f>IF(E3514=0,0,IF(Fixture!D519&lt;Fixture!F519,1,IF(Fixture!F519&lt;Fixture!D519,0,0)))</f>
        <v>0</v>
      </c>
      <c r="G3514" s="18">
        <f>IF(E3514=0,0,IF(Fixture!D519&lt;Fixture!F519,0,IF(Fixture!F519&lt;Fixture!D519,0,1)))</f>
        <v>0</v>
      </c>
      <c r="H3514" s="18">
        <f t="shared" si="727"/>
        <v>0</v>
      </c>
      <c r="I3514" s="64">
        <f t="shared" si="728"/>
        <v>0</v>
      </c>
      <c r="J3514" s="64">
        <f t="shared" si="729"/>
        <v>0</v>
      </c>
      <c r="K3514" s="63">
        <f t="shared" si="730"/>
        <v>0</v>
      </c>
      <c r="L3514" s="63">
        <f t="shared" si="731"/>
        <v>0</v>
      </c>
      <c r="N3514" s="10" t="str">
        <f t="shared" si="722"/>
        <v>00</v>
      </c>
      <c r="O3514" s="10">
        <f t="shared" si="723"/>
        <v>0</v>
      </c>
      <c r="P3514" s="10">
        <f t="shared" si="724"/>
        <v>0</v>
      </c>
      <c r="Q3514" s="10">
        <f t="shared" si="725"/>
        <v>0</v>
      </c>
    </row>
    <row r="3515" spans="1:17">
      <c r="A3515" s="15">
        <f t="shared" si="732"/>
        <v>0</v>
      </c>
      <c r="B3515" s="15"/>
      <c r="C3515" s="17">
        <f>Fixture!E520</f>
        <v>0</v>
      </c>
      <c r="D3515" s="18">
        <f>IF(E3515=0,0,IF(Fixture!D520&lt;Fixture!F520,3,IF(Fixture!F520&lt;Fixture!D520,0,1)))</f>
        <v>0</v>
      </c>
      <c r="E3515" s="18">
        <f t="shared" si="726"/>
        <v>0</v>
      </c>
      <c r="F3515" s="18">
        <f>IF(E3515=0,0,IF(Fixture!D520&lt;Fixture!F520,1,IF(Fixture!F520&lt;Fixture!D520,0,0)))</f>
        <v>0</v>
      </c>
      <c r="G3515" s="18">
        <f>IF(E3515=0,0,IF(Fixture!D520&lt;Fixture!F520,0,IF(Fixture!F520&lt;Fixture!D520,0,1)))</f>
        <v>0</v>
      </c>
      <c r="H3515" s="18">
        <f t="shared" si="727"/>
        <v>0</v>
      </c>
      <c r="I3515" s="64">
        <f t="shared" si="728"/>
        <v>0</v>
      </c>
      <c r="J3515" s="64">
        <f t="shared" si="729"/>
        <v>0</v>
      </c>
      <c r="K3515" s="63">
        <f t="shared" si="730"/>
        <v>0</v>
      </c>
      <c r="L3515" s="63">
        <f t="shared" si="731"/>
        <v>0</v>
      </c>
      <c r="N3515" s="10" t="str">
        <f t="shared" si="722"/>
        <v>00</v>
      </c>
      <c r="O3515" s="10">
        <f t="shared" si="723"/>
        <v>0</v>
      </c>
      <c r="P3515" s="10">
        <f t="shared" si="724"/>
        <v>0</v>
      </c>
      <c r="Q3515" s="10">
        <f t="shared" si="725"/>
        <v>0</v>
      </c>
    </row>
    <row r="3516" spans="1:17">
      <c r="A3516" s="15">
        <f t="shared" si="732"/>
        <v>0</v>
      </c>
      <c r="B3516" s="15"/>
      <c r="C3516" s="17">
        <f>Fixture!E521</f>
        <v>0</v>
      </c>
      <c r="D3516" s="18">
        <f>IF(E3516=0,0,IF(Fixture!D521&lt;Fixture!F521,3,IF(Fixture!F521&lt;Fixture!D521,0,1)))</f>
        <v>0</v>
      </c>
      <c r="E3516" s="18">
        <f t="shared" si="726"/>
        <v>0</v>
      </c>
      <c r="F3516" s="18">
        <f>IF(E3516=0,0,IF(Fixture!D521&lt;Fixture!F521,1,IF(Fixture!F521&lt;Fixture!D521,0,0)))</f>
        <v>0</v>
      </c>
      <c r="G3516" s="18">
        <f>IF(E3516=0,0,IF(Fixture!D521&lt;Fixture!F521,0,IF(Fixture!F521&lt;Fixture!D521,0,1)))</f>
        <v>0</v>
      </c>
      <c r="H3516" s="18">
        <f t="shared" si="727"/>
        <v>0</v>
      </c>
      <c r="I3516" s="64">
        <f t="shared" si="728"/>
        <v>0</v>
      </c>
      <c r="J3516" s="64">
        <f t="shared" si="729"/>
        <v>0</v>
      </c>
      <c r="K3516" s="63">
        <f t="shared" si="730"/>
        <v>0</v>
      </c>
      <c r="L3516" s="63">
        <f t="shared" si="731"/>
        <v>0</v>
      </c>
      <c r="N3516" s="10" t="str">
        <f t="shared" si="722"/>
        <v>00</v>
      </c>
      <c r="O3516" s="10">
        <f t="shared" si="723"/>
        <v>0</v>
      </c>
      <c r="P3516" s="10">
        <f t="shared" si="724"/>
        <v>0</v>
      </c>
      <c r="Q3516" s="10">
        <f t="shared" si="725"/>
        <v>0</v>
      </c>
    </row>
    <row r="3517" spans="1:17">
      <c r="A3517" s="15">
        <f t="shared" si="732"/>
        <v>0</v>
      </c>
      <c r="B3517" s="15"/>
      <c r="C3517" s="17">
        <f>Fixture!E522</f>
        <v>0</v>
      </c>
      <c r="D3517" s="18">
        <f>IF(E3517=0,0,IF(Fixture!D522&lt;Fixture!F522,3,IF(Fixture!F522&lt;Fixture!D522,0,1)))</f>
        <v>0</v>
      </c>
      <c r="E3517" s="18">
        <f t="shared" si="726"/>
        <v>0</v>
      </c>
      <c r="F3517" s="18">
        <f>IF(E3517=0,0,IF(Fixture!D522&lt;Fixture!F522,1,IF(Fixture!F522&lt;Fixture!D522,0,0)))</f>
        <v>0</v>
      </c>
      <c r="G3517" s="18">
        <f>IF(E3517=0,0,IF(Fixture!D522&lt;Fixture!F522,0,IF(Fixture!F522&lt;Fixture!D522,0,1)))</f>
        <v>0</v>
      </c>
      <c r="H3517" s="18">
        <f t="shared" si="727"/>
        <v>0</v>
      </c>
      <c r="I3517" s="64">
        <f t="shared" si="728"/>
        <v>0</v>
      </c>
      <c r="J3517" s="64">
        <f t="shared" si="729"/>
        <v>0</v>
      </c>
      <c r="K3517" s="63">
        <f t="shared" si="730"/>
        <v>0</v>
      </c>
      <c r="L3517" s="63">
        <f t="shared" si="731"/>
        <v>0</v>
      </c>
      <c r="N3517" s="10" t="str">
        <f t="shared" si="722"/>
        <v>00</v>
      </c>
      <c r="O3517" s="10">
        <f t="shared" si="723"/>
        <v>0</v>
      </c>
      <c r="P3517" s="10">
        <f t="shared" si="724"/>
        <v>0</v>
      </c>
      <c r="Q3517" s="10">
        <f t="shared" si="725"/>
        <v>0</v>
      </c>
    </row>
    <row r="3518" spans="1:17">
      <c r="A3518" s="15">
        <f t="shared" si="732"/>
        <v>0</v>
      </c>
      <c r="B3518" s="15"/>
      <c r="C3518" s="17">
        <f>Fixture!E523</f>
        <v>0</v>
      </c>
      <c r="D3518" s="18">
        <f>IF(E3518=0,0,IF(Fixture!D523&lt;Fixture!F523,3,IF(Fixture!F523&lt;Fixture!D523,0,1)))</f>
        <v>0</v>
      </c>
      <c r="E3518" s="18">
        <f t="shared" si="726"/>
        <v>0</v>
      </c>
      <c r="F3518" s="18">
        <f>IF(E3518=0,0,IF(Fixture!D523&lt;Fixture!F523,1,IF(Fixture!F523&lt;Fixture!D523,0,0)))</f>
        <v>0</v>
      </c>
      <c r="G3518" s="18">
        <f>IF(E3518=0,0,IF(Fixture!D523&lt;Fixture!F523,0,IF(Fixture!F523&lt;Fixture!D523,0,1)))</f>
        <v>0</v>
      </c>
      <c r="H3518" s="18">
        <f t="shared" si="727"/>
        <v>0</v>
      </c>
      <c r="I3518" s="64">
        <f t="shared" si="728"/>
        <v>0</v>
      </c>
      <c r="J3518" s="64">
        <f t="shared" si="729"/>
        <v>0</v>
      </c>
      <c r="K3518" s="63">
        <f t="shared" si="730"/>
        <v>0</v>
      </c>
      <c r="L3518" s="63">
        <f t="shared" si="731"/>
        <v>0</v>
      </c>
      <c r="N3518" s="10" t="str">
        <f t="shared" si="722"/>
        <v>00</v>
      </c>
      <c r="O3518" s="10">
        <f t="shared" si="723"/>
        <v>0</v>
      </c>
      <c r="P3518" s="10">
        <f t="shared" si="724"/>
        <v>0</v>
      </c>
      <c r="Q3518" s="10">
        <f t="shared" si="725"/>
        <v>0</v>
      </c>
    </row>
    <row r="3519" spans="1:17">
      <c r="A3519" s="15">
        <f t="shared" si="732"/>
        <v>0</v>
      </c>
      <c r="B3519" s="15"/>
      <c r="C3519" s="17">
        <f>Fixture!E524</f>
        <v>0</v>
      </c>
      <c r="D3519" s="18">
        <f>IF(E3519=0,0,IF(Fixture!D524&lt;Fixture!F524,3,IF(Fixture!F524&lt;Fixture!D524,0,1)))</f>
        <v>0</v>
      </c>
      <c r="E3519" s="18">
        <f t="shared" si="726"/>
        <v>0</v>
      </c>
      <c r="F3519" s="18">
        <f>IF(E3519=0,0,IF(Fixture!D524&lt;Fixture!F524,1,IF(Fixture!F524&lt;Fixture!D524,0,0)))</f>
        <v>0</v>
      </c>
      <c r="G3519" s="18">
        <f>IF(E3519=0,0,IF(Fixture!D524&lt;Fixture!F524,0,IF(Fixture!F524&lt;Fixture!D524,0,1)))</f>
        <v>0</v>
      </c>
      <c r="H3519" s="18">
        <f t="shared" si="727"/>
        <v>0</v>
      </c>
      <c r="I3519" s="64">
        <f t="shared" si="728"/>
        <v>0</v>
      </c>
      <c r="J3519" s="64">
        <f t="shared" si="729"/>
        <v>0</v>
      </c>
      <c r="K3519" s="63">
        <f t="shared" si="730"/>
        <v>0</v>
      </c>
      <c r="L3519" s="63">
        <f t="shared" si="731"/>
        <v>0</v>
      </c>
      <c r="N3519" s="10" t="str">
        <f t="shared" si="722"/>
        <v>00</v>
      </c>
      <c r="O3519" s="10">
        <f t="shared" si="723"/>
        <v>0</v>
      </c>
      <c r="P3519" s="10">
        <f t="shared" si="724"/>
        <v>0</v>
      </c>
      <c r="Q3519" s="10">
        <f t="shared" si="725"/>
        <v>0</v>
      </c>
    </row>
    <row r="3520" spans="1:17">
      <c r="A3520" s="15">
        <f t="shared" si="732"/>
        <v>0</v>
      </c>
      <c r="B3520" s="15"/>
      <c r="C3520" s="17">
        <f>Fixture!E525</f>
        <v>0</v>
      </c>
      <c r="D3520" s="18">
        <f>IF(E3520=0,0,IF(Fixture!D525&lt;Fixture!F525,3,IF(Fixture!F525&lt;Fixture!D525,0,1)))</f>
        <v>0</v>
      </c>
      <c r="E3520" s="18">
        <f t="shared" si="726"/>
        <v>0</v>
      </c>
      <c r="F3520" s="18">
        <f>IF(E3520=0,0,IF(Fixture!D525&lt;Fixture!F525,1,IF(Fixture!F525&lt;Fixture!D525,0,0)))</f>
        <v>0</v>
      </c>
      <c r="G3520" s="18">
        <f>IF(E3520=0,0,IF(Fixture!D525&lt;Fixture!F525,0,IF(Fixture!F525&lt;Fixture!D525,0,1)))</f>
        <v>0</v>
      </c>
      <c r="H3520" s="18">
        <f t="shared" si="727"/>
        <v>0</v>
      </c>
      <c r="I3520" s="64">
        <f t="shared" si="728"/>
        <v>0</v>
      </c>
      <c r="J3520" s="64">
        <f t="shared" si="729"/>
        <v>0</v>
      </c>
      <c r="K3520" s="63">
        <f t="shared" si="730"/>
        <v>0</v>
      </c>
      <c r="L3520" s="63">
        <f t="shared" si="731"/>
        <v>0</v>
      </c>
      <c r="N3520" s="10" t="str">
        <f t="shared" si="722"/>
        <v>00</v>
      </c>
      <c r="O3520" s="10">
        <f t="shared" si="723"/>
        <v>0</v>
      </c>
      <c r="P3520" s="10">
        <f t="shared" si="724"/>
        <v>0</v>
      </c>
      <c r="Q3520" s="10">
        <f t="shared" si="725"/>
        <v>0</v>
      </c>
    </row>
    <row r="3521" spans="1:17">
      <c r="A3521" s="15">
        <f t="shared" si="732"/>
        <v>0</v>
      </c>
      <c r="B3521" s="15"/>
      <c r="C3521" s="17">
        <f>Fixture!E526</f>
        <v>0</v>
      </c>
      <c r="D3521" s="18">
        <f>IF(E3521=0,0,IF(Fixture!D526&lt;Fixture!F526,3,IF(Fixture!F526&lt;Fixture!D526,0,1)))</f>
        <v>0</v>
      </c>
      <c r="E3521" s="18">
        <f t="shared" si="726"/>
        <v>0</v>
      </c>
      <c r="F3521" s="18">
        <f>IF(E3521=0,0,IF(Fixture!D526&lt;Fixture!F526,1,IF(Fixture!F526&lt;Fixture!D526,0,0)))</f>
        <v>0</v>
      </c>
      <c r="G3521" s="18">
        <f>IF(E3521=0,0,IF(Fixture!D526&lt;Fixture!F526,0,IF(Fixture!F526&lt;Fixture!D526,0,1)))</f>
        <v>0</v>
      </c>
      <c r="H3521" s="18">
        <f t="shared" si="727"/>
        <v>0</v>
      </c>
      <c r="I3521" s="64">
        <f t="shared" si="728"/>
        <v>0</v>
      </c>
      <c r="J3521" s="64">
        <f t="shared" si="729"/>
        <v>0</v>
      </c>
      <c r="K3521" s="63">
        <f t="shared" si="730"/>
        <v>0</v>
      </c>
      <c r="L3521" s="63">
        <f t="shared" si="731"/>
        <v>0</v>
      </c>
      <c r="N3521" s="10" t="str">
        <f t="shared" si="722"/>
        <v>00</v>
      </c>
      <c r="O3521" s="10">
        <f t="shared" si="723"/>
        <v>0</v>
      </c>
      <c r="P3521" s="10">
        <f t="shared" si="724"/>
        <v>0</v>
      </c>
      <c r="Q3521" s="10">
        <f t="shared" si="725"/>
        <v>0</v>
      </c>
    </row>
    <row r="3522" spans="1:17">
      <c r="A3522" s="15">
        <f t="shared" si="732"/>
        <v>0</v>
      </c>
      <c r="B3522" s="15"/>
      <c r="C3522" s="17">
        <f>Fixture!E527</f>
        <v>0</v>
      </c>
      <c r="D3522" s="18">
        <f>IF(E3522=0,0,IF(Fixture!D527&lt;Fixture!F527,3,IF(Fixture!F527&lt;Fixture!D527,0,1)))</f>
        <v>0</v>
      </c>
      <c r="E3522" s="18">
        <f t="shared" si="726"/>
        <v>0</v>
      </c>
      <c r="F3522" s="18">
        <f>IF(E3522=0,0,IF(Fixture!D527&lt;Fixture!F527,1,IF(Fixture!F527&lt;Fixture!D527,0,0)))</f>
        <v>0</v>
      </c>
      <c r="G3522" s="18">
        <f>IF(E3522=0,0,IF(Fixture!D527&lt;Fixture!F527,0,IF(Fixture!F527&lt;Fixture!D527,0,1)))</f>
        <v>0</v>
      </c>
      <c r="H3522" s="18">
        <f t="shared" si="727"/>
        <v>0</v>
      </c>
      <c r="I3522" s="64">
        <f t="shared" si="728"/>
        <v>0</v>
      </c>
      <c r="J3522" s="64">
        <f t="shared" si="729"/>
        <v>0</v>
      </c>
      <c r="K3522" s="63">
        <f t="shared" si="730"/>
        <v>0</v>
      </c>
      <c r="L3522" s="63">
        <f t="shared" si="731"/>
        <v>0</v>
      </c>
      <c r="N3522" s="10" t="str">
        <f t="shared" si="722"/>
        <v>00</v>
      </c>
      <c r="O3522" s="10">
        <f t="shared" si="723"/>
        <v>0</v>
      </c>
      <c r="P3522" s="10">
        <f t="shared" si="724"/>
        <v>0</v>
      </c>
      <c r="Q3522" s="10">
        <f t="shared" si="725"/>
        <v>0</v>
      </c>
    </row>
    <row r="3523" spans="1:17">
      <c r="A3523" s="15">
        <f t="shared" si="732"/>
        <v>0</v>
      </c>
      <c r="B3523" s="15"/>
      <c r="C3523" s="17">
        <f>Fixture!E528</f>
        <v>0</v>
      </c>
      <c r="D3523" s="18">
        <f>IF(E3523=0,0,IF(Fixture!D528&lt;Fixture!F528,3,IF(Fixture!F528&lt;Fixture!D528,0,1)))</f>
        <v>0</v>
      </c>
      <c r="E3523" s="18">
        <f t="shared" si="726"/>
        <v>0</v>
      </c>
      <c r="F3523" s="18">
        <f>IF(E3523=0,0,IF(Fixture!D528&lt;Fixture!F528,1,IF(Fixture!F528&lt;Fixture!D528,0,0)))</f>
        <v>0</v>
      </c>
      <c r="G3523" s="18">
        <f>IF(E3523=0,0,IF(Fixture!D528&lt;Fixture!F528,0,IF(Fixture!F528&lt;Fixture!D528,0,1)))</f>
        <v>0</v>
      </c>
      <c r="H3523" s="18">
        <f t="shared" si="727"/>
        <v>0</v>
      </c>
      <c r="I3523" s="64">
        <f t="shared" si="728"/>
        <v>0</v>
      </c>
      <c r="J3523" s="64">
        <f t="shared" si="729"/>
        <v>0</v>
      </c>
      <c r="K3523" s="63">
        <f t="shared" si="730"/>
        <v>0</v>
      </c>
      <c r="L3523" s="63">
        <f t="shared" si="731"/>
        <v>0</v>
      </c>
      <c r="N3523" s="10" t="str">
        <f t="shared" si="722"/>
        <v>00</v>
      </c>
      <c r="O3523" s="10">
        <f t="shared" si="723"/>
        <v>0</v>
      </c>
      <c r="P3523" s="10">
        <f t="shared" si="724"/>
        <v>0</v>
      </c>
      <c r="Q3523" s="10">
        <f t="shared" si="725"/>
        <v>0</v>
      </c>
    </row>
    <row r="3524" spans="1:17">
      <c r="A3524" s="15">
        <f t="shared" si="732"/>
        <v>0</v>
      </c>
      <c r="B3524" s="15"/>
      <c r="C3524" s="17">
        <f>Fixture!E529</f>
        <v>0</v>
      </c>
      <c r="D3524" s="18">
        <f>IF(E3524=0,0,IF(Fixture!D529&lt;Fixture!F529,3,IF(Fixture!F529&lt;Fixture!D529,0,1)))</f>
        <v>0</v>
      </c>
      <c r="E3524" s="18">
        <f t="shared" si="726"/>
        <v>0</v>
      </c>
      <c r="F3524" s="18">
        <f>IF(E3524=0,0,IF(Fixture!D529&lt;Fixture!F529,1,IF(Fixture!F529&lt;Fixture!D529,0,0)))</f>
        <v>0</v>
      </c>
      <c r="G3524" s="18">
        <f>IF(E3524=0,0,IF(Fixture!D529&lt;Fixture!F529,0,IF(Fixture!F529&lt;Fixture!D529,0,1)))</f>
        <v>0</v>
      </c>
      <c r="H3524" s="18">
        <f t="shared" si="727"/>
        <v>0</v>
      </c>
      <c r="I3524" s="64">
        <f t="shared" si="728"/>
        <v>0</v>
      </c>
      <c r="J3524" s="64">
        <f t="shared" si="729"/>
        <v>0</v>
      </c>
      <c r="K3524" s="63">
        <f t="shared" si="730"/>
        <v>0</v>
      </c>
      <c r="L3524" s="63">
        <f t="shared" si="731"/>
        <v>0</v>
      </c>
      <c r="N3524" s="10" t="str">
        <f t="shared" si="722"/>
        <v>00</v>
      </c>
      <c r="O3524" s="10">
        <f t="shared" si="723"/>
        <v>0</v>
      </c>
      <c r="P3524" s="10">
        <f t="shared" si="724"/>
        <v>0</v>
      </c>
      <c r="Q3524" s="10">
        <f t="shared" si="725"/>
        <v>0</v>
      </c>
    </row>
    <row r="3525" spans="1:17">
      <c r="A3525" s="15">
        <f t="shared" si="732"/>
        <v>0</v>
      </c>
      <c r="B3525" s="15"/>
      <c r="C3525" s="17">
        <f>Fixture!E530</f>
        <v>0</v>
      </c>
      <c r="D3525" s="18">
        <f>IF(E3525=0,0,IF(Fixture!D530&lt;Fixture!F530,3,IF(Fixture!F530&lt;Fixture!D530,0,1)))</f>
        <v>0</v>
      </c>
      <c r="E3525" s="18">
        <f t="shared" si="726"/>
        <v>0</v>
      </c>
      <c r="F3525" s="18">
        <f>IF(E3525=0,0,IF(Fixture!D530&lt;Fixture!F530,1,IF(Fixture!F530&lt;Fixture!D530,0,0)))</f>
        <v>0</v>
      </c>
      <c r="G3525" s="18">
        <f>IF(E3525=0,0,IF(Fixture!D530&lt;Fixture!F530,0,IF(Fixture!F530&lt;Fixture!D530,0,1)))</f>
        <v>0</v>
      </c>
      <c r="H3525" s="18">
        <f t="shared" si="727"/>
        <v>0</v>
      </c>
      <c r="I3525" s="64">
        <f t="shared" si="728"/>
        <v>0</v>
      </c>
      <c r="J3525" s="64">
        <f t="shared" si="729"/>
        <v>0</v>
      </c>
      <c r="K3525" s="63">
        <f t="shared" si="730"/>
        <v>0</v>
      </c>
      <c r="L3525" s="63">
        <f t="shared" si="731"/>
        <v>0</v>
      </c>
      <c r="N3525" s="10" t="str">
        <f t="shared" si="722"/>
        <v>00</v>
      </c>
      <c r="O3525" s="10">
        <f t="shared" si="723"/>
        <v>0</v>
      </c>
      <c r="P3525" s="10">
        <f t="shared" si="724"/>
        <v>0</v>
      </c>
      <c r="Q3525" s="10">
        <f t="shared" si="725"/>
        <v>0</v>
      </c>
    </row>
    <row r="3526" spans="1:17">
      <c r="A3526" s="15">
        <f t="shared" si="732"/>
        <v>0</v>
      </c>
      <c r="B3526" s="15"/>
      <c r="C3526" s="17">
        <f>Fixture!E531</f>
        <v>0</v>
      </c>
      <c r="D3526" s="18">
        <f>IF(E3526=0,0,IF(Fixture!D531&lt;Fixture!F531,3,IF(Fixture!F531&lt;Fixture!D531,0,1)))</f>
        <v>0</v>
      </c>
      <c r="E3526" s="18">
        <f t="shared" si="726"/>
        <v>0</v>
      </c>
      <c r="F3526" s="18">
        <f>IF(E3526=0,0,IF(Fixture!D531&lt;Fixture!F531,1,IF(Fixture!F531&lt;Fixture!D531,0,0)))</f>
        <v>0</v>
      </c>
      <c r="G3526" s="18">
        <f>IF(E3526=0,0,IF(Fixture!D531&lt;Fixture!F531,0,IF(Fixture!F531&lt;Fixture!D531,0,1)))</f>
        <v>0</v>
      </c>
      <c r="H3526" s="18">
        <f t="shared" si="727"/>
        <v>0</v>
      </c>
      <c r="I3526" s="64">
        <f t="shared" si="728"/>
        <v>0</v>
      </c>
      <c r="J3526" s="64">
        <f t="shared" si="729"/>
        <v>0</v>
      </c>
      <c r="K3526" s="63">
        <f t="shared" si="730"/>
        <v>0</v>
      </c>
      <c r="L3526" s="63">
        <f t="shared" si="731"/>
        <v>0</v>
      </c>
      <c r="N3526" s="10" t="str">
        <f t="shared" si="722"/>
        <v>00</v>
      </c>
      <c r="O3526" s="10">
        <f t="shared" si="723"/>
        <v>0</v>
      </c>
      <c r="P3526" s="10">
        <f t="shared" si="724"/>
        <v>0</v>
      </c>
      <c r="Q3526" s="10">
        <f t="shared" si="725"/>
        <v>0</v>
      </c>
    </row>
    <row r="3527" spans="1:17">
      <c r="A3527" s="15">
        <f t="shared" si="732"/>
        <v>0</v>
      </c>
      <c r="B3527" s="15"/>
      <c r="C3527" s="17">
        <f>Fixture!E532</f>
        <v>0</v>
      </c>
      <c r="D3527" s="18">
        <f>IF(E3527=0,0,IF(Fixture!D532&lt;Fixture!F532,3,IF(Fixture!F532&lt;Fixture!D532,0,1)))</f>
        <v>0</v>
      </c>
      <c r="E3527" s="18">
        <f t="shared" si="726"/>
        <v>0</v>
      </c>
      <c r="F3527" s="18">
        <f>IF(E3527=0,0,IF(Fixture!D532&lt;Fixture!F532,1,IF(Fixture!F532&lt;Fixture!D532,0,0)))</f>
        <v>0</v>
      </c>
      <c r="G3527" s="18">
        <f>IF(E3527=0,0,IF(Fixture!D532&lt;Fixture!F532,0,IF(Fixture!F532&lt;Fixture!D532,0,1)))</f>
        <v>0</v>
      </c>
      <c r="H3527" s="18">
        <f t="shared" si="727"/>
        <v>0</v>
      </c>
      <c r="I3527" s="64">
        <f t="shared" si="728"/>
        <v>0</v>
      </c>
      <c r="J3527" s="64">
        <f t="shared" si="729"/>
        <v>0</v>
      </c>
      <c r="K3527" s="63">
        <f t="shared" si="730"/>
        <v>0</v>
      </c>
      <c r="L3527" s="63">
        <f t="shared" si="731"/>
        <v>0</v>
      </c>
      <c r="N3527" s="10" t="str">
        <f t="shared" si="722"/>
        <v>00</v>
      </c>
      <c r="O3527" s="10">
        <f t="shared" si="723"/>
        <v>0</v>
      </c>
      <c r="P3527" s="10">
        <f t="shared" si="724"/>
        <v>0</v>
      </c>
      <c r="Q3527" s="10">
        <f t="shared" si="725"/>
        <v>0</v>
      </c>
    </row>
    <row r="3528" spans="1:17">
      <c r="A3528" s="15">
        <f t="shared" si="732"/>
        <v>0</v>
      </c>
      <c r="B3528" s="15"/>
      <c r="C3528" s="17">
        <f>Fixture!E533</f>
        <v>0</v>
      </c>
      <c r="D3528" s="18">
        <f>IF(E3528=0,0,IF(Fixture!D533&lt;Fixture!F533,3,IF(Fixture!F533&lt;Fixture!D533,0,1)))</f>
        <v>0</v>
      </c>
      <c r="E3528" s="18">
        <f t="shared" si="726"/>
        <v>0</v>
      </c>
      <c r="F3528" s="18">
        <f>IF(E3528=0,0,IF(Fixture!D533&lt;Fixture!F533,1,IF(Fixture!F533&lt;Fixture!D533,0,0)))</f>
        <v>0</v>
      </c>
      <c r="G3528" s="18">
        <f>IF(E3528=0,0,IF(Fixture!D533&lt;Fixture!F533,0,IF(Fixture!F533&lt;Fixture!D533,0,1)))</f>
        <v>0</v>
      </c>
      <c r="H3528" s="18">
        <f t="shared" si="727"/>
        <v>0</v>
      </c>
      <c r="I3528" s="64">
        <f t="shared" si="728"/>
        <v>0</v>
      </c>
      <c r="J3528" s="64">
        <f t="shared" si="729"/>
        <v>0</v>
      </c>
      <c r="K3528" s="63">
        <f t="shared" si="730"/>
        <v>0</v>
      </c>
      <c r="L3528" s="63">
        <f t="shared" si="731"/>
        <v>0</v>
      </c>
      <c r="N3528" s="10" t="str">
        <f t="shared" si="722"/>
        <v>00</v>
      </c>
      <c r="O3528" s="10">
        <f t="shared" si="723"/>
        <v>0</v>
      </c>
      <c r="P3528" s="10">
        <f t="shared" si="724"/>
        <v>0</v>
      </c>
      <c r="Q3528" s="10">
        <f t="shared" si="725"/>
        <v>0</v>
      </c>
    </row>
    <row r="3529" spans="1:17">
      <c r="A3529" s="15">
        <f t="shared" si="732"/>
        <v>0</v>
      </c>
      <c r="B3529" s="15"/>
      <c r="C3529" s="17">
        <f>Fixture!E534</f>
        <v>0</v>
      </c>
      <c r="D3529" s="18">
        <f>IF(E3529=0,0,IF(Fixture!D534&lt;Fixture!F534,3,IF(Fixture!F534&lt;Fixture!D534,0,1)))</f>
        <v>0</v>
      </c>
      <c r="E3529" s="18">
        <f t="shared" si="726"/>
        <v>0</v>
      </c>
      <c r="F3529" s="18">
        <f>IF(E3529=0,0,IF(Fixture!D534&lt;Fixture!F534,1,IF(Fixture!F534&lt;Fixture!D534,0,0)))</f>
        <v>0</v>
      </c>
      <c r="G3529" s="18">
        <f>IF(E3529=0,0,IF(Fixture!D534&lt;Fixture!F534,0,IF(Fixture!F534&lt;Fixture!D534,0,1)))</f>
        <v>0</v>
      </c>
      <c r="H3529" s="18">
        <f t="shared" si="727"/>
        <v>0</v>
      </c>
      <c r="I3529" s="64">
        <f t="shared" si="728"/>
        <v>0</v>
      </c>
      <c r="J3529" s="64">
        <f t="shared" si="729"/>
        <v>0</v>
      </c>
      <c r="K3529" s="63">
        <f t="shared" si="730"/>
        <v>0</v>
      </c>
      <c r="L3529" s="63">
        <f t="shared" si="731"/>
        <v>0</v>
      </c>
      <c r="N3529" s="10" t="str">
        <f t="shared" si="722"/>
        <v>00</v>
      </c>
      <c r="O3529" s="10">
        <f t="shared" si="723"/>
        <v>0</v>
      </c>
      <c r="P3529" s="10">
        <f t="shared" si="724"/>
        <v>0</v>
      </c>
      <c r="Q3529" s="10">
        <f t="shared" si="725"/>
        <v>0</v>
      </c>
    </row>
    <row r="3530" spans="1:17">
      <c r="A3530" s="15">
        <f t="shared" si="732"/>
        <v>0</v>
      </c>
      <c r="B3530" s="15"/>
      <c r="C3530" s="17">
        <f>Fixture!E535</f>
        <v>0</v>
      </c>
      <c r="D3530" s="18">
        <f>IF(E3530=0,0,IF(Fixture!D535&lt;Fixture!F535,3,IF(Fixture!F535&lt;Fixture!D535,0,1)))</f>
        <v>0</v>
      </c>
      <c r="E3530" s="18">
        <f t="shared" si="726"/>
        <v>0</v>
      </c>
      <c r="F3530" s="18">
        <f>IF(E3530=0,0,IF(Fixture!D535&lt;Fixture!F535,1,IF(Fixture!F535&lt;Fixture!D535,0,0)))</f>
        <v>0</v>
      </c>
      <c r="G3530" s="18">
        <f>IF(E3530=0,0,IF(Fixture!D535&lt;Fixture!F535,0,IF(Fixture!F535&lt;Fixture!D535,0,1)))</f>
        <v>0</v>
      </c>
      <c r="H3530" s="18">
        <f t="shared" si="727"/>
        <v>0</v>
      </c>
      <c r="I3530" s="64">
        <f t="shared" si="728"/>
        <v>0</v>
      </c>
      <c r="J3530" s="64">
        <f t="shared" si="729"/>
        <v>0</v>
      </c>
      <c r="K3530" s="63">
        <f t="shared" si="730"/>
        <v>0</v>
      </c>
      <c r="L3530" s="63">
        <f t="shared" si="731"/>
        <v>0</v>
      </c>
      <c r="N3530" s="10" t="str">
        <f t="shared" si="722"/>
        <v>00</v>
      </c>
      <c r="O3530" s="10">
        <f t="shared" si="723"/>
        <v>0</v>
      </c>
      <c r="P3530" s="10">
        <f t="shared" si="724"/>
        <v>0</v>
      </c>
      <c r="Q3530" s="10">
        <f t="shared" si="725"/>
        <v>0</v>
      </c>
    </row>
    <row r="3531" spans="1:17">
      <c r="A3531" s="15">
        <f t="shared" si="732"/>
        <v>0</v>
      </c>
      <c r="B3531" s="15"/>
      <c r="C3531" s="17">
        <f>Fixture!E536</f>
        <v>0</v>
      </c>
      <c r="D3531" s="18">
        <f>IF(E3531=0,0,IF(Fixture!D536&lt;Fixture!F536,3,IF(Fixture!F536&lt;Fixture!D536,0,1)))</f>
        <v>0</v>
      </c>
      <c r="E3531" s="18">
        <f t="shared" si="726"/>
        <v>0</v>
      </c>
      <c r="F3531" s="18">
        <f>IF(E3531=0,0,IF(Fixture!D536&lt;Fixture!F536,1,IF(Fixture!F536&lt;Fixture!D536,0,0)))</f>
        <v>0</v>
      </c>
      <c r="G3531" s="18">
        <f>IF(E3531=0,0,IF(Fixture!D536&lt;Fixture!F536,0,IF(Fixture!F536&lt;Fixture!D536,0,1)))</f>
        <v>0</v>
      </c>
      <c r="H3531" s="18">
        <f t="shared" si="727"/>
        <v>0</v>
      </c>
      <c r="I3531" s="64">
        <f t="shared" si="728"/>
        <v>0</v>
      </c>
      <c r="J3531" s="64">
        <f t="shared" si="729"/>
        <v>0</v>
      </c>
      <c r="K3531" s="63">
        <f t="shared" si="730"/>
        <v>0</v>
      </c>
      <c r="L3531" s="63">
        <f t="shared" si="731"/>
        <v>0</v>
      </c>
      <c r="N3531" s="10" t="str">
        <f t="shared" si="722"/>
        <v>00</v>
      </c>
      <c r="O3531" s="10">
        <f t="shared" si="723"/>
        <v>0</v>
      </c>
      <c r="P3531" s="10">
        <f t="shared" si="724"/>
        <v>0</v>
      </c>
      <c r="Q3531" s="10">
        <f t="shared" si="725"/>
        <v>0</v>
      </c>
    </row>
    <row r="3532" spans="1:17">
      <c r="A3532" s="15">
        <f t="shared" si="732"/>
        <v>0</v>
      </c>
      <c r="B3532" s="15"/>
      <c r="C3532" s="17">
        <f>Fixture!E537</f>
        <v>0</v>
      </c>
      <c r="D3532" s="18">
        <f>IF(E3532=0,0,IF(Fixture!D537&lt;Fixture!F537,3,IF(Fixture!F537&lt;Fixture!D537,0,1)))</f>
        <v>0</v>
      </c>
      <c r="E3532" s="18">
        <f t="shared" si="726"/>
        <v>0</v>
      </c>
      <c r="F3532" s="18">
        <f>IF(E3532=0,0,IF(Fixture!D537&lt;Fixture!F537,1,IF(Fixture!F537&lt;Fixture!D537,0,0)))</f>
        <v>0</v>
      </c>
      <c r="G3532" s="18">
        <f>IF(E3532=0,0,IF(Fixture!D537&lt;Fixture!F537,0,IF(Fixture!F537&lt;Fixture!D537,0,1)))</f>
        <v>0</v>
      </c>
      <c r="H3532" s="18">
        <f t="shared" si="727"/>
        <v>0</v>
      </c>
      <c r="I3532" s="64">
        <f t="shared" si="728"/>
        <v>0</v>
      </c>
      <c r="J3532" s="64">
        <f t="shared" si="729"/>
        <v>0</v>
      </c>
      <c r="K3532" s="63">
        <f t="shared" si="730"/>
        <v>0</v>
      </c>
      <c r="L3532" s="63">
        <f t="shared" si="731"/>
        <v>0</v>
      </c>
      <c r="N3532" s="10" t="str">
        <f t="shared" si="722"/>
        <v>00</v>
      </c>
      <c r="O3532" s="10">
        <f t="shared" si="723"/>
        <v>0</v>
      </c>
      <c r="P3532" s="10">
        <f t="shared" si="724"/>
        <v>0</v>
      </c>
      <c r="Q3532" s="10">
        <f t="shared" si="725"/>
        <v>0</v>
      </c>
    </row>
    <row r="3533" spans="1:17">
      <c r="A3533" s="15">
        <f t="shared" si="732"/>
        <v>0</v>
      </c>
      <c r="B3533" s="15"/>
      <c r="C3533" s="17">
        <f>Fixture!E538</f>
        <v>0</v>
      </c>
      <c r="D3533" s="18">
        <f>IF(E3533=0,0,IF(Fixture!D538&lt;Fixture!F538,3,IF(Fixture!F538&lt;Fixture!D538,0,1)))</f>
        <v>0</v>
      </c>
      <c r="E3533" s="18">
        <f t="shared" si="726"/>
        <v>0</v>
      </c>
      <c r="F3533" s="18">
        <f>IF(E3533=0,0,IF(Fixture!D538&lt;Fixture!F538,1,IF(Fixture!F538&lt;Fixture!D538,0,0)))</f>
        <v>0</v>
      </c>
      <c r="G3533" s="18">
        <f>IF(E3533=0,0,IF(Fixture!D538&lt;Fixture!F538,0,IF(Fixture!F538&lt;Fixture!D538,0,1)))</f>
        <v>0</v>
      </c>
      <c r="H3533" s="18">
        <f t="shared" si="727"/>
        <v>0</v>
      </c>
      <c r="I3533" s="64">
        <f t="shared" si="728"/>
        <v>0</v>
      </c>
      <c r="J3533" s="64">
        <f t="shared" si="729"/>
        <v>0</v>
      </c>
      <c r="K3533" s="63">
        <f t="shared" si="730"/>
        <v>0</v>
      </c>
      <c r="L3533" s="63">
        <f t="shared" si="731"/>
        <v>0</v>
      </c>
      <c r="N3533" s="10" t="str">
        <f t="shared" si="722"/>
        <v>00</v>
      </c>
      <c r="O3533" s="10">
        <f t="shared" si="723"/>
        <v>0</v>
      </c>
      <c r="P3533" s="10">
        <f t="shared" si="724"/>
        <v>0</v>
      </c>
      <c r="Q3533" s="10">
        <f t="shared" si="725"/>
        <v>0</v>
      </c>
    </row>
    <row r="3534" spans="1:17">
      <c r="A3534" s="15">
        <f t="shared" si="732"/>
        <v>0</v>
      </c>
      <c r="B3534" s="15"/>
      <c r="C3534" s="17">
        <f>Fixture!E539</f>
        <v>0</v>
      </c>
      <c r="D3534" s="18">
        <f>IF(E3534=0,0,IF(Fixture!D539&lt;Fixture!F539,3,IF(Fixture!F539&lt;Fixture!D539,0,1)))</f>
        <v>0</v>
      </c>
      <c r="E3534" s="18">
        <f t="shared" si="726"/>
        <v>0</v>
      </c>
      <c r="F3534" s="18">
        <f>IF(E3534=0,0,IF(Fixture!D539&lt;Fixture!F539,1,IF(Fixture!F539&lt;Fixture!D539,0,0)))</f>
        <v>0</v>
      </c>
      <c r="G3534" s="18">
        <f>IF(E3534=0,0,IF(Fixture!D539&lt;Fixture!F539,0,IF(Fixture!F539&lt;Fixture!D539,0,1)))</f>
        <v>0</v>
      </c>
      <c r="H3534" s="18">
        <f t="shared" si="727"/>
        <v>0</v>
      </c>
      <c r="I3534" s="64">
        <f t="shared" si="728"/>
        <v>0</v>
      </c>
      <c r="J3534" s="64">
        <f t="shared" si="729"/>
        <v>0</v>
      </c>
      <c r="K3534" s="63">
        <f t="shared" si="730"/>
        <v>0</v>
      </c>
      <c r="L3534" s="63">
        <f t="shared" si="731"/>
        <v>0</v>
      </c>
      <c r="N3534" s="10" t="str">
        <f t="shared" si="722"/>
        <v>00</v>
      </c>
      <c r="O3534" s="10">
        <f t="shared" si="723"/>
        <v>0</v>
      </c>
      <c r="P3534" s="10">
        <f t="shared" si="724"/>
        <v>0</v>
      </c>
      <c r="Q3534" s="10">
        <f t="shared" si="725"/>
        <v>0</v>
      </c>
    </row>
    <row r="3535" spans="1:17">
      <c r="A3535" s="15">
        <f t="shared" si="732"/>
        <v>0</v>
      </c>
      <c r="B3535" s="15"/>
      <c r="C3535" s="17">
        <f>Fixture!E540</f>
        <v>0</v>
      </c>
      <c r="D3535" s="18">
        <f>IF(E3535=0,0,IF(Fixture!D540&lt;Fixture!F540,3,IF(Fixture!F540&lt;Fixture!D540,0,1)))</f>
        <v>0</v>
      </c>
      <c r="E3535" s="18">
        <f t="shared" si="726"/>
        <v>0</v>
      </c>
      <c r="F3535" s="18">
        <f>IF(E3535=0,0,IF(Fixture!D540&lt;Fixture!F540,1,IF(Fixture!F540&lt;Fixture!D540,0,0)))</f>
        <v>0</v>
      </c>
      <c r="G3535" s="18">
        <f>IF(E3535=0,0,IF(Fixture!D540&lt;Fixture!F540,0,IF(Fixture!F540&lt;Fixture!D540,0,1)))</f>
        <v>0</v>
      </c>
      <c r="H3535" s="18">
        <f t="shared" si="727"/>
        <v>0</v>
      </c>
      <c r="I3535" s="64">
        <f t="shared" si="728"/>
        <v>0</v>
      </c>
      <c r="J3535" s="64">
        <f t="shared" si="729"/>
        <v>0</v>
      </c>
      <c r="K3535" s="63">
        <f t="shared" si="730"/>
        <v>0</v>
      </c>
      <c r="L3535" s="63">
        <f t="shared" si="731"/>
        <v>0</v>
      </c>
      <c r="N3535" s="10" t="str">
        <f t="shared" si="722"/>
        <v>00</v>
      </c>
      <c r="O3535" s="10">
        <f t="shared" si="723"/>
        <v>0</v>
      </c>
      <c r="P3535" s="10">
        <f t="shared" si="724"/>
        <v>0</v>
      </c>
      <c r="Q3535" s="10">
        <f t="shared" si="725"/>
        <v>0</v>
      </c>
    </row>
    <row r="3536" spans="1:17">
      <c r="A3536" s="15">
        <f t="shared" si="732"/>
        <v>0</v>
      </c>
      <c r="B3536" s="15"/>
      <c r="C3536" s="17">
        <f>Fixture!E541</f>
        <v>0</v>
      </c>
      <c r="D3536" s="18">
        <f>IF(E3536=0,0,IF(Fixture!D541&lt;Fixture!F541,3,IF(Fixture!F541&lt;Fixture!D541,0,1)))</f>
        <v>0</v>
      </c>
      <c r="E3536" s="18">
        <f t="shared" si="726"/>
        <v>0</v>
      </c>
      <c r="F3536" s="18">
        <f>IF(E3536=0,0,IF(Fixture!D541&lt;Fixture!F541,1,IF(Fixture!F541&lt;Fixture!D541,0,0)))</f>
        <v>0</v>
      </c>
      <c r="G3536" s="18">
        <f>IF(E3536=0,0,IF(Fixture!D541&lt;Fixture!F541,0,IF(Fixture!F541&lt;Fixture!D541,0,1)))</f>
        <v>0</v>
      </c>
      <c r="H3536" s="18">
        <f t="shared" si="727"/>
        <v>0</v>
      </c>
      <c r="I3536" s="64">
        <f t="shared" si="728"/>
        <v>0</v>
      </c>
      <c r="J3536" s="64">
        <f t="shared" si="729"/>
        <v>0</v>
      </c>
      <c r="K3536" s="63">
        <f t="shared" si="730"/>
        <v>0</v>
      </c>
      <c r="L3536" s="63">
        <f t="shared" si="731"/>
        <v>0</v>
      </c>
      <c r="N3536" s="10" t="str">
        <f t="shared" si="722"/>
        <v>00</v>
      </c>
      <c r="O3536" s="10">
        <f t="shared" si="723"/>
        <v>0</v>
      </c>
      <c r="P3536" s="10">
        <f t="shared" si="724"/>
        <v>0</v>
      </c>
      <c r="Q3536" s="10">
        <f t="shared" si="725"/>
        <v>0</v>
      </c>
    </row>
    <row r="3537" spans="1:17">
      <c r="A3537" s="15">
        <f t="shared" si="732"/>
        <v>0</v>
      </c>
      <c r="B3537" s="15"/>
      <c r="C3537" s="17">
        <f>Fixture!E542</f>
        <v>0</v>
      </c>
      <c r="D3537" s="18">
        <f>IF(E3537=0,0,IF(Fixture!D542&lt;Fixture!F542,3,IF(Fixture!F542&lt;Fixture!D542,0,1)))</f>
        <v>0</v>
      </c>
      <c r="E3537" s="18">
        <f t="shared" si="726"/>
        <v>0</v>
      </c>
      <c r="F3537" s="18">
        <f>IF(E3537=0,0,IF(Fixture!D542&lt;Fixture!F542,1,IF(Fixture!F542&lt;Fixture!D542,0,0)))</f>
        <v>0</v>
      </c>
      <c r="G3537" s="18">
        <f>IF(E3537=0,0,IF(Fixture!D542&lt;Fixture!F542,0,IF(Fixture!F542&lt;Fixture!D542,0,1)))</f>
        <v>0</v>
      </c>
      <c r="H3537" s="18">
        <f t="shared" si="727"/>
        <v>0</v>
      </c>
      <c r="I3537" s="64">
        <f t="shared" si="728"/>
        <v>0</v>
      </c>
      <c r="J3537" s="64">
        <f t="shared" si="729"/>
        <v>0</v>
      </c>
      <c r="K3537" s="63">
        <f t="shared" si="730"/>
        <v>0</v>
      </c>
      <c r="L3537" s="63">
        <f t="shared" si="731"/>
        <v>0</v>
      </c>
      <c r="N3537" s="10" t="str">
        <f t="shared" si="722"/>
        <v>00</v>
      </c>
      <c r="O3537" s="10">
        <f t="shared" si="723"/>
        <v>0</v>
      </c>
      <c r="P3537" s="10">
        <f t="shared" si="724"/>
        <v>0</v>
      </c>
      <c r="Q3537" s="10">
        <f t="shared" si="725"/>
        <v>0</v>
      </c>
    </row>
    <row r="3538" spans="1:17">
      <c r="A3538" s="15">
        <f t="shared" si="732"/>
        <v>0</v>
      </c>
      <c r="B3538" s="15"/>
      <c r="C3538" s="17">
        <f>Fixture!E543</f>
        <v>0</v>
      </c>
      <c r="D3538" s="18">
        <f>IF(E3538=0,0,IF(Fixture!D543&lt;Fixture!F543,3,IF(Fixture!F543&lt;Fixture!D543,0,1)))</f>
        <v>0</v>
      </c>
      <c r="E3538" s="18">
        <f t="shared" si="726"/>
        <v>0</v>
      </c>
      <c r="F3538" s="18">
        <f>IF(E3538=0,0,IF(Fixture!D543&lt;Fixture!F543,1,IF(Fixture!F543&lt;Fixture!D543,0,0)))</f>
        <v>0</v>
      </c>
      <c r="G3538" s="18">
        <f>IF(E3538=0,0,IF(Fixture!D543&lt;Fixture!F543,0,IF(Fixture!F543&lt;Fixture!D543,0,1)))</f>
        <v>0</v>
      </c>
      <c r="H3538" s="18">
        <f t="shared" si="727"/>
        <v>0</v>
      </c>
      <c r="I3538" s="64">
        <f t="shared" si="728"/>
        <v>0</v>
      </c>
      <c r="J3538" s="64">
        <f t="shared" si="729"/>
        <v>0</v>
      </c>
      <c r="K3538" s="63">
        <f t="shared" si="730"/>
        <v>0</v>
      </c>
      <c r="L3538" s="63">
        <f t="shared" si="731"/>
        <v>0</v>
      </c>
      <c r="N3538" s="10" t="str">
        <f t="shared" ref="N3538:N3601" si="733">CONCATENATE(C3538,A3538)</f>
        <v>00</v>
      </c>
      <c r="O3538" s="10">
        <f t="shared" ref="O3538:O3601" si="734">D3538</f>
        <v>0</v>
      </c>
      <c r="P3538" s="10">
        <f t="shared" ref="P3538:P3601" si="735">I3538</f>
        <v>0</v>
      </c>
      <c r="Q3538" s="10">
        <f t="shared" ref="Q3538:Q3601" si="736">J3538</f>
        <v>0</v>
      </c>
    </row>
    <row r="3539" spans="1:17">
      <c r="A3539" s="15">
        <f t="shared" si="732"/>
        <v>0</v>
      </c>
      <c r="B3539" s="15"/>
      <c r="C3539" s="17">
        <f>Fixture!E544</f>
        <v>0</v>
      </c>
      <c r="D3539" s="18">
        <f>IF(E3539=0,0,IF(Fixture!D544&lt;Fixture!F544,3,IF(Fixture!F544&lt;Fixture!D544,0,1)))</f>
        <v>0</v>
      </c>
      <c r="E3539" s="18">
        <f t="shared" si="726"/>
        <v>0</v>
      </c>
      <c r="F3539" s="18">
        <f>IF(E3539=0,0,IF(Fixture!D544&lt;Fixture!F544,1,IF(Fixture!F544&lt;Fixture!D544,0,0)))</f>
        <v>0</v>
      </c>
      <c r="G3539" s="18">
        <f>IF(E3539=0,0,IF(Fixture!D544&lt;Fixture!F544,0,IF(Fixture!F544&lt;Fixture!D544,0,1)))</f>
        <v>0</v>
      </c>
      <c r="H3539" s="18">
        <f t="shared" si="727"/>
        <v>0</v>
      </c>
      <c r="I3539" s="64">
        <f t="shared" si="728"/>
        <v>0</v>
      </c>
      <c r="J3539" s="64">
        <f t="shared" si="729"/>
        <v>0</v>
      </c>
      <c r="K3539" s="63">
        <f t="shared" si="730"/>
        <v>0</v>
      </c>
      <c r="L3539" s="63">
        <f t="shared" si="731"/>
        <v>0</v>
      </c>
      <c r="N3539" s="10" t="str">
        <f t="shared" si="733"/>
        <v>00</v>
      </c>
      <c r="O3539" s="10">
        <f t="shared" si="734"/>
        <v>0</v>
      </c>
      <c r="P3539" s="10">
        <f t="shared" si="735"/>
        <v>0</v>
      </c>
      <c r="Q3539" s="10">
        <f t="shared" si="736"/>
        <v>0</v>
      </c>
    </row>
    <row r="3540" spans="1:17">
      <c r="A3540" s="15">
        <f t="shared" si="732"/>
        <v>0</v>
      </c>
      <c r="B3540" s="15"/>
      <c r="C3540" s="17">
        <f>Fixture!E545</f>
        <v>0</v>
      </c>
      <c r="D3540" s="18">
        <f>IF(E3540=0,0,IF(Fixture!D545&lt;Fixture!F545,3,IF(Fixture!F545&lt;Fixture!D545,0,1)))</f>
        <v>0</v>
      </c>
      <c r="E3540" s="18">
        <f t="shared" si="726"/>
        <v>0</v>
      </c>
      <c r="F3540" s="18">
        <f>IF(E3540=0,0,IF(Fixture!D545&lt;Fixture!F545,1,IF(Fixture!F545&lt;Fixture!D545,0,0)))</f>
        <v>0</v>
      </c>
      <c r="G3540" s="18">
        <f>IF(E3540=0,0,IF(Fixture!D545&lt;Fixture!F545,0,IF(Fixture!F545&lt;Fixture!D545,0,1)))</f>
        <v>0</v>
      </c>
      <c r="H3540" s="18">
        <f t="shared" si="727"/>
        <v>0</v>
      </c>
      <c r="I3540" s="64">
        <f t="shared" si="728"/>
        <v>0</v>
      </c>
      <c r="J3540" s="64">
        <f t="shared" si="729"/>
        <v>0</v>
      </c>
      <c r="K3540" s="63">
        <f t="shared" si="730"/>
        <v>0</v>
      </c>
      <c r="L3540" s="63">
        <f t="shared" si="731"/>
        <v>0</v>
      </c>
      <c r="N3540" s="10" t="str">
        <f t="shared" si="733"/>
        <v>00</v>
      </c>
      <c r="O3540" s="10">
        <f t="shared" si="734"/>
        <v>0</v>
      </c>
      <c r="P3540" s="10">
        <f t="shared" si="735"/>
        <v>0</v>
      </c>
      <c r="Q3540" s="10">
        <f t="shared" si="736"/>
        <v>0</v>
      </c>
    </row>
    <row r="3541" spans="1:17">
      <c r="A3541" s="15">
        <f t="shared" si="732"/>
        <v>0</v>
      </c>
      <c r="B3541" s="15"/>
      <c r="C3541" s="17">
        <f>Fixture!E546</f>
        <v>0</v>
      </c>
      <c r="D3541" s="18">
        <f>IF(E3541=0,0,IF(Fixture!D546&lt;Fixture!F546,3,IF(Fixture!F546&lt;Fixture!D546,0,1)))</f>
        <v>0</v>
      </c>
      <c r="E3541" s="18">
        <f t="shared" si="726"/>
        <v>0</v>
      </c>
      <c r="F3541" s="18">
        <f>IF(E3541=0,0,IF(Fixture!D546&lt;Fixture!F546,1,IF(Fixture!F546&lt;Fixture!D546,0,0)))</f>
        <v>0</v>
      </c>
      <c r="G3541" s="18">
        <f>IF(E3541=0,0,IF(Fixture!D546&lt;Fixture!F546,0,IF(Fixture!F546&lt;Fixture!D546,0,1)))</f>
        <v>0</v>
      </c>
      <c r="H3541" s="18">
        <f t="shared" si="727"/>
        <v>0</v>
      </c>
      <c r="I3541" s="64">
        <f t="shared" si="728"/>
        <v>0</v>
      </c>
      <c r="J3541" s="64">
        <f t="shared" si="729"/>
        <v>0</v>
      </c>
      <c r="K3541" s="63">
        <f t="shared" si="730"/>
        <v>0</v>
      </c>
      <c r="L3541" s="63">
        <f t="shared" si="731"/>
        <v>0</v>
      </c>
      <c r="N3541" s="10" t="str">
        <f t="shared" si="733"/>
        <v>00</v>
      </c>
      <c r="O3541" s="10">
        <f t="shared" si="734"/>
        <v>0</v>
      </c>
      <c r="P3541" s="10">
        <f t="shared" si="735"/>
        <v>0</v>
      </c>
      <c r="Q3541" s="10">
        <f t="shared" si="736"/>
        <v>0</v>
      </c>
    </row>
    <row r="3542" spans="1:17">
      <c r="A3542" s="15">
        <f t="shared" si="732"/>
        <v>0</v>
      </c>
      <c r="B3542" s="15"/>
      <c r="C3542" s="17">
        <f>Fixture!E547</f>
        <v>0</v>
      </c>
      <c r="D3542" s="18">
        <f>IF(E3542=0,0,IF(Fixture!D547&lt;Fixture!F547,3,IF(Fixture!F547&lt;Fixture!D547,0,1)))</f>
        <v>0</v>
      </c>
      <c r="E3542" s="18">
        <f t="shared" si="726"/>
        <v>0</v>
      </c>
      <c r="F3542" s="18">
        <f>IF(E3542=0,0,IF(Fixture!D547&lt;Fixture!F547,1,IF(Fixture!F547&lt;Fixture!D547,0,0)))</f>
        <v>0</v>
      </c>
      <c r="G3542" s="18">
        <f>IF(E3542=0,0,IF(Fixture!D547&lt;Fixture!F547,0,IF(Fixture!F547&lt;Fixture!D547,0,1)))</f>
        <v>0</v>
      </c>
      <c r="H3542" s="18">
        <f t="shared" si="727"/>
        <v>0</v>
      </c>
      <c r="I3542" s="64">
        <f t="shared" si="728"/>
        <v>0</v>
      </c>
      <c r="J3542" s="64">
        <f t="shared" si="729"/>
        <v>0</v>
      </c>
      <c r="K3542" s="63">
        <f t="shared" si="730"/>
        <v>0</v>
      </c>
      <c r="L3542" s="63">
        <f t="shared" si="731"/>
        <v>0</v>
      </c>
      <c r="N3542" s="10" t="str">
        <f t="shared" si="733"/>
        <v>00</v>
      </c>
      <c r="O3542" s="10">
        <f t="shared" si="734"/>
        <v>0</v>
      </c>
      <c r="P3542" s="10">
        <f t="shared" si="735"/>
        <v>0</v>
      </c>
      <c r="Q3542" s="10">
        <f t="shared" si="736"/>
        <v>0</v>
      </c>
    </row>
    <row r="3543" spans="1:17">
      <c r="A3543" s="15">
        <f t="shared" si="732"/>
        <v>0</v>
      </c>
      <c r="B3543" s="15"/>
      <c r="C3543" s="17">
        <f>Fixture!E548</f>
        <v>0</v>
      </c>
      <c r="D3543" s="18">
        <f>IF(E3543=0,0,IF(Fixture!D548&lt;Fixture!F548,3,IF(Fixture!F548&lt;Fixture!D548,0,1)))</f>
        <v>0</v>
      </c>
      <c r="E3543" s="18">
        <f t="shared" si="726"/>
        <v>0</v>
      </c>
      <c r="F3543" s="18">
        <f>IF(E3543=0,0,IF(Fixture!D548&lt;Fixture!F548,1,IF(Fixture!F548&lt;Fixture!D548,0,0)))</f>
        <v>0</v>
      </c>
      <c r="G3543" s="18">
        <f>IF(E3543=0,0,IF(Fixture!D548&lt;Fixture!F548,0,IF(Fixture!F548&lt;Fixture!D548,0,1)))</f>
        <v>0</v>
      </c>
      <c r="H3543" s="18">
        <f t="shared" si="727"/>
        <v>0</v>
      </c>
      <c r="I3543" s="64">
        <f t="shared" si="728"/>
        <v>0</v>
      </c>
      <c r="J3543" s="64">
        <f t="shared" si="729"/>
        <v>0</v>
      </c>
      <c r="K3543" s="63">
        <f t="shared" si="730"/>
        <v>0</v>
      </c>
      <c r="L3543" s="63">
        <f t="shared" si="731"/>
        <v>0</v>
      </c>
      <c r="N3543" s="10" t="str">
        <f t="shared" si="733"/>
        <v>00</v>
      </c>
      <c r="O3543" s="10">
        <f t="shared" si="734"/>
        <v>0</v>
      </c>
      <c r="P3543" s="10">
        <f t="shared" si="735"/>
        <v>0</v>
      </c>
      <c r="Q3543" s="10">
        <f t="shared" si="736"/>
        <v>0</v>
      </c>
    </row>
    <row r="3544" spans="1:17">
      <c r="A3544" s="15">
        <f t="shared" si="732"/>
        <v>0</v>
      </c>
      <c r="B3544" s="15"/>
      <c r="C3544" s="17">
        <f>Fixture!E549</f>
        <v>0</v>
      </c>
      <c r="D3544" s="18">
        <f>IF(E3544=0,0,IF(Fixture!D549&lt;Fixture!F549,3,IF(Fixture!F549&lt;Fixture!D549,0,1)))</f>
        <v>0</v>
      </c>
      <c r="E3544" s="18">
        <f t="shared" si="726"/>
        <v>0</v>
      </c>
      <c r="F3544" s="18">
        <f>IF(E3544=0,0,IF(Fixture!D549&lt;Fixture!F549,1,IF(Fixture!F549&lt;Fixture!D549,0,0)))</f>
        <v>0</v>
      </c>
      <c r="G3544" s="18">
        <f>IF(E3544=0,0,IF(Fixture!D549&lt;Fixture!F549,0,IF(Fixture!F549&lt;Fixture!D549,0,1)))</f>
        <v>0</v>
      </c>
      <c r="H3544" s="18">
        <f t="shared" si="727"/>
        <v>0</v>
      </c>
      <c r="I3544" s="64">
        <f t="shared" si="728"/>
        <v>0</v>
      </c>
      <c r="J3544" s="64">
        <f t="shared" si="729"/>
        <v>0</v>
      </c>
      <c r="K3544" s="63">
        <f t="shared" si="730"/>
        <v>0</v>
      </c>
      <c r="L3544" s="63">
        <f t="shared" si="731"/>
        <v>0</v>
      </c>
      <c r="N3544" s="10" t="str">
        <f t="shared" si="733"/>
        <v>00</v>
      </c>
      <c r="O3544" s="10">
        <f t="shared" si="734"/>
        <v>0</v>
      </c>
      <c r="P3544" s="10">
        <f t="shared" si="735"/>
        <v>0</v>
      </c>
      <c r="Q3544" s="10">
        <f t="shared" si="736"/>
        <v>0</v>
      </c>
    </row>
    <row r="3545" spans="1:17">
      <c r="A3545" s="15">
        <f t="shared" si="732"/>
        <v>0</v>
      </c>
      <c r="B3545" s="15"/>
      <c r="C3545" s="17">
        <f>Fixture!E550</f>
        <v>0</v>
      </c>
      <c r="D3545" s="18">
        <f>IF(E3545=0,0,IF(Fixture!D550&lt;Fixture!F550,3,IF(Fixture!F550&lt;Fixture!D550,0,1)))</f>
        <v>0</v>
      </c>
      <c r="E3545" s="18">
        <f t="shared" si="726"/>
        <v>0</v>
      </c>
      <c r="F3545" s="18">
        <f>IF(E3545=0,0,IF(Fixture!D550&lt;Fixture!F550,1,IF(Fixture!F550&lt;Fixture!D550,0,0)))</f>
        <v>0</v>
      </c>
      <c r="G3545" s="18">
        <f>IF(E3545=0,0,IF(Fixture!D550&lt;Fixture!F550,0,IF(Fixture!F550&lt;Fixture!D550,0,1)))</f>
        <v>0</v>
      </c>
      <c r="H3545" s="18">
        <f t="shared" si="727"/>
        <v>0</v>
      </c>
      <c r="I3545" s="64">
        <f t="shared" si="728"/>
        <v>0</v>
      </c>
      <c r="J3545" s="64">
        <f t="shared" si="729"/>
        <v>0</v>
      </c>
      <c r="K3545" s="63">
        <f t="shared" si="730"/>
        <v>0</v>
      </c>
      <c r="L3545" s="63">
        <f t="shared" si="731"/>
        <v>0</v>
      </c>
      <c r="N3545" s="10" t="str">
        <f t="shared" si="733"/>
        <v>00</v>
      </c>
      <c r="O3545" s="10">
        <f t="shared" si="734"/>
        <v>0</v>
      </c>
      <c r="P3545" s="10">
        <f t="shared" si="735"/>
        <v>0</v>
      </c>
      <c r="Q3545" s="10">
        <f t="shared" si="736"/>
        <v>0</v>
      </c>
    </row>
    <row r="3546" spans="1:17">
      <c r="A3546" s="15">
        <f t="shared" si="732"/>
        <v>0</v>
      </c>
      <c r="B3546" s="15"/>
      <c r="C3546" s="17">
        <f>Fixture!E551</f>
        <v>0</v>
      </c>
      <c r="D3546" s="18">
        <f>IF(E3546=0,0,IF(Fixture!D551&lt;Fixture!F551,3,IF(Fixture!F551&lt;Fixture!D551,0,1)))</f>
        <v>0</v>
      </c>
      <c r="E3546" s="18">
        <f t="shared" si="726"/>
        <v>0</v>
      </c>
      <c r="F3546" s="18">
        <f>IF(E3546=0,0,IF(Fixture!D551&lt;Fixture!F551,1,IF(Fixture!F551&lt;Fixture!D551,0,0)))</f>
        <v>0</v>
      </c>
      <c r="G3546" s="18">
        <f>IF(E3546=0,0,IF(Fixture!D551&lt;Fixture!F551,0,IF(Fixture!F551&lt;Fixture!D551,0,1)))</f>
        <v>0</v>
      </c>
      <c r="H3546" s="18">
        <f t="shared" si="727"/>
        <v>0</v>
      </c>
      <c r="I3546" s="64">
        <f t="shared" si="728"/>
        <v>0</v>
      </c>
      <c r="J3546" s="64">
        <f t="shared" si="729"/>
        <v>0</v>
      </c>
      <c r="K3546" s="63">
        <f t="shared" si="730"/>
        <v>0</v>
      </c>
      <c r="L3546" s="63">
        <f t="shared" si="731"/>
        <v>0</v>
      </c>
      <c r="N3546" s="10" t="str">
        <f t="shared" si="733"/>
        <v>00</v>
      </c>
      <c r="O3546" s="10">
        <f t="shared" si="734"/>
        <v>0</v>
      </c>
      <c r="P3546" s="10">
        <f t="shared" si="735"/>
        <v>0</v>
      </c>
      <c r="Q3546" s="10">
        <f t="shared" si="736"/>
        <v>0</v>
      </c>
    </row>
    <row r="3547" spans="1:17">
      <c r="A3547" s="15">
        <f t="shared" si="732"/>
        <v>0</v>
      </c>
      <c r="B3547" s="15"/>
      <c r="C3547" s="17">
        <f>Fixture!E552</f>
        <v>0</v>
      </c>
      <c r="D3547" s="18">
        <f>IF(E3547=0,0,IF(Fixture!D552&lt;Fixture!F552,3,IF(Fixture!F552&lt;Fixture!D552,0,1)))</f>
        <v>0</v>
      </c>
      <c r="E3547" s="18">
        <f t="shared" si="726"/>
        <v>0</v>
      </c>
      <c r="F3547" s="18">
        <f>IF(E3547=0,0,IF(Fixture!D552&lt;Fixture!F552,1,IF(Fixture!F552&lt;Fixture!D552,0,0)))</f>
        <v>0</v>
      </c>
      <c r="G3547" s="18">
        <f>IF(E3547=0,0,IF(Fixture!D552&lt;Fixture!F552,0,IF(Fixture!F552&lt;Fixture!D552,0,1)))</f>
        <v>0</v>
      </c>
      <c r="H3547" s="18">
        <f t="shared" si="727"/>
        <v>0</v>
      </c>
      <c r="I3547" s="64">
        <f t="shared" si="728"/>
        <v>0</v>
      </c>
      <c r="J3547" s="64">
        <f t="shared" si="729"/>
        <v>0</v>
      </c>
      <c r="K3547" s="63">
        <f t="shared" si="730"/>
        <v>0</v>
      </c>
      <c r="L3547" s="63">
        <f t="shared" si="731"/>
        <v>0</v>
      </c>
      <c r="N3547" s="10" t="str">
        <f t="shared" si="733"/>
        <v>00</v>
      </c>
      <c r="O3547" s="10">
        <f t="shared" si="734"/>
        <v>0</v>
      </c>
      <c r="P3547" s="10">
        <f t="shared" si="735"/>
        <v>0</v>
      </c>
      <c r="Q3547" s="10">
        <f t="shared" si="736"/>
        <v>0</v>
      </c>
    </row>
    <row r="3548" spans="1:17">
      <c r="A3548" s="15">
        <f t="shared" si="732"/>
        <v>0</v>
      </c>
      <c r="B3548" s="15"/>
      <c r="C3548" s="17">
        <f>Fixture!E553</f>
        <v>0</v>
      </c>
      <c r="D3548" s="18">
        <f>IF(E3548=0,0,IF(Fixture!D553&lt;Fixture!F553,3,IF(Fixture!F553&lt;Fixture!D553,0,1)))</f>
        <v>0</v>
      </c>
      <c r="E3548" s="18">
        <f t="shared" si="726"/>
        <v>0</v>
      </c>
      <c r="F3548" s="18">
        <f>IF(E3548=0,0,IF(Fixture!D553&lt;Fixture!F553,1,IF(Fixture!F553&lt;Fixture!D553,0,0)))</f>
        <v>0</v>
      </c>
      <c r="G3548" s="18">
        <f>IF(E3548=0,0,IF(Fixture!D553&lt;Fixture!F553,0,IF(Fixture!F553&lt;Fixture!D553,0,1)))</f>
        <v>0</v>
      </c>
      <c r="H3548" s="18">
        <f t="shared" si="727"/>
        <v>0</v>
      </c>
      <c r="I3548" s="64">
        <f t="shared" si="728"/>
        <v>0</v>
      </c>
      <c r="J3548" s="64">
        <f t="shared" si="729"/>
        <v>0</v>
      </c>
      <c r="K3548" s="63">
        <f t="shared" si="730"/>
        <v>0</v>
      </c>
      <c r="L3548" s="63">
        <f t="shared" si="731"/>
        <v>0</v>
      </c>
      <c r="N3548" s="10" t="str">
        <f t="shared" si="733"/>
        <v>00</v>
      </c>
      <c r="O3548" s="10">
        <f t="shared" si="734"/>
        <v>0</v>
      </c>
      <c r="P3548" s="10">
        <f t="shared" si="735"/>
        <v>0</v>
      </c>
      <c r="Q3548" s="10">
        <f t="shared" si="736"/>
        <v>0</v>
      </c>
    </row>
    <row r="3549" spans="1:17">
      <c r="A3549" s="15">
        <f t="shared" si="732"/>
        <v>0</v>
      </c>
      <c r="B3549" s="15"/>
      <c r="C3549" s="17">
        <f>Fixture!E554</f>
        <v>0</v>
      </c>
      <c r="D3549" s="18">
        <f>IF(E3549=0,0,IF(Fixture!D554&lt;Fixture!F554,3,IF(Fixture!F554&lt;Fixture!D554,0,1)))</f>
        <v>0</v>
      </c>
      <c r="E3549" s="18">
        <f t="shared" si="726"/>
        <v>0</v>
      </c>
      <c r="F3549" s="18">
        <f>IF(E3549=0,0,IF(Fixture!D554&lt;Fixture!F554,1,IF(Fixture!F554&lt;Fixture!D554,0,0)))</f>
        <v>0</v>
      </c>
      <c r="G3549" s="18">
        <f>IF(E3549=0,0,IF(Fixture!D554&lt;Fixture!F554,0,IF(Fixture!F554&lt;Fixture!D554,0,1)))</f>
        <v>0</v>
      </c>
      <c r="H3549" s="18">
        <f t="shared" si="727"/>
        <v>0</v>
      </c>
      <c r="I3549" s="64">
        <f t="shared" si="728"/>
        <v>0</v>
      </c>
      <c r="J3549" s="64">
        <f t="shared" si="729"/>
        <v>0</v>
      </c>
      <c r="K3549" s="63">
        <f t="shared" si="730"/>
        <v>0</v>
      </c>
      <c r="L3549" s="63">
        <f t="shared" si="731"/>
        <v>0</v>
      </c>
      <c r="N3549" s="10" t="str">
        <f t="shared" si="733"/>
        <v>00</v>
      </c>
      <c r="O3549" s="10">
        <f t="shared" si="734"/>
        <v>0</v>
      </c>
      <c r="P3549" s="10">
        <f t="shared" si="735"/>
        <v>0</v>
      </c>
      <c r="Q3549" s="10">
        <f t="shared" si="736"/>
        <v>0</v>
      </c>
    </row>
    <row r="3550" spans="1:17">
      <c r="A3550" s="15">
        <f t="shared" si="732"/>
        <v>0</v>
      </c>
      <c r="B3550" s="15"/>
      <c r="C3550" s="17">
        <f>Fixture!E555</f>
        <v>0</v>
      </c>
      <c r="D3550" s="18">
        <f>IF(E3550=0,0,IF(Fixture!D555&lt;Fixture!F555,3,IF(Fixture!F555&lt;Fixture!D555,0,1)))</f>
        <v>0</v>
      </c>
      <c r="E3550" s="18">
        <f t="shared" si="726"/>
        <v>0</v>
      </c>
      <c r="F3550" s="18">
        <f>IF(E3550=0,0,IF(Fixture!D555&lt;Fixture!F555,1,IF(Fixture!F555&lt;Fixture!D555,0,0)))</f>
        <v>0</v>
      </c>
      <c r="G3550" s="18">
        <f>IF(E3550=0,0,IF(Fixture!D555&lt;Fixture!F555,0,IF(Fixture!F555&lt;Fixture!D555,0,1)))</f>
        <v>0</v>
      </c>
      <c r="H3550" s="18">
        <f t="shared" si="727"/>
        <v>0</v>
      </c>
      <c r="I3550" s="64">
        <f t="shared" si="728"/>
        <v>0</v>
      </c>
      <c r="J3550" s="64">
        <f t="shared" si="729"/>
        <v>0</v>
      </c>
      <c r="K3550" s="63">
        <f t="shared" si="730"/>
        <v>0</v>
      </c>
      <c r="L3550" s="63">
        <f t="shared" si="731"/>
        <v>0</v>
      </c>
      <c r="N3550" s="10" t="str">
        <f t="shared" si="733"/>
        <v>00</v>
      </c>
      <c r="O3550" s="10">
        <f t="shared" si="734"/>
        <v>0</v>
      </c>
      <c r="P3550" s="10">
        <f t="shared" si="735"/>
        <v>0</v>
      </c>
      <c r="Q3550" s="10">
        <f t="shared" si="736"/>
        <v>0</v>
      </c>
    </row>
    <row r="3551" spans="1:17">
      <c r="A3551" s="15">
        <f t="shared" si="732"/>
        <v>0</v>
      </c>
      <c r="B3551" s="15"/>
      <c r="C3551" s="17">
        <f>Fixture!E556</f>
        <v>0</v>
      </c>
      <c r="D3551" s="18">
        <f>IF(E3551=0,0,IF(Fixture!D556&lt;Fixture!F556,3,IF(Fixture!F556&lt;Fixture!D556,0,1)))</f>
        <v>0</v>
      </c>
      <c r="E3551" s="18">
        <f t="shared" si="726"/>
        <v>0</v>
      </c>
      <c r="F3551" s="18">
        <f>IF(E3551=0,0,IF(Fixture!D556&lt;Fixture!F556,1,IF(Fixture!F556&lt;Fixture!D556,0,0)))</f>
        <v>0</v>
      </c>
      <c r="G3551" s="18">
        <f>IF(E3551=0,0,IF(Fixture!D556&lt;Fixture!F556,0,IF(Fixture!F556&lt;Fixture!D556,0,1)))</f>
        <v>0</v>
      </c>
      <c r="H3551" s="18">
        <f t="shared" si="727"/>
        <v>0</v>
      </c>
      <c r="I3551" s="64">
        <f t="shared" si="728"/>
        <v>0</v>
      </c>
      <c r="J3551" s="64">
        <f t="shared" si="729"/>
        <v>0</v>
      </c>
      <c r="K3551" s="63">
        <f t="shared" si="730"/>
        <v>0</v>
      </c>
      <c r="L3551" s="63">
        <f t="shared" si="731"/>
        <v>0</v>
      </c>
      <c r="N3551" s="10" t="str">
        <f t="shared" si="733"/>
        <v>00</v>
      </c>
      <c r="O3551" s="10">
        <f t="shared" si="734"/>
        <v>0</v>
      </c>
      <c r="P3551" s="10">
        <f t="shared" si="735"/>
        <v>0</v>
      </c>
      <c r="Q3551" s="10">
        <f t="shared" si="736"/>
        <v>0</v>
      </c>
    </row>
    <row r="3552" spans="1:17">
      <c r="A3552" s="15">
        <f t="shared" si="732"/>
        <v>0</v>
      </c>
      <c r="B3552" s="15"/>
      <c r="C3552" s="17">
        <f>Fixture!E557</f>
        <v>0</v>
      </c>
      <c r="D3552" s="18">
        <f>IF(E3552=0,0,IF(Fixture!D557&lt;Fixture!F557,3,IF(Fixture!F557&lt;Fixture!D557,0,1)))</f>
        <v>0</v>
      </c>
      <c r="E3552" s="18">
        <f t="shared" si="726"/>
        <v>0</v>
      </c>
      <c r="F3552" s="18">
        <f>IF(E3552=0,0,IF(Fixture!D557&lt;Fixture!F557,1,IF(Fixture!F557&lt;Fixture!D557,0,0)))</f>
        <v>0</v>
      </c>
      <c r="G3552" s="18">
        <f>IF(E3552=0,0,IF(Fixture!D557&lt;Fixture!F557,0,IF(Fixture!F557&lt;Fixture!D557,0,1)))</f>
        <v>0</v>
      </c>
      <c r="H3552" s="18">
        <f t="shared" si="727"/>
        <v>0</v>
      </c>
      <c r="I3552" s="64">
        <f t="shared" si="728"/>
        <v>0</v>
      </c>
      <c r="J3552" s="64">
        <f t="shared" si="729"/>
        <v>0</v>
      </c>
      <c r="K3552" s="63">
        <f t="shared" si="730"/>
        <v>0</v>
      </c>
      <c r="L3552" s="63">
        <f t="shared" si="731"/>
        <v>0</v>
      </c>
      <c r="N3552" s="10" t="str">
        <f t="shared" si="733"/>
        <v>00</v>
      </c>
      <c r="O3552" s="10">
        <f t="shared" si="734"/>
        <v>0</v>
      </c>
      <c r="P3552" s="10">
        <f t="shared" si="735"/>
        <v>0</v>
      </c>
      <c r="Q3552" s="10">
        <f t="shared" si="736"/>
        <v>0</v>
      </c>
    </row>
    <row r="3553" spans="1:17">
      <c r="A3553" s="15">
        <f t="shared" si="732"/>
        <v>0</v>
      </c>
      <c r="B3553" s="15"/>
      <c r="C3553" s="17">
        <f>Fixture!E558</f>
        <v>0</v>
      </c>
      <c r="D3553" s="18">
        <f>IF(E3553=0,0,IF(Fixture!D558&lt;Fixture!F558,3,IF(Fixture!F558&lt;Fixture!D558,0,1)))</f>
        <v>0</v>
      </c>
      <c r="E3553" s="18">
        <f t="shared" si="726"/>
        <v>0</v>
      </c>
      <c r="F3553" s="18">
        <f>IF(E3553=0,0,IF(Fixture!D558&lt;Fixture!F558,1,IF(Fixture!F558&lt;Fixture!D558,0,0)))</f>
        <v>0</v>
      </c>
      <c r="G3553" s="18">
        <f>IF(E3553=0,0,IF(Fixture!D558&lt;Fixture!F558,0,IF(Fixture!F558&lt;Fixture!D558,0,1)))</f>
        <v>0</v>
      </c>
      <c r="H3553" s="18">
        <f t="shared" si="727"/>
        <v>0</v>
      </c>
      <c r="I3553" s="64">
        <f t="shared" si="728"/>
        <v>0</v>
      </c>
      <c r="J3553" s="64">
        <f t="shared" si="729"/>
        <v>0</v>
      </c>
      <c r="K3553" s="63">
        <f t="shared" si="730"/>
        <v>0</v>
      </c>
      <c r="L3553" s="63">
        <f t="shared" si="731"/>
        <v>0</v>
      </c>
      <c r="N3553" s="10" t="str">
        <f t="shared" si="733"/>
        <v>00</v>
      </c>
      <c r="O3553" s="10">
        <f t="shared" si="734"/>
        <v>0</v>
      </c>
      <c r="P3553" s="10">
        <f t="shared" si="735"/>
        <v>0</v>
      </c>
      <c r="Q3553" s="10">
        <f t="shared" si="736"/>
        <v>0</v>
      </c>
    </row>
    <row r="3554" spans="1:17">
      <c r="A3554" s="15">
        <f t="shared" si="732"/>
        <v>0</v>
      </c>
      <c r="B3554" s="15"/>
      <c r="C3554" s="17">
        <f>Fixture!E559</f>
        <v>0</v>
      </c>
      <c r="D3554" s="18">
        <f>IF(E3554=0,0,IF(Fixture!D559&lt;Fixture!F559,3,IF(Fixture!F559&lt;Fixture!D559,0,1)))</f>
        <v>0</v>
      </c>
      <c r="E3554" s="18">
        <f t="shared" si="726"/>
        <v>0</v>
      </c>
      <c r="F3554" s="18">
        <f>IF(E3554=0,0,IF(Fixture!D559&lt;Fixture!F559,1,IF(Fixture!F559&lt;Fixture!D559,0,0)))</f>
        <v>0</v>
      </c>
      <c r="G3554" s="18">
        <f>IF(E3554=0,0,IF(Fixture!D559&lt;Fixture!F559,0,IF(Fixture!F559&lt;Fixture!D559,0,1)))</f>
        <v>0</v>
      </c>
      <c r="H3554" s="18">
        <f t="shared" si="727"/>
        <v>0</v>
      </c>
      <c r="I3554" s="64">
        <f t="shared" si="728"/>
        <v>0</v>
      </c>
      <c r="J3554" s="64">
        <f t="shared" si="729"/>
        <v>0</v>
      </c>
      <c r="K3554" s="63">
        <f t="shared" si="730"/>
        <v>0</v>
      </c>
      <c r="L3554" s="63">
        <f t="shared" si="731"/>
        <v>0</v>
      </c>
      <c r="N3554" s="10" t="str">
        <f t="shared" si="733"/>
        <v>00</v>
      </c>
      <c r="O3554" s="10">
        <f t="shared" si="734"/>
        <v>0</v>
      </c>
      <c r="P3554" s="10">
        <f t="shared" si="735"/>
        <v>0</v>
      </c>
      <c r="Q3554" s="10">
        <f t="shared" si="736"/>
        <v>0</v>
      </c>
    </row>
    <row r="3555" spans="1:17">
      <c r="A3555" s="15">
        <f t="shared" si="732"/>
        <v>0</v>
      </c>
      <c r="B3555" s="15"/>
      <c r="C3555" s="17">
        <f>Fixture!E560</f>
        <v>0</v>
      </c>
      <c r="D3555" s="18">
        <f>IF(E3555=0,0,IF(Fixture!D560&lt;Fixture!F560,3,IF(Fixture!F560&lt;Fixture!D560,0,1)))</f>
        <v>0</v>
      </c>
      <c r="E3555" s="18">
        <f t="shared" si="726"/>
        <v>0</v>
      </c>
      <c r="F3555" s="18">
        <f>IF(E3555=0,0,IF(Fixture!D560&lt;Fixture!F560,1,IF(Fixture!F560&lt;Fixture!D560,0,0)))</f>
        <v>0</v>
      </c>
      <c r="G3555" s="18">
        <f>IF(E3555=0,0,IF(Fixture!D560&lt;Fixture!F560,0,IF(Fixture!F560&lt;Fixture!D560,0,1)))</f>
        <v>0</v>
      </c>
      <c r="H3555" s="18">
        <f t="shared" si="727"/>
        <v>0</v>
      </c>
      <c r="I3555" s="64">
        <f t="shared" si="728"/>
        <v>0</v>
      </c>
      <c r="J3555" s="64">
        <f t="shared" si="729"/>
        <v>0</v>
      </c>
      <c r="K3555" s="63">
        <f t="shared" si="730"/>
        <v>0</v>
      </c>
      <c r="L3555" s="63">
        <f t="shared" si="731"/>
        <v>0</v>
      </c>
      <c r="N3555" s="10" t="str">
        <f t="shared" si="733"/>
        <v>00</v>
      </c>
      <c r="O3555" s="10">
        <f t="shared" si="734"/>
        <v>0</v>
      </c>
      <c r="P3555" s="10">
        <f t="shared" si="735"/>
        <v>0</v>
      </c>
      <c r="Q3555" s="10">
        <f t="shared" si="736"/>
        <v>0</v>
      </c>
    </row>
    <row r="3556" spans="1:17">
      <c r="A3556" s="15">
        <f t="shared" si="732"/>
        <v>0</v>
      </c>
      <c r="B3556" s="15"/>
      <c r="C3556" s="17">
        <f>Fixture!E561</f>
        <v>0</v>
      </c>
      <c r="D3556" s="18">
        <f>IF(E3556=0,0,IF(Fixture!D561&lt;Fixture!F561,3,IF(Fixture!F561&lt;Fixture!D561,0,1)))</f>
        <v>0</v>
      </c>
      <c r="E3556" s="18">
        <f t="shared" si="726"/>
        <v>0</v>
      </c>
      <c r="F3556" s="18">
        <f>IF(E3556=0,0,IF(Fixture!D561&lt;Fixture!F561,1,IF(Fixture!F561&lt;Fixture!D561,0,0)))</f>
        <v>0</v>
      </c>
      <c r="G3556" s="18">
        <f>IF(E3556=0,0,IF(Fixture!D561&lt;Fixture!F561,0,IF(Fixture!F561&lt;Fixture!D561,0,1)))</f>
        <v>0</v>
      </c>
      <c r="H3556" s="18">
        <f t="shared" si="727"/>
        <v>0</v>
      </c>
      <c r="I3556" s="64">
        <f t="shared" si="728"/>
        <v>0</v>
      </c>
      <c r="J3556" s="64">
        <f t="shared" si="729"/>
        <v>0</v>
      </c>
      <c r="K3556" s="63">
        <f t="shared" si="730"/>
        <v>0</v>
      </c>
      <c r="L3556" s="63">
        <f t="shared" si="731"/>
        <v>0</v>
      </c>
      <c r="N3556" s="10" t="str">
        <f t="shared" si="733"/>
        <v>00</v>
      </c>
      <c r="O3556" s="10">
        <f t="shared" si="734"/>
        <v>0</v>
      </c>
      <c r="P3556" s="10">
        <f t="shared" si="735"/>
        <v>0</v>
      </c>
      <c r="Q3556" s="10">
        <f t="shared" si="736"/>
        <v>0</v>
      </c>
    </row>
    <row r="3557" spans="1:17">
      <c r="A3557" s="15">
        <f t="shared" si="732"/>
        <v>0</v>
      </c>
      <c r="B3557" s="15"/>
      <c r="C3557" s="17">
        <f>Fixture!E562</f>
        <v>0</v>
      </c>
      <c r="D3557" s="18">
        <f>IF(E3557=0,0,IF(Fixture!D562&lt;Fixture!F562,3,IF(Fixture!F562&lt;Fixture!D562,0,1)))</f>
        <v>0</v>
      </c>
      <c r="E3557" s="18">
        <f t="shared" si="726"/>
        <v>0</v>
      </c>
      <c r="F3557" s="18">
        <f>IF(E3557=0,0,IF(Fixture!D562&lt;Fixture!F562,1,IF(Fixture!F562&lt;Fixture!D562,0,0)))</f>
        <v>0</v>
      </c>
      <c r="G3557" s="18">
        <f>IF(E3557=0,0,IF(Fixture!D562&lt;Fixture!F562,0,IF(Fixture!F562&lt;Fixture!D562,0,1)))</f>
        <v>0</v>
      </c>
      <c r="H3557" s="18">
        <f t="shared" si="727"/>
        <v>0</v>
      </c>
      <c r="I3557" s="64">
        <f t="shared" si="728"/>
        <v>0</v>
      </c>
      <c r="J3557" s="64">
        <f t="shared" si="729"/>
        <v>0</v>
      </c>
      <c r="K3557" s="63">
        <f t="shared" si="730"/>
        <v>0</v>
      </c>
      <c r="L3557" s="63">
        <f t="shared" si="731"/>
        <v>0</v>
      </c>
      <c r="N3557" s="10" t="str">
        <f t="shared" si="733"/>
        <v>00</v>
      </c>
      <c r="O3557" s="10">
        <f t="shared" si="734"/>
        <v>0</v>
      </c>
      <c r="P3557" s="10">
        <f t="shared" si="735"/>
        <v>0</v>
      </c>
      <c r="Q3557" s="10">
        <f t="shared" si="736"/>
        <v>0</v>
      </c>
    </row>
    <row r="3558" spans="1:17">
      <c r="A3558" s="15">
        <f t="shared" si="732"/>
        <v>0</v>
      </c>
      <c r="B3558" s="15"/>
      <c r="C3558" s="17">
        <f>Fixture!E563</f>
        <v>0</v>
      </c>
      <c r="D3558" s="18">
        <f>IF(E3558=0,0,IF(Fixture!D563&lt;Fixture!F563,3,IF(Fixture!F563&lt;Fixture!D563,0,1)))</f>
        <v>0</v>
      </c>
      <c r="E3558" s="18">
        <f t="shared" si="726"/>
        <v>0</v>
      </c>
      <c r="F3558" s="18">
        <f>IF(E3558=0,0,IF(Fixture!D563&lt;Fixture!F563,1,IF(Fixture!F563&lt;Fixture!D563,0,0)))</f>
        <v>0</v>
      </c>
      <c r="G3558" s="18">
        <f>IF(E3558=0,0,IF(Fixture!D563&lt;Fixture!F563,0,IF(Fixture!F563&lt;Fixture!D563,0,1)))</f>
        <v>0</v>
      </c>
      <c r="H3558" s="18">
        <f t="shared" si="727"/>
        <v>0</v>
      </c>
      <c r="I3558" s="64">
        <f t="shared" si="728"/>
        <v>0</v>
      </c>
      <c r="J3558" s="64">
        <f t="shared" si="729"/>
        <v>0</v>
      </c>
      <c r="K3558" s="63">
        <f t="shared" si="730"/>
        <v>0</v>
      </c>
      <c r="L3558" s="63">
        <f t="shared" si="731"/>
        <v>0</v>
      </c>
      <c r="N3558" s="10" t="str">
        <f t="shared" si="733"/>
        <v>00</v>
      </c>
      <c r="O3558" s="10">
        <f t="shared" si="734"/>
        <v>0</v>
      </c>
      <c r="P3558" s="10">
        <f t="shared" si="735"/>
        <v>0</v>
      </c>
      <c r="Q3558" s="10">
        <f t="shared" si="736"/>
        <v>0</v>
      </c>
    </row>
    <row r="3559" spans="1:17">
      <c r="A3559" s="15">
        <f t="shared" si="732"/>
        <v>0</v>
      </c>
      <c r="B3559" s="15"/>
      <c r="C3559" s="17">
        <f>Fixture!E564</f>
        <v>0</v>
      </c>
      <c r="D3559" s="18">
        <f>IF(E3559=0,0,IF(Fixture!D564&lt;Fixture!F564,3,IF(Fixture!F564&lt;Fixture!D564,0,1)))</f>
        <v>0</v>
      </c>
      <c r="E3559" s="18">
        <f t="shared" si="726"/>
        <v>0</v>
      </c>
      <c r="F3559" s="18">
        <f>IF(E3559=0,0,IF(Fixture!D564&lt;Fixture!F564,1,IF(Fixture!F564&lt;Fixture!D564,0,0)))</f>
        <v>0</v>
      </c>
      <c r="G3559" s="18">
        <f>IF(E3559=0,0,IF(Fixture!D564&lt;Fixture!F564,0,IF(Fixture!F564&lt;Fixture!D564,0,1)))</f>
        <v>0</v>
      </c>
      <c r="H3559" s="18">
        <f t="shared" si="727"/>
        <v>0</v>
      </c>
      <c r="I3559" s="64">
        <f t="shared" si="728"/>
        <v>0</v>
      </c>
      <c r="J3559" s="64">
        <f t="shared" si="729"/>
        <v>0</v>
      </c>
      <c r="K3559" s="63">
        <f t="shared" si="730"/>
        <v>0</v>
      </c>
      <c r="L3559" s="63">
        <f t="shared" si="731"/>
        <v>0</v>
      </c>
      <c r="N3559" s="10" t="str">
        <f t="shared" si="733"/>
        <v>00</v>
      </c>
      <c r="O3559" s="10">
        <f t="shared" si="734"/>
        <v>0</v>
      </c>
      <c r="P3559" s="10">
        <f t="shared" si="735"/>
        <v>0</v>
      </c>
      <c r="Q3559" s="10">
        <f t="shared" si="736"/>
        <v>0</v>
      </c>
    </row>
    <row r="3560" spans="1:17">
      <c r="A3560" s="15">
        <f t="shared" si="732"/>
        <v>0</v>
      </c>
      <c r="B3560" s="15"/>
      <c r="C3560" s="17">
        <f>Fixture!E565</f>
        <v>0</v>
      </c>
      <c r="D3560" s="18">
        <f>IF(E3560=0,0,IF(Fixture!D565&lt;Fixture!F565,3,IF(Fixture!F565&lt;Fixture!D565,0,1)))</f>
        <v>0</v>
      </c>
      <c r="E3560" s="18">
        <f t="shared" si="726"/>
        <v>0</v>
      </c>
      <c r="F3560" s="18">
        <f>IF(E3560=0,0,IF(Fixture!D565&lt;Fixture!F565,1,IF(Fixture!F565&lt;Fixture!D565,0,0)))</f>
        <v>0</v>
      </c>
      <c r="G3560" s="18">
        <f>IF(E3560=0,0,IF(Fixture!D565&lt;Fixture!F565,0,IF(Fixture!F565&lt;Fixture!D565,0,1)))</f>
        <v>0</v>
      </c>
      <c r="H3560" s="18">
        <f t="shared" si="727"/>
        <v>0</v>
      </c>
      <c r="I3560" s="64">
        <f t="shared" si="728"/>
        <v>0</v>
      </c>
      <c r="J3560" s="64">
        <f t="shared" si="729"/>
        <v>0</v>
      </c>
      <c r="K3560" s="63">
        <f t="shared" si="730"/>
        <v>0</v>
      </c>
      <c r="L3560" s="63">
        <f t="shared" si="731"/>
        <v>0</v>
      </c>
      <c r="N3560" s="10" t="str">
        <f t="shared" si="733"/>
        <v>00</v>
      </c>
      <c r="O3560" s="10">
        <f t="shared" si="734"/>
        <v>0</v>
      </c>
      <c r="P3560" s="10">
        <f t="shared" si="735"/>
        <v>0</v>
      </c>
      <c r="Q3560" s="10">
        <f t="shared" si="736"/>
        <v>0</v>
      </c>
    </row>
    <row r="3561" spans="1:17">
      <c r="A3561" s="15">
        <f t="shared" si="732"/>
        <v>0</v>
      </c>
      <c r="B3561" s="15"/>
      <c r="C3561" s="17">
        <f>Fixture!E566</f>
        <v>0</v>
      </c>
      <c r="D3561" s="18">
        <f>IF(E3561=0,0,IF(Fixture!D566&lt;Fixture!F566,3,IF(Fixture!F566&lt;Fixture!D566,0,1)))</f>
        <v>0</v>
      </c>
      <c r="E3561" s="18">
        <f t="shared" si="726"/>
        <v>0</v>
      </c>
      <c r="F3561" s="18">
        <f>IF(E3561=0,0,IF(Fixture!D566&lt;Fixture!F566,1,IF(Fixture!F566&lt;Fixture!D566,0,0)))</f>
        <v>0</v>
      </c>
      <c r="G3561" s="18">
        <f>IF(E3561=0,0,IF(Fixture!D566&lt;Fixture!F566,0,IF(Fixture!F566&lt;Fixture!D566,0,1)))</f>
        <v>0</v>
      </c>
      <c r="H3561" s="18">
        <f t="shared" si="727"/>
        <v>0</v>
      </c>
      <c r="I3561" s="64">
        <f t="shared" si="728"/>
        <v>0</v>
      </c>
      <c r="J3561" s="64">
        <f t="shared" si="729"/>
        <v>0</v>
      </c>
      <c r="K3561" s="63">
        <f t="shared" si="730"/>
        <v>0</v>
      </c>
      <c r="L3561" s="63">
        <f t="shared" si="731"/>
        <v>0</v>
      </c>
      <c r="N3561" s="10" t="str">
        <f t="shared" si="733"/>
        <v>00</v>
      </c>
      <c r="O3561" s="10">
        <f t="shared" si="734"/>
        <v>0</v>
      </c>
      <c r="P3561" s="10">
        <f t="shared" si="735"/>
        <v>0</v>
      </c>
      <c r="Q3561" s="10">
        <f t="shared" si="736"/>
        <v>0</v>
      </c>
    </row>
    <row r="3562" spans="1:17">
      <c r="A3562" s="15">
        <f t="shared" si="732"/>
        <v>0</v>
      </c>
      <c r="B3562" s="15"/>
      <c r="C3562" s="17">
        <f>Fixture!E567</f>
        <v>0</v>
      </c>
      <c r="D3562" s="18">
        <f>IF(E3562=0,0,IF(Fixture!D567&lt;Fixture!F567,3,IF(Fixture!F567&lt;Fixture!D567,0,1)))</f>
        <v>0</v>
      </c>
      <c r="E3562" s="18">
        <f t="shared" si="726"/>
        <v>0</v>
      </c>
      <c r="F3562" s="18">
        <f>IF(E3562=0,0,IF(Fixture!D567&lt;Fixture!F567,1,IF(Fixture!F567&lt;Fixture!D567,0,0)))</f>
        <v>0</v>
      </c>
      <c r="G3562" s="18">
        <f>IF(E3562=0,0,IF(Fixture!D567&lt;Fixture!F567,0,IF(Fixture!F567&lt;Fixture!D567,0,1)))</f>
        <v>0</v>
      </c>
      <c r="H3562" s="18">
        <f t="shared" si="727"/>
        <v>0</v>
      </c>
      <c r="I3562" s="64">
        <f t="shared" si="728"/>
        <v>0</v>
      </c>
      <c r="J3562" s="64">
        <f t="shared" si="729"/>
        <v>0</v>
      </c>
      <c r="K3562" s="63">
        <f t="shared" si="730"/>
        <v>0</v>
      </c>
      <c r="L3562" s="63">
        <f t="shared" si="731"/>
        <v>0</v>
      </c>
      <c r="N3562" s="10" t="str">
        <f t="shared" si="733"/>
        <v>00</v>
      </c>
      <c r="O3562" s="10">
        <f t="shared" si="734"/>
        <v>0</v>
      </c>
      <c r="P3562" s="10">
        <f t="shared" si="735"/>
        <v>0</v>
      </c>
      <c r="Q3562" s="10">
        <f t="shared" si="736"/>
        <v>0</v>
      </c>
    </row>
    <row r="3563" spans="1:17">
      <c r="A3563" s="15">
        <f t="shared" si="732"/>
        <v>0</v>
      </c>
      <c r="B3563" s="15"/>
      <c r="C3563" s="17">
        <f>Fixture!E568</f>
        <v>0</v>
      </c>
      <c r="D3563" s="18">
        <f>IF(E3563=0,0,IF(Fixture!D568&lt;Fixture!F568,3,IF(Fixture!F568&lt;Fixture!D568,0,1)))</f>
        <v>0</v>
      </c>
      <c r="E3563" s="18">
        <f t="shared" si="726"/>
        <v>0</v>
      </c>
      <c r="F3563" s="18">
        <f>IF(E3563=0,0,IF(Fixture!D568&lt;Fixture!F568,1,IF(Fixture!F568&lt;Fixture!D568,0,0)))</f>
        <v>0</v>
      </c>
      <c r="G3563" s="18">
        <f>IF(E3563=0,0,IF(Fixture!D568&lt;Fixture!F568,0,IF(Fixture!F568&lt;Fixture!D568,0,1)))</f>
        <v>0</v>
      </c>
      <c r="H3563" s="18">
        <f t="shared" si="727"/>
        <v>0</v>
      </c>
      <c r="I3563" s="64">
        <f t="shared" si="728"/>
        <v>0</v>
      </c>
      <c r="J3563" s="64">
        <f t="shared" si="729"/>
        <v>0</v>
      </c>
      <c r="K3563" s="63">
        <f t="shared" si="730"/>
        <v>0</v>
      </c>
      <c r="L3563" s="63">
        <f t="shared" si="731"/>
        <v>0</v>
      </c>
      <c r="N3563" s="10" t="str">
        <f t="shared" si="733"/>
        <v>00</v>
      </c>
      <c r="O3563" s="10">
        <f t="shared" si="734"/>
        <v>0</v>
      </c>
      <c r="P3563" s="10">
        <f t="shared" si="735"/>
        <v>0</v>
      </c>
      <c r="Q3563" s="10">
        <f t="shared" si="736"/>
        <v>0</v>
      </c>
    </row>
    <row r="3564" spans="1:17">
      <c r="A3564" s="15">
        <f t="shared" si="732"/>
        <v>0</v>
      </c>
      <c r="B3564" s="15"/>
      <c r="C3564" s="17">
        <f>Fixture!E569</f>
        <v>0</v>
      </c>
      <c r="D3564" s="18">
        <f>IF(E3564=0,0,IF(Fixture!D569&lt;Fixture!F569,3,IF(Fixture!F569&lt;Fixture!D569,0,1)))</f>
        <v>0</v>
      </c>
      <c r="E3564" s="18">
        <f t="shared" si="726"/>
        <v>0</v>
      </c>
      <c r="F3564" s="18">
        <f>IF(E3564=0,0,IF(Fixture!D569&lt;Fixture!F569,1,IF(Fixture!F569&lt;Fixture!D569,0,0)))</f>
        <v>0</v>
      </c>
      <c r="G3564" s="18">
        <f>IF(E3564=0,0,IF(Fixture!D569&lt;Fixture!F569,0,IF(Fixture!F569&lt;Fixture!D569,0,1)))</f>
        <v>0</v>
      </c>
      <c r="H3564" s="18">
        <f t="shared" si="727"/>
        <v>0</v>
      </c>
      <c r="I3564" s="64">
        <f t="shared" si="728"/>
        <v>0</v>
      </c>
      <c r="J3564" s="64">
        <f t="shared" si="729"/>
        <v>0</v>
      </c>
      <c r="K3564" s="63">
        <f t="shared" si="730"/>
        <v>0</v>
      </c>
      <c r="L3564" s="63">
        <f t="shared" si="731"/>
        <v>0</v>
      </c>
      <c r="N3564" s="10" t="str">
        <f t="shared" si="733"/>
        <v>00</v>
      </c>
      <c r="O3564" s="10">
        <f t="shared" si="734"/>
        <v>0</v>
      </c>
      <c r="P3564" s="10">
        <f t="shared" si="735"/>
        <v>0</v>
      </c>
      <c r="Q3564" s="10">
        <f t="shared" si="736"/>
        <v>0</v>
      </c>
    </row>
    <row r="3565" spans="1:17">
      <c r="A3565" s="15">
        <f t="shared" si="732"/>
        <v>0</v>
      </c>
      <c r="B3565" s="15"/>
      <c r="C3565" s="17">
        <f>Fixture!E570</f>
        <v>0</v>
      </c>
      <c r="D3565" s="18">
        <f>IF(E3565=0,0,IF(Fixture!D570&lt;Fixture!F570,3,IF(Fixture!F570&lt;Fixture!D570,0,1)))</f>
        <v>0</v>
      </c>
      <c r="E3565" s="18">
        <f t="shared" si="726"/>
        <v>0</v>
      </c>
      <c r="F3565" s="18">
        <f>IF(E3565=0,0,IF(Fixture!D570&lt;Fixture!F570,1,IF(Fixture!F570&lt;Fixture!D570,0,0)))</f>
        <v>0</v>
      </c>
      <c r="G3565" s="18">
        <f>IF(E3565=0,0,IF(Fixture!D570&lt;Fixture!F570,0,IF(Fixture!F570&lt;Fixture!D570,0,1)))</f>
        <v>0</v>
      </c>
      <c r="H3565" s="18">
        <f t="shared" si="727"/>
        <v>0</v>
      </c>
      <c r="I3565" s="64">
        <f t="shared" si="728"/>
        <v>0</v>
      </c>
      <c r="J3565" s="64">
        <f t="shared" si="729"/>
        <v>0</v>
      </c>
      <c r="K3565" s="63">
        <f t="shared" si="730"/>
        <v>0</v>
      </c>
      <c r="L3565" s="63">
        <f t="shared" si="731"/>
        <v>0</v>
      </c>
      <c r="N3565" s="10" t="str">
        <f t="shared" si="733"/>
        <v>00</v>
      </c>
      <c r="O3565" s="10">
        <f t="shared" si="734"/>
        <v>0</v>
      </c>
      <c r="P3565" s="10">
        <f t="shared" si="735"/>
        <v>0</v>
      </c>
      <c r="Q3565" s="10">
        <f t="shared" si="736"/>
        <v>0</v>
      </c>
    </row>
    <row r="3566" spans="1:17">
      <c r="A3566" s="15">
        <f t="shared" si="732"/>
        <v>0</v>
      </c>
      <c r="B3566" s="15"/>
      <c r="C3566" s="17">
        <f>Fixture!E571</f>
        <v>0</v>
      </c>
      <c r="D3566" s="18">
        <f>IF(E3566=0,0,IF(Fixture!D571&lt;Fixture!F571,3,IF(Fixture!F571&lt;Fixture!D571,0,1)))</f>
        <v>0</v>
      </c>
      <c r="E3566" s="18">
        <f t="shared" si="726"/>
        <v>0</v>
      </c>
      <c r="F3566" s="18">
        <f>IF(E3566=0,0,IF(Fixture!D571&lt;Fixture!F571,1,IF(Fixture!F571&lt;Fixture!D571,0,0)))</f>
        <v>0</v>
      </c>
      <c r="G3566" s="18">
        <f>IF(E3566=0,0,IF(Fixture!D571&lt;Fixture!F571,0,IF(Fixture!F571&lt;Fixture!D571,0,1)))</f>
        <v>0</v>
      </c>
      <c r="H3566" s="18">
        <f t="shared" si="727"/>
        <v>0</v>
      </c>
      <c r="I3566" s="64">
        <f t="shared" si="728"/>
        <v>0</v>
      </c>
      <c r="J3566" s="64">
        <f t="shared" si="729"/>
        <v>0</v>
      </c>
      <c r="K3566" s="63">
        <f t="shared" si="730"/>
        <v>0</v>
      </c>
      <c r="L3566" s="63">
        <f t="shared" si="731"/>
        <v>0</v>
      </c>
      <c r="N3566" s="10" t="str">
        <f t="shared" si="733"/>
        <v>00</v>
      </c>
      <c r="O3566" s="10">
        <f t="shared" si="734"/>
        <v>0</v>
      </c>
      <c r="P3566" s="10">
        <f t="shared" si="735"/>
        <v>0</v>
      </c>
      <c r="Q3566" s="10">
        <f t="shared" si="736"/>
        <v>0</v>
      </c>
    </row>
    <row r="3567" spans="1:17">
      <c r="A3567" s="15">
        <f t="shared" si="732"/>
        <v>0</v>
      </c>
      <c r="B3567" s="15"/>
      <c r="C3567" s="17">
        <f>Fixture!E572</f>
        <v>0</v>
      </c>
      <c r="D3567" s="18">
        <f>IF(E3567=0,0,IF(Fixture!D572&lt;Fixture!F572,3,IF(Fixture!F572&lt;Fixture!D572,0,1)))</f>
        <v>0</v>
      </c>
      <c r="E3567" s="18">
        <f t="shared" si="726"/>
        <v>0</v>
      </c>
      <c r="F3567" s="18">
        <f>IF(E3567=0,0,IF(Fixture!D572&lt;Fixture!F572,1,IF(Fixture!F572&lt;Fixture!D572,0,0)))</f>
        <v>0</v>
      </c>
      <c r="G3567" s="18">
        <f>IF(E3567=0,0,IF(Fixture!D572&lt;Fixture!F572,0,IF(Fixture!F572&lt;Fixture!D572,0,1)))</f>
        <v>0</v>
      </c>
      <c r="H3567" s="18">
        <f t="shared" si="727"/>
        <v>0</v>
      </c>
      <c r="I3567" s="64">
        <f t="shared" si="728"/>
        <v>0</v>
      </c>
      <c r="J3567" s="64">
        <f t="shared" si="729"/>
        <v>0</v>
      </c>
      <c r="K3567" s="63">
        <f t="shared" si="730"/>
        <v>0</v>
      </c>
      <c r="L3567" s="63">
        <f t="shared" si="731"/>
        <v>0</v>
      </c>
      <c r="N3567" s="10" t="str">
        <f t="shared" si="733"/>
        <v>00</v>
      </c>
      <c r="O3567" s="10">
        <f t="shared" si="734"/>
        <v>0</v>
      </c>
      <c r="P3567" s="10">
        <f t="shared" si="735"/>
        <v>0</v>
      </c>
      <c r="Q3567" s="10">
        <f t="shared" si="736"/>
        <v>0</v>
      </c>
    </row>
    <row r="3568" spans="1:17">
      <c r="A3568" s="15">
        <f t="shared" si="732"/>
        <v>0</v>
      </c>
      <c r="B3568" s="15"/>
      <c r="C3568" s="17">
        <f>Fixture!E573</f>
        <v>0</v>
      </c>
      <c r="D3568" s="18">
        <f>IF(E3568=0,0,IF(Fixture!D573&lt;Fixture!F573,3,IF(Fixture!F573&lt;Fixture!D573,0,1)))</f>
        <v>0</v>
      </c>
      <c r="E3568" s="18">
        <f t="shared" si="726"/>
        <v>0</v>
      </c>
      <c r="F3568" s="18">
        <f>IF(E3568=0,0,IF(Fixture!D573&lt;Fixture!F573,1,IF(Fixture!F573&lt;Fixture!D573,0,0)))</f>
        <v>0</v>
      </c>
      <c r="G3568" s="18">
        <f>IF(E3568=0,0,IF(Fixture!D573&lt;Fixture!F573,0,IF(Fixture!F573&lt;Fixture!D573,0,1)))</f>
        <v>0</v>
      </c>
      <c r="H3568" s="18">
        <f t="shared" si="727"/>
        <v>0</v>
      </c>
      <c r="I3568" s="64">
        <f t="shared" si="728"/>
        <v>0</v>
      </c>
      <c r="J3568" s="64">
        <f t="shared" si="729"/>
        <v>0</v>
      </c>
      <c r="K3568" s="63">
        <f t="shared" si="730"/>
        <v>0</v>
      </c>
      <c r="L3568" s="63">
        <f t="shared" si="731"/>
        <v>0</v>
      </c>
      <c r="N3568" s="10" t="str">
        <f t="shared" si="733"/>
        <v>00</v>
      </c>
      <c r="O3568" s="10">
        <f t="shared" si="734"/>
        <v>0</v>
      </c>
      <c r="P3568" s="10">
        <f t="shared" si="735"/>
        <v>0</v>
      </c>
      <c r="Q3568" s="10">
        <f t="shared" si="736"/>
        <v>0</v>
      </c>
    </row>
    <row r="3569" spans="1:17">
      <c r="A3569" s="15">
        <f t="shared" si="732"/>
        <v>0</v>
      </c>
      <c r="B3569" s="15"/>
      <c r="C3569" s="17">
        <f>Fixture!E574</f>
        <v>0</v>
      </c>
      <c r="D3569" s="18">
        <f>IF(E3569=0,0,IF(Fixture!D574&lt;Fixture!F574,3,IF(Fixture!F574&lt;Fixture!D574,0,1)))</f>
        <v>0</v>
      </c>
      <c r="E3569" s="18">
        <f t="shared" si="726"/>
        <v>0</v>
      </c>
      <c r="F3569" s="18">
        <f>IF(E3569=0,0,IF(Fixture!D574&lt;Fixture!F574,1,IF(Fixture!F574&lt;Fixture!D574,0,0)))</f>
        <v>0</v>
      </c>
      <c r="G3569" s="18">
        <f>IF(E3569=0,0,IF(Fixture!D574&lt;Fixture!F574,0,IF(Fixture!F574&lt;Fixture!D574,0,1)))</f>
        <v>0</v>
      </c>
      <c r="H3569" s="18">
        <f t="shared" si="727"/>
        <v>0</v>
      </c>
      <c r="I3569" s="64">
        <f t="shared" si="728"/>
        <v>0</v>
      </c>
      <c r="J3569" s="64">
        <f t="shared" si="729"/>
        <v>0</v>
      </c>
      <c r="K3569" s="63">
        <f t="shared" si="730"/>
        <v>0</v>
      </c>
      <c r="L3569" s="63">
        <f t="shared" si="731"/>
        <v>0</v>
      </c>
      <c r="N3569" s="10" t="str">
        <f t="shared" si="733"/>
        <v>00</v>
      </c>
      <c r="O3569" s="10">
        <f t="shared" si="734"/>
        <v>0</v>
      </c>
      <c r="P3569" s="10">
        <f t="shared" si="735"/>
        <v>0</v>
      </c>
      <c r="Q3569" s="10">
        <f t="shared" si="736"/>
        <v>0</v>
      </c>
    </row>
    <row r="3570" spans="1:17">
      <c r="A3570" s="15">
        <f t="shared" si="732"/>
        <v>0</v>
      </c>
      <c r="B3570" s="15"/>
      <c r="C3570" s="17">
        <f>Fixture!E575</f>
        <v>0</v>
      </c>
      <c r="D3570" s="18">
        <f>IF(E3570=0,0,IF(Fixture!D575&lt;Fixture!F575,3,IF(Fixture!F575&lt;Fixture!D575,0,1)))</f>
        <v>0</v>
      </c>
      <c r="E3570" s="18">
        <f t="shared" si="726"/>
        <v>0</v>
      </c>
      <c r="F3570" s="18">
        <f>IF(E3570=0,0,IF(Fixture!D575&lt;Fixture!F575,1,IF(Fixture!F575&lt;Fixture!D575,0,0)))</f>
        <v>0</v>
      </c>
      <c r="G3570" s="18">
        <f>IF(E3570=0,0,IF(Fixture!D575&lt;Fixture!F575,0,IF(Fixture!F575&lt;Fixture!D575,0,1)))</f>
        <v>0</v>
      </c>
      <c r="H3570" s="18">
        <f t="shared" si="727"/>
        <v>0</v>
      </c>
      <c r="I3570" s="64">
        <f t="shared" si="728"/>
        <v>0</v>
      </c>
      <c r="J3570" s="64">
        <f t="shared" si="729"/>
        <v>0</v>
      </c>
      <c r="K3570" s="63">
        <f t="shared" si="730"/>
        <v>0</v>
      </c>
      <c r="L3570" s="63">
        <f t="shared" si="731"/>
        <v>0</v>
      </c>
      <c r="N3570" s="10" t="str">
        <f t="shared" si="733"/>
        <v>00</v>
      </c>
      <c r="O3570" s="10">
        <f t="shared" si="734"/>
        <v>0</v>
      </c>
      <c r="P3570" s="10">
        <f t="shared" si="735"/>
        <v>0</v>
      </c>
      <c r="Q3570" s="10">
        <f t="shared" si="736"/>
        <v>0</v>
      </c>
    </row>
    <row r="3571" spans="1:17">
      <c r="A3571" s="15">
        <f t="shared" si="732"/>
        <v>0</v>
      </c>
      <c r="B3571" s="15"/>
      <c r="C3571" s="17">
        <f>Fixture!E576</f>
        <v>0</v>
      </c>
      <c r="D3571" s="18">
        <f>IF(E3571=0,0,IF(Fixture!D576&lt;Fixture!F576,3,IF(Fixture!F576&lt;Fixture!D576,0,1)))</f>
        <v>0</v>
      </c>
      <c r="E3571" s="18">
        <f t="shared" si="726"/>
        <v>0</v>
      </c>
      <c r="F3571" s="18">
        <f>IF(E3571=0,0,IF(Fixture!D576&lt;Fixture!F576,1,IF(Fixture!F576&lt;Fixture!D576,0,0)))</f>
        <v>0</v>
      </c>
      <c r="G3571" s="18">
        <f>IF(E3571=0,0,IF(Fixture!D576&lt;Fixture!F576,0,IF(Fixture!F576&lt;Fixture!D576,0,1)))</f>
        <v>0</v>
      </c>
      <c r="H3571" s="18">
        <f t="shared" si="727"/>
        <v>0</v>
      </c>
      <c r="I3571" s="64">
        <f t="shared" si="728"/>
        <v>0</v>
      </c>
      <c r="J3571" s="64">
        <f t="shared" si="729"/>
        <v>0</v>
      </c>
      <c r="K3571" s="63">
        <f t="shared" si="730"/>
        <v>0</v>
      </c>
      <c r="L3571" s="63">
        <f t="shared" si="731"/>
        <v>0</v>
      </c>
      <c r="N3571" s="10" t="str">
        <f t="shared" si="733"/>
        <v>00</v>
      </c>
      <c r="O3571" s="10">
        <f t="shared" si="734"/>
        <v>0</v>
      </c>
      <c r="P3571" s="10">
        <f t="shared" si="735"/>
        <v>0</v>
      </c>
      <c r="Q3571" s="10">
        <f t="shared" si="736"/>
        <v>0</v>
      </c>
    </row>
    <row r="3572" spans="1:17">
      <c r="A3572" s="15">
        <f t="shared" si="732"/>
        <v>0</v>
      </c>
      <c r="B3572" s="15"/>
      <c r="C3572" s="17">
        <f>Fixture!E577</f>
        <v>0</v>
      </c>
      <c r="D3572" s="18">
        <f>IF(E3572=0,0,IF(Fixture!D577&lt;Fixture!F577,3,IF(Fixture!F577&lt;Fixture!D577,0,1)))</f>
        <v>0</v>
      </c>
      <c r="E3572" s="18">
        <f t="shared" si="726"/>
        <v>0</v>
      </c>
      <c r="F3572" s="18">
        <f>IF(E3572=0,0,IF(Fixture!D577&lt;Fixture!F577,1,IF(Fixture!F577&lt;Fixture!D577,0,0)))</f>
        <v>0</v>
      </c>
      <c r="G3572" s="18">
        <f>IF(E3572=0,0,IF(Fixture!D577&lt;Fixture!F577,0,IF(Fixture!F577&lt;Fixture!D577,0,1)))</f>
        <v>0</v>
      </c>
      <c r="H3572" s="18">
        <f t="shared" si="727"/>
        <v>0</v>
      </c>
      <c r="I3572" s="64">
        <f t="shared" si="728"/>
        <v>0</v>
      </c>
      <c r="J3572" s="64">
        <f t="shared" si="729"/>
        <v>0</v>
      </c>
      <c r="K3572" s="63">
        <f t="shared" si="730"/>
        <v>0</v>
      </c>
      <c r="L3572" s="63">
        <f t="shared" si="731"/>
        <v>0</v>
      </c>
      <c r="N3572" s="10" t="str">
        <f t="shared" si="733"/>
        <v>00</v>
      </c>
      <c r="O3572" s="10">
        <f t="shared" si="734"/>
        <v>0</v>
      </c>
      <c r="P3572" s="10">
        <f t="shared" si="735"/>
        <v>0</v>
      </c>
      <c r="Q3572" s="10">
        <f t="shared" si="736"/>
        <v>0</v>
      </c>
    </row>
    <row r="3573" spans="1:17">
      <c r="A3573" s="15">
        <f t="shared" si="732"/>
        <v>0</v>
      </c>
      <c r="B3573" s="15"/>
      <c r="C3573" s="17">
        <f>Fixture!E578</f>
        <v>0</v>
      </c>
      <c r="D3573" s="18">
        <f>IF(E3573=0,0,IF(Fixture!D578&lt;Fixture!F578,3,IF(Fixture!F578&lt;Fixture!D578,0,1)))</f>
        <v>0</v>
      </c>
      <c r="E3573" s="18">
        <f t="shared" si="726"/>
        <v>0</v>
      </c>
      <c r="F3573" s="18">
        <f>IF(E3573=0,0,IF(Fixture!D578&lt;Fixture!F578,1,IF(Fixture!F578&lt;Fixture!D578,0,0)))</f>
        <v>0</v>
      </c>
      <c r="G3573" s="18">
        <f>IF(E3573=0,0,IF(Fixture!D578&lt;Fixture!F578,0,IF(Fixture!F578&lt;Fixture!D578,0,1)))</f>
        <v>0</v>
      </c>
      <c r="H3573" s="18">
        <f t="shared" si="727"/>
        <v>0</v>
      </c>
      <c r="I3573" s="64">
        <f t="shared" si="728"/>
        <v>0</v>
      </c>
      <c r="J3573" s="64">
        <f t="shared" si="729"/>
        <v>0</v>
      </c>
      <c r="K3573" s="63">
        <f t="shared" si="730"/>
        <v>0</v>
      </c>
      <c r="L3573" s="63">
        <f t="shared" si="731"/>
        <v>0</v>
      </c>
      <c r="N3573" s="10" t="str">
        <f t="shared" si="733"/>
        <v>00</v>
      </c>
      <c r="O3573" s="10">
        <f t="shared" si="734"/>
        <v>0</v>
      </c>
      <c r="P3573" s="10">
        <f t="shared" si="735"/>
        <v>0</v>
      </c>
      <c r="Q3573" s="10">
        <f t="shared" si="736"/>
        <v>0</v>
      </c>
    </row>
    <row r="3574" spans="1:17">
      <c r="A3574" s="15">
        <f t="shared" si="732"/>
        <v>0</v>
      </c>
      <c r="B3574" s="15"/>
      <c r="C3574" s="17">
        <f>Fixture!E579</f>
        <v>0</v>
      </c>
      <c r="D3574" s="18">
        <f>IF(E3574=0,0,IF(Fixture!D579&lt;Fixture!F579,3,IF(Fixture!F579&lt;Fixture!D579,0,1)))</f>
        <v>0</v>
      </c>
      <c r="E3574" s="18">
        <f t="shared" si="726"/>
        <v>0</v>
      </c>
      <c r="F3574" s="18">
        <f>IF(E3574=0,0,IF(Fixture!D579&lt;Fixture!F579,1,IF(Fixture!F579&lt;Fixture!D579,0,0)))</f>
        <v>0</v>
      </c>
      <c r="G3574" s="18">
        <f>IF(E3574=0,0,IF(Fixture!D579&lt;Fixture!F579,0,IF(Fixture!F579&lt;Fixture!D579,0,1)))</f>
        <v>0</v>
      </c>
      <c r="H3574" s="18">
        <f t="shared" si="727"/>
        <v>0</v>
      </c>
      <c r="I3574" s="64">
        <f t="shared" si="728"/>
        <v>0</v>
      </c>
      <c r="J3574" s="64">
        <f t="shared" si="729"/>
        <v>0</v>
      </c>
      <c r="K3574" s="63">
        <f t="shared" si="730"/>
        <v>0</v>
      </c>
      <c r="L3574" s="63">
        <f t="shared" si="731"/>
        <v>0</v>
      </c>
      <c r="N3574" s="10" t="str">
        <f t="shared" si="733"/>
        <v>00</v>
      </c>
      <c r="O3574" s="10">
        <f t="shared" si="734"/>
        <v>0</v>
      </c>
      <c r="P3574" s="10">
        <f t="shared" si="735"/>
        <v>0</v>
      </c>
      <c r="Q3574" s="10">
        <f t="shared" si="736"/>
        <v>0</v>
      </c>
    </row>
    <row r="3575" spans="1:17">
      <c r="A3575" s="15">
        <f t="shared" si="732"/>
        <v>0</v>
      </c>
      <c r="B3575" s="15"/>
      <c r="C3575" s="17">
        <f>Fixture!E580</f>
        <v>0</v>
      </c>
      <c r="D3575" s="18">
        <f>IF(E3575=0,0,IF(Fixture!D580&lt;Fixture!F580,3,IF(Fixture!F580&lt;Fixture!D580,0,1)))</f>
        <v>0</v>
      </c>
      <c r="E3575" s="18">
        <f t="shared" si="726"/>
        <v>0</v>
      </c>
      <c r="F3575" s="18">
        <f>IF(E3575=0,0,IF(Fixture!D580&lt;Fixture!F580,1,IF(Fixture!F580&lt;Fixture!D580,0,0)))</f>
        <v>0</v>
      </c>
      <c r="G3575" s="18">
        <f>IF(E3575=0,0,IF(Fixture!D580&lt;Fixture!F580,0,IF(Fixture!F580&lt;Fixture!D580,0,1)))</f>
        <v>0</v>
      </c>
      <c r="H3575" s="18">
        <f t="shared" si="727"/>
        <v>0</v>
      </c>
      <c r="I3575" s="64">
        <f t="shared" si="728"/>
        <v>0</v>
      </c>
      <c r="J3575" s="64">
        <f t="shared" si="729"/>
        <v>0</v>
      </c>
      <c r="K3575" s="63">
        <f t="shared" si="730"/>
        <v>0</v>
      </c>
      <c r="L3575" s="63">
        <f t="shared" si="731"/>
        <v>0</v>
      </c>
      <c r="N3575" s="10" t="str">
        <f t="shared" si="733"/>
        <v>00</v>
      </c>
      <c r="O3575" s="10">
        <f t="shared" si="734"/>
        <v>0</v>
      </c>
      <c r="P3575" s="10">
        <f t="shared" si="735"/>
        <v>0</v>
      </c>
      <c r="Q3575" s="10">
        <f t="shared" si="736"/>
        <v>0</v>
      </c>
    </row>
    <row r="3576" spans="1:17">
      <c r="A3576" s="15">
        <f t="shared" si="732"/>
        <v>0</v>
      </c>
      <c r="B3576" s="15"/>
      <c r="C3576" s="17">
        <f>Fixture!E581</f>
        <v>0</v>
      </c>
      <c r="D3576" s="18">
        <f>IF(E3576=0,0,IF(Fixture!D581&lt;Fixture!F581,3,IF(Fixture!F581&lt;Fixture!D581,0,1)))</f>
        <v>0</v>
      </c>
      <c r="E3576" s="18">
        <f t="shared" ref="E3576:E3639" si="737">E2577</f>
        <v>0</v>
      </c>
      <c r="F3576" s="18">
        <f>IF(E3576=0,0,IF(Fixture!D581&lt;Fixture!F581,1,IF(Fixture!F581&lt;Fixture!D581,0,0)))</f>
        <v>0</v>
      </c>
      <c r="G3576" s="18">
        <f>IF(E3576=0,0,IF(Fixture!D581&lt;Fixture!F581,0,IF(Fixture!F581&lt;Fixture!D581,0,1)))</f>
        <v>0</v>
      </c>
      <c r="H3576" s="18">
        <f t="shared" ref="H3576:H3639" si="738">IF(E3576=0,0,IF(D3576&lt;&gt;0,0,1))</f>
        <v>0</v>
      </c>
      <c r="I3576" s="64">
        <f t="shared" ref="I3576:I3639" si="739">J2577</f>
        <v>0</v>
      </c>
      <c r="J3576" s="64">
        <f t="shared" ref="J3576:J3639" si="740">I2577</f>
        <v>0</v>
      </c>
      <c r="K3576" s="63">
        <f t="shared" ref="K3576:K3639" si="741">IF(E3576=0,0,IF(I3576&gt;0,0,1))</f>
        <v>0</v>
      </c>
      <c r="L3576" s="63">
        <f t="shared" ref="L3576:L3639" si="742">IF(E3576=0,0,IF(J3576&gt;0,0,1))</f>
        <v>0</v>
      </c>
      <c r="N3576" s="10" t="str">
        <f t="shared" si="733"/>
        <v>00</v>
      </c>
      <c r="O3576" s="10">
        <f t="shared" si="734"/>
        <v>0</v>
      </c>
      <c r="P3576" s="10">
        <f t="shared" si="735"/>
        <v>0</v>
      </c>
      <c r="Q3576" s="10">
        <f t="shared" si="736"/>
        <v>0</v>
      </c>
    </row>
    <row r="3577" spans="1:17">
      <c r="A3577" s="15">
        <f t="shared" ref="A3577:A3640" si="743">B621</f>
        <v>0</v>
      </c>
      <c r="B3577" s="15"/>
      <c r="C3577" s="17">
        <f>Fixture!E582</f>
        <v>0</v>
      </c>
      <c r="D3577" s="18">
        <f>IF(E3577=0,0,IF(Fixture!D582&lt;Fixture!F582,3,IF(Fixture!F582&lt;Fixture!D582,0,1)))</f>
        <v>0</v>
      </c>
      <c r="E3577" s="18">
        <f t="shared" si="737"/>
        <v>0</v>
      </c>
      <c r="F3577" s="18">
        <f>IF(E3577=0,0,IF(Fixture!D582&lt;Fixture!F582,1,IF(Fixture!F582&lt;Fixture!D582,0,0)))</f>
        <v>0</v>
      </c>
      <c r="G3577" s="18">
        <f>IF(E3577=0,0,IF(Fixture!D582&lt;Fixture!F582,0,IF(Fixture!F582&lt;Fixture!D582,0,1)))</f>
        <v>0</v>
      </c>
      <c r="H3577" s="18">
        <f t="shared" si="738"/>
        <v>0</v>
      </c>
      <c r="I3577" s="64">
        <f t="shared" si="739"/>
        <v>0</v>
      </c>
      <c r="J3577" s="64">
        <f t="shared" si="740"/>
        <v>0</v>
      </c>
      <c r="K3577" s="63">
        <f t="shared" si="741"/>
        <v>0</v>
      </c>
      <c r="L3577" s="63">
        <f t="shared" si="742"/>
        <v>0</v>
      </c>
      <c r="N3577" s="10" t="str">
        <f t="shared" si="733"/>
        <v>00</v>
      </c>
      <c r="O3577" s="10">
        <f t="shared" si="734"/>
        <v>0</v>
      </c>
      <c r="P3577" s="10">
        <f t="shared" si="735"/>
        <v>0</v>
      </c>
      <c r="Q3577" s="10">
        <f t="shared" si="736"/>
        <v>0</v>
      </c>
    </row>
    <row r="3578" spans="1:17">
      <c r="A3578" s="15">
        <f t="shared" si="743"/>
        <v>0</v>
      </c>
      <c r="B3578" s="15"/>
      <c r="C3578" s="17">
        <f>Fixture!E583</f>
        <v>0</v>
      </c>
      <c r="D3578" s="18">
        <f>IF(E3578=0,0,IF(Fixture!D583&lt;Fixture!F583,3,IF(Fixture!F583&lt;Fixture!D583,0,1)))</f>
        <v>0</v>
      </c>
      <c r="E3578" s="18">
        <f t="shared" si="737"/>
        <v>0</v>
      </c>
      <c r="F3578" s="18">
        <f>IF(E3578=0,0,IF(Fixture!D583&lt;Fixture!F583,1,IF(Fixture!F583&lt;Fixture!D583,0,0)))</f>
        <v>0</v>
      </c>
      <c r="G3578" s="18">
        <f>IF(E3578=0,0,IF(Fixture!D583&lt;Fixture!F583,0,IF(Fixture!F583&lt;Fixture!D583,0,1)))</f>
        <v>0</v>
      </c>
      <c r="H3578" s="18">
        <f t="shared" si="738"/>
        <v>0</v>
      </c>
      <c r="I3578" s="64">
        <f t="shared" si="739"/>
        <v>0</v>
      </c>
      <c r="J3578" s="64">
        <f t="shared" si="740"/>
        <v>0</v>
      </c>
      <c r="K3578" s="63">
        <f t="shared" si="741"/>
        <v>0</v>
      </c>
      <c r="L3578" s="63">
        <f t="shared" si="742"/>
        <v>0</v>
      </c>
      <c r="N3578" s="10" t="str">
        <f t="shared" si="733"/>
        <v>00</v>
      </c>
      <c r="O3578" s="10">
        <f t="shared" si="734"/>
        <v>0</v>
      </c>
      <c r="P3578" s="10">
        <f t="shared" si="735"/>
        <v>0</v>
      </c>
      <c r="Q3578" s="10">
        <f t="shared" si="736"/>
        <v>0</v>
      </c>
    </row>
    <row r="3579" spans="1:17">
      <c r="A3579" s="15">
        <f t="shared" si="743"/>
        <v>0</v>
      </c>
      <c r="B3579" s="15"/>
      <c r="C3579" s="17">
        <f>Fixture!E584</f>
        <v>0</v>
      </c>
      <c r="D3579" s="18">
        <f>IF(E3579=0,0,IF(Fixture!D584&lt;Fixture!F584,3,IF(Fixture!F584&lt;Fixture!D584,0,1)))</f>
        <v>0</v>
      </c>
      <c r="E3579" s="18">
        <f t="shared" si="737"/>
        <v>0</v>
      </c>
      <c r="F3579" s="18">
        <f>IF(E3579=0,0,IF(Fixture!D584&lt;Fixture!F584,1,IF(Fixture!F584&lt;Fixture!D584,0,0)))</f>
        <v>0</v>
      </c>
      <c r="G3579" s="18">
        <f>IF(E3579=0,0,IF(Fixture!D584&lt;Fixture!F584,0,IF(Fixture!F584&lt;Fixture!D584,0,1)))</f>
        <v>0</v>
      </c>
      <c r="H3579" s="18">
        <f t="shared" si="738"/>
        <v>0</v>
      </c>
      <c r="I3579" s="64">
        <f t="shared" si="739"/>
        <v>0</v>
      </c>
      <c r="J3579" s="64">
        <f t="shared" si="740"/>
        <v>0</v>
      </c>
      <c r="K3579" s="63">
        <f t="shared" si="741"/>
        <v>0</v>
      </c>
      <c r="L3579" s="63">
        <f t="shared" si="742"/>
        <v>0</v>
      </c>
      <c r="N3579" s="10" t="str">
        <f t="shared" si="733"/>
        <v>00</v>
      </c>
      <c r="O3579" s="10">
        <f t="shared" si="734"/>
        <v>0</v>
      </c>
      <c r="P3579" s="10">
        <f t="shared" si="735"/>
        <v>0</v>
      </c>
      <c r="Q3579" s="10">
        <f t="shared" si="736"/>
        <v>0</v>
      </c>
    </row>
    <row r="3580" spans="1:17">
      <c r="A3580" s="15">
        <f t="shared" si="743"/>
        <v>0</v>
      </c>
      <c r="B3580" s="15"/>
      <c r="C3580" s="17">
        <f>Fixture!E585</f>
        <v>0</v>
      </c>
      <c r="D3580" s="18">
        <f>IF(E3580=0,0,IF(Fixture!D585&lt;Fixture!F585,3,IF(Fixture!F585&lt;Fixture!D585,0,1)))</f>
        <v>0</v>
      </c>
      <c r="E3580" s="18">
        <f t="shared" si="737"/>
        <v>0</v>
      </c>
      <c r="F3580" s="18">
        <f>IF(E3580=0,0,IF(Fixture!D585&lt;Fixture!F585,1,IF(Fixture!F585&lt;Fixture!D585,0,0)))</f>
        <v>0</v>
      </c>
      <c r="G3580" s="18">
        <f>IF(E3580=0,0,IF(Fixture!D585&lt;Fixture!F585,0,IF(Fixture!F585&lt;Fixture!D585,0,1)))</f>
        <v>0</v>
      </c>
      <c r="H3580" s="18">
        <f t="shared" si="738"/>
        <v>0</v>
      </c>
      <c r="I3580" s="64">
        <f t="shared" si="739"/>
        <v>0</v>
      </c>
      <c r="J3580" s="64">
        <f t="shared" si="740"/>
        <v>0</v>
      </c>
      <c r="K3580" s="63">
        <f t="shared" si="741"/>
        <v>0</v>
      </c>
      <c r="L3580" s="63">
        <f t="shared" si="742"/>
        <v>0</v>
      </c>
      <c r="N3580" s="10" t="str">
        <f t="shared" si="733"/>
        <v>00</v>
      </c>
      <c r="O3580" s="10">
        <f t="shared" si="734"/>
        <v>0</v>
      </c>
      <c r="P3580" s="10">
        <f t="shared" si="735"/>
        <v>0</v>
      </c>
      <c r="Q3580" s="10">
        <f t="shared" si="736"/>
        <v>0</v>
      </c>
    </row>
    <row r="3581" spans="1:17">
      <c r="A3581" s="15">
        <f t="shared" si="743"/>
        <v>0</v>
      </c>
      <c r="B3581" s="15"/>
      <c r="C3581" s="17">
        <f>Fixture!E586</f>
        <v>0</v>
      </c>
      <c r="D3581" s="18">
        <f>IF(E3581=0,0,IF(Fixture!D586&lt;Fixture!F586,3,IF(Fixture!F586&lt;Fixture!D586,0,1)))</f>
        <v>0</v>
      </c>
      <c r="E3581" s="18">
        <f t="shared" si="737"/>
        <v>0</v>
      </c>
      <c r="F3581" s="18">
        <f>IF(E3581=0,0,IF(Fixture!D586&lt;Fixture!F586,1,IF(Fixture!F586&lt;Fixture!D586,0,0)))</f>
        <v>0</v>
      </c>
      <c r="G3581" s="18">
        <f>IF(E3581=0,0,IF(Fixture!D586&lt;Fixture!F586,0,IF(Fixture!F586&lt;Fixture!D586,0,1)))</f>
        <v>0</v>
      </c>
      <c r="H3581" s="18">
        <f t="shared" si="738"/>
        <v>0</v>
      </c>
      <c r="I3581" s="64">
        <f t="shared" si="739"/>
        <v>0</v>
      </c>
      <c r="J3581" s="64">
        <f t="shared" si="740"/>
        <v>0</v>
      </c>
      <c r="K3581" s="63">
        <f t="shared" si="741"/>
        <v>0</v>
      </c>
      <c r="L3581" s="63">
        <f t="shared" si="742"/>
        <v>0</v>
      </c>
      <c r="N3581" s="10" t="str">
        <f t="shared" si="733"/>
        <v>00</v>
      </c>
      <c r="O3581" s="10">
        <f t="shared" si="734"/>
        <v>0</v>
      </c>
      <c r="P3581" s="10">
        <f t="shared" si="735"/>
        <v>0</v>
      </c>
      <c r="Q3581" s="10">
        <f t="shared" si="736"/>
        <v>0</v>
      </c>
    </row>
    <row r="3582" spans="1:17">
      <c r="A3582" s="15">
        <f t="shared" si="743"/>
        <v>0</v>
      </c>
      <c r="B3582" s="15"/>
      <c r="C3582" s="17">
        <f>Fixture!E587</f>
        <v>0</v>
      </c>
      <c r="D3582" s="18">
        <f>IF(E3582=0,0,IF(Fixture!D587&lt;Fixture!F587,3,IF(Fixture!F587&lt;Fixture!D587,0,1)))</f>
        <v>0</v>
      </c>
      <c r="E3582" s="18">
        <f t="shared" si="737"/>
        <v>0</v>
      </c>
      <c r="F3582" s="18">
        <f>IF(E3582=0,0,IF(Fixture!D587&lt;Fixture!F587,1,IF(Fixture!F587&lt;Fixture!D587,0,0)))</f>
        <v>0</v>
      </c>
      <c r="G3582" s="18">
        <f>IF(E3582=0,0,IF(Fixture!D587&lt;Fixture!F587,0,IF(Fixture!F587&lt;Fixture!D587,0,1)))</f>
        <v>0</v>
      </c>
      <c r="H3582" s="18">
        <f t="shared" si="738"/>
        <v>0</v>
      </c>
      <c r="I3582" s="64">
        <f t="shared" si="739"/>
        <v>0</v>
      </c>
      <c r="J3582" s="64">
        <f t="shared" si="740"/>
        <v>0</v>
      </c>
      <c r="K3582" s="63">
        <f t="shared" si="741"/>
        <v>0</v>
      </c>
      <c r="L3582" s="63">
        <f t="shared" si="742"/>
        <v>0</v>
      </c>
      <c r="N3582" s="10" t="str">
        <f t="shared" si="733"/>
        <v>00</v>
      </c>
      <c r="O3582" s="10">
        <f t="shared" si="734"/>
        <v>0</v>
      </c>
      <c r="P3582" s="10">
        <f t="shared" si="735"/>
        <v>0</v>
      </c>
      <c r="Q3582" s="10">
        <f t="shared" si="736"/>
        <v>0</v>
      </c>
    </row>
    <row r="3583" spans="1:17">
      <c r="A3583" s="15">
        <f t="shared" si="743"/>
        <v>0</v>
      </c>
      <c r="B3583" s="15"/>
      <c r="C3583" s="17">
        <f>Fixture!E588</f>
        <v>0</v>
      </c>
      <c r="D3583" s="18">
        <f>IF(E3583=0,0,IF(Fixture!D588&lt;Fixture!F588,3,IF(Fixture!F588&lt;Fixture!D588,0,1)))</f>
        <v>0</v>
      </c>
      <c r="E3583" s="18">
        <f t="shared" si="737"/>
        <v>0</v>
      </c>
      <c r="F3583" s="18">
        <f>IF(E3583=0,0,IF(Fixture!D588&lt;Fixture!F588,1,IF(Fixture!F588&lt;Fixture!D588,0,0)))</f>
        <v>0</v>
      </c>
      <c r="G3583" s="18">
        <f>IF(E3583=0,0,IF(Fixture!D588&lt;Fixture!F588,0,IF(Fixture!F588&lt;Fixture!D588,0,1)))</f>
        <v>0</v>
      </c>
      <c r="H3583" s="18">
        <f t="shared" si="738"/>
        <v>0</v>
      </c>
      <c r="I3583" s="64">
        <f t="shared" si="739"/>
        <v>0</v>
      </c>
      <c r="J3583" s="64">
        <f t="shared" si="740"/>
        <v>0</v>
      </c>
      <c r="K3583" s="63">
        <f t="shared" si="741"/>
        <v>0</v>
      </c>
      <c r="L3583" s="63">
        <f t="shared" si="742"/>
        <v>0</v>
      </c>
      <c r="N3583" s="10" t="str">
        <f t="shared" si="733"/>
        <v>00</v>
      </c>
      <c r="O3583" s="10">
        <f t="shared" si="734"/>
        <v>0</v>
      </c>
      <c r="P3583" s="10">
        <f t="shared" si="735"/>
        <v>0</v>
      </c>
      <c r="Q3583" s="10">
        <f t="shared" si="736"/>
        <v>0</v>
      </c>
    </row>
    <row r="3584" spans="1:17">
      <c r="A3584" s="15">
        <f t="shared" si="743"/>
        <v>0</v>
      </c>
      <c r="B3584" s="15"/>
      <c r="C3584" s="17">
        <f>Fixture!E589</f>
        <v>0</v>
      </c>
      <c r="D3584" s="18">
        <f>IF(E3584=0,0,IF(Fixture!D589&lt;Fixture!F589,3,IF(Fixture!F589&lt;Fixture!D589,0,1)))</f>
        <v>0</v>
      </c>
      <c r="E3584" s="18">
        <f t="shared" si="737"/>
        <v>0</v>
      </c>
      <c r="F3584" s="18">
        <f>IF(E3584=0,0,IF(Fixture!D589&lt;Fixture!F589,1,IF(Fixture!F589&lt;Fixture!D589,0,0)))</f>
        <v>0</v>
      </c>
      <c r="G3584" s="18">
        <f>IF(E3584=0,0,IF(Fixture!D589&lt;Fixture!F589,0,IF(Fixture!F589&lt;Fixture!D589,0,1)))</f>
        <v>0</v>
      </c>
      <c r="H3584" s="18">
        <f t="shared" si="738"/>
        <v>0</v>
      </c>
      <c r="I3584" s="64">
        <f t="shared" si="739"/>
        <v>0</v>
      </c>
      <c r="J3584" s="64">
        <f t="shared" si="740"/>
        <v>0</v>
      </c>
      <c r="K3584" s="63">
        <f t="shared" si="741"/>
        <v>0</v>
      </c>
      <c r="L3584" s="63">
        <f t="shared" si="742"/>
        <v>0</v>
      </c>
      <c r="N3584" s="10" t="str">
        <f t="shared" si="733"/>
        <v>00</v>
      </c>
      <c r="O3584" s="10">
        <f t="shared" si="734"/>
        <v>0</v>
      </c>
      <c r="P3584" s="10">
        <f t="shared" si="735"/>
        <v>0</v>
      </c>
      <c r="Q3584" s="10">
        <f t="shared" si="736"/>
        <v>0</v>
      </c>
    </row>
    <row r="3585" spans="1:17">
      <c r="A3585" s="15">
        <f t="shared" si="743"/>
        <v>0</v>
      </c>
      <c r="B3585" s="15"/>
      <c r="C3585" s="17">
        <f>Fixture!E590</f>
        <v>0</v>
      </c>
      <c r="D3585" s="18">
        <f>IF(E3585=0,0,IF(Fixture!D590&lt;Fixture!F590,3,IF(Fixture!F590&lt;Fixture!D590,0,1)))</f>
        <v>0</v>
      </c>
      <c r="E3585" s="18">
        <f t="shared" si="737"/>
        <v>0</v>
      </c>
      <c r="F3585" s="18">
        <f>IF(E3585=0,0,IF(Fixture!D590&lt;Fixture!F590,1,IF(Fixture!F590&lt;Fixture!D590,0,0)))</f>
        <v>0</v>
      </c>
      <c r="G3585" s="18">
        <f>IF(E3585=0,0,IF(Fixture!D590&lt;Fixture!F590,0,IF(Fixture!F590&lt;Fixture!D590,0,1)))</f>
        <v>0</v>
      </c>
      <c r="H3585" s="18">
        <f t="shared" si="738"/>
        <v>0</v>
      </c>
      <c r="I3585" s="64">
        <f t="shared" si="739"/>
        <v>0</v>
      </c>
      <c r="J3585" s="64">
        <f t="shared" si="740"/>
        <v>0</v>
      </c>
      <c r="K3585" s="63">
        <f t="shared" si="741"/>
        <v>0</v>
      </c>
      <c r="L3585" s="63">
        <f t="shared" si="742"/>
        <v>0</v>
      </c>
      <c r="N3585" s="10" t="str">
        <f t="shared" si="733"/>
        <v>00</v>
      </c>
      <c r="O3585" s="10">
        <f t="shared" si="734"/>
        <v>0</v>
      </c>
      <c r="P3585" s="10">
        <f t="shared" si="735"/>
        <v>0</v>
      </c>
      <c r="Q3585" s="10">
        <f t="shared" si="736"/>
        <v>0</v>
      </c>
    </row>
    <row r="3586" spans="1:17">
      <c r="A3586" s="15">
        <f t="shared" si="743"/>
        <v>0</v>
      </c>
      <c r="B3586" s="15"/>
      <c r="C3586" s="17">
        <f>Fixture!E591</f>
        <v>0</v>
      </c>
      <c r="D3586" s="18">
        <f>IF(E3586=0,0,IF(Fixture!D591&lt;Fixture!F591,3,IF(Fixture!F591&lt;Fixture!D591,0,1)))</f>
        <v>0</v>
      </c>
      <c r="E3586" s="18">
        <f t="shared" si="737"/>
        <v>0</v>
      </c>
      <c r="F3586" s="18">
        <f>IF(E3586=0,0,IF(Fixture!D591&lt;Fixture!F591,1,IF(Fixture!F591&lt;Fixture!D591,0,0)))</f>
        <v>0</v>
      </c>
      <c r="G3586" s="18">
        <f>IF(E3586=0,0,IF(Fixture!D591&lt;Fixture!F591,0,IF(Fixture!F591&lt;Fixture!D591,0,1)))</f>
        <v>0</v>
      </c>
      <c r="H3586" s="18">
        <f t="shared" si="738"/>
        <v>0</v>
      </c>
      <c r="I3586" s="64">
        <f t="shared" si="739"/>
        <v>0</v>
      </c>
      <c r="J3586" s="64">
        <f t="shared" si="740"/>
        <v>0</v>
      </c>
      <c r="K3586" s="63">
        <f t="shared" si="741"/>
        <v>0</v>
      </c>
      <c r="L3586" s="63">
        <f t="shared" si="742"/>
        <v>0</v>
      </c>
      <c r="N3586" s="10" t="str">
        <f t="shared" si="733"/>
        <v>00</v>
      </c>
      <c r="O3586" s="10">
        <f t="shared" si="734"/>
        <v>0</v>
      </c>
      <c r="P3586" s="10">
        <f t="shared" si="735"/>
        <v>0</v>
      </c>
      <c r="Q3586" s="10">
        <f t="shared" si="736"/>
        <v>0</v>
      </c>
    </row>
    <row r="3587" spans="1:17">
      <c r="A3587" s="15">
        <f t="shared" si="743"/>
        <v>0</v>
      </c>
      <c r="B3587" s="15"/>
      <c r="C3587" s="17">
        <f>Fixture!E592</f>
        <v>0</v>
      </c>
      <c r="D3587" s="18">
        <f>IF(E3587=0,0,IF(Fixture!D592&lt;Fixture!F592,3,IF(Fixture!F592&lt;Fixture!D592,0,1)))</f>
        <v>0</v>
      </c>
      <c r="E3587" s="18">
        <f t="shared" si="737"/>
        <v>0</v>
      </c>
      <c r="F3587" s="18">
        <f>IF(E3587=0,0,IF(Fixture!D592&lt;Fixture!F592,1,IF(Fixture!F592&lt;Fixture!D592,0,0)))</f>
        <v>0</v>
      </c>
      <c r="G3587" s="18">
        <f>IF(E3587=0,0,IF(Fixture!D592&lt;Fixture!F592,0,IF(Fixture!F592&lt;Fixture!D592,0,1)))</f>
        <v>0</v>
      </c>
      <c r="H3587" s="18">
        <f t="shared" si="738"/>
        <v>0</v>
      </c>
      <c r="I3587" s="64">
        <f t="shared" si="739"/>
        <v>0</v>
      </c>
      <c r="J3587" s="64">
        <f t="shared" si="740"/>
        <v>0</v>
      </c>
      <c r="K3587" s="63">
        <f t="shared" si="741"/>
        <v>0</v>
      </c>
      <c r="L3587" s="63">
        <f t="shared" si="742"/>
        <v>0</v>
      </c>
      <c r="N3587" s="10" t="str">
        <f t="shared" si="733"/>
        <v>00</v>
      </c>
      <c r="O3587" s="10">
        <f t="shared" si="734"/>
        <v>0</v>
      </c>
      <c r="P3587" s="10">
        <f t="shared" si="735"/>
        <v>0</v>
      </c>
      <c r="Q3587" s="10">
        <f t="shared" si="736"/>
        <v>0</v>
      </c>
    </row>
    <row r="3588" spans="1:17">
      <c r="A3588" s="15">
        <f t="shared" si="743"/>
        <v>0</v>
      </c>
      <c r="B3588" s="15"/>
      <c r="C3588" s="17">
        <f>Fixture!E593</f>
        <v>0</v>
      </c>
      <c r="D3588" s="18">
        <f>IF(E3588=0,0,IF(Fixture!D593&lt;Fixture!F593,3,IF(Fixture!F593&lt;Fixture!D593,0,1)))</f>
        <v>0</v>
      </c>
      <c r="E3588" s="18">
        <f t="shared" si="737"/>
        <v>0</v>
      </c>
      <c r="F3588" s="18">
        <f>IF(E3588=0,0,IF(Fixture!D593&lt;Fixture!F593,1,IF(Fixture!F593&lt;Fixture!D593,0,0)))</f>
        <v>0</v>
      </c>
      <c r="G3588" s="18">
        <f>IF(E3588=0,0,IF(Fixture!D593&lt;Fixture!F593,0,IF(Fixture!F593&lt;Fixture!D593,0,1)))</f>
        <v>0</v>
      </c>
      <c r="H3588" s="18">
        <f t="shared" si="738"/>
        <v>0</v>
      </c>
      <c r="I3588" s="64">
        <f t="shared" si="739"/>
        <v>0</v>
      </c>
      <c r="J3588" s="64">
        <f t="shared" si="740"/>
        <v>0</v>
      </c>
      <c r="K3588" s="63">
        <f t="shared" si="741"/>
        <v>0</v>
      </c>
      <c r="L3588" s="63">
        <f t="shared" si="742"/>
        <v>0</v>
      </c>
      <c r="N3588" s="10" t="str">
        <f t="shared" si="733"/>
        <v>00</v>
      </c>
      <c r="O3588" s="10">
        <f t="shared" si="734"/>
        <v>0</v>
      </c>
      <c r="P3588" s="10">
        <f t="shared" si="735"/>
        <v>0</v>
      </c>
      <c r="Q3588" s="10">
        <f t="shared" si="736"/>
        <v>0</v>
      </c>
    </row>
    <row r="3589" spans="1:17">
      <c r="A3589" s="15">
        <f t="shared" si="743"/>
        <v>0</v>
      </c>
      <c r="B3589" s="15"/>
      <c r="C3589" s="17">
        <f>Fixture!E594</f>
        <v>0</v>
      </c>
      <c r="D3589" s="18">
        <f>IF(E3589=0,0,IF(Fixture!D594&lt;Fixture!F594,3,IF(Fixture!F594&lt;Fixture!D594,0,1)))</f>
        <v>0</v>
      </c>
      <c r="E3589" s="18">
        <f t="shared" si="737"/>
        <v>0</v>
      </c>
      <c r="F3589" s="18">
        <f>IF(E3589=0,0,IF(Fixture!D594&lt;Fixture!F594,1,IF(Fixture!F594&lt;Fixture!D594,0,0)))</f>
        <v>0</v>
      </c>
      <c r="G3589" s="18">
        <f>IF(E3589=0,0,IF(Fixture!D594&lt;Fixture!F594,0,IF(Fixture!F594&lt;Fixture!D594,0,1)))</f>
        <v>0</v>
      </c>
      <c r="H3589" s="18">
        <f t="shared" si="738"/>
        <v>0</v>
      </c>
      <c r="I3589" s="64">
        <f t="shared" si="739"/>
        <v>0</v>
      </c>
      <c r="J3589" s="64">
        <f t="shared" si="740"/>
        <v>0</v>
      </c>
      <c r="K3589" s="63">
        <f t="shared" si="741"/>
        <v>0</v>
      </c>
      <c r="L3589" s="63">
        <f t="shared" si="742"/>
        <v>0</v>
      </c>
      <c r="N3589" s="10" t="str">
        <f t="shared" si="733"/>
        <v>00</v>
      </c>
      <c r="O3589" s="10">
        <f t="shared" si="734"/>
        <v>0</v>
      </c>
      <c r="P3589" s="10">
        <f t="shared" si="735"/>
        <v>0</v>
      </c>
      <c r="Q3589" s="10">
        <f t="shared" si="736"/>
        <v>0</v>
      </c>
    </row>
    <row r="3590" spans="1:17">
      <c r="A3590" s="15">
        <f t="shared" si="743"/>
        <v>0</v>
      </c>
      <c r="B3590" s="15"/>
      <c r="C3590" s="17">
        <f>Fixture!E595</f>
        <v>0</v>
      </c>
      <c r="D3590" s="18">
        <f>IF(E3590=0,0,IF(Fixture!D595&lt;Fixture!F595,3,IF(Fixture!F595&lt;Fixture!D595,0,1)))</f>
        <v>0</v>
      </c>
      <c r="E3590" s="18">
        <f t="shared" si="737"/>
        <v>0</v>
      </c>
      <c r="F3590" s="18">
        <f>IF(E3590=0,0,IF(Fixture!D595&lt;Fixture!F595,1,IF(Fixture!F595&lt;Fixture!D595,0,0)))</f>
        <v>0</v>
      </c>
      <c r="G3590" s="18">
        <f>IF(E3590=0,0,IF(Fixture!D595&lt;Fixture!F595,0,IF(Fixture!F595&lt;Fixture!D595,0,1)))</f>
        <v>0</v>
      </c>
      <c r="H3590" s="18">
        <f t="shared" si="738"/>
        <v>0</v>
      </c>
      <c r="I3590" s="64">
        <f t="shared" si="739"/>
        <v>0</v>
      </c>
      <c r="J3590" s="64">
        <f t="shared" si="740"/>
        <v>0</v>
      </c>
      <c r="K3590" s="63">
        <f t="shared" si="741"/>
        <v>0</v>
      </c>
      <c r="L3590" s="63">
        <f t="shared" si="742"/>
        <v>0</v>
      </c>
      <c r="N3590" s="10" t="str">
        <f t="shared" si="733"/>
        <v>00</v>
      </c>
      <c r="O3590" s="10">
        <f t="shared" si="734"/>
        <v>0</v>
      </c>
      <c r="P3590" s="10">
        <f t="shared" si="735"/>
        <v>0</v>
      </c>
      <c r="Q3590" s="10">
        <f t="shared" si="736"/>
        <v>0</v>
      </c>
    </row>
    <row r="3591" spans="1:17">
      <c r="A3591" s="15">
        <f t="shared" si="743"/>
        <v>0</v>
      </c>
      <c r="B3591" s="15"/>
      <c r="C3591" s="17">
        <f>Fixture!E596</f>
        <v>0</v>
      </c>
      <c r="D3591" s="18">
        <f>IF(E3591=0,0,IF(Fixture!D596&lt;Fixture!F596,3,IF(Fixture!F596&lt;Fixture!D596,0,1)))</f>
        <v>0</v>
      </c>
      <c r="E3591" s="18">
        <f t="shared" si="737"/>
        <v>0</v>
      </c>
      <c r="F3591" s="18">
        <f>IF(E3591=0,0,IF(Fixture!D596&lt;Fixture!F596,1,IF(Fixture!F596&lt;Fixture!D596,0,0)))</f>
        <v>0</v>
      </c>
      <c r="G3591" s="18">
        <f>IF(E3591=0,0,IF(Fixture!D596&lt;Fixture!F596,0,IF(Fixture!F596&lt;Fixture!D596,0,1)))</f>
        <v>0</v>
      </c>
      <c r="H3591" s="18">
        <f t="shared" si="738"/>
        <v>0</v>
      </c>
      <c r="I3591" s="64">
        <f t="shared" si="739"/>
        <v>0</v>
      </c>
      <c r="J3591" s="64">
        <f t="shared" si="740"/>
        <v>0</v>
      </c>
      <c r="K3591" s="63">
        <f t="shared" si="741"/>
        <v>0</v>
      </c>
      <c r="L3591" s="63">
        <f t="shared" si="742"/>
        <v>0</v>
      </c>
      <c r="N3591" s="10" t="str">
        <f t="shared" si="733"/>
        <v>00</v>
      </c>
      <c r="O3591" s="10">
        <f t="shared" si="734"/>
        <v>0</v>
      </c>
      <c r="P3591" s="10">
        <f t="shared" si="735"/>
        <v>0</v>
      </c>
      <c r="Q3591" s="10">
        <f t="shared" si="736"/>
        <v>0</v>
      </c>
    </row>
    <row r="3592" spans="1:17">
      <c r="A3592" s="15">
        <f t="shared" si="743"/>
        <v>0</v>
      </c>
      <c r="B3592" s="15"/>
      <c r="C3592" s="17">
        <f>Fixture!E597</f>
        <v>0</v>
      </c>
      <c r="D3592" s="18">
        <f>IF(E3592=0,0,IF(Fixture!D597&lt;Fixture!F597,3,IF(Fixture!F597&lt;Fixture!D597,0,1)))</f>
        <v>0</v>
      </c>
      <c r="E3592" s="18">
        <f t="shared" si="737"/>
        <v>0</v>
      </c>
      <c r="F3592" s="18">
        <f>IF(E3592=0,0,IF(Fixture!D597&lt;Fixture!F597,1,IF(Fixture!F597&lt;Fixture!D597,0,0)))</f>
        <v>0</v>
      </c>
      <c r="G3592" s="18">
        <f>IF(E3592=0,0,IF(Fixture!D597&lt;Fixture!F597,0,IF(Fixture!F597&lt;Fixture!D597,0,1)))</f>
        <v>0</v>
      </c>
      <c r="H3592" s="18">
        <f t="shared" si="738"/>
        <v>0</v>
      </c>
      <c r="I3592" s="64">
        <f t="shared" si="739"/>
        <v>0</v>
      </c>
      <c r="J3592" s="64">
        <f t="shared" si="740"/>
        <v>0</v>
      </c>
      <c r="K3592" s="63">
        <f t="shared" si="741"/>
        <v>0</v>
      </c>
      <c r="L3592" s="63">
        <f t="shared" si="742"/>
        <v>0</v>
      </c>
      <c r="N3592" s="10" t="str">
        <f t="shared" si="733"/>
        <v>00</v>
      </c>
      <c r="O3592" s="10">
        <f t="shared" si="734"/>
        <v>0</v>
      </c>
      <c r="P3592" s="10">
        <f t="shared" si="735"/>
        <v>0</v>
      </c>
      <c r="Q3592" s="10">
        <f t="shared" si="736"/>
        <v>0</v>
      </c>
    </row>
    <row r="3593" spans="1:17">
      <c r="A3593" s="15">
        <f t="shared" si="743"/>
        <v>0</v>
      </c>
      <c r="B3593" s="15"/>
      <c r="C3593" s="17">
        <f>Fixture!E598</f>
        <v>0</v>
      </c>
      <c r="D3593" s="18">
        <f>IF(E3593=0,0,IF(Fixture!D598&lt;Fixture!F598,3,IF(Fixture!F598&lt;Fixture!D598,0,1)))</f>
        <v>0</v>
      </c>
      <c r="E3593" s="18">
        <f t="shared" si="737"/>
        <v>0</v>
      </c>
      <c r="F3593" s="18">
        <f>IF(E3593=0,0,IF(Fixture!D598&lt;Fixture!F598,1,IF(Fixture!F598&lt;Fixture!D598,0,0)))</f>
        <v>0</v>
      </c>
      <c r="G3593" s="18">
        <f>IF(E3593=0,0,IF(Fixture!D598&lt;Fixture!F598,0,IF(Fixture!F598&lt;Fixture!D598,0,1)))</f>
        <v>0</v>
      </c>
      <c r="H3593" s="18">
        <f t="shared" si="738"/>
        <v>0</v>
      </c>
      <c r="I3593" s="64">
        <f t="shared" si="739"/>
        <v>0</v>
      </c>
      <c r="J3593" s="64">
        <f t="shared" si="740"/>
        <v>0</v>
      </c>
      <c r="K3593" s="63">
        <f t="shared" si="741"/>
        <v>0</v>
      </c>
      <c r="L3593" s="63">
        <f t="shared" si="742"/>
        <v>0</v>
      </c>
      <c r="N3593" s="10" t="str">
        <f t="shared" si="733"/>
        <v>00</v>
      </c>
      <c r="O3593" s="10">
        <f t="shared" si="734"/>
        <v>0</v>
      </c>
      <c r="P3593" s="10">
        <f t="shared" si="735"/>
        <v>0</v>
      </c>
      <c r="Q3593" s="10">
        <f t="shared" si="736"/>
        <v>0</v>
      </c>
    </row>
    <row r="3594" spans="1:17">
      <c r="A3594" s="15">
        <f t="shared" si="743"/>
        <v>0</v>
      </c>
      <c r="B3594" s="15"/>
      <c r="C3594" s="17">
        <f>Fixture!E599</f>
        <v>0</v>
      </c>
      <c r="D3594" s="18">
        <f>IF(E3594=0,0,IF(Fixture!D599&lt;Fixture!F599,3,IF(Fixture!F599&lt;Fixture!D599,0,1)))</f>
        <v>0</v>
      </c>
      <c r="E3594" s="18">
        <f t="shared" si="737"/>
        <v>0</v>
      </c>
      <c r="F3594" s="18">
        <f>IF(E3594=0,0,IF(Fixture!D599&lt;Fixture!F599,1,IF(Fixture!F599&lt;Fixture!D599,0,0)))</f>
        <v>0</v>
      </c>
      <c r="G3594" s="18">
        <f>IF(E3594=0,0,IF(Fixture!D599&lt;Fixture!F599,0,IF(Fixture!F599&lt;Fixture!D599,0,1)))</f>
        <v>0</v>
      </c>
      <c r="H3594" s="18">
        <f t="shared" si="738"/>
        <v>0</v>
      </c>
      <c r="I3594" s="64">
        <f t="shared" si="739"/>
        <v>0</v>
      </c>
      <c r="J3594" s="64">
        <f t="shared" si="740"/>
        <v>0</v>
      </c>
      <c r="K3594" s="63">
        <f t="shared" si="741"/>
        <v>0</v>
      </c>
      <c r="L3594" s="63">
        <f t="shared" si="742"/>
        <v>0</v>
      </c>
      <c r="N3594" s="10" t="str">
        <f t="shared" si="733"/>
        <v>00</v>
      </c>
      <c r="O3594" s="10">
        <f t="shared" si="734"/>
        <v>0</v>
      </c>
      <c r="P3594" s="10">
        <f t="shared" si="735"/>
        <v>0</v>
      </c>
      <c r="Q3594" s="10">
        <f t="shared" si="736"/>
        <v>0</v>
      </c>
    </row>
    <row r="3595" spans="1:17">
      <c r="A3595" s="15">
        <f t="shared" si="743"/>
        <v>0</v>
      </c>
      <c r="B3595" s="15"/>
      <c r="C3595" s="17">
        <f>Fixture!E600</f>
        <v>0</v>
      </c>
      <c r="D3595" s="18">
        <f>IF(E3595=0,0,IF(Fixture!D600&lt;Fixture!F600,3,IF(Fixture!F600&lt;Fixture!D600,0,1)))</f>
        <v>0</v>
      </c>
      <c r="E3595" s="18">
        <f t="shared" si="737"/>
        <v>0</v>
      </c>
      <c r="F3595" s="18">
        <f>IF(E3595=0,0,IF(Fixture!D600&lt;Fixture!F600,1,IF(Fixture!F600&lt;Fixture!D600,0,0)))</f>
        <v>0</v>
      </c>
      <c r="G3595" s="18">
        <f>IF(E3595=0,0,IF(Fixture!D600&lt;Fixture!F600,0,IF(Fixture!F600&lt;Fixture!D600,0,1)))</f>
        <v>0</v>
      </c>
      <c r="H3595" s="18">
        <f t="shared" si="738"/>
        <v>0</v>
      </c>
      <c r="I3595" s="64">
        <f t="shared" si="739"/>
        <v>0</v>
      </c>
      <c r="J3595" s="64">
        <f t="shared" si="740"/>
        <v>0</v>
      </c>
      <c r="K3595" s="63">
        <f t="shared" si="741"/>
        <v>0</v>
      </c>
      <c r="L3595" s="63">
        <f t="shared" si="742"/>
        <v>0</v>
      </c>
      <c r="N3595" s="10" t="str">
        <f t="shared" si="733"/>
        <v>00</v>
      </c>
      <c r="O3595" s="10">
        <f t="shared" si="734"/>
        <v>0</v>
      </c>
      <c r="P3595" s="10">
        <f t="shared" si="735"/>
        <v>0</v>
      </c>
      <c r="Q3595" s="10">
        <f t="shared" si="736"/>
        <v>0</v>
      </c>
    </row>
    <row r="3596" spans="1:17">
      <c r="A3596" s="15">
        <f t="shared" si="743"/>
        <v>0</v>
      </c>
      <c r="B3596" s="15"/>
      <c r="C3596" s="17">
        <f>Fixture!E601</f>
        <v>0</v>
      </c>
      <c r="D3596" s="18">
        <f>IF(E3596=0,0,IF(Fixture!D601&lt;Fixture!F601,3,IF(Fixture!F601&lt;Fixture!D601,0,1)))</f>
        <v>0</v>
      </c>
      <c r="E3596" s="18">
        <f t="shared" si="737"/>
        <v>0</v>
      </c>
      <c r="F3596" s="18">
        <f>IF(E3596=0,0,IF(Fixture!D601&lt;Fixture!F601,1,IF(Fixture!F601&lt;Fixture!D601,0,0)))</f>
        <v>0</v>
      </c>
      <c r="G3596" s="18">
        <f>IF(E3596=0,0,IF(Fixture!D601&lt;Fixture!F601,0,IF(Fixture!F601&lt;Fixture!D601,0,1)))</f>
        <v>0</v>
      </c>
      <c r="H3596" s="18">
        <f t="shared" si="738"/>
        <v>0</v>
      </c>
      <c r="I3596" s="64">
        <f t="shared" si="739"/>
        <v>0</v>
      </c>
      <c r="J3596" s="64">
        <f t="shared" si="740"/>
        <v>0</v>
      </c>
      <c r="K3596" s="63">
        <f t="shared" si="741"/>
        <v>0</v>
      </c>
      <c r="L3596" s="63">
        <f t="shared" si="742"/>
        <v>0</v>
      </c>
      <c r="N3596" s="10" t="str">
        <f t="shared" si="733"/>
        <v>00</v>
      </c>
      <c r="O3596" s="10">
        <f t="shared" si="734"/>
        <v>0</v>
      </c>
      <c r="P3596" s="10">
        <f t="shared" si="735"/>
        <v>0</v>
      </c>
      <c r="Q3596" s="10">
        <f t="shared" si="736"/>
        <v>0</v>
      </c>
    </row>
    <row r="3597" spans="1:17">
      <c r="A3597" s="15">
        <f t="shared" si="743"/>
        <v>0</v>
      </c>
      <c r="B3597" s="15"/>
      <c r="C3597" s="17">
        <f>Fixture!E602</f>
        <v>0</v>
      </c>
      <c r="D3597" s="18">
        <f>IF(E3597=0,0,IF(Fixture!D602&lt;Fixture!F602,3,IF(Fixture!F602&lt;Fixture!D602,0,1)))</f>
        <v>0</v>
      </c>
      <c r="E3597" s="18">
        <f t="shared" si="737"/>
        <v>0</v>
      </c>
      <c r="F3597" s="18">
        <f>IF(E3597=0,0,IF(Fixture!D602&lt;Fixture!F602,1,IF(Fixture!F602&lt;Fixture!D602,0,0)))</f>
        <v>0</v>
      </c>
      <c r="G3597" s="18">
        <f>IF(E3597=0,0,IF(Fixture!D602&lt;Fixture!F602,0,IF(Fixture!F602&lt;Fixture!D602,0,1)))</f>
        <v>0</v>
      </c>
      <c r="H3597" s="18">
        <f t="shared" si="738"/>
        <v>0</v>
      </c>
      <c r="I3597" s="64">
        <f t="shared" si="739"/>
        <v>0</v>
      </c>
      <c r="J3597" s="64">
        <f t="shared" si="740"/>
        <v>0</v>
      </c>
      <c r="K3597" s="63">
        <f t="shared" si="741"/>
        <v>0</v>
      </c>
      <c r="L3597" s="63">
        <f t="shared" si="742"/>
        <v>0</v>
      </c>
      <c r="N3597" s="10" t="str">
        <f t="shared" si="733"/>
        <v>00</v>
      </c>
      <c r="O3597" s="10">
        <f t="shared" si="734"/>
        <v>0</v>
      </c>
      <c r="P3597" s="10">
        <f t="shared" si="735"/>
        <v>0</v>
      </c>
      <c r="Q3597" s="10">
        <f t="shared" si="736"/>
        <v>0</v>
      </c>
    </row>
    <row r="3598" spans="1:17">
      <c r="A3598" s="15">
        <f t="shared" si="743"/>
        <v>0</v>
      </c>
      <c r="B3598" s="15"/>
      <c r="C3598" s="17">
        <f>Fixture!E603</f>
        <v>0</v>
      </c>
      <c r="D3598" s="18">
        <f>IF(E3598=0,0,IF(Fixture!D603&lt;Fixture!F603,3,IF(Fixture!F603&lt;Fixture!D603,0,1)))</f>
        <v>0</v>
      </c>
      <c r="E3598" s="18">
        <f t="shared" si="737"/>
        <v>0</v>
      </c>
      <c r="F3598" s="18">
        <f>IF(E3598=0,0,IF(Fixture!D603&lt;Fixture!F603,1,IF(Fixture!F603&lt;Fixture!D603,0,0)))</f>
        <v>0</v>
      </c>
      <c r="G3598" s="18">
        <f>IF(E3598=0,0,IF(Fixture!D603&lt;Fixture!F603,0,IF(Fixture!F603&lt;Fixture!D603,0,1)))</f>
        <v>0</v>
      </c>
      <c r="H3598" s="18">
        <f t="shared" si="738"/>
        <v>0</v>
      </c>
      <c r="I3598" s="64">
        <f t="shared" si="739"/>
        <v>0</v>
      </c>
      <c r="J3598" s="64">
        <f t="shared" si="740"/>
        <v>0</v>
      </c>
      <c r="K3598" s="63">
        <f t="shared" si="741"/>
        <v>0</v>
      </c>
      <c r="L3598" s="63">
        <f t="shared" si="742"/>
        <v>0</v>
      </c>
      <c r="N3598" s="10" t="str">
        <f t="shared" si="733"/>
        <v>00</v>
      </c>
      <c r="O3598" s="10">
        <f t="shared" si="734"/>
        <v>0</v>
      </c>
      <c r="P3598" s="10">
        <f t="shared" si="735"/>
        <v>0</v>
      </c>
      <c r="Q3598" s="10">
        <f t="shared" si="736"/>
        <v>0</v>
      </c>
    </row>
    <row r="3599" spans="1:17">
      <c r="A3599" s="15">
        <f t="shared" si="743"/>
        <v>0</v>
      </c>
      <c r="B3599" s="15"/>
      <c r="C3599" s="17">
        <f>Fixture!E604</f>
        <v>0</v>
      </c>
      <c r="D3599" s="18">
        <f>IF(E3599=0,0,IF(Fixture!D604&lt;Fixture!F604,3,IF(Fixture!F604&lt;Fixture!D604,0,1)))</f>
        <v>0</v>
      </c>
      <c r="E3599" s="18">
        <f t="shared" si="737"/>
        <v>0</v>
      </c>
      <c r="F3599" s="18">
        <f>IF(E3599=0,0,IF(Fixture!D604&lt;Fixture!F604,1,IF(Fixture!F604&lt;Fixture!D604,0,0)))</f>
        <v>0</v>
      </c>
      <c r="G3599" s="18">
        <f>IF(E3599=0,0,IF(Fixture!D604&lt;Fixture!F604,0,IF(Fixture!F604&lt;Fixture!D604,0,1)))</f>
        <v>0</v>
      </c>
      <c r="H3599" s="18">
        <f t="shared" si="738"/>
        <v>0</v>
      </c>
      <c r="I3599" s="64">
        <f t="shared" si="739"/>
        <v>0</v>
      </c>
      <c r="J3599" s="64">
        <f t="shared" si="740"/>
        <v>0</v>
      </c>
      <c r="K3599" s="63">
        <f t="shared" si="741"/>
        <v>0</v>
      </c>
      <c r="L3599" s="63">
        <f t="shared" si="742"/>
        <v>0</v>
      </c>
      <c r="N3599" s="10" t="str">
        <f t="shared" si="733"/>
        <v>00</v>
      </c>
      <c r="O3599" s="10">
        <f t="shared" si="734"/>
        <v>0</v>
      </c>
      <c r="P3599" s="10">
        <f t="shared" si="735"/>
        <v>0</v>
      </c>
      <c r="Q3599" s="10">
        <f t="shared" si="736"/>
        <v>0</v>
      </c>
    </row>
    <row r="3600" spans="1:17">
      <c r="A3600" s="15">
        <f t="shared" si="743"/>
        <v>0</v>
      </c>
      <c r="B3600" s="15"/>
      <c r="C3600" s="17">
        <f>Fixture!E605</f>
        <v>0</v>
      </c>
      <c r="D3600" s="18">
        <f>IF(E3600=0,0,IF(Fixture!D605&lt;Fixture!F605,3,IF(Fixture!F605&lt;Fixture!D605,0,1)))</f>
        <v>0</v>
      </c>
      <c r="E3600" s="18">
        <f t="shared" si="737"/>
        <v>0</v>
      </c>
      <c r="F3600" s="18">
        <f>IF(E3600=0,0,IF(Fixture!D605&lt;Fixture!F605,1,IF(Fixture!F605&lt;Fixture!D605,0,0)))</f>
        <v>0</v>
      </c>
      <c r="G3600" s="18">
        <f>IF(E3600=0,0,IF(Fixture!D605&lt;Fixture!F605,0,IF(Fixture!F605&lt;Fixture!D605,0,1)))</f>
        <v>0</v>
      </c>
      <c r="H3600" s="18">
        <f t="shared" si="738"/>
        <v>0</v>
      </c>
      <c r="I3600" s="64">
        <f t="shared" si="739"/>
        <v>0</v>
      </c>
      <c r="J3600" s="64">
        <f t="shared" si="740"/>
        <v>0</v>
      </c>
      <c r="K3600" s="63">
        <f t="shared" si="741"/>
        <v>0</v>
      </c>
      <c r="L3600" s="63">
        <f t="shared" si="742"/>
        <v>0</v>
      </c>
      <c r="N3600" s="10" t="str">
        <f t="shared" si="733"/>
        <v>00</v>
      </c>
      <c r="O3600" s="10">
        <f t="shared" si="734"/>
        <v>0</v>
      </c>
      <c r="P3600" s="10">
        <f t="shared" si="735"/>
        <v>0</v>
      </c>
      <c r="Q3600" s="10">
        <f t="shared" si="736"/>
        <v>0</v>
      </c>
    </row>
    <row r="3601" spans="1:17">
      <c r="A3601" s="15">
        <f t="shared" si="743"/>
        <v>0</v>
      </c>
      <c r="B3601" s="15"/>
      <c r="C3601" s="17">
        <f>Fixture!E606</f>
        <v>0</v>
      </c>
      <c r="D3601" s="18">
        <f>IF(E3601=0,0,IF(Fixture!D606&lt;Fixture!F606,3,IF(Fixture!F606&lt;Fixture!D606,0,1)))</f>
        <v>0</v>
      </c>
      <c r="E3601" s="18">
        <f t="shared" si="737"/>
        <v>0</v>
      </c>
      <c r="F3601" s="18">
        <f>IF(E3601=0,0,IF(Fixture!D606&lt;Fixture!F606,1,IF(Fixture!F606&lt;Fixture!D606,0,0)))</f>
        <v>0</v>
      </c>
      <c r="G3601" s="18">
        <f>IF(E3601=0,0,IF(Fixture!D606&lt;Fixture!F606,0,IF(Fixture!F606&lt;Fixture!D606,0,1)))</f>
        <v>0</v>
      </c>
      <c r="H3601" s="18">
        <f t="shared" si="738"/>
        <v>0</v>
      </c>
      <c r="I3601" s="64">
        <f t="shared" si="739"/>
        <v>0</v>
      </c>
      <c r="J3601" s="64">
        <f t="shared" si="740"/>
        <v>0</v>
      </c>
      <c r="K3601" s="63">
        <f t="shared" si="741"/>
        <v>0</v>
      </c>
      <c r="L3601" s="63">
        <f t="shared" si="742"/>
        <v>0</v>
      </c>
      <c r="N3601" s="10" t="str">
        <f t="shared" si="733"/>
        <v>00</v>
      </c>
      <c r="O3601" s="10">
        <f t="shared" si="734"/>
        <v>0</v>
      </c>
      <c r="P3601" s="10">
        <f t="shared" si="735"/>
        <v>0</v>
      </c>
      <c r="Q3601" s="10">
        <f t="shared" si="736"/>
        <v>0</v>
      </c>
    </row>
    <row r="3602" spans="1:17">
      <c r="A3602" s="15">
        <f t="shared" si="743"/>
        <v>0</v>
      </c>
      <c r="B3602" s="15"/>
      <c r="C3602" s="17">
        <f>Fixture!E607</f>
        <v>0</v>
      </c>
      <c r="D3602" s="18">
        <f>IF(E3602=0,0,IF(Fixture!D607&lt;Fixture!F607,3,IF(Fixture!F607&lt;Fixture!D607,0,1)))</f>
        <v>0</v>
      </c>
      <c r="E3602" s="18">
        <f t="shared" si="737"/>
        <v>0</v>
      </c>
      <c r="F3602" s="18">
        <f>IF(E3602=0,0,IF(Fixture!D607&lt;Fixture!F607,1,IF(Fixture!F607&lt;Fixture!D607,0,0)))</f>
        <v>0</v>
      </c>
      <c r="G3602" s="18">
        <f>IF(E3602=0,0,IF(Fixture!D607&lt;Fixture!F607,0,IF(Fixture!F607&lt;Fixture!D607,0,1)))</f>
        <v>0</v>
      </c>
      <c r="H3602" s="18">
        <f t="shared" si="738"/>
        <v>0</v>
      </c>
      <c r="I3602" s="64">
        <f t="shared" si="739"/>
        <v>0</v>
      </c>
      <c r="J3602" s="64">
        <f t="shared" si="740"/>
        <v>0</v>
      </c>
      <c r="K3602" s="63">
        <f t="shared" si="741"/>
        <v>0</v>
      </c>
      <c r="L3602" s="63">
        <f t="shared" si="742"/>
        <v>0</v>
      </c>
      <c r="N3602" s="10" t="str">
        <f t="shared" ref="N3602:N3665" si="744">CONCATENATE(C3602,A3602)</f>
        <v>00</v>
      </c>
      <c r="O3602" s="10">
        <f t="shared" ref="O3602:O3665" si="745">D3602</f>
        <v>0</v>
      </c>
      <c r="P3602" s="10">
        <f t="shared" ref="P3602:P3665" si="746">I3602</f>
        <v>0</v>
      </c>
      <c r="Q3602" s="10">
        <f t="shared" ref="Q3602:Q3665" si="747">J3602</f>
        <v>0</v>
      </c>
    </row>
    <row r="3603" spans="1:17">
      <c r="A3603" s="15">
        <f t="shared" si="743"/>
        <v>0</v>
      </c>
      <c r="B3603" s="15"/>
      <c r="C3603" s="17">
        <f>Fixture!E608</f>
        <v>0</v>
      </c>
      <c r="D3603" s="18">
        <f>IF(E3603=0,0,IF(Fixture!D608&lt;Fixture!F608,3,IF(Fixture!F608&lt;Fixture!D608,0,1)))</f>
        <v>0</v>
      </c>
      <c r="E3603" s="18">
        <f t="shared" si="737"/>
        <v>0</v>
      </c>
      <c r="F3603" s="18">
        <f>IF(E3603=0,0,IF(Fixture!D608&lt;Fixture!F608,1,IF(Fixture!F608&lt;Fixture!D608,0,0)))</f>
        <v>0</v>
      </c>
      <c r="G3603" s="18">
        <f>IF(E3603=0,0,IF(Fixture!D608&lt;Fixture!F608,0,IF(Fixture!F608&lt;Fixture!D608,0,1)))</f>
        <v>0</v>
      </c>
      <c r="H3603" s="18">
        <f t="shared" si="738"/>
        <v>0</v>
      </c>
      <c r="I3603" s="64">
        <f t="shared" si="739"/>
        <v>0</v>
      </c>
      <c r="J3603" s="64">
        <f t="shared" si="740"/>
        <v>0</v>
      </c>
      <c r="K3603" s="63">
        <f t="shared" si="741"/>
        <v>0</v>
      </c>
      <c r="L3603" s="63">
        <f t="shared" si="742"/>
        <v>0</v>
      </c>
      <c r="N3603" s="10" t="str">
        <f t="shared" si="744"/>
        <v>00</v>
      </c>
      <c r="O3603" s="10">
        <f t="shared" si="745"/>
        <v>0</v>
      </c>
      <c r="P3603" s="10">
        <f t="shared" si="746"/>
        <v>0</v>
      </c>
      <c r="Q3603" s="10">
        <f t="shared" si="747"/>
        <v>0</v>
      </c>
    </row>
    <row r="3604" spans="1:17">
      <c r="A3604" s="15">
        <f t="shared" si="743"/>
        <v>0</v>
      </c>
      <c r="B3604" s="15"/>
      <c r="C3604" s="17">
        <f>Fixture!E609</f>
        <v>0</v>
      </c>
      <c r="D3604" s="18">
        <f>IF(E3604=0,0,IF(Fixture!D609&lt;Fixture!F609,3,IF(Fixture!F609&lt;Fixture!D609,0,1)))</f>
        <v>0</v>
      </c>
      <c r="E3604" s="18">
        <f t="shared" si="737"/>
        <v>0</v>
      </c>
      <c r="F3604" s="18">
        <f>IF(E3604=0,0,IF(Fixture!D609&lt;Fixture!F609,1,IF(Fixture!F609&lt;Fixture!D609,0,0)))</f>
        <v>0</v>
      </c>
      <c r="G3604" s="18">
        <f>IF(E3604=0,0,IF(Fixture!D609&lt;Fixture!F609,0,IF(Fixture!F609&lt;Fixture!D609,0,1)))</f>
        <v>0</v>
      </c>
      <c r="H3604" s="18">
        <f t="shared" si="738"/>
        <v>0</v>
      </c>
      <c r="I3604" s="64">
        <f t="shared" si="739"/>
        <v>0</v>
      </c>
      <c r="J3604" s="64">
        <f t="shared" si="740"/>
        <v>0</v>
      </c>
      <c r="K3604" s="63">
        <f t="shared" si="741"/>
        <v>0</v>
      </c>
      <c r="L3604" s="63">
        <f t="shared" si="742"/>
        <v>0</v>
      </c>
      <c r="N3604" s="10" t="str">
        <f t="shared" si="744"/>
        <v>00</v>
      </c>
      <c r="O3604" s="10">
        <f t="shared" si="745"/>
        <v>0</v>
      </c>
      <c r="P3604" s="10">
        <f t="shared" si="746"/>
        <v>0</v>
      </c>
      <c r="Q3604" s="10">
        <f t="shared" si="747"/>
        <v>0</v>
      </c>
    </row>
    <row r="3605" spans="1:17">
      <c r="A3605" s="15">
        <f t="shared" si="743"/>
        <v>0</v>
      </c>
      <c r="B3605" s="15"/>
      <c r="C3605" s="17">
        <f>Fixture!E610</f>
        <v>0</v>
      </c>
      <c r="D3605" s="18">
        <f>IF(E3605=0,0,IF(Fixture!D610&lt;Fixture!F610,3,IF(Fixture!F610&lt;Fixture!D610,0,1)))</f>
        <v>0</v>
      </c>
      <c r="E3605" s="18">
        <f t="shared" si="737"/>
        <v>0</v>
      </c>
      <c r="F3605" s="18">
        <f>IF(E3605=0,0,IF(Fixture!D610&lt;Fixture!F610,1,IF(Fixture!F610&lt;Fixture!D610,0,0)))</f>
        <v>0</v>
      </c>
      <c r="G3605" s="18">
        <f>IF(E3605=0,0,IF(Fixture!D610&lt;Fixture!F610,0,IF(Fixture!F610&lt;Fixture!D610,0,1)))</f>
        <v>0</v>
      </c>
      <c r="H3605" s="18">
        <f t="shared" si="738"/>
        <v>0</v>
      </c>
      <c r="I3605" s="64">
        <f t="shared" si="739"/>
        <v>0</v>
      </c>
      <c r="J3605" s="64">
        <f t="shared" si="740"/>
        <v>0</v>
      </c>
      <c r="K3605" s="63">
        <f t="shared" si="741"/>
        <v>0</v>
      </c>
      <c r="L3605" s="63">
        <f t="shared" si="742"/>
        <v>0</v>
      </c>
      <c r="N3605" s="10" t="str">
        <f t="shared" si="744"/>
        <v>00</v>
      </c>
      <c r="O3605" s="10">
        <f t="shared" si="745"/>
        <v>0</v>
      </c>
      <c r="P3605" s="10">
        <f t="shared" si="746"/>
        <v>0</v>
      </c>
      <c r="Q3605" s="10">
        <f t="shared" si="747"/>
        <v>0</v>
      </c>
    </row>
    <row r="3606" spans="1:17">
      <c r="A3606" s="15">
        <f t="shared" si="743"/>
        <v>0</v>
      </c>
      <c r="B3606" s="15"/>
      <c r="C3606" s="17">
        <f>Fixture!E611</f>
        <v>0</v>
      </c>
      <c r="D3606" s="18">
        <f>IF(E3606=0,0,IF(Fixture!D611&lt;Fixture!F611,3,IF(Fixture!F611&lt;Fixture!D611,0,1)))</f>
        <v>0</v>
      </c>
      <c r="E3606" s="18">
        <f t="shared" si="737"/>
        <v>0</v>
      </c>
      <c r="F3606" s="18">
        <f>IF(E3606=0,0,IF(Fixture!D611&lt;Fixture!F611,1,IF(Fixture!F611&lt;Fixture!D611,0,0)))</f>
        <v>0</v>
      </c>
      <c r="G3606" s="18">
        <f>IF(E3606=0,0,IF(Fixture!D611&lt;Fixture!F611,0,IF(Fixture!F611&lt;Fixture!D611,0,1)))</f>
        <v>0</v>
      </c>
      <c r="H3606" s="18">
        <f t="shared" si="738"/>
        <v>0</v>
      </c>
      <c r="I3606" s="64">
        <f t="shared" si="739"/>
        <v>0</v>
      </c>
      <c r="J3606" s="64">
        <f t="shared" si="740"/>
        <v>0</v>
      </c>
      <c r="K3606" s="63">
        <f t="shared" si="741"/>
        <v>0</v>
      </c>
      <c r="L3606" s="63">
        <f t="shared" si="742"/>
        <v>0</v>
      </c>
      <c r="N3606" s="10" t="str">
        <f t="shared" si="744"/>
        <v>00</v>
      </c>
      <c r="O3606" s="10">
        <f t="shared" si="745"/>
        <v>0</v>
      </c>
      <c r="P3606" s="10">
        <f t="shared" si="746"/>
        <v>0</v>
      </c>
      <c r="Q3606" s="10">
        <f t="shared" si="747"/>
        <v>0</v>
      </c>
    </row>
    <row r="3607" spans="1:17">
      <c r="A3607" s="15">
        <f t="shared" si="743"/>
        <v>0</v>
      </c>
      <c r="B3607" s="15"/>
      <c r="C3607" s="17">
        <f>Fixture!E612</f>
        <v>0</v>
      </c>
      <c r="D3607" s="18">
        <f>IF(E3607=0,0,IF(Fixture!D612&lt;Fixture!F612,3,IF(Fixture!F612&lt;Fixture!D612,0,1)))</f>
        <v>0</v>
      </c>
      <c r="E3607" s="18">
        <f t="shared" si="737"/>
        <v>0</v>
      </c>
      <c r="F3607" s="18">
        <f>IF(E3607=0,0,IF(Fixture!D612&lt;Fixture!F612,1,IF(Fixture!F612&lt;Fixture!D612,0,0)))</f>
        <v>0</v>
      </c>
      <c r="G3607" s="18">
        <f>IF(E3607=0,0,IF(Fixture!D612&lt;Fixture!F612,0,IF(Fixture!F612&lt;Fixture!D612,0,1)))</f>
        <v>0</v>
      </c>
      <c r="H3607" s="18">
        <f t="shared" si="738"/>
        <v>0</v>
      </c>
      <c r="I3607" s="64">
        <f t="shared" si="739"/>
        <v>0</v>
      </c>
      <c r="J3607" s="64">
        <f t="shared" si="740"/>
        <v>0</v>
      </c>
      <c r="K3607" s="63">
        <f t="shared" si="741"/>
        <v>0</v>
      </c>
      <c r="L3607" s="63">
        <f t="shared" si="742"/>
        <v>0</v>
      </c>
      <c r="N3607" s="10" t="str">
        <f t="shared" si="744"/>
        <v>00</v>
      </c>
      <c r="O3607" s="10">
        <f t="shared" si="745"/>
        <v>0</v>
      </c>
      <c r="P3607" s="10">
        <f t="shared" si="746"/>
        <v>0</v>
      </c>
      <c r="Q3607" s="10">
        <f t="shared" si="747"/>
        <v>0</v>
      </c>
    </row>
    <row r="3608" spans="1:17">
      <c r="A3608" s="15">
        <f t="shared" si="743"/>
        <v>0</v>
      </c>
      <c r="B3608" s="15"/>
      <c r="C3608" s="17">
        <f>Fixture!E613</f>
        <v>0</v>
      </c>
      <c r="D3608" s="18">
        <f>IF(E3608=0,0,IF(Fixture!D613&lt;Fixture!F613,3,IF(Fixture!F613&lt;Fixture!D613,0,1)))</f>
        <v>0</v>
      </c>
      <c r="E3608" s="18">
        <f t="shared" si="737"/>
        <v>0</v>
      </c>
      <c r="F3608" s="18">
        <f>IF(E3608=0,0,IF(Fixture!D613&lt;Fixture!F613,1,IF(Fixture!F613&lt;Fixture!D613,0,0)))</f>
        <v>0</v>
      </c>
      <c r="G3608" s="18">
        <f>IF(E3608=0,0,IF(Fixture!D613&lt;Fixture!F613,0,IF(Fixture!F613&lt;Fixture!D613,0,1)))</f>
        <v>0</v>
      </c>
      <c r="H3608" s="18">
        <f t="shared" si="738"/>
        <v>0</v>
      </c>
      <c r="I3608" s="64">
        <f t="shared" si="739"/>
        <v>0</v>
      </c>
      <c r="J3608" s="64">
        <f t="shared" si="740"/>
        <v>0</v>
      </c>
      <c r="K3608" s="63">
        <f t="shared" si="741"/>
        <v>0</v>
      </c>
      <c r="L3608" s="63">
        <f t="shared" si="742"/>
        <v>0</v>
      </c>
      <c r="N3608" s="10" t="str">
        <f t="shared" si="744"/>
        <v>00</v>
      </c>
      <c r="O3608" s="10">
        <f t="shared" si="745"/>
        <v>0</v>
      </c>
      <c r="P3608" s="10">
        <f t="shared" si="746"/>
        <v>0</v>
      </c>
      <c r="Q3608" s="10">
        <f t="shared" si="747"/>
        <v>0</v>
      </c>
    </row>
    <row r="3609" spans="1:17">
      <c r="A3609" s="15">
        <f t="shared" si="743"/>
        <v>0</v>
      </c>
      <c r="B3609" s="15"/>
      <c r="C3609" s="17">
        <f>Fixture!E614</f>
        <v>0</v>
      </c>
      <c r="D3609" s="18">
        <f>IF(E3609=0,0,IF(Fixture!D614&lt;Fixture!F614,3,IF(Fixture!F614&lt;Fixture!D614,0,1)))</f>
        <v>0</v>
      </c>
      <c r="E3609" s="18">
        <f t="shared" si="737"/>
        <v>0</v>
      </c>
      <c r="F3609" s="18">
        <f>IF(E3609=0,0,IF(Fixture!D614&lt;Fixture!F614,1,IF(Fixture!F614&lt;Fixture!D614,0,0)))</f>
        <v>0</v>
      </c>
      <c r="G3609" s="18">
        <f>IF(E3609=0,0,IF(Fixture!D614&lt;Fixture!F614,0,IF(Fixture!F614&lt;Fixture!D614,0,1)))</f>
        <v>0</v>
      </c>
      <c r="H3609" s="18">
        <f t="shared" si="738"/>
        <v>0</v>
      </c>
      <c r="I3609" s="64">
        <f t="shared" si="739"/>
        <v>0</v>
      </c>
      <c r="J3609" s="64">
        <f t="shared" si="740"/>
        <v>0</v>
      </c>
      <c r="K3609" s="63">
        <f t="shared" si="741"/>
        <v>0</v>
      </c>
      <c r="L3609" s="63">
        <f t="shared" si="742"/>
        <v>0</v>
      </c>
      <c r="N3609" s="10" t="str">
        <f t="shared" si="744"/>
        <v>00</v>
      </c>
      <c r="O3609" s="10">
        <f t="shared" si="745"/>
        <v>0</v>
      </c>
      <c r="P3609" s="10">
        <f t="shared" si="746"/>
        <v>0</v>
      </c>
      <c r="Q3609" s="10">
        <f t="shared" si="747"/>
        <v>0</v>
      </c>
    </row>
    <row r="3610" spans="1:17">
      <c r="A3610" s="15">
        <f t="shared" si="743"/>
        <v>0</v>
      </c>
      <c r="B3610" s="15"/>
      <c r="C3610" s="17">
        <f>Fixture!E615</f>
        <v>0</v>
      </c>
      <c r="D3610" s="18">
        <f>IF(E3610=0,0,IF(Fixture!D615&lt;Fixture!F615,3,IF(Fixture!F615&lt;Fixture!D615,0,1)))</f>
        <v>0</v>
      </c>
      <c r="E3610" s="18">
        <f t="shared" si="737"/>
        <v>0</v>
      </c>
      <c r="F3610" s="18">
        <f>IF(E3610=0,0,IF(Fixture!D615&lt;Fixture!F615,1,IF(Fixture!F615&lt;Fixture!D615,0,0)))</f>
        <v>0</v>
      </c>
      <c r="G3610" s="18">
        <f>IF(E3610=0,0,IF(Fixture!D615&lt;Fixture!F615,0,IF(Fixture!F615&lt;Fixture!D615,0,1)))</f>
        <v>0</v>
      </c>
      <c r="H3610" s="18">
        <f t="shared" si="738"/>
        <v>0</v>
      </c>
      <c r="I3610" s="64">
        <f t="shared" si="739"/>
        <v>0</v>
      </c>
      <c r="J3610" s="64">
        <f t="shared" si="740"/>
        <v>0</v>
      </c>
      <c r="K3610" s="63">
        <f t="shared" si="741"/>
        <v>0</v>
      </c>
      <c r="L3610" s="63">
        <f t="shared" si="742"/>
        <v>0</v>
      </c>
      <c r="N3610" s="10" t="str">
        <f t="shared" si="744"/>
        <v>00</v>
      </c>
      <c r="O3610" s="10">
        <f t="shared" si="745"/>
        <v>0</v>
      </c>
      <c r="P3610" s="10">
        <f t="shared" si="746"/>
        <v>0</v>
      </c>
      <c r="Q3610" s="10">
        <f t="shared" si="747"/>
        <v>0</v>
      </c>
    </row>
    <row r="3611" spans="1:17">
      <c r="A3611" s="15">
        <f t="shared" si="743"/>
        <v>0</v>
      </c>
      <c r="B3611" s="15"/>
      <c r="C3611" s="17">
        <f>Fixture!E616</f>
        <v>0</v>
      </c>
      <c r="D3611" s="18">
        <f>IF(E3611=0,0,IF(Fixture!D616&lt;Fixture!F616,3,IF(Fixture!F616&lt;Fixture!D616,0,1)))</f>
        <v>0</v>
      </c>
      <c r="E3611" s="18">
        <f t="shared" si="737"/>
        <v>0</v>
      </c>
      <c r="F3611" s="18">
        <f>IF(E3611=0,0,IF(Fixture!D616&lt;Fixture!F616,1,IF(Fixture!F616&lt;Fixture!D616,0,0)))</f>
        <v>0</v>
      </c>
      <c r="G3611" s="18">
        <f>IF(E3611=0,0,IF(Fixture!D616&lt;Fixture!F616,0,IF(Fixture!F616&lt;Fixture!D616,0,1)))</f>
        <v>0</v>
      </c>
      <c r="H3611" s="18">
        <f t="shared" si="738"/>
        <v>0</v>
      </c>
      <c r="I3611" s="64">
        <f t="shared" si="739"/>
        <v>0</v>
      </c>
      <c r="J3611" s="64">
        <f t="shared" si="740"/>
        <v>0</v>
      </c>
      <c r="K3611" s="63">
        <f t="shared" si="741"/>
        <v>0</v>
      </c>
      <c r="L3611" s="63">
        <f t="shared" si="742"/>
        <v>0</v>
      </c>
      <c r="N3611" s="10" t="str">
        <f t="shared" si="744"/>
        <v>00</v>
      </c>
      <c r="O3611" s="10">
        <f t="shared" si="745"/>
        <v>0</v>
      </c>
      <c r="P3611" s="10">
        <f t="shared" si="746"/>
        <v>0</v>
      </c>
      <c r="Q3611" s="10">
        <f t="shared" si="747"/>
        <v>0</v>
      </c>
    </row>
    <row r="3612" spans="1:17">
      <c r="A3612" s="15">
        <f t="shared" si="743"/>
        <v>0</v>
      </c>
      <c r="B3612" s="15"/>
      <c r="C3612" s="17">
        <f>Fixture!E617</f>
        <v>0</v>
      </c>
      <c r="D3612" s="18">
        <f>IF(E3612=0,0,IF(Fixture!D617&lt;Fixture!F617,3,IF(Fixture!F617&lt;Fixture!D617,0,1)))</f>
        <v>0</v>
      </c>
      <c r="E3612" s="18">
        <f t="shared" si="737"/>
        <v>0</v>
      </c>
      <c r="F3612" s="18">
        <f>IF(E3612=0,0,IF(Fixture!D617&lt;Fixture!F617,1,IF(Fixture!F617&lt;Fixture!D617,0,0)))</f>
        <v>0</v>
      </c>
      <c r="G3612" s="18">
        <f>IF(E3612=0,0,IF(Fixture!D617&lt;Fixture!F617,0,IF(Fixture!F617&lt;Fixture!D617,0,1)))</f>
        <v>0</v>
      </c>
      <c r="H3612" s="18">
        <f t="shared" si="738"/>
        <v>0</v>
      </c>
      <c r="I3612" s="64">
        <f t="shared" si="739"/>
        <v>0</v>
      </c>
      <c r="J3612" s="64">
        <f t="shared" si="740"/>
        <v>0</v>
      </c>
      <c r="K3612" s="63">
        <f t="shared" si="741"/>
        <v>0</v>
      </c>
      <c r="L3612" s="63">
        <f t="shared" si="742"/>
        <v>0</v>
      </c>
      <c r="N3612" s="10" t="str">
        <f t="shared" si="744"/>
        <v>00</v>
      </c>
      <c r="O3612" s="10">
        <f t="shared" si="745"/>
        <v>0</v>
      </c>
      <c r="P3612" s="10">
        <f t="shared" si="746"/>
        <v>0</v>
      </c>
      <c r="Q3612" s="10">
        <f t="shared" si="747"/>
        <v>0</v>
      </c>
    </row>
    <row r="3613" spans="1:17">
      <c r="A3613" s="15">
        <f t="shared" si="743"/>
        <v>0</v>
      </c>
      <c r="B3613" s="15"/>
      <c r="C3613" s="17">
        <f>Fixture!E618</f>
        <v>0</v>
      </c>
      <c r="D3613" s="18">
        <f>IF(E3613=0,0,IF(Fixture!D618&lt;Fixture!F618,3,IF(Fixture!F618&lt;Fixture!D618,0,1)))</f>
        <v>0</v>
      </c>
      <c r="E3613" s="18">
        <f t="shared" si="737"/>
        <v>0</v>
      </c>
      <c r="F3613" s="18">
        <f>IF(E3613=0,0,IF(Fixture!D618&lt;Fixture!F618,1,IF(Fixture!F618&lt;Fixture!D618,0,0)))</f>
        <v>0</v>
      </c>
      <c r="G3613" s="18">
        <f>IF(E3613=0,0,IF(Fixture!D618&lt;Fixture!F618,0,IF(Fixture!F618&lt;Fixture!D618,0,1)))</f>
        <v>0</v>
      </c>
      <c r="H3613" s="18">
        <f t="shared" si="738"/>
        <v>0</v>
      </c>
      <c r="I3613" s="64">
        <f t="shared" si="739"/>
        <v>0</v>
      </c>
      <c r="J3613" s="64">
        <f t="shared" si="740"/>
        <v>0</v>
      </c>
      <c r="K3613" s="63">
        <f t="shared" si="741"/>
        <v>0</v>
      </c>
      <c r="L3613" s="63">
        <f t="shared" si="742"/>
        <v>0</v>
      </c>
      <c r="N3613" s="10" t="str">
        <f t="shared" si="744"/>
        <v>00</v>
      </c>
      <c r="O3613" s="10">
        <f t="shared" si="745"/>
        <v>0</v>
      </c>
      <c r="P3613" s="10">
        <f t="shared" si="746"/>
        <v>0</v>
      </c>
      <c r="Q3613" s="10">
        <f t="shared" si="747"/>
        <v>0</v>
      </c>
    </row>
    <row r="3614" spans="1:17">
      <c r="A3614" s="15">
        <f t="shared" si="743"/>
        <v>0</v>
      </c>
      <c r="B3614" s="15"/>
      <c r="C3614" s="17">
        <f>Fixture!E619</f>
        <v>0</v>
      </c>
      <c r="D3614" s="18">
        <f>IF(E3614=0,0,IF(Fixture!D619&lt;Fixture!F619,3,IF(Fixture!F619&lt;Fixture!D619,0,1)))</f>
        <v>0</v>
      </c>
      <c r="E3614" s="18">
        <f t="shared" si="737"/>
        <v>0</v>
      </c>
      <c r="F3614" s="18">
        <f>IF(E3614=0,0,IF(Fixture!D619&lt;Fixture!F619,1,IF(Fixture!F619&lt;Fixture!D619,0,0)))</f>
        <v>0</v>
      </c>
      <c r="G3614" s="18">
        <f>IF(E3614=0,0,IF(Fixture!D619&lt;Fixture!F619,0,IF(Fixture!F619&lt;Fixture!D619,0,1)))</f>
        <v>0</v>
      </c>
      <c r="H3614" s="18">
        <f t="shared" si="738"/>
        <v>0</v>
      </c>
      <c r="I3614" s="64">
        <f t="shared" si="739"/>
        <v>0</v>
      </c>
      <c r="J3614" s="64">
        <f t="shared" si="740"/>
        <v>0</v>
      </c>
      <c r="K3614" s="63">
        <f t="shared" si="741"/>
        <v>0</v>
      </c>
      <c r="L3614" s="63">
        <f t="shared" si="742"/>
        <v>0</v>
      </c>
      <c r="N3614" s="10" t="str">
        <f t="shared" si="744"/>
        <v>00</v>
      </c>
      <c r="O3614" s="10">
        <f t="shared" si="745"/>
        <v>0</v>
      </c>
      <c r="P3614" s="10">
        <f t="shared" si="746"/>
        <v>0</v>
      </c>
      <c r="Q3614" s="10">
        <f t="shared" si="747"/>
        <v>0</v>
      </c>
    </row>
    <row r="3615" spans="1:17">
      <c r="A3615" s="15">
        <f t="shared" si="743"/>
        <v>0</v>
      </c>
      <c r="B3615" s="15"/>
      <c r="C3615" s="17">
        <f>Fixture!E620</f>
        <v>0</v>
      </c>
      <c r="D3615" s="18">
        <f>IF(E3615=0,0,IF(Fixture!D620&lt;Fixture!F620,3,IF(Fixture!F620&lt;Fixture!D620,0,1)))</f>
        <v>0</v>
      </c>
      <c r="E3615" s="18">
        <f t="shared" si="737"/>
        <v>0</v>
      </c>
      <c r="F3615" s="18">
        <f>IF(E3615=0,0,IF(Fixture!D620&lt;Fixture!F620,1,IF(Fixture!F620&lt;Fixture!D620,0,0)))</f>
        <v>0</v>
      </c>
      <c r="G3615" s="18">
        <f>IF(E3615=0,0,IF(Fixture!D620&lt;Fixture!F620,0,IF(Fixture!F620&lt;Fixture!D620,0,1)))</f>
        <v>0</v>
      </c>
      <c r="H3615" s="18">
        <f t="shared" si="738"/>
        <v>0</v>
      </c>
      <c r="I3615" s="64">
        <f t="shared" si="739"/>
        <v>0</v>
      </c>
      <c r="J3615" s="64">
        <f t="shared" si="740"/>
        <v>0</v>
      </c>
      <c r="K3615" s="63">
        <f t="shared" si="741"/>
        <v>0</v>
      </c>
      <c r="L3615" s="63">
        <f t="shared" si="742"/>
        <v>0</v>
      </c>
      <c r="N3615" s="10" t="str">
        <f t="shared" si="744"/>
        <v>00</v>
      </c>
      <c r="O3615" s="10">
        <f t="shared" si="745"/>
        <v>0</v>
      </c>
      <c r="P3615" s="10">
        <f t="shared" si="746"/>
        <v>0</v>
      </c>
      <c r="Q3615" s="10">
        <f t="shared" si="747"/>
        <v>0</v>
      </c>
    </row>
    <row r="3616" spans="1:17">
      <c r="A3616" s="15">
        <f t="shared" si="743"/>
        <v>0</v>
      </c>
      <c r="B3616" s="15"/>
      <c r="C3616" s="17">
        <f>Fixture!E621</f>
        <v>0</v>
      </c>
      <c r="D3616" s="18">
        <f>IF(E3616=0,0,IF(Fixture!D621&lt;Fixture!F621,3,IF(Fixture!F621&lt;Fixture!D621,0,1)))</f>
        <v>0</v>
      </c>
      <c r="E3616" s="18">
        <f t="shared" si="737"/>
        <v>0</v>
      </c>
      <c r="F3616" s="18">
        <f>IF(E3616=0,0,IF(Fixture!D621&lt;Fixture!F621,1,IF(Fixture!F621&lt;Fixture!D621,0,0)))</f>
        <v>0</v>
      </c>
      <c r="G3616" s="18">
        <f>IF(E3616=0,0,IF(Fixture!D621&lt;Fixture!F621,0,IF(Fixture!F621&lt;Fixture!D621,0,1)))</f>
        <v>0</v>
      </c>
      <c r="H3616" s="18">
        <f t="shared" si="738"/>
        <v>0</v>
      </c>
      <c r="I3616" s="64">
        <f t="shared" si="739"/>
        <v>0</v>
      </c>
      <c r="J3616" s="64">
        <f t="shared" si="740"/>
        <v>0</v>
      </c>
      <c r="K3616" s="63">
        <f t="shared" si="741"/>
        <v>0</v>
      </c>
      <c r="L3616" s="63">
        <f t="shared" si="742"/>
        <v>0</v>
      </c>
      <c r="N3616" s="10" t="str">
        <f t="shared" si="744"/>
        <v>00</v>
      </c>
      <c r="O3616" s="10">
        <f t="shared" si="745"/>
        <v>0</v>
      </c>
      <c r="P3616" s="10">
        <f t="shared" si="746"/>
        <v>0</v>
      </c>
      <c r="Q3616" s="10">
        <f t="shared" si="747"/>
        <v>0</v>
      </c>
    </row>
    <row r="3617" spans="1:17">
      <c r="A3617" s="15">
        <f t="shared" si="743"/>
        <v>0</v>
      </c>
      <c r="B3617" s="15"/>
      <c r="C3617" s="17">
        <f>Fixture!E622</f>
        <v>0</v>
      </c>
      <c r="D3617" s="18">
        <f>IF(E3617=0,0,IF(Fixture!D622&lt;Fixture!F622,3,IF(Fixture!F622&lt;Fixture!D622,0,1)))</f>
        <v>0</v>
      </c>
      <c r="E3617" s="18">
        <f t="shared" si="737"/>
        <v>0</v>
      </c>
      <c r="F3617" s="18">
        <f>IF(E3617=0,0,IF(Fixture!D622&lt;Fixture!F622,1,IF(Fixture!F622&lt;Fixture!D622,0,0)))</f>
        <v>0</v>
      </c>
      <c r="G3617" s="18">
        <f>IF(E3617=0,0,IF(Fixture!D622&lt;Fixture!F622,0,IF(Fixture!F622&lt;Fixture!D622,0,1)))</f>
        <v>0</v>
      </c>
      <c r="H3617" s="18">
        <f t="shared" si="738"/>
        <v>0</v>
      </c>
      <c r="I3617" s="64">
        <f t="shared" si="739"/>
        <v>0</v>
      </c>
      <c r="J3617" s="64">
        <f t="shared" si="740"/>
        <v>0</v>
      </c>
      <c r="K3617" s="63">
        <f t="shared" si="741"/>
        <v>0</v>
      </c>
      <c r="L3617" s="63">
        <f t="shared" si="742"/>
        <v>0</v>
      </c>
      <c r="N3617" s="10" t="str">
        <f t="shared" si="744"/>
        <v>00</v>
      </c>
      <c r="O3617" s="10">
        <f t="shared" si="745"/>
        <v>0</v>
      </c>
      <c r="P3617" s="10">
        <f t="shared" si="746"/>
        <v>0</v>
      </c>
      <c r="Q3617" s="10">
        <f t="shared" si="747"/>
        <v>0</v>
      </c>
    </row>
    <row r="3618" spans="1:17">
      <c r="A3618" s="15">
        <f t="shared" si="743"/>
        <v>0</v>
      </c>
      <c r="B3618" s="15"/>
      <c r="C3618" s="17">
        <f>Fixture!E623</f>
        <v>0</v>
      </c>
      <c r="D3618" s="18">
        <f>IF(E3618=0,0,IF(Fixture!D623&lt;Fixture!F623,3,IF(Fixture!F623&lt;Fixture!D623,0,1)))</f>
        <v>0</v>
      </c>
      <c r="E3618" s="18">
        <f t="shared" si="737"/>
        <v>0</v>
      </c>
      <c r="F3618" s="18">
        <f>IF(E3618=0,0,IF(Fixture!D623&lt;Fixture!F623,1,IF(Fixture!F623&lt;Fixture!D623,0,0)))</f>
        <v>0</v>
      </c>
      <c r="G3618" s="18">
        <f>IF(E3618=0,0,IF(Fixture!D623&lt;Fixture!F623,0,IF(Fixture!F623&lt;Fixture!D623,0,1)))</f>
        <v>0</v>
      </c>
      <c r="H3618" s="18">
        <f t="shared" si="738"/>
        <v>0</v>
      </c>
      <c r="I3618" s="64">
        <f t="shared" si="739"/>
        <v>0</v>
      </c>
      <c r="J3618" s="64">
        <f t="shared" si="740"/>
        <v>0</v>
      </c>
      <c r="K3618" s="63">
        <f t="shared" si="741"/>
        <v>0</v>
      </c>
      <c r="L3618" s="63">
        <f t="shared" si="742"/>
        <v>0</v>
      </c>
      <c r="N3618" s="10" t="str">
        <f t="shared" si="744"/>
        <v>00</v>
      </c>
      <c r="O3618" s="10">
        <f t="shared" si="745"/>
        <v>0</v>
      </c>
      <c r="P3618" s="10">
        <f t="shared" si="746"/>
        <v>0</v>
      </c>
      <c r="Q3618" s="10">
        <f t="shared" si="747"/>
        <v>0</v>
      </c>
    </row>
    <row r="3619" spans="1:17">
      <c r="A3619" s="15">
        <f t="shared" si="743"/>
        <v>0</v>
      </c>
      <c r="B3619" s="15"/>
      <c r="C3619" s="17">
        <f>Fixture!E624</f>
        <v>0</v>
      </c>
      <c r="D3619" s="18">
        <f>IF(E3619=0,0,IF(Fixture!D624&lt;Fixture!F624,3,IF(Fixture!F624&lt;Fixture!D624,0,1)))</f>
        <v>0</v>
      </c>
      <c r="E3619" s="18">
        <f t="shared" si="737"/>
        <v>0</v>
      </c>
      <c r="F3619" s="18">
        <f>IF(E3619=0,0,IF(Fixture!D624&lt;Fixture!F624,1,IF(Fixture!F624&lt;Fixture!D624,0,0)))</f>
        <v>0</v>
      </c>
      <c r="G3619" s="18">
        <f>IF(E3619=0,0,IF(Fixture!D624&lt;Fixture!F624,0,IF(Fixture!F624&lt;Fixture!D624,0,1)))</f>
        <v>0</v>
      </c>
      <c r="H3619" s="18">
        <f t="shared" si="738"/>
        <v>0</v>
      </c>
      <c r="I3619" s="64">
        <f t="shared" si="739"/>
        <v>0</v>
      </c>
      <c r="J3619" s="64">
        <f t="shared" si="740"/>
        <v>0</v>
      </c>
      <c r="K3619" s="63">
        <f t="shared" si="741"/>
        <v>0</v>
      </c>
      <c r="L3619" s="63">
        <f t="shared" si="742"/>
        <v>0</v>
      </c>
      <c r="N3619" s="10" t="str">
        <f t="shared" si="744"/>
        <v>00</v>
      </c>
      <c r="O3619" s="10">
        <f t="shared" si="745"/>
        <v>0</v>
      </c>
      <c r="P3619" s="10">
        <f t="shared" si="746"/>
        <v>0</v>
      </c>
      <c r="Q3619" s="10">
        <f t="shared" si="747"/>
        <v>0</v>
      </c>
    </row>
    <row r="3620" spans="1:17">
      <c r="A3620" s="15">
        <f t="shared" si="743"/>
        <v>0</v>
      </c>
      <c r="B3620" s="15"/>
      <c r="C3620" s="17">
        <f>Fixture!E625</f>
        <v>0</v>
      </c>
      <c r="D3620" s="18">
        <f>IF(E3620=0,0,IF(Fixture!D625&lt;Fixture!F625,3,IF(Fixture!F625&lt;Fixture!D625,0,1)))</f>
        <v>0</v>
      </c>
      <c r="E3620" s="18">
        <f t="shared" si="737"/>
        <v>0</v>
      </c>
      <c r="F3620" s="18">
        <f>IF(E3620=0,0,IF(Fixture!D625&lt;Fixture!F625,1,IF(Fixture!F625&lt;Fixture!D625,0,0)))</f>
        <v>0</v>
      </c>
      <c r="G3620" s="18">
        <f>IF(E3620=0,0,IF(Fixture!D625&lt;Fixture!F625,0,IF(Fixture!F625&lt;Fixture!D625,0,1)))</f>
        <v>0</v>
      </c>
      <c r="H3620" s="18">
        <f t="shared" si="738"/>
        <v>0</v>
      </c>
      <c r="I3620" s="64">
        <f t="shared" si="739"/>
        <v>0</v>
      </c>
      <c r="J3620" s="64">
        <f t="shared" si="740"/>
        <v>0</v>
      </c>
      <c r="K3620" s="63">
        <f t="shared" si="741"/>
        <v>0</v>
      </c>
      <c r="L3620" s="63">
        <f t="shared" si="742"/>
        <v>0</v>
      </c>
      <c r="N3620" s="10" t="str">
        <f t="shared" si="744"/>
        <v>00</v>
      </c>
      <c r="O3620" s="10">
        <f t="shared" si="745"/>
        <v>0</v>
      </c>
      <c r="P3620" s="10">
        <f t="shared" si="746"/>
        <v>0</v>
      </c>
      <c r="Q3620" s="10">
        <f t="shared" si="747"/>
        <v>0</v>
      </c>
    </row>
    <row r="3621" spans="1:17">
      <c r="A3621" s="15">
        <f t="shared" si="743"/>
        <v>0</v>
      </c>
      <c r="B3621" s="15"/>
      <c r="C3621" s="17">
        <f>Fixture!E626</f>
        <v>0</v>
      </c>
      <c r="D3621" s="18">
        <f>IF(E3621=0,0,IF(Fixture!D626&lt;Fixture!F626,3,IF(Fixture!F626&lt;Fixture!D626,0,1)))</f>
        <v>0</v>
      </c>
      <c r="E3621" s="18">
        <f t="shared" si="737"/>
        <v>0</v>
      </c>
      <c r="F3621" s="18">
        <f>IF(E3621=0,0,IF(Fixture!D626&lt;Fixture!F626,1,IF(Fixture!F626&lt;Fixture!D626,0,0)))</f>
        <v>0</v>
      </c>
      <c r="G3621" s="18">
        <f>IF(E3621=0,0,IF(Fixture!D626&lt;Fixture!F626,0,IF(Fixture!F626&lt;Fixture!D626,0,1)))</f>
        <v>0</v>
      </c>
      <c r="H3621" s="18">
        <f t="shared" si="738"/>
        <v>0</v>
      </c>
      <c r="I3621" s="64">
        <f t="shared" si="739"/>
        <v>0</v>
      </c>
      <c r="J3621" s="64">
        <f t="shared" si="740"/>
        <v>0</v>
      </c>
      <c r="K3621" s="63">
        <f t="shared" si="741"/>
        <v>0</v>
      </c>
      <c r="L3621" s="63">
        <f t="shared" si="742"/>
        <v>0</v>
      </c>
      <c r="N3621" s="10" t="str">
        <f t="shared" si="744"/>
        <v>00</v>
      </c>
      <c r="O3621" s="10">
        <f t="shared" si="745"/>
        <v>0</v>
      </c>
      <c r="P3621" s="10">
        <f t="shared" si="746"/>
        <v>0</v>
      </c>
      <c r="Q3621" s="10">
        <f t="shared" si="747"/>
        <v>0</v>
      </c>
    </row>
    <row r="3622" spans="1:17">
      <c r="A3622" s="15">
        <f t="shared" si="743"/>
        <v>0</v>
      </c>
      <c r="B3622" s="15"/>
      <c r="C3622" s="17">
        <f>Fixture!E627</f>
        <v>0</v>
      </c>
      <c r="D3622" s="18">
        <f>IF(E3622=0,0,IF(Fixture!D627&lt;Fixture!F627,3,IF(Fixture!F627&lt;Fixture!D627,0,1)))</f>
        <v>0</v>
      </c>
      <c r="E3622" s="18">
        <f t="shared" si="737"/>
        <v>0</v>
      </c>
      <c r="F3622" s="18">
        <f>IF(E3622=0,0,IF(Fixture!D627&lt;Fixture!F627,1,IF(Fixture!F627&lt;Fixture!D627,0,0)))</f>
        <v>0</v>
      </c>
      <c r="G3622" s="18">
        <f>IF(E3622=0,0,IF(Fixture!D627&lt;Fixture!F627,0,IF(Fixture!F627&lt;Fixture!D627,0,1)))</f>
        <v>0</v>
      </c>
      <c r="H3622" s="18">
        <f t="shared" si="738"/>
        <v>0</v>
      </c>
      <c r="I3622" s="64">
        <f t="shared" si="739"/>
        <v>0</v>
      </c>
      <c r="J3622" s="64">
        <f t="shared" si="740"/>
        <v>0</v>
      </c>
      <c r="K3622" s="63">
        <f t="shared" si="741"/>
        <v>0</v>
      </c>
      <c r="L3622" s="63">
        <f t="shared" si="742"/>
        <v>0</v>
      </c>
      <c r="N3622" s="10" t="str">
        <f t="shared" si="744"/>
        <v>00</v>
      </c>
      <c r="O3622" s="10">
        <f t="shared" si="745"/>
        <v>0</v>
      </c>
      <c r="P3622" s="10">
        <f t="shared" si="746"/>
        <v>0</v>
      </c>
      <c r="Q3622" s="10">
        <f t="shared" si="747"/>
        <v>0</v>
      </c>
    </row>
    <row r="3623" spans="1:17">
      <c r="A3623" s="15">
        <f t="shared" si="743"/>
        <v>0</v>
      </c>
      <c r="B3623" s="15"/>
      <c r="C3623" s="17">
        <f>Fixture!E628</f>
        <v>0</v>
      </c>
      <c r="D3623" s="18">
        <f>IF(E3623=0,0,IF(Fixture!D628&lt;Fixture!F628,3,IF(Fixture!F628&lt;Fixture!D628,0,1)))</f>
        <v>0</v>
      </c>
      <c r="E3623" s="18">
        <f t="shared" si="737"/>
        <v>0</v>
      </c>
      <c r="F3623" s="18">
        <f>IF(E3623=0,0,IF(Fixture!D628&lt;Fixture!F628,1,IF(Fixture!F628&lt;Fixture!D628,0,0)))</f>
        <v>0</v>
      </c>
      <c r="G3623" s="18">
        <f>IF(E3623=0,0,IF(Fixture!D628&lt;Fixture!F628,0,IF(Fixture!F628&lt;Fixture!D628,0,1)))</f>
        <v>0</v>
      </c>
      <c r="H3623" s="18">
        <f t="shared" si="738"/>
        <v>0</v>
      </c>
      <c r="I3623" s="64">
        <f t="shared" si="739"/>
        <v>0</v>
      </c>
      <c r="J3623" s="64">
        <f t="shared" si="740"/>
        <v>0</v>
      </c>
      <c r="K3623" s="63">
        <f t="shared" si="741"/>
        <v>0</v>
      </c>
      <c r="L3623" s="63">
        <f t="shared" si="742"/>
        <v>0</v>
      </c>
      <c r="N3623" s="10" t="str">
        <f t="shared" si="744"/>
        <v>00</v>
      </c>
      <c r="O3623" s="10">
        <f t="shared" si="745"/>
        <v>0</v>
      </c>
      <c r="P3623" s="10">
        <f t="shared" si="746"/>
        <v>0</v>
      </c>
      <c r="Q3623" s="10">
        <f t="shared" si="747"/>
        <v>0</v>
      </c>
    </row>
    <row r="3624" spans="1:17">
      <c r="A3624" s="15">
        <f t="shared" si="743"/>
        <v>0</v>
      </c>
      <c r="B3624" s="15"/>
      <c r="C3624" s="17">
        <f>Fixture!E629</f>
        <v>0</v>
      </c>
      <c r="D3624" s="18">
        <f>IF(E3624=0,0,IF(Fixture!D629&lt;Fixture!F629,3,IF(Fixture!F629&lt;Fixture!D629,0,1)))</f>
        <v>0</v>
      </c>
      <c r="E3624" s="18">
        <f t="shared" si="737"/>
        <v>0</v>
      </c>
      <c r="F3624" s="18">
        <f>IF(E3624=0,0,IF(Fixture!D629&lt;Fixture!F629,1,IF(Fixture!F629&lt;Fixture!D629,0,0)))</f>
        <v>0</v>
      </c>
      <c r="G3624" s="18">
        <f>IF(E3624=0,0,IF(Fixture!D629&lt;Fixture!F629,0,IF(Fixture!F629&lt;Fixture!D629,0,1)))</f>
        <v>0</v>
      </c>
      <c r="H3624" s="18">
        <f t="shared" si="738"/>
        <v>0</v>
      </c>
      <c r="I3624" s="64">
        <f t="shared" si="739"/>
        <v>0</v>
      </c>
      <c r="J3624" s="64">
        <f t="shared" si="740"/>
        <v>0</v>
      </c>
      <c r="K3624" s="63">
        <f t="shared" si="741"/>
        <v>0</v>
      </c>
      <c r="L3624" s="63">
        <f t="shared" si="742"/>
        <v>0</v>
      </c>
      <c r="N3624" s="10" t="str">
        <f t="shared" si="744"/>
        <v>00</v>
      </c>
      <c r="O3624" s="10">
        <f t="shared" si="745"/>
        <v>0</v>
      </c>
      <c r="P3624" s="10">
        <f t="shared" si="746"/>
        <v>0</v>
      </c>
      <c r="Q3624" s="10">
        <f t="shared" si="747"/>
        <v>0</v>
      </c>
    </row>
    <row r="3625" spans="1:17">
      <c r="A3625" s="15">
        <f t="shared" si="743"/>
        <v>0</v>
      </c>
      <c r="B3625" s="15"/>
      <c r="C3625" s="17">
        <f>Fixture!E630</f>
        <v>0</v>
      </c>
      <c r="D3625" s="18">
        <f>IF(E3625=0,0,IF(Fixture!D630&lt;Fixture!F630,3,IF(Fixture!F630&lt;Fixture!D630,0,1)))</f>
        <v>0</v>
      </c>
      <c r="E3625" s="18">
        <f t="shared" si="737"/>
        <v>0</v>
      </c>
      <c r="F3625" s="18">
        <f>IF(E3625=0,0,IF(Fixture!D630&lt;Fixture!F630,1,IF(Fixture!F630&lt;Fixture!D630,0,0)))</f>
        <v>0</v>
      </c>
      <c r="G3625" s="18">
        <f>IF(E3625=0,0,IF(Fixture!D630&lt;Fixture!F630,0,IF(Fixture!F630&lt;Fixture!D630,0,1)))</f>
        <v>0</v>
      </c>
      <c r="H3625" s="18">
        <f t="shared" si="738"/>
        <v>0</v>
      </c>
      <c r="I3625" s="64">
        <f t="shared" si="739"/>
        <v>0</v>
      </c>
      <c r="J3625" s="64">
        <f t="shared" si="740"/>
        <v>0</v>
      </c>
      <c r="K3625" s="63">
        <f t="shared" si="741"/>
        <v>0</v>
      </c>
      <c r="L3625" s="63">
        <f t="shared" si="742"/>
        <v>0</v>
      </c>
      <c r="N3625" s="10" t="str">
        <f t="shared" si="744"/>
        <v>00</v>
      </c>
      <c r="O3625" s="10">
        <f t="shared" si="745"/>
        <v>0</v>
      </c>
      <c r="P3625" s="10">
        <f t="shared" si="746"/>
        <v>0</v>
      </c>
      <c r="Q3625" s="10">
        <f t="shared" si="747"/>
        <v>0</v>
      </c>
    </row>
    <row r="3626" spans="1:17">
      <c r="A3626" s="15">
        <f t="shared" si="743"/>
        <v>0</v>
      </c>
      <c r="B3626" s="15"/>
      <c r="C3626" s="17">
        <f>Fixture!E631</f>
        <v>0</v>
      </c>
      <c r="D3626" s="18">
        <f>IF(E3626=0,0,IF(Fixture!D631&lt;Fixture!F631,3,IF(Fixture!F631&lt;Fixture!D631,0,1)))</f>
        <v>0</v>
      </c>
      <c r="E3626" s="18">
        <f t="shared" si="737"/>
        <v>0</v>
      </c>
      <c r="F3626" s="18">
        <f>IF(E3626=0,0,IF(Fixture!D631&lt;Fixture!F631,1,IF(Fixture!F631&lt;Fixture!D631,0,0)))</f>
        <v>0</v>
      </c>
      <c r="G3626" s="18">
        <f>IF(E3626=0,0,IF(Fixture!D631&lt;Fixture!F631,0,IF(Fixture!F631&lt;Fixture!D631,0,1)))</f>
        <v>0</v>
      </c>
      <c r="H3626" s="18">
        <f t="shared" si="738"/>
        <v>0</v>
      </c>
      <c r="I3626" s="64">
        <f t="shared" si="739"/>
        <v>0</v>
      </c>
      <c r="J3626" s="64">
        <f t="shared" si="740"/>
        <v>0</v>
      </c>
      <c r="K3626" s="63">
        <f t="shared" si="741"/>
        <v>0</v>
      </c>
      <c r="L3626" s="63">
        <f t="shared" si="742"/>
        <v>0</v>
      </c>
      <c r="N3626" s="10" t="str">
        <f t="shared" si="744"/>
        <v>00</v>
      </c>
      <c r="O3626" s="10">
        <f t="shared" si="745"/>
        <v>0</v>
      </c>
      <c r="P3626" s="10">
        <f t="shared" si="746"/>
        <v>0</v>
      </c>
      <c r="Q3626" s="10">
        <f t="shared" si="747"/>
        <v>0</v>
      </c>
    </row>
    <row r="3627" spans="1:17">
      <c r="A3627" s="15">
        <f t="shared" si="743"/>
        <v>0</v>
      </c>
      <c r="B3627" s="15"/>
      <c r="C3627" s="17">
        <f>Fixture!E632</f>
        <v>0</v>
      </c>
      <c r="D3627" s="18">
        <f>IF(E3627=0,0,IF(Fixture!D632&lt;Fixture!F632,3,IF(Fixture!F632&lt;Fixture!D632,0,1)))</f>
        <v>0</v>
      </c>
      <c r="E3627" s="18">
        <f t="shared" si="737"/>
        <v>0</v>
      </c>
      <c r="F3627" s="18">
        <f>IF(E3627=0,0,IF(Fixture!D632&lt;Fixture!F632,1,IF(Fixture!F632&lt;Fixture!D632,0,0)))</f>
        <v>0</v>
      </c>
      <c r="G3627" s="18">
        <f>IF(E3627=0,0,IF(Fixture!D632&lt;Fixture!F632,0,IF(Fixture!F632&lt;Fixture!D632,0,1)))</f>
        <v>0</v>
      </c>
      <c r="H3627" s="18">
        <f t="shared" si="738"/>
        <v>0</v>
      </c>
      <c r="I3627" s="64">
        <f t="shared" si="739"/>
        <v>0</v>
      </c>
      <c r="J3627" s="64">
        <f t="shared" si="740"/>
        <v>0</v>
      </c>
      <c r="K3627" s="63">
        <f t="shared" si="741"/>
        <v>0</v>
      </c>
      <c r="L3627" s="63">
        <f t="shared" si="742"/>
        <v>0</v>
      </c>
      <c r="N3627" s="10" t="str">
        <f t="shared" si="744"/>
        <v>00</v>
      </c>
      <c r="O3627" s="10">
        <f t="shared" si="745"/>
        <v>0</v>
      </c>
      <c r="P3627" s="10">
        <f t="shared" si="746"/>
        <v>0</v>
      </c>
      <c r="Q3627" s="10">
        <f t="shared" si="747"/>
        <v>0</v>
      </c>
    </row>
    <row r="3628" spans="1:17">
      <c r="A3628" s="15">
        <f t="shared" si="743"/>
        <v>0</v>
      </c>
      <c r="B3628" s="15"/>
      <c r="C3628" s="17">
        <f>Fixture!E633</f>
        <v>0</v>
      </c>
      <c r="D3628" s="18">
        <f>IF(E3628=0,0,IF(Fixture!D633&lt;Fixture!F633,3,IF(Fixture!F633&lt;Fixture!D633,0,1)))</f>
        <v>0</v>
      </c>
      <c r="E3628" s="18">
        <f t="shared" si="737"/>
        <v>0</v>
      </c>
      <c r="F3628" s="18">
        <f>IF(E3628=0,0,IF(Fixture!D633&lt;Fixture!F633,1,IF(Fixture!F633&lt;Fixture!D633,0,0)))</f>
        <v>0</v>
      </c>
      <c r="G3628" s="18">
        <f>IF(E3628=0,0,IF(Fixture!D633&lt;Fixture!F633,0,IF(Fixture!F633&lt;Fixture!D633,0,1)))</f>
        <v>0</v>
      </c>
      <c r="H3628" s="18">
        <f t="shared" si="738"/>
        <v>0</v>
      </c>
      <c r="I3628" s="64">
        <f t="shared" si="739"/>
        <v>0</v>
      </c>
      <c r="J3628" s="64">
        <f t="shared" si="740"/>
        <v>0</v>
      </c>
      <c r="K3628" s="63">
        <f t="shared" si="741"/>
        <v>0</v>
      </c>
      <c r="L3628" s="63">
        <f t="shared" si="742"/>
        <v>0</v>
      </c>
      <c r="N3628" s="10" t="str">
        <f t="shared" si="744"/>
        <v>00</v>
      </c>
      <c r="O3628" s="10">
        <f t="shared" si="745"/>
        <v>0</v>
      </c>
      <c r="P3628" s="10">
        <f t="shared" si="746"/>
        <v>0</v>
      </c>
      <c r="Q3628" s="10">
        <f t="shared" si="747"/>
        <v>0</v>
      </c>
    </row>
    <row r="3629" spans="1:17">
      <c r="A3629" s="15">
        <f t="shared" si="743"/>
        <v>0</v>
      </c>
      <c r="B3629" s="15"/>
      <c r="C3629" s="17">
        <f>Fixture!E634</f>
        <v>0</v>
      </c>
      <c r="D3629" s="18">
        <f>IF(E3629=0,0,IF(Fixture!D634&lt;Fixture!F634,3,IF(Fixture!F634&lt;Fixture!D634,0,1)))</f>
        <v>0</v>
      </c>
      <c r="E3629" s="18">
        <f t="shared" si="737"/>
        <v>0</v>
      </c>
      <c r="F3629" s="18">
        <f>IF(E3629=0,0,IF(Fixture!D634&lt;Fixture!F634,1,IF(Fixture!F634&lt;Fixture!D634,0,0)))</f>
        <v>0</v>
      </c>
      <c r="G3629" s="18">
        <f>IF(E3629=0,0,IF(Fixture!D634&lt;Fixture!F634,0,IF(Fixture!F634&lt;Fixture!D634,0,1)))</f>
        <v>0</v>
      </c>
      <c r="H3629" s="18">
        <f t="shared" si="738"/>
        <v>0</v>
      </c>
      <c r="I3629" s="64">
        <f t="shared" si="739"/>
        <v>0</v>
      </c>
      <c r="J3629" s="64">
        <f t="shared" si="740"/>
        <v>0</v>
      </c>
      <c r="K3629" s="63">
        <f t="shared" si="741"/>
        <v>0</v>
      </c>
      <c r="L3629" s="63">
        <f t="shared" si="742"/>
        <v>0</v>
      </c>
      <c r="N3629" s="10" t="str">
        <f t="shared" si="744"/>
        <v>00</v>
      </c>
      <c r="O3629" s="10">
        <f t="shared" si="745"/>
        <v>0</v>
      </c>
      <c r="P3629" s="10">
        <f t="shared" si="746"/>
        <v>0</v>
      </c>
      <c r="Q3629" s="10">
        <f t="shared" si="747"/>
        <v>0</v>
      </c>
    </row>
    <row r="3630" spans="1:17">
      <c r="A3630" s="15">
        <f t="shared" si="743"/>
        <v>0</v>
      </c>
      <c r="B3630" s="15"/>
      <c r="C3630" s="17">
        <f>Fixture!E635</f>
        <v>0</v>
      </c>
      <c r="D3630" s="18">
        <f>IF(E3630=0,0,IF(Fixture!D635&lt;Fixture!F635,3,IF(Fixture!F635&lt;Fixture!D635,0,1)))</f>
        <v>0</v>
      </c>
      <c r="E3630" s="18">
        <f t="shared" si="737"/>
        <v>0</v>
      </c>
      <c r="F3630" s="18">
        <f>IF(E3630=0,0,IF(Fixture!D635&lt;Fixture!F635,1,IF(Fixture!F635&lt;Fixture!D635,0,0)))</f>
        <v>0</v>
      </c>
      <c r="G3630" s="18">
        <f>IF(E3630=0,0,IF(Fixture!D635&lt;Fixture!F635,0,IF(Fixture!F635&lt;Fixture!D635,0,1)))</f>
        <v>0</v>
      </c>
      <c r="H3630" s="18">
        <f t="shared" si="738"/>
        <v>0</v>
      </c>
      <c r="I3630" s="64">
        <f t="shared" si="739"/>
        <v>0</v>
      </c>
      <c r="J3630" s="64">
        <f t="shared" si="740"/>
        <v>0</v>
      </c>
      <c r="K3630" s="63">
        <f t="shared" si="741"/>
        <v>0</v>
      </c>
      <c r="L3630" s="63">
        <f t="shared" si="742"/>
        <v>0</v>
      </c>
      <c r="N3630" s="10" t="str">
        <f t="shared" si="744"/>
        <v>00</v>
      </c>
      <c r="O3630" s="10">
        <f t="shared" si="745"/>
        <v>0</v>
      </c>
      <c r="P3630" s="10">
        <f t="shared" si="746"/>
        <v>0</v>
      </c>
      <c r="Q3630" s="10">
        <f t="shared" si="747"/>
        <v>0</v>
      </c>
    </row>
    <row r="3631" spans="1:17">
      <c r="A3631" s="15">
        <f t="shared" si="743"/>
        <v>0</v>
      </c>
      <c r="B3631" s="15"/>
      <c r="C3631" s="17">
        <f>Fixture!E636</f>
        <v>0</v>
      </c>
      <c r="D3631" s="18">
        <f>IF(E3631=0,0,IF(Fixture!D636&lt;Fixture!F636,3,IF(Fixture!F636&lt;Fixture!D636,0,1)))</f>
        <v>0</v>
      </c>
      <c r="E3631" s="18">
        <f t="shared" si="737"/>
        <v>0</v>
      </c>
      <c r="F3631" s="18">
        <f>IF(E3631=0,0,IF(Fixture!D636&lt;Fixture!F636,1,IF(Fixture!F636&lt;Fixture!D636,0,0)))</f>
        <v>0</v>
      </c>
      <c r="G3631" s="18">
        <f>IF(E3631=0,0,IF(Fixture!D636&lt;Fixture!F636,0,IF(Fixture!F636&lt;Fixture!D636,0,1)))</f>
        <v>0</v>
      </c>
      <c r="H3631" s="18">
        <f t="shared" si="738"/>
        <v>0</v>
      </c>
      <c r="I3631" s="64">
        <f t="shared" si="739"/>
        <v>0</v>
      </c>
      <c r="J3631" s="64">
        <f t="shared" si="740"/>
        <v>0</v>
      </c>
      <c r="K3631" s="63">
        <f t="shared" si="741"/>
        <v>0</v>
      </c>
      <c r="L3631" s="63">
        <f t="shared" si="742"/>
        <v>0</v>
      </c>
      <c r="N3631" s="10" t="str">
        <f t="shared" si="744"/>
        <v>00</v>
      </c>
      <c r="O3631" s="10">
        <f t="shared" si="745"/>
        <v>0</v>
      </c>
      <c r="P3631" s="10">
        <f t="shared" si="746"/>
        <v>0</v>
      </c>
      <c r="Q3631" s="10">
        <f t="shared" si="747"/>
        <v>0</v>
      </c>
    </row>
    <row r="3632" spans="1:17">
      <c r="A3632" s="15">
        <f t="shared" si="743"/>
        <v>0</v>
      </c>
      <c r="B3632" s="15"/>
      <c r="C3632" s="17">
        <f>Fixture!E637</f>
        <v>0</v>
      </c>
      <c r="D3632" s="18">
        <f>IF(E3632=0,0,IF(Fixture!D637&lt;Fixture!F637,3,IF(Fixture!F637&lt;Fixture!D637,0,1)))</f>
        <v>0</v>
      </c>
      <c r="E3632" s="18">
        <f t="shared" si="737"/>
        <v>0</v>
      </c>
      <c r="F3632" s="18">
        <f>IF(E3632=0,0,IF(Fixture!D637&lt;Fixture!F637,1,IF(Fixture!F637&lt;Fixture!D637,0,0)))</f>
        <v>0</v>
      </c>
      <c r="G3632" s="18">
        <f>IF(E3632=0,0,IF(Fixture!D637&lt;Fixture!F637,0,IF(Fixture!F637&lt;Fixture!D637,0,1)))</f>
        <v>0</v>
      </c>
      <c r="H3632" s="18">
        <f t="shared" si="738"/>
        <v>0</v>
      </c>
      <c r="I3632" s="64">
        <f t="shared" si="739"/>
        <v>0</v>
      </c>
      <c r="J3632" s="64">
        <f t="shared" si="740"/>
        <v>0</v>
      </c>
      <c r="K3632" s="63">
        <f t="shared" si="741"/>
        <v>0</v>
      </c>
      <c r="L3632" s="63">
        <f t="shared" si="742"/>
        <v>0</v>
      </c>
      <c r="N3632" s="10" t="str">
        <f t="shared" si="744"/>
        <v>00</v>
      </c>
      <c r="O3632" s="10">
        <f t="shared" si="745"/>
        <v>0</v>
      </c>
      <c r="P3632" s="10">
        <f t="shared" si="746"/>
        <v>0</v>
      </c>
      <c r="Q3632" s="10">
        <f t="shared" si="747"/>
        <v>0</v>
      </c>
    </row>
    <row r="3633" spans="1:17">
      <c r="A3633" s="15">
        <f t="shared" si="743"/>
        <v>0</v>
      </c>
      <c r="B3633" s="15"/>
      <c r="C3633" s="17">
        <f>Fixture!E638</f>
        <v>0</v>
      </c>
      <c r="D3633" s="18">
        <f>IF(E3633=0,0,IF(Fixture!D638&lt;Fixture!F638,3,IF(Fixture!F638&lt;Fixture!D638,0,1)))</f>
        <v>0</v>
      </c>
      <c r="E3633" s="18">
        <f t="shared" si="737"/>
        <v>0</v>
      </c>
      <c r="F3633" s="18">
        <f>IF(E3633=0,0,IF(Fixture!D638&lt;Fixture!F638,1,IF(Fixture!F638&lt;Fixture!D638,0,0)))</f>
        <v>0</v>
      </c>
      <c r="G3633" s="18">
        <f>IF(E3633=0,0,IF(Fixture!D638&lt;Fixture!F638,0,IF(Fixture!F638&lt;Fixture!D638,0,1)))</f>
        <v>0</v>
      </c>
      <c r="H3633" s="18">
        <f t="shared" si="738"/>
        <v>0</v>
      </c>
      <c r="I3633" s="64">
        <f t="shared" si="739"/>
        <v>0</v>
      </c>
      <c r="J3633" s="64">
        <f t="shared" si="740"/>
        <v>0</v>
      </c>
      <c r="K3633" s="63">
        <f t="shared" si="741"/>
        <v>0</v>
      </c>
      <c r="L3633" s="63">
        <f t="shared" si="742"/>
        <v>0</v>
      </c>
      <c r="N3633" s="10" t="str">
        <f t="shared" si="744"/>
        <v>00</v>
      </c>
      <c r="O3633" s="10">
        <f t="shared" si="745"/>
        <v>0</v>
      </c>
      <c r="P3633" s="10">
        <f t="shared" si="746"/>
        <v>0</v>
      </c>
      <c r="Q3633" s="10">
        <f t="shared" si="747"/>
        <v>0</v>
      </c>
    </row>
    <row r="3634" spans="1:17">
      <c r="A3634" s="15">
        <f t="shared" si="743"/>
        <v>0</v>
      </c>
      <c r="B3634" s="15"/>
      <c r="C3634" s="17">
        <f>Fixture!E639</f>
        <v>0</v>
      </c>
      <c r="D3634" s="18">
        <f>IF(E3634=0,0,IF(Fixture!D639&lt;Fixture!F639,3,IF(Fixture!F639&lt;Fixture!D639,0,1)))</f>
        <v>0</v>
      </c>
      <c r="E3634" s="18">
        <f t="shared" si="737"/>
        <v>0</v>
      </c>
      <c r="F3634" s="18">
        <f>IF(E3634=0,0,IF(Fixture!D639&lt;Fixture!F639,1,IF(Fixture!F639&lt;Fixture!D639,0,0)))</f>
        <v>0</v>
      </c>
      <c r="G3634" s="18">
        <f>IF(E3634=0,0,IF(Fixture!D639&lt;Fixture!F639,0,IF(Fixture!F639&lt;Fixture!D639,0,1)))</f>
        <v>0</v>
      </c>
      <c r="H3634" s="18">
        <f t="shared" si="738"/>
        <v>0</v>
      </c>
      <c r="I3634" s="64">
        <f t="shared" si="739"/>
        <v>0</v>
      </c>
      <c r="J3634" s="64">
        <f t="shared" si="740"/>
        <v>0</v>
      </c>
      <c r="K3634" s="63">
        <f t="shared" si="741"/>
        <v>0</v>
      </c>
      <c r="L3634" s="63">
        <f t="shared" si="742"/>
        <v>0</v>
      </c>
      <c r="N3634" s="10" t="str">
        <f t="shared" si="744"/>
        <v>00</v>
      </c>
      <c r="O3634" s="10">
        <f t="shared" si="745"/>
        <v>0</v>
      </c>
      <c r="P3634" s="10">
        <f t="shared" si="746"/>
        <v>0</v>
      </c>
      <c r="Q3634" s="10">
        <f t="shared" si="747"/>
        <v>0</v>
      </c>
    </row>
    <row r="3635" spans="1:17">
      <c r="A3635" s="15">
        <f t="shared" si="743"/>
        <v>0</v>
      </c>
      <c r="B3635" s="15"/>
      <c r="C3635" s="17">
        <f>Fixture!E640</f>
        <v>0</v>
      </c>
      <c r="D3635" s="18">
        <f>IF(E3635=0,0,IF(Fixture!D640&lt;Fixture!F640,3,IF(Fixture!F640&lt;Fixture!D640,0,1)))</f>
        <v>0</v>
      </c>
      <c r="E3635" s="18">
        <f t="shared" si="737"/>
        <v>0</v>
      </c>
      <c r="F3635" s="18">
        <f>IF(E3635=0,0,IF(Fixture!D640&lt;Fixture!F640,1,IF(Fixture!F640&lt;Fixture!D640,0,0)))</f>
        <v>0</v>
      </c>
      <c r="G3635" s="18">
        <f>IF(E3635=0,0,IF(Fixture!D640&lt;Fixture!F640,0,IF(Fixture!F640&lt;Fixture!D640,0,1)))</f>
        <v>0</v>
      </c>
      <c r="H3635" s="18">
        <f t="shared" si="738"/>
        <v>0</v>
      </c>
      <c r="I3635" s="64">
        <f t="shared" si="739"/>
        <v>0</v>
      </c>
      <c r="J3635" s="64">
        <f t="shared" si="740"/>
        <v>0</v>
      </c>
      <c r="K3635" s="63">
        <f t="shared" si="741"/>
        <v>0</v>
      </c>
      <c r="L3635" s="63">
        <f t="shared" si="742"/>
        <v>0</v>
      </c>
      <c r="N3635" s="10" t="str">
        <f t="shared" si="744"/>
        <v>00</v>
      </c>
      <c r="O3635" s="10">
        <f t="shared" si="745"/>
        <v>0</v>
      </c>
      <c r="P3635" s="10">
        <f t="shared" si="746"/>
        <v>0</v>
      </c>
      <c r="Q3635" s="10">
        <f t="shared" si="747"/>
        <v>0</v>
      </c>
    </row>
    <row r="3636" spans="1:17">
      <c r="A3636" s="15">
        <f t="shared" si="743"/>
        <v>0</v>
      </c>
      <c r="B3636" s="15"/>
      <c r="C3636" s="17">
        <f>Fixture!E641</f>
        <v>0</v>
      </c>
      <c r="D3636" s="18">
        <f>IF(E3636=0,0,IF(Fixture!D641&lt;Fixture!F641,3,IF(Fixture!F641&lt;Fixture!D641,0,1)))</f>
        <v>0</v>
      </c>
      <c r="E3636" s="18">
        <f t="shared" si="737"/>
        <v>0</v>
      </c>
      <c r="F3636" s="18">
        <f>IF(E3636=0,0,IF(Fixture!D641&lt;Fixture!F641,1,IF(Fixture!F641&lt;Fixture!D641,0,0)))</f>
        <v>0</v>
      </c>
      <c r="G3636" s="18">
        <f>IF(E3636=0,0,IF(Fixture!D641&lt;Fixture!F641,0,IF(Fixture!F641&lt;Fixture!D641,0,1)))</f>
        <v>0</v>
      </c>
      <c r="H3636" s="18">
        <f t="shared" si="738"/>
        <v>0</v>
      </c>
      <c r="I3636" s="64">
        <f t="shared" si="739"/>
        <v>0</v>
      </c>
      <c r="J3636" s="64">
        <f t="shared" si="740"/>
        <v>0</v>
      </c>
      <c r="K3636" s="63">
        <f t="shared" si="741"/>
        <v>0</v>
      </c>
      <c r="L3636" s="63">
        <f t="shared" si="742"/>
        <v>0</v>
      </c>
      <c r="N3636" s="10" t="str">
        <f t="shared" si="744"/>
        <v>00</v>
      </c>
      <c r="O3636" s="10">
        <f t="shared" si="745"/>
        <v>0</v>
      </c>
      <c r="P3636" s="10">
        <f t="shared" si="746"/>
        <v>0</v>
      </c>
      <c r="Q3636" s="10">
        <f t="shared" si="747"/>
        <v>0</v>
      </c>
    </row>
    <row r="3637" spans="1:17">
      <c r="A3637" s="15">
        <f t="shared" si="743"/>
        <v>0</v>
      </c>
      <c r="B3637" s="15"/>
      <c r="C3637" s="17">
        <f>Fixture!E642</f>
        <v>0</v>
      </c>
      <c r="D3637" s="18">
        <f>IF(E3637=0,0,IF(Fixture!D642&lt;Fixture!F642,3,IF(Fixture!F642&lt;Fixture!D642,0,1)))</f>
        <v>0</v>
      </c>
      <c r="E3637" s="18">
        <f t="shared" si="737"/>
        <v>0</v>
      </c>
      <c r="F3637" s="18">
        <f>IF(E3637=0,0,IF(Fixture!D642&lt;Fixture!F642,1,IF(Fixture!F642&lt;Fixture!D642,0,0)))</f>
        <v>0</v>
      </c>
      <c r="G3637" s="18">
        <f>IF(E3637=0,0,IF(Fixture!D642&lt;Fixture!F642,0,IF(Fixture!F642&lt;Fixture!D642,0,1)))</f>
        <v>0</v>
      </c>
      <c r="H3637" s="18">
        <f t="shared" si="738"/>
        <v>0</v>
      </c>
      <c r="I3637" s="64">
        <f t="shared" si="739"/>
        <v>0</v>
      </c>
      <c r="J3637" s="64">
        <f t="shared" si="740"/>
        <v>0</v>
      </c>
      <c r="K3637" s="63">
        <f t="shared" si="741"/>
        <v>0</v>
      </c>
      <c r="L3637" s="63">
        <f t="shared" si="742"/>
        <v>0</v>
      </c>
      <c r="N3637" s="10" t="str">
        <f t="shared" si="744"/>
        <v>00</v>
      </c>
      <c r="O3637" s="10">
        <f t="shared" si="745"/>
        <v>0</v>
      </c>
      <c r="P3637" s="10">
        <f t="shared" si="746"/>
        <v>0</v>
      </c>
      <c r="Q3637" s="10">
        <f t="shared" si="747"/>
        <v>0</v>
      </c>
    </row>
    <row r="3638" spans="1:17">
      <c r="A3638" s="15">
        <f t="shared" si="743"/>
        <v>0</v>
      </c>
      <c r="B3638" s="15"/>
      <c r="C3638" s="17">
        <f>Fixture!E643</f>
        <v>0</v>
      </c>
      <c r="D3638" s="18">
        <f>IF(E3638=0,0,IF(Fixture!D643&lt;Fixture!F643,3,IF(Fixture!F643&lt;Fixture!D643,0,1)))</f>
        <v>0</v>
      </c>
      <c r="E3638" s="18">
        <f t="shared" si="737"/>
        <v>0</v>
      </c>
      <c r="F3638" s="18">
        <f>IF(E3638=0,0,IF(Fixture!D643&lt;Fixture!F643,1,IF(Fixture!F643&lt;Fixture!D643,0,0)))</f>
        <v>0</v>
      </c>
      <c r="G3638" s="18">
        <f>IF(E3638=0,0,IF(Fixture!D643&lt;Fixture!F643,0,IF(Fixture!F643&lt;Fixture!D643,0,1)))</f>
        <v>0</v>
      </c>
      <c r="H3638" s="18">
        <f t="shared" si="738"/>
        <v>0</v>
      </c>
      <c r="I3638" s="64">
        <f t="shared" si="739"/>
        <v>0</v>
      </c>
      <c r="J3638" s="64">
        <f t="shared" si="740"/>
        <v>0</v>
      </c>
      <c r="K3638" s="63">
        <f t="shared" si="741"/>
        <v>0</v>
      </c>
      <c r="L3638" s="63">
        <f t="shared" si="742"/>
        <v>0</v>
      </c>
      <c r="N3638" s="10" t="str">
        <f t="shared" si="744"/>
        <v>00</v>
      </c>
      <c r="O3638" s="10">
        <f t="shared" si="745"/>
        <v>0</v>
      </c>
      <c r="P3638" s="10">
        <f t="shared" si="746"/>
        <v>0</v>
      </c>
      <c r="Q3638" s="10">
        <f t="shared" si="747"/>
        <v>0</v>
      </c>
    </row>
    <row r="3639" spans="1:17">
      <c r="A3639" s="15">
        <f t="shared" si="743"/>
        <v>0</v>
      </c>
      <c r="B3639" s="15"/>
      <c r="C3639" s="17">
        <f>Fixture!E644</f>
        <v>0</v>
      </c>
      <c r="D3639" s="18">
        <f>IF(E3639=0,0,IF(Fixture!D644&lt;Fixture!F644,3,IF(Fixture!F644&lt;Fixture!D644,0,1)))</f>
        <v>0</v>
      </c>
      <c r="E3639" s="18">
        <f t="shared" si="737"/>
        <v>0</v>
      </c>
      <c r="F3639" s="18">
        <f>IF(E3639=0,0,IF(Fixture!D644&lt;Fixture!F644,1,IF(Fixture!F644&lt;Fixture!D644,0,0)))</f>
        <v>0</v>
      </c>
      <c r="G3639" s="18">
        <f>IF(E3639=0,0,IF(Fixture!D644&lt;Fixture!F644,0,IF(Fixture!F644&lt;Fixture!D644,0,1)))</f>
        <v>0</v>
      </c>
      <c r="H3639" s="18">
        <f t="shared" si="738"/>
        <v>0</v>
      </c>
      <c r="I3639" s="64">
        <f t="shared" si="739"/>
        <v>0</v>
      </c>
      <c r="J3639" s="64">
        <f t="shared" si="740"/>
        <v>0</v>
      </c>
      <c r="K3639" s="63">
        <f t="shared" si="741"/>
        <v>0</v>
      </c>
      <c r="L3639" s="63">
        <f t="shared" si="742"/>
        <v>0</v>
      </c>
      <c r="N3639" s="10" t="str">
        <f t="shared" si="744"/>
        <v>00</v>
      </c>
      <c r="O3639" s="10">
        <f t="shared" si="745"/>
        <v>0</v>
      </c>
      <c r="P3639" s="10">
        <f t="shared" si="746"/>
        <v>0</v>
      </c>
      <c r="Q3639" s="10">
        <f t="shared" si="747"/>
        <v>0</v>
      </c>
    </row>
    <row r="3640" spans="1:17">
      <c r="A3640" s="15">
        <f t="shared" si="743"/>
        <v>0</v>
      </c>
      <c r="B3640" s="15"/>
      <c r="C3640" s="17">
        <f>Fixture!E645</f>
        <v>0</v>
      </c>
      <c r="D3640" s="18">
        <f>IF(E3640=0,0,IF(Fixture!D645&lt;Fixture!F645,3,IF(Fixture!F645&lt;Fixture!D645,0,1)))</f>
        <v>0</v>
      </c>
      <c r="E3640" s="18">
        <f t="shared" ref="E3640:E3703" si="748">E2641</f>
        <v>0</v>
      </c>
      <c r="F3640" s="18">
        <f>IF(E3640=0,0,IF(Fixture!D645&lt;Fixture!F645,1,IF(Fixture!F645&lt;Fixture!D645,0,0)))</f>
        <v>0</v>
      </c>
      <c r="G3640" s="18">
        <f>IF(E3640=0,0,IF(Fixture!D645&lt;Fixture!F645,0,IF(Fixture!F645&lt;Fixture!D645,0,1)))</f>
        <v>0</v>
      </c>
      <c r="H3640" s="18">
        <f t="shared" ref="H3640:H3703" si="749">IF(E3640=0,0,IF(D3640&lt;&gt;0,0,1))</f>
        <v>0</v>
      </c>
      <c r="I3640" s="64">
        <f t="shared" ref="I3640:I3703" si="750">J2641</f>
        <v>0</v>
      </c>
      <c r="J3640" s="64">
        <f t="shared" ref="J3640:J3703" si="751">I2641</f>
        <v>0</v>
      </c>
      <c r="K3640" s="63">
        <f t="shared" ref="K3640:K3703" si="752">IF(E3640=0,0,IF(I3640&gt;0,0,1))</f>
        <v>0</v>
      </c>
      <c r="L3640" s="63">
        <f t="shared" ref="L3640:L3703" si="753">IF(E3640=0,0,IF(J3640&gt;0,0,1))</f>
        <v>0</v>
      </c>
      <c r="N3640" s="10" t="str">
        <f t="shared" si="744"/>
        <v>00</v>
      </c>
      <c r="O3640" s="10">
        <f t="shared" si="745"/>
        <v>0</v>
      </c>
      <c r="P3640" s="10">
        <f t="shared" si="746"/>
        <v>0</v>
      </c>
      <c r="Q3640" s="10">
        <f t="shared" si="747"/>
        <v>0</v>
      </c>
    </row>
    <row r="3641" spans="1:17">
      <c r="A3641" s="15">
        <f t="shared" ref="A3641:A3704" si="754">B685</f>
        <v>0</v>
      </c>
      <c r="B3641" s="15"/>
      <c r="C3641" s="17">
        <f>Fixture!E646</f>
        <v>0</v>
      </c>
      <c r="D3641" s="18">
        <f>IF(E3641=0,0,IF(Fixture!D646&lt;Fixture!F646,3,IF(Fixture!F646&lt;Fixture!D646,0,1)))</f>
        <v>0</v>
      </c>
      <c r="E3641" s="18">
        <f t="shared" si="748"/>
        <v>0</v>
      </c>
      <c r="F3641" s="18">
        <f>IF(E3641=0,0,IF(Fixture!D646&lt;Fixture!F646,1,IF(Fixture!F646&lt;Fixture!D646,0,0)))</f>
        <v>0</v>
      </c>
      <c r="G3641" s="18">
        <f>IF(E3641=0,0,IF(Fixture!D646&lt;Fixture!F646,0,IF(Fixture!F646&lt;Fixture!D646,0,1)))</f>
        <v>0</v>
      </c>
      <c r="H3641" s="18">
        <f t="shared" si="749"/>
        <v>0</v>
      </c>
      <c r="I3641" s="64">
        <f t="shared" si="750"/>
        <v>0</v>
      </c>
      <c r="J3641" s="64">
        <f t="shared" si="751"/>
        <v>0</v>
      </c>
      <c r="K3641" s="63">
        <f t="shared" si="752"/>
        <v>0</v>
      </c>
      <c r="L3641" s="63">
        <f t="shared" si="753"/>
        <v>0</v>
      </c>
      <c r="N3641" s="10" t="str">
        <f t="shared" si="744"/>
        <v>00</v>
      </c>
      <c r="O3641" s="10">
        <f t="shared" si="745"/>
        <v>0</v>
      </c>
      <c r="P3641" s="10">
        <f t="shared" si="746"/>
        <v>0</v>
      </c>
      <c r="Q3641" s="10">
        <f t="shared" si="747"/>
        <v>0</v>
      </c>
    </row>
    <row r="3642" spans="1:17">
      <c r="A3642" s="15">
        <f t="shared" si="754"/>
        <v>0</v>
      </c>
      <c r="B3642" s="15"/>
      <c r="C3642" s="17">
        <f>Fixture!E647</f>
        <v>0</v>
      </c>
      <c r="D3642" s="18">
        <f>IF(E3642=0,0,IF(Fixture!D647&lt;Fixture!F647,3,IF(Fixture!F647&lt;Fixture!D647,0,1)))</f>
        <v>0</v>
      </c>
      <c r="E3642" s="18">
        <f t="shared" si="748"/>
        <v>0</v>
      </c>
      <c r="F3642" s="18">
        <f>IF(E3642=0,0,IF(Fixture!D647&lt;Fixture!F647,1,IF(Fixture!F647&lt;Fixture!D647,0,0)))</f>
        <v>0</v>
      </c>
      <c r="G3642" s="18">
        <f>IF(E3642=0,0,IF(Fixture!D647&lt;Fixture!F647,0,IF(Fixture!F647&lt;Fixture!D647,0,1)))</f>
        <v>0</v>
      </c>
      <c r="H3642" s="18">
        <f t="shared" si="749"/>
        <v>0</v>
      </c>
      <c r="I3642" s="64">
        <f t="shared" si="750"/>
        <v>0</v>
      </c>
      <c r="J3642" s="64">
        <f t="shared" si="751"/>
        <v>0</v>
      </c>
      <c r="K3642" s="63">
        <f t="shared" si="752"/>
        <v>0</v>
      </c>
      <c r="L3642" s="63">
        <f t="shared" si="753"/>
        <v>0</v>
      </c>
      <c r="N3642" s="10" t="str">
        <f t="shared" si="744"/>
        <v>00</v>
      </c>
      <c r="O3642" s="10">
        <f t="shared" si="745"/>
        <v>0</v>
      </c>
      <c r="P3642" s="10">
        <f t="shared" si="746"/>
        <v>0</v>
      </c>
      <c r="Q3642" s="10">
        <f t="shared" si="747"/>
        <v>0</v>
      </c>
    </row>
    <row r="3643" spans="1:17">
      <c r="A3643" s="15">
        <f t="shared" si="754"/>
        <v>0</v>
      </c>
      <c r="B3643" s="15"/>
      <c r="C3643" s="17">
        <f>Fixture!E648</f>
        <v>0</v>
      </c>
      <c r="D3643" s="18">
        <f>IF(E3643=0,0,IF(Fixture!D648&lt;Fixture!F648,3,IF(Fixture!F648&lt;Fixture!D648,0,1)))</f>
        <v>0</v>
      </c>
      <c r="E3643" s="18">
        <f t="shared" si="748"/>
        <v>0</v>
      </c>
      <c r="F3643" s="18">
        <f>IF(E3643=0,0,IF(Fixture!D648&lt;Fixture!F648,1,IF(Fixture!F648&lt;Fixture!D648,0,0)))</f>
        <v>0</v>
      </c>
      <c r="G3643" s="18">
        <f>IF(E3643=0,0,IF(Fixture!D648&lt;Fixture!F648,0,IF(Fixture!F648&lt;Fixture!D648,0,1)))</f>
        <v>0</v>
      </c>
      <c r="H3643" s="18">
        <f t="shared" si="749"/>
        <v>0</v>
      </c>
      <c r="I3643" s="64">
        <f t="shared" si="750"/>
        <v>0</v>
      </c>
      <c r="J3643" s="64">
        <f t="shared" si="751"/>
        <v>0</v>
      </c>
      <c r="K3643" s="63">
        <f t="shared" si="752"/>
        <v>0</v>
      </c>
      <c r="L3643" s="63">
        <f t="shared" si="753"/>
        <v>0</v>
      </c>
      <c r="N3643" s="10" t="str">
        <f t="shared" si="744"/>
        <v>00</v>
      </c>
      <c r="O3643" s="10">
        <f t="shared" si="745"/>
        <v>0</v>
      </c>
      <c r="P3643" s="10">
        <f t="shared" si="746"/>
        <v>0</v>
      </c>
      <c r="Q3643" s="10">
        <f t="shared" si="747"/>
        <v>0</v>
      </c>
    </row>
    <row r="3644" spans="1:17">
      <c r="A3644" s="15">
        <f t="shared" si="754"/>
        <v>0</v>
      </c>
      <c r="B3644" s="15"/>
      <c r="C3644" s="17">
        <f>Fixture!E649</f>
        <v>0</v>
      </c>
      <c r="D3644" s="18">
        <f>IF(E3644=0,0,IF(Fixture!D649&lt;Fixture!F649,3,IF(Fixture!F649&lt;Fixture!D649,0,1)))</f>
        <v>0</v>
      </c>
      <c r="E3644" s="18">
        <f t="shared" si="748"/>
        <v>0</v>
      </c>
      <c r="F3644" s="18">
        <f>IF(E3644=0,0,IF(Fixture!D649&lt;Fixture!F649,1,IF(Fixture!F649&lt;Fixture!D649,0,0)))</f>
        <v>0</v>
      </c>
      <c r="G3644" s="18">
        <f>IF(E3644=0,0,IF(Fixture!D649&lt;Fixture!F649,0,IF(Fixture!F649&lt;Fixture!D649,0,1)))</f>
        <v>0</v>
      </c>
      <c r="H3644" s="18">
        <f t="shared" si="749"/>
        <v>0</v>
      </c>
      <c r="I3644" s="64">
        <f t="shared" si="750"/>
        <v>0</v>
      </c>
      <c r="J3644" s="64">
        <f t="shared" si="751"/>
        <v>0</v>
      </c>
      <c r="K3644" s="63">
        <f t="shared" si="752"/>
        <v>0</v>
      </c>
      <c r="L3644" s="63">
        <f t="shared" si="753"/>
        <v>0</v>
      </c>
      <c r="N3644" s="10" t="str">
        <f t="shared" si="744"/>
        <v>00</v>
      </c>
      <c r="O3644" s="10">
        <f t="shared" si="745"/>
        <v>0</v>
      </c>
      <c r="P3644" s="10">
        <f t="shared" si="746"/>
        <v>0</v>
      </c>
      <c r="Q3644" s="10">
        <f t="shared" si="747"/>
        <v>0</v>
      </c>
    </row>
    <row r="3645" spans="1:17">
      <c r="A3645" s="15">
        <f t="shared" si="754"/>
        <v>0</v>
      </c>
      <c r="B3645" s="15"/>
      <c r="C3645" s="17">
        <f>Fixture!E650</f>
        <v>0</v>
      </c>
      <c r="D3645" s="18">
        <f>IF(E3645=0,0,IF(Fixture!D650&lt;Fixture!F650,3,IF(Fixture!F650&lt;Fixture!D650,0,1)))</f>
        <v>0</v>
      </c>
      <c r="E3645" s="18">
        <f t="shared" si="748"/>
        <v>0</v>
      </c>
      <c r="F3645" s="18">
        <f>IF(E3645=0,0,IF(Fixture!D650&lt;Fixture!F650,1,IF(Fixture!F650&lt;Fixture!D650,0,0)))</f>
        <v>0</v>
      </c>
      <c r="G3645" s="18">
        <f>IF(E3645=0,0,IF(Fixture!D650&lt;Fixture!F650,0,IF(Fixture!F650&lt;Fixture!D650,0,1)))</f>
        <v>0</v>
      </c>
      <c r="H3645" s="18">
        <f t="shared" si="749"/>
        <v>0</v>
      </c>
      <c r="I3645" s="64">
        <f t="shared" si="750"/>
        <v>0</v>
      </c>
      <c r="J3645" s="64">
        <f t="shared" si="751"/>
        <v>0</v>
      </c>
      <c r="K3645" s="63">
        <f t="shared" si="752"/>
        <v>0</v>
      </c>
      <c r="L3645" s="63">
        <f t="shared" si="753"/>
        <v>0</v>
      </c>
      <c r="N3645" s="10" t="str">
        <f t="shared" si="744"/>
        <v>00</v>
      </c>
      <c r="O3645" s="10">
        <f t="shared" si="745"/>
        <v>0</v>
      </c>
      <c r="P3645" s="10">
        <f t="shared" si="746"/>
        <v>0</v>
      </c>
      <c r="Q3645" s="10">
        <f t="shared" si="747"/>
        <v>0</v>
      </c>
    </row>
    <row r="3646" spans="1:17">
      <c r="A3646" s="15">
        <f t="shared" si="754"/>
        <v>0</v>
      </c>
      <c r="B3646" s="15"/>
      <c r="C3646" s="17">
        <f>Fixture!E651</f>
        <v>0</v>
      </c>
      <c r="D3646" s="18">
        <f>IF(E3646=0,0,IF(Fixture!D651&lt;Fixture!F651,3,IF(Fixture!F651&lt;Fixture!D651,0,1)))</f>
        <v>0</v>
      </c>
      <c r="E3646" s="18">
        <f t="shared" si="748"/>
        <v>0</v>
      </c>
      <c r="F3646" s="18">
        <f>IF(E3646=0,0,IF(Fixture!D651&lt;Fixture!F651,1,IF(Fixture!F651&lt;Fixture!D651,0,0)))</f>
        <v>0</v>
      </c>
      <c r="G3646" s="18">
        <f>IF(E3646=0,0,IF(Fixture!D651&lt;Fixture!F651,0,IF(Fixture!F651&lt;Fixture!D651,0,1)))</f>
        <v>0</v>
      </c>
      <c r="H3646" s="18">
        <f t="shared" si="749"/>
        <v>0</v>
      </c>
      <c r="I3646" s="64">
        <f t="shared" si="750"/>
        <v>0</v>
      </c>
      <c r="J3646" s="64">
        <f t="shared" si="751"/>
        <v>0</v>
      </c>
      <c r="K3646" s="63">
        <f t="shared" si="752"/>
        <v>0</v>
      </c>
      <c r="L3646" s="63">
        <f t="shared" si="753"/>
        <v>0</v>
      </c>
      <c r="N3646" s="10" t="str">
        <f t="shared" si="744"/>
        <v>00</v>
      </c>
      <c r="O3646" s="10">
        <f t="shared" si="745"/>
        <v>0</v>
      </c>
      <c r="P3646" s="10">
        <f t="shared" si="746"/>
        <v>0</v>
      </c>
      <c r="Q3646" s="10">
        <f t="shared" si="747"/>
        <v>0</v>
      </c>
    </row>
    <row r="3647" spans="1:17">
      <c r="A3647" s="15">
        <f t="shared" si="754"/>
        <v>0</v>
      </c>
      <c r="B3647" s="15"/>
      <c r="C3647" s="17">
        <f>Fixture!E652</f>
        <v>0</v>
      </c>
      <c r="D3647" s="18">
        <f>IF(E3647=0,0,IF(Fixture!D652&lt;Fixture!F652,3,IF(Fixture!F652&lt;Fixture!D652,0,1)))</f>
        <v>0</v>
      </c>
      <c r="E3647" s="18">
        <f t="shared" si="748"/>
        <v>0</v>
      </c>
      <c r="F3647" s="18">
        <f>IF(E3647=0,0,IF(Fixture!D652&lt;Fixture!F652,1,IF(Fixture!F652&lt;Fixture!D652,0,0)))</f>
        <v>0</v>
      </c>
      <c r="G3647" s="18">
        <f>IF(E3647=0,0,IF(Fixture!D652&lt;Fixture!F652,0,IF(Fixture!F652&lt;Fixture!D652,0,1)))</f>
        <v>0</v>
      </c>
      <c r="H3647" s="18">
        <f t="shared" si="749"/>
        <v>0</v>
      </c>
      <c r="I3647" s="64">
        <f t="shared" si="750"/>
        <v>0</v>
      </c>
      <c r="J3647" s="64">
        <f t="shared" si="751"/>
        <v>0</v>
      </c>
      <c r="K3647" s="63">
        <f t="shared" si="752"/>
        <v>0</v>
      </c>
      <c r="L3647" s="63">
        <f t="shared" si="753"/>
        <v>0</v>
      </c>
      <c r="N3647" s="10" t="str">
        <f t="shared" si="744"/>
        <v>00</v>
      </c>
      <c r="O3647" s="10">
        <f t="shared" si="745"/>
        <v>0</v>
      </c>
      <c r="P3647" s="10">
        <f t="shared" si="746"/>
        <v>0</v>
      </c>
      <c r="Q3647" s="10">
        <f t="shared" si="747"/>
        <v>0</v>
      </c>
    </row>
    <row r="3648" spans="1:17">
      <c r="A3648" s="15">
        <f t="shared" si="754"/>
        <v>0</v>
      </c>
      <c r="B3648" s="15"/>
      <c r="C3648" s="17">
        <f>Fixture!E653</f>
        <v>0</v>
      </c>
      <c r="D3648" s="18">
        <f>IF(E3648=0,0,IF(Fixture!D653&lt;Fixture!F653,3,IF(Fixture!F653&lt;Fixture!D653,0,1)))</f>
        <v>0</v>
      </c>
      <c r="E3648" s="18">
        <f t="shared" si="748"/>
        <v>0</v>
      </c>
      <c r="F3648" s="18">
        <f>IF(E3648=0,0,IF(Fixture!D653&lt;Fixture!F653,1,IF(Fixture!F653&lt;Fixture!D653,0,0)))</f>
        <v>0</v>
      </c>
      <c r="G3648" s="18">
        <f>IF(E3648=0,0,IF(Fixture!D653&lt;Fixture!F653,0,IF(Fixture!F653&lt;Fixture!D653,0,1)))</f>
        <v>0</v>
      </c>
      <c r="H3648" s="18">
        <f t="shared" si="749"/>
        <v>0</v>
      </c>
      <c r="I3648" s="64">
        <f t="shared" si="750"/>
        <v>0</v>
      </c>
      <c r="J3648" s="64">
        <f t="shared" si="751"/>
        <v>0</v>
      </c>
      <c r="K3648" s="63">
        <f t="shared" si="752"/>
        <v>0</v>
      </c>
      <c r="L3648" s="63">
        <f t="shared" si="753"/>
        <v>0</v>
      </c>
      <c r="N3648" s="10" t="str">
        <f t="shared" si="744"/>
        <v>00</v>
      </c>
      <c r="O3648" s="10">
        <f t="shared" si="745"/>
        <v>0</v>
      </c>
      <c r="P3648" s="10">
        <f t="shared" si="746"/>
        <v>0</v>
      </c>
      <c r="Q3648" s="10">
        <f t="shared" si="747"/>
        <v>0</v>
      </c>
    </row>
    <row r="3649" spans="1:17">
      <c r="A3649" s="15">
        <f t="shared" si="754"/>
        <v>0</v>
      </c>
      <c r="B3649" s="15"/>
      <c r="C3649" s="17">
        <f>Fixture!E654</f>
        <v>0</v>
      </c>
      <c r="D3649" s="18">
        <f>IF(E3649=0,0,IF(Fixture!D654&lt;Fixture!F654,3,IF(Fixture!F654&lt;Fixture!D654,0,1)))</f>
        <v>0</v>
      </c>
      <c r="E3649" s="18">
        <f t="shared" si="748"/>
        <v>0</v>
      </c>
      <c r="F3649" s="18">
        <f>IF(E3649=0,0,IF(Fixture!D654&lt;Fixture!F654,1,IF(Fixture!F654&lt;Fixture!D654,0,0)))</f>
        <v>0</v>
      </c>
      <c r="G3649" s="18">
        <f>IF(E3649=0,0,IF(Fixture!D654&lt;Fixture!F654,0,IF(Fixture!F654&lt;Fixture!D654,0,1)))</f>
        <v>0</v>
      </c>
      <c r="H3649" s="18">
        <f t="shared" si="749"/>
        <v>0</v>
      </c>
      <c r="I3649" s="64">
        <f t="shared" si="750"/>
        <v>0</v>
      </c>
      <c r="J3649" s="64">
        <f t="shared" si="751"/>
        <v>0</v>
      </c>
      <c r="K3649" s="63">
        <f t="shared" si="752"/>
        <v>0</v>
      </c>
      <c r="L3649" s="63">
        <f t="shared" si="753"/>
        <v>0</v>
      </c>
      <c r="N3649" s="10" t="str">
        <f t="shared" si="744"/>
        <v>00</v>
      </c>
      <c r="O3649" s="10">
        <f t="shared" si="745"/>
        <v>0</v>
      </c>
      <c r="P3649" s="10">
        <f t="shared" si="746"/>
        <v>0</v>
      </c>
      <c r="Q3649" s="10">
        <f t="shared" si="747"/>
        <v>0</v>
      </c>
    </row>
    <row r="3650" spans="1:17">
      <c r="A3650" s="15">
        <f t="shared" si="754"/>
        <v>0</v>
      </c>
      <c r="B3650" s="15"/>
      <c r="C3650" s="17">
        <f>Fixture!E655</f>
        <v>0</v>
      </c>
      <c r="D3650" s="18">
        <f>IF(E3650=0,0,IF(Fixture!D655&lt;Fixture!F655,3,IF(Fixture!F655&lt;Fixture!D655,0,1)))</f>
        <v>0</v>
      </c>
      <c r="E3650" s="18">
        <f t="shared" si="748"/>
        <v>0</v>
      </c>
      <c r="F3650" s="18">
        <f>IF(E3650=0,0,IF(Fixture!D655&lt;Fixture!F655,1,IF(Fixture!F655&lt;Fixture!D655,0,0)))</f>
        <v>0</v>
      </c>
      <c r="G3650" s="18">
        <f>IF(E3650=0,0,IF(Fixture!D655&lt;Fixture!F655,0,IF(Fixture!F655&lt;Fixture!D655,0,1)))</f>
        <v>0</v>
      </c>
      <c r="H3650" s="18">
        <f t="shared" si="749"/>
        <v>0</v>
      </c>
      <c r="I3650" s="64">
        <f t="shared" si="750"/>
        <v>0</v>
      </c>
      <c r="J3650" s="64">
        <f t="shared" si="751"/>
        <v>0</v>
      </c>
      <c r="K3650" s="63">
        <f t="shared" si="752"/>
        <v>0</v>
      </c>
      <c r="L3650" s="63">
        <f t="shared" si="753"/>
        <v>0</v>
      </c>
      <c r="N3650" s="10" t="str">
        <f t="shared" si="744"/>
        <v>00</v>
      </c>
      <c r="O3650" s="10">
        <f t="shared" si="745"/>
        <v>0</v>
      </c>
      <c r="P3650" s="10">
        <f t="shared" si="746"/>
        <v>0</v>
      </c>
      <c r="Q3650" s="10">
        <f t="shared" si="747"/>
        <v>0</v>
      </c>
    </row>
    <row r="3651" spans="1:17">
      <c r="A3651" s="15">
        <f t="shared" si="754"/>
        <v>0</v>
      </c>
      <c r="B3651" s="15"/>
      <c r="C3651" s="17">
        <f>Fixture!E656</f>
        <v>0</v>
      </c>
      <c r="D3651" s="18">
        <f>IF(E3651=0,0,IF(Fixture!D656&lt;Fixture!F656,3,IF(Fixture!F656&lt;Fixture!D656,0,1)))</f>
        <v>0</v>
      </c>
      <c r="E3651" s="18">
        <f t="shared" si="748"/>
        <v>0</v>
      </c>
      <c r="F3651" s="18">
        <f>IF(E3651=0,0,IF(Fixture!D656&lt;Fixture!F656,1,IF(Fixture!F656&lt;Fixture!D656,0,0)))</f>
        <v>0</v>
      </c>
      <c r="G3651" s="18">
        <f>IF(E3651=0,0,IF(Fixture!D656&lt;Fixture!F656,0,IF(Fixture!F656&lt;Fixture!D656,0,1)))</f>
        <v>0</v>
      </c>
      <c r="H3651" s="18">
        <f t="shared" si="749"/>
        <v>0</v>
      </c>
      <c r="I3651" s="64">
        <f t="shared" si="750"/>
        <v>0</v>
      </c>
      <c r="J3651" s="64">
        <f t="shared" si="751"/>
        <v>0</v>
      </c>
      <c r="K3651" s="63">
        <f t="shared" si="752"/>
        <v>0</v>
      </c>
      <c r="L3651" s="63">
        <f t="shared" si="753"/>
        <v>0</v>
      </c>
      <c r="N3651" s="10" t="str">
        <f t="shared" si="744"/>
        <v>00</v>
      </c>
      <c r="O3651" s="10">
        <f t="shared" si="745"/>
        <v>0</v>
      </c>
      <c r="P3651" s="10">
        <f t="shared" si="746"/>
        <v>0</v>
      </c>
      <c r="Q3651" s="10">
        <f t="shared" si="747"/>
        <v>0</v>
      </c>
    </row>
    <row r="3652" spans="1:17">
      <c r="A3652" s="15">
        <f t="shared" si="754"/>
        <v>0</v>
      </c>
      <c r="B3652" s="15"/>
      <c r="C3652" s="17">
        <f>Fixture!E657</f>
        <v>0</v>
      </c>
      <c r="D3652" s="18">
        <f>IF(E3652=0,0,IF(Fixture!D657&lt;Fixture!F657,3,IF(Fixture!F657&lt;Fixture!D657,0,1)))</f>
        <v>0</v>
      </c>
      <c r="E3652" s="18">
        <f t="shared" si="748"/>
        <v>0</v>
      </c>
      <c r="F3652" s="18">
        <f>IF(E3652=0,0,IF(Fixture!D657&lt;Fixture!F657,1,IF(Fixture!F657&lt;Fixture!D657,0,0)))</f>
        <v>0</v>
      </c>
      <c r="G3652" s="18">
        <f>IF(E3652=0,0,IF(Fixture!D657&lt;Fixture!F657,0,IF(Fixture!F657&lt;Fixture!D657,0,1)))</f>
        <v>0</v>
      </c>
      <c r="H3652" s="18">
        <f t="shared" si="749"/>
        <v>0</v>
      </c>
      <c r="I3652" s="64">
        <f t="shared" si="750"/>
        <v>0</v>
      </c>
      <c r="J3652" s="64">
        <f t="shared" si="751"/>
        <v>0</v>
      </c>
      <c r="K3652" s="63">
        <f t="shared" si="752"/>
        <v>0</v>
      </c>
      <c r="L3652" s="63">
        <f t="shared" si="753"/>
        <v>0</v>
      </c>
      <c r="N3652" s="10" t="str">
        <f t="shared" si="744"/>
        <v>00</v>
      </c>
      <c r="O3652" s="10">
        <f t="shared" si="745"/>
        <v>0</v>
      </c>
      <c r="P3652" s="10">
        <f t="shared" si="746"/>
        <v>0</v>
      </c>
      <c r="Q3652" s="10">
        <f t="shared" si="747"/>
        <v>0</v>
      </c>
    </row>
    <row r="3653" spans="1:17">
      <c r="A3653" s="15">
        <f t="shared" si="754"/>
        <v>0</v>
      </c>
      <c r="B3653" s="15"/>
      <c r="C3653" s="17">
        <f>Fixture!E658</f>
        <v>0</v>
      </c>
      <c r="D3653" s="18">
        <f>IF(E3653=0,0,IF(Fixture!D658&lt;Fixture!F658,3,IF(Fixture!F658&lt;Fixture!D658,0,1)))</f>
        <v>0</v>
      </c>
      <c r="E3653" s="18">
        <f t="shared" si="748"/>
        <v>0</v>
      </c>
      <c r="F3653" s="18">
        <f>IF(E3653=0,0,IF(Fixture!D658&lt;Fixture!F658,1,IF(Fixture!F658&lt;Fixture!D658,0,0)))</f>
        <v>0</v>
      </c>
      <c r="G3653" s="18">
        <f>IF(E3653=0,0,IF(Fixture!D658&lt;Fixture!F658,0,IF(Fixture!F658&lt;Fixture!D658,0,1)))</f>
        <v>0</v>
      </c>
      <c r="H3653" s="18">
        <f t="shared" si="749"/>
        <v>0</v>
      </c>
      <c r="I3653" s="64">
        <f t="shared" si="750"/>
        <v>0</v>
      </c>
      <c r="J3653" s="64">
        <f t="shared" si="751"/>
        <v>0</v>
      </c>
      <c r="K3653" s="63">
        <f t="shared" si="752"/>
        <v>0</v>
      </c>
      <c r="L3653" s="63">
        <f t="shared" si="753"/>
        <v>0</v>
      </c>
      <c r="N3653" s="10" t="str">
        <f t="shared" si="744"/>
        <v>00</v>
      </c>
      <c r="O3653" s="10">
        <f t="shared" si="745"/>
        <v>0</v>
      </c>
      <c r="P3653" s="10">
        <f t="shared" si="746"/>
        <v>0</v>
      </c>
      <c r="Q3653" s="10">
        <f t="shared" si="747"/>
        <v>0</v>
      </c>
    </row>
    <row r="3654" spans="1:17">
      <c r="A3654" s="15">
        <f t="shared" si="754"/>
        <v>0</v>
      </c>
      <c r="B3654" s="15"/>
      <c r="C3654" s="17">
        <f>Fixture!E659</f>
        <v>0</v>
      </c>
      <c r="D3654" s="18">
        <f>IF(E3654=0,0,IF(Fixture!D659&lt;Fixture!F659,3,IF(Fixture!F659&lt;Fixture!D659,0,1)))</f>
        <v>0</v>
      </c>
      <c r="E3654" s="18">
        <f t="shared" si="748"/>
        <v>0</v>
      </c>
      <c r="F3654" s="18">
        <f>IF(E3654=0,0,IF(Fixture!D659&lt;Fixture!F659,1,IF(Fixture!F659&lt;Fixture!D659,0,0)))</f>
        <v>0</v>
      </c>
      <c r="G3654" s="18">
        <f>IF(E3654=0,0,IF(Fixture!D659&lt;Fixture!F659,0,IF(Fixture!F659&lt;Fixture!D659,0,1)))</f>
        <v>0</v>
      </c>
      <c r="H3654" s="18">
        <f t="shared" si="749"/>
        <v>0</v>
      </c>
      <c r="I3654" s="64">
        <f t="shared" si="750"/>
        <v>0</v>
      </c>
      <c r="J3654" s="64">
        <f t="shared" si="751"/>
        <v>0</v>
      </c>
      <c r="K3654" s="63">
        <f t="shared" si="752"/>
        <v>0</v>
      </c>
      <c r="L3654" s="63">
        <f t="shared" si="753"/>
        <v>0</v>
      </c>
      <c r="N3654" s="10" t="str">
        <f t="shared" si="744"/>
        <v>00</v>
      </c>
      <c r="O3654" s="10">
        <f t="shared" si="745"/>
        <v>0</v>
      </c>
      <c r="P3654" s="10">
        <f t="shared" si="746"/>
        <v>0</v>
      </c>
      <c r="Q3654" s="10">
        <f t="shared" si="747"/>
        <v>0</v>
      </c>
    </row>
    <row r="3655" spans="1:17">
      <c r="A3655" s="15">
        <f t="shared" si="754"/>
        <v>0</v>
      </c>
      <c r="B3655" s="15"/>
      <c r="C3655" s="17">
        <f>Fixture!E660</f>
        <v>0</v>
      </c>
      <c r="D3655" s="18">
        <f>IF(E3655=0,0,IF(Fixture!D660&lt;Fixture!F660,3,IF(Fixture!F660&lt;Fixture!D660,0,1)))</f>
        <v>0</v>
      </c>
      <c r="E3655" s="18">
        <f t="shared" si="748"/>
        <v>0</v>
      </c>
      <c r="F3655" s="18">
        <f>IF(E3655=0,0,IF(Fixture!D660&lt;Fixture!F660,1,IF(Fixture!F660&lt;Fixture!D660,0,0)))</f>
        <v>0</v>
      </c>
      <c r="G3655" s="18">
        <f>IF(E3655=0,0,IF(Fixture!D660&lt;Fixture!F660,0,IF(Fixture!F660&lt;Fixture!D660,0,1)))</f>
        <v>0</v>
      </c>
      <c r="H3655" s="18">
        <f t="shared" si="749"/>
        <v>0</v>
      </c>
      <c r="I3655" s="64">
        <f t="shared" si="750"/>
        <v>0</v>
      </c>
      <c r="J3655" s="64">
        <f t="shared" si="751"/>
        <v>0</v>
      </c>
      <c r="K3655" s="63">
        <f t="shared" si="752"/>
        <v>0</v>
      </c>
      <c r="L3655" s="63">
        <f t="shared" si="753"/>
        <v>0</v>
      </c>
      <c r="N3655" s="10" t="str">
        <f t="shared" si="744"/>
        <v>00</v>
      </c>
      <c r="O3655" s="10">
        <f t="shared" si="745"/>
        <v>0</v>
      </c>
      <c r="P3655" s="10">
        <f t="shared" si="746"/>
        <v>0</v>
      </c>
      <c r="Q3655" s="10">
        <f t="shared" si="747"/>
        <v>0</v>
      </c>
    </row>
    <row r="3656" spans="1:17">
      <c r="A3656" s="15">
        <f t="shared" si="754"/>
        <v>0</v>
      </c>
      <c r="B3656" s="15"/>
      <c r="C3656" s="17">
        <f>Fixture!E661</f>
        <v>0</v>
      </c>
      <c r="D3656" s="18">
        <f>IF(E3656=0,0,IF(Fixture!D661&lt;Fixture!F661,3,IF(Fixture!F661&lt;Fixture!D661,0,1)))</f>
        <v>0</v>
      </c>
      <c r="E3656" s="18">
        <f t="shared" si="748"/>
        <v>0</v>
      </c>
      <c r="F3656" s="18">
        <f>IF(E3656=0,0,IF(Fixture!D661&lt;Fixture!F661,1,IF(Fixture!F661&lt;Fixture!D661,0,0)))</f>
        <v>0</v>
      </c>
      <c r="G3656" s="18">
        <f>IF(E3656=0,0,IF(Fixture!D661&lt;Fixture!F661,0,IF(Fixture!F661&lt;Fixture!D661,0,1)))</f>
        <v>0</v>
      </c>
      <c r="H3656" s="18">
        <f t="shared" si="749"/>
        <v>0</v>
      </c>
      <c r="I3656" s="64">
        <f t="shared" si="750"/>
        <v>0</v>
      </c>
      <c r="J3656" s="64">
        <f t="shared" si="751"/>
        <v>0</v>
      </c>
      <c r="K3656" s="63">
        <f t="shared" si="752"/>
        <v>0</v>
      </c>
      <c r="L3656" s="63">
        <f t="shared" si="753"/>
        <v>0</v>
      </c>
      <c r="N3656" s="10" t="str">
        <f t="shared" si="744"/>
        <v>00</v>
      </c>
      <c r="O3656" s="10">
        <f t="shared" si="745"/>
        <v>0</v>
      </c>
      <c r="P3656" s="10">
        <f t="shared" si="746"/>
        <v>0</v>
      </c>
      <c r="Q3656" s="10">
        <f t="shared" si="747"/>
        <v>0</v>
      </c>
    </row>
    <row r="3657" spans="1:17">
      <c r="A3657" s="15">
        <f t="shared" si="754"/>
        <v>0</v>
      </c>
      <c r="B3657" s="15"/>
      <c r="C3657" s="17">
        <f>Fixture!E662</f>
        <v>0</v>
      </c>
      <c r="D3657" s="18">
        <f>IF(E3657=0,0,IF(Fixture!D662&lt;Fixture!F662,3,IF(Fixture!F662&lt;Fixture!D662,0,1)))</f>
        <v>0</v>
      </c>
      <c r="E3657" s="18">
        <f t="shared" si="748"/>
        <v>0</v>
      </c>
      <c r="F3657" s="18">
        <f>IF(E3657=0,0,IF(Fixture!D662&lt;Fixture!F662,1,IF(Fixture!F662&lt;Fixture!D662,0,0)))</f>
        <v>0</v>
      </c>
      <c r="G3657" s="18">
        <f>IF(E3657=0,0,IF(Fixture!D662&lt;Fixture!F662,0,IF(Fixture!F662&lt;Fixture!D662,0,1)))</f>
        <v>0</v>
      </c>
      <c r="H3657" s="18">
        <f t="shared" si="749"/>
        <v>0</v>
      </c>
      <c r="I3657" s="64">
        <f t="shared" si="750"/>
        <v>0</v>
      </c>
      <c r="J3657" s="64">
        <f t="shared" si="751"/>
        <v>0</v>
      </c>
      <c r="K3657" s="63">
        <f t="shared" si="752"/>
        <v>0</v>
      </c>
      <c r="L3657" s="63">
        <f t="shared" si="753"/>
        <v>0</v>
      </c>
      <c r="N3657" s="10" t="str">
        <f t="shared" si="744"/>
        <v>00</v>
      </c>
      <c r="O3657" s="10">
        <f t="shared" si="745"/>
        <v>0</v>
      </c>
      <c r="P3657" s="10">
        <f t="shared" si="746"/>
        <v>0</v>
      </c>
      <c r="Q3657" s="10">
        <f t="shared" si="747"/>
        <v>0</v>
      </c>
    </row>
    <row r="3658" spans="1:17">
      <c r="A3658" s="15">
        <f t="shared" si="754"/>
        <v>0</v>
      </c>
      <c r="B3658" s="15"/>
      <c r="C3658" s="17">
        <f>Fixture!E663</f>
        <v>0</v>
      </c>
      <c r="D3658" s="18">
        <f>IF(E3658=0,0,IF(Fixture!D663&lt;Fixture!F663,3,IF(Fixture!F663&lt;Fixture!D663,0,1)))</f>
        <v>0</v>
      </c>
      <c r="E3658" s="18">
        <f t="shared" si="748"/>
        <v>0</v>
      </c>
      <c r="F3658" s="18">
        <f>IF(E3658=0,0,IF(Fixture!D663&lt;Fixture!F663,1,IF(Fixture!F663&lt;Fixture!D663,0,0)))</f>
        <v>0</v>
      </c>
      <c r="G3658" s="18">
        <f>IF(E3658=0,0,IF(Fixture!D663&lt;Fixture!F663,0,IF(Fixture!F663&lt;Fixture!D663,0,1)))</f>
        <v>0</v>
      </c>
      <c r="H3658" s="18">
        <f t="shared" si="749"/>
        <v>0</v>
      </c>
      <c r="I3658" s="64">
        <f t="shared" si="750"/>
        <v>0</v>
      </c>
      <c r="J3658" s="64">
        <f t="shared" si="751"/>
        <v>0</v>
      </c>
      <c r="K3658" s="63">
        <f t="shared" si="752"/>
        <v>0</v>
      </c>
      <c r="L3658" s="63">
        <f t="shared" si="753"/>
        <v>0</v>
      </c>
      <c r="N3658" s="10" t="str">
        <f t="shared" si="744"/>
        <v>00</v>
      </c>
      <c r="O3658" s="10">
        <f t="shared" si="745"/>
        <v>0</v>
      </c>
      <c r="P3658" s="10">
        <f t="shared" si="746"/>
        <v>0</v>
      </c>
      <c r="Q3658" s="10">
        <f t="shared" si="747"/>
        <v>0</v>
      </c>
    </row>
    <row r="3659" spans="1:17">
      <c r="A3659" s="15">
        <f t="shared" si="754"/>
        <v>0</v>
      </c>
      <c r="B3659" s="15"/>
      <c r="C3659" s="17">
        <f>Fixture!E664</f>
        <v>0</v>
      </c>
      <c r="D3659" s="18">
        <f>IF(E3659=0,0,IF(Fixture!D664&lt;Fixture!F664,3,IF(Fixture!F664&lt;Fixture!D664,0,1)))</f>
        <v>0</v>
      </c>
      <c r="E3659" s="18">
        <f t="shared" si="748"/>
        <v>0</v>
      </c>
      <c r="F3659" s="18">
        <f>IF(E3659=0,0,IF(Fixture!D664&lt;Fixture!F664,1,IF(Fixture!F664&lt;Fixture!D664,0,0)))</f>
        <v>0</v>
      </c>
      <c r="G3659" s="18">
        <f>IF(E3659=0,0,IF(Fixture!D664&lt;Fixture!F664,0,IF(Fixture!F664&lt;Fixture!D664,0,1)))</f>
        <v>0</v>
      </c>
      <c r="H3659" s="18">
        <f t="shared" si="749"/>
        <v>0</v>
      </c>
      <c r="I3659" s="64">
        <f t="shared" si="750"/>
        <v>0</v>
      </c>
      <c r="J3659" s="64">
        <f t="shared" si="751"/>
        <v>0</v>
      </c>
      <c r="K3659" s="63">
        <f t="shared" si="752"/>
        <v>0</v>
      </c>
      <c r="L3659" s="63">
        <f t="shared" si="753"/>
        <v>0</v>
      </c>
      <c r="N3659" s="10" t="str">
        <f t="shared" si="744"/>
        <v>00</v>
      </c>
      <c r="O3659" s="10">
        <f t="shared" si="745"/>
        <v>0</v>
      </c>
      <c r="P3659" s="10">
        <f t="shared" si="746"/>
        <v>0</v>
      </c>
      <c r="Q3659" s="10">
        <f t="shared" si="747"/>
        <v>0</v>
      </c>
    </row>
    <row r="3660" spans="1:17">
      <c r="A3660" s="15">
        <f t="shared" si="754"/>
        <v>0</v>
      </c>
      <c r="B3660" s="15"/>
      <c r="C3660" s="17">
        <f>Fixture!E665</f>
        <v>0</v>
      </c>
      <c r="D3660" s="18">
        <f>IF(E3660=0,0,IF(Fixture!D665&lt;Fixture!F665,3,IF(Fixture!F665&lt;Fixture!D665,0,1)))</f>
        <v>0</v>
      </c>
      <c r="E3660" s="18">
        <f t="shared" si="748"/>
        <v>0</v>
      </c>
      <c r="F3660" s="18">
        <f>IF(E3660=0,0,IF(Fixture!D665&lt;Fixture!F665,1,IF(Fixture!F665&lt;Fixture!D665,0,0)))</f>
        <v>0</v>
      </c>
      <c r="G3660" s="18">
        <f>IF(E3660=0,0,IF(Fixture!D665&lt;Fixture!F665,0,IF(Fixture!F665&lt;Fixture!D665,0,1)))</f>
        <v>0</v>
      </c>
      <c r="H3660" s="18">
        <f t="shared" si="749"/>
        <v>0</v>
      </c>
      <c r="I3660" s="64">
        <f t="shared" si="750"/>
        <v>0</v>
      </c>
      <c r="J3660" s="64">
        <f t="shared" si="751"/>
        <v>0</v>
      </c>
      <c r="K3660" s="63">
        <f t="shared" si="752"/>
        <v>0</v>
      </c>
      <c r="L3660" s="63">
        <f t="shared" si="753"/>
        <v>0</v>
      </c>
      <c r="N3660" s="10" t="str">
        <f t="shared" si="744"/>
        <v>00</v>
      </c>
      <c r="O3660" s="10">
        <f t="shared" si="745"/>
        <v>0</v>
      </c>
      <c r="P3660" s="10">
        <f t="shared" si="746"/>
        <v>0</v>
      </c>
      <c r="Q3660" s="10">
        <f t="shared" si="747"/>
        <v>0</v>
      </c>
    </row>
    <row r="3661" spans="1:17">
      <c r="A3661" s="15">
        <f t="shared" si="754"/>
        <v>0</v>
      </c>
      <c r="B3661" s="15"/>
      <c r="C3661" s="17">
        <f>Fixture!E666</f>
        <v>0</v>
      </c>
      <c r="D3661" s="18">
        <f>IF(E3661=0,0,IF(Fixture!D666&lt;Fixture!F666,3,IF(Fixture!F666&lt;Fixture!D666,0,1)))</f>
        <v>0</v>
      </c>
      <c r="E3661" s="18">
        <f t="shared" si="748"/>
        <v>0</v>
      </c>
      <c r="F3661" s="18">
        <f>IF(E3661=0,0,IF(Fixture!D666&lt;Fixture!F666,1,IF(Fixture!F666&lt;Fixture!D666,0,0)))</f>
        <v>0</v>
      </c>
      <c r="G3661" s="18">
        <f>IF(E3661=0,0,IF(Fixture!D666&lt;Fixture!F666,0,IF(Fixture!F666&lt;Fixture!D666,0,1)))</f>
        <v>0</v>
      </c>
      <c r="H3661" s="18">
        <f t="shared" si="749"/>
        <v>0</v>
      </c>
      <c r="I3661" s="64">
        <f t="shared" si="750"/>
        <v>0</v>
      </c>
      <c r="J3661" s="64">
        <f t="shared" si="751"/>
        <v>0</v>
      </c>
      <c r="K3661" s="63">
        <f t="shared" si="752"/>
        <v>0</v>
      </c>
      <c r="L3661" s="63">
        <f t="shared" si="753"/>
        <v>0</v>
      </c>
      <c r="N3661" s="10" t="str">
        <f t="shared" si="744"/>
        <v>00</v>
      </c>
      <c r="O3661" s="10">
        <f t="shared" si="745"/>
        <v>0</v>
      </c>
      <c r="P3661" s="10">
        <f t="shared" si="746"/>
        <v>0</v>
      </c>
      <c r="Q3661" s="10">
        <f t="shared" si="747"/>
        <v>0</v>
      </c>
    </row>
    <row r="3662" spans="1:17">
      <c r="A3662" s="15">
        <f t="shared" si="754"/>
        <v>0</v>
      </c>
      <c r="B3662" s="15"/>
      <c r="C3662" s="17">
        <f>Fixture!E667</f>
        <v>0</v>
      </c>
      <c r="D3662" s="18">
        <f>IF(E3662=0,0,IF(Fixture!D667&lt;Fixture!F667,3,IF(Fixture!F667&lt;Fixture!D667,0,1)))</f>
        <v>0</v>
      </c>
      <c r="E3662" s="18">
        <f t="shared" si="748"/>
        <v>0</v>
      </c>
      <c r="F3662" s="18">
        <f>IF(E3662=0,0,IF(Fixture!D667&lt;Fixture!F667,1,IF(Fixture!F667&lt;Fixture!D667,0,0)))</f>
        <v>0</v>
      </c>
      <c r="G3662" s="18">
        <f>IF(E3662=0,0,IF(Fixture!D667&lt;Fixture!F667,0,IF(Fixture!F667&lt;Fixture!D667,0,1)))</f>
        <v>0</v>
      </c>
      <c r="H3662" s="18">
        <f t="shared" si="749"/>
        <v>0</v>
      </c>
      <c r="I3662" s="64">
        <f t="shared" si="750"/>
        <v>0</v>
      </c>
      <c r="J3662" s="64">
        <f t="shared" si="751"/>
        <v>0</v>
      </c>
      <c r="K3662" s="63">
        <f t="shared" si="752"/>
        <v>0</v>
      </c>
      <c r="L3662" s="63">
        <f t="shared" si="753"/>
        <v>0</v>
      </c>
      <c r="N3662" s="10" t="str">
        <f t="shared" si="744"/>
        <v>00</v>
      </c>
      <c r="O3662" s="10">
        <f t="shared" si="745"/>
        <v>0</v>
      </c>
      <c r="P3662" s="10">
        <f t="shared" si="746"/>
        <v>0</v>
      </c>
      <c r="Q3662" s="10">
        <f t="shared" si="747"/>
        <v>0</v>
      </c>
    </row>
    <row r="3663" spans="1:17">
      <c r="A3663" s="15">
        <f t="shared" si="754"/>
        <v>0</v>
      </c>
      <c r="B3663" s="15"/>
      <c r="C3663" s="17">
        <f>Fixture!E668</f>
        <v>0</v>
      </c>
      <c r="D3663" s="18">
        <f>IF(E3663=0,0,IF(Fixture!D668&lt;Fixture!F668,3,IF(Fixture!F668&lt;Fixture!D668,0,1)))</f>
        <v>0</v>
      </c>
      <c r="E3663" s="18">
        <f t="shared" si="748"/>
        <v>0</v>
      </c>
      <c r="F3663" s="18">
        <f>IF(E3663=0,0,IF(Fixture!D668&lt;Fixture!F668,1,IF(Fixture!F668&lt;Fixture!D668,0,0)))</f>
        <v>0</v>
      </c>
      <c r="G3663" s="18">
        <f>IF(E3663=0,0,IF(Fixture!D668&lt;Fixture!F668,0,IF(Fixture!F668&lt;Fixture!D668,0,1)))</f>
        <v>0</v>
      </c>
      <c r="H3663" s="18">
        <f t="shared" si="749"/>
        <v>0</v>
      </c>
      <c r="I3663" s="64">
        <f t="shared" si="750"/>
        <v>0</v>
      </c>
      <c r="J3663" s="64">
        <f t="shared" si="751"/>
        <v>0</v>
      </c>
      <c r="K3663" s="63">
        <f t="shared" si="752"/>
        <v>0</v>
      </c>
      <c r="L3663" s="63">
        <f t="shared" si="753"/>
        <v>0</v>
      </c>
      <c r="N3663" s="10" t="str">
        <f t="shared" si="744"/>
        <v>00</v>
      </c>
      <c r="O3663" s="10">
        <f t="shared" si="745"/>
        <v>0</v>
      </c>
      <c r="P3663" s="10">
        <f t="shared" si="746"/>
        <v>0</v>
      </c>
      <c r="Q3663" s="10">
        <f t="shared" si="747"/>
        <v>0</v>
      </c>
    </row>
    <row r="3664" spans="1:17">
      <c r="A3664" s="15">
        <f t="shared" si="754"/>
        <v>0</v>
      </c>
      <c r="B3664" s="15"/>
      <c r="C3664" s="17">
        <f>Fixture!E669</f>
        <v>0</v>
      </c>
      <c r="D3664" s="18">
        <f>IF(E3664=0,0,IF(Fixture!D669&lt;Fixture!F669,3,IF(Fixture!F669&lt;Fixture!D669,0,1)))</f>
        <v>0</v>
      </c>
      <c r="E3664" s="18">
        <f t="shared" si="748"/>
        <v>0</v>
      </c>
      <c r="F3664" s="18">
        <f>IF(E3664=0,0,IF(Fixture!D669&lt;Fixture!F669,1,IF(Fixture!F669&lt;Fixture!D669,0,0)))</f>
        <v>0</v>
      </c>
      <c r="G3664" s="18">
        <f>IF(E3664=0,0,IF(Fixture!D669&lt;Fixture!F669,0,IF(Fixture!F669&lt;Fixture!D669,0,1)))</f>
        <v>0</v>
      </c>
      <c r="H3664" s="18">
        <f t="shared" si="749"/>
        <v>0</v>
      </c>
      <c r="I3664" s="64">
        <f t="shared" si="750"/>
        <v>0</v>
      </c>
      <c r="J3664" s="64">
        <f t="shared" si="751"/>
        <v>0</v>
      </c>
      <c r="K3664" s="63">
        <f t="shared" si="752"/>
        <v>0</v>
      </c>
      <c r="L3664" s="63">
        <f t="shared" si="753"/>
        <v>0</v>
      </c>
      <c r="N3664" s="10" t="str">
        <f t="shared" si="744"/>
        <v>00</v>
      </c>
      <c r="O3664" s="10">
        <f t="shared" si="745"/>
        <v>0</v>
      </c>
      <c r="P3664" s="10">
        <f t="shared" si="746"/>
        <v>0</v>
      </c>
      <c r="Q3664" s="10">
        <f t="shared" si="747"/>
        <v>0</v>
      </c>
    </row>
    <row r="3665" spans="1:17">
      <c r="A3665" s="15">
        <f t="shared" si="754"/>
        <v>0</v>
      </c>
      <c r="B3665" s="15"/>
      <c r="C3665" s="17">
        <f>Fixture!E670</f>
        <v>0</v>
      </c>
      <c r="D3665" s="18">
        <f>IF(E3665=0,0,IF(Fixture!D670&lt;Fixture!F670,3,IF(Fixture!F670&lt;Fixture!D670,0,1)))</f>
        <v>0</v>
      </c>
      <c r="E3665" s="18">
        <f t="shared" si="748"/>
        <v>0</v>
      </c>
      <c r="F3665" s="18">
        <f>IF(E3665=0,0,IF(Fixture!D670&lt;Fixture!F670,1,IF(Fixture!F670&lt;Fixture!D670,0,0)))</f>
        <v>0</v>
      </c>
      <c r="G3665" s="18">
        <f>IF(E3665=0,0,IF(Fixture!D670&lt;Fixture!F670,0,IF(Fixture!F670&lt;Fixture!D670,0,1)))</f>
        <v>0</v>
      </c>
      <c r="H3665" s="18">
        <f t="shared" si="749"/>
        <v>0</v>
      </c>
      <c r="I3665" s="64">
        <f t="shared" si="750"/>
        <v>0</v>
      </c>
      <c r="J3665" s="64">
        <f t="shared" si="751"/>
        <v>0</v>
      </c>
      <c r="K3665" s="63">
        <f t="shared" si="752"/>
        <v>0</v>
      </c>
      <c r="L3665" s="63">
        <f t="shared" si="753"/>
        <v>0</v>
      </c>
      <c r="N3665" s="10" t="str">
        <f t="shared" si="744"/>
        <v>00</v>
      </c>
      <c r="O3665" s="10">
        <f t="shared" si="745"/>
        <v>0</v>
      </c>
      <c r="P3665" s="10">
        <f t="shared" si="746"/>
        <v>0</v>
      </c>
      <c r="Q3665" s="10">
        <f t="shared" si="747"/>
        <v>0</v>
      </c>
    </row>
    <row r="3666" spans="1:17">
      <c r="A3666" s="15">
        <f t="shared" si="754"/>
        <v>0</v>
      </c>
      <c r="B3666" s="15"/>
      <c r="C3666" s="17">
        <f>Fixture!E671</f>
        <v>0</v>
      </c>
      <c r="D3666" s="18">
        <f>IF(E3666=0,0,IF(Fixture!D671&lt;Fixture!F671,3,IF(Fixture!F671&lt;Fixture!D671,0,1)))</f>
        <v>0</v>
      </c>
      <c r="E3666" s="18">
        <f t="shared" si="748"/>
        <v>0</v>
      </c>
      <c r="F3666" s="18">
        <f>IF(E3666=0,0,IF(Fixture!D671&lt;Fixture!F671,1,IF(Fixture!F671&lt;Fixture!D671,0,0)))</f>
        <v>0</v>
      </c>
      <c r="G3666" s="18">
        <f>IF(E3666=0,0,IF(Fixture!D671&lt;Fixture!F671,0,IF(Fixture!F671&lt;Fixture!D671,0,1)))</f>
        <v>0</v>
      </c>
      <c r="H3666" s="18">
        <f t="shared" si="749"/>
        <v>0</v>
      </c>
      <c r="I3666" s="64">
        <f t="shared" si="750"/>
        <v>0</v>
      </c>
      <c r="J3666" s="64">
        <f t="shared" si="751"/>
        <v>0</v>
      </c>
      <c r="K3666" s="63">
        <f t="shared" si="752"/>
        <v>0</v>
      </c>
      <c r="L3666" s="63">
        <f t="shared" si="753"/>
        <v>0</v>
      </c>
      <c r="N3666" s="10" t="str">
        <f t="shared" ref="N3666:N3729" si="755">CONCATENATE(C3666,A3666)</f>
        <v>00</v>
      </c>
      <c r="O3666" s="10">
        <f t="shared" ref="O3666:O3729" si="756">D3666</f>
        <v>0</v>
      </c>
      <c r="P3666" s="10">
        <f t="shared" ref="P3666:P3729" si="757">I3666</f>
        <v>0</v>
      </c>
      <c r="Q3666" s="10">
        <f t="shared" ref="Q3666:Q3729" si="758">J3666</f>
        <v>0</v>
      </c>
    </row>
    <row r="3667" spans="1:17">
      <c r="A3667" s="15">
        <f t="shared" si="754"/>
        <v>0</v>
      </c>
      <c r="B3667" s="15"/>
      <c r="C3667" s="17">
        <f>Fixture!E672</f>
        <v>0</v>
      </c>
      <c r="D3667" s="18">
        <f>IF(E3667=0,0,IF(Fixture!D672&lt;Fixture!F672,3,IF(Fixture!F672&lt;Fixture!D672,0,1)))</f>
        <v>0</v>
      </c>
      <c r="E3667" s="18">
        <f t="shared" si="748"/>
        <v>0</v>
      </c>
      <c r="F3667" s="18">
        <f>IF(E3667=0,0,IF(Fixture!D672&lt;Fixture!F672,1,IF(Fixture!F672&lt;Fixture!D672,0,0)))</f>
        <v>0</v>
      </c>
      <c r="G3667" s="18">
        <f>IF(E3667=0,0,IF(Fixture!D672&lt;Fixture!F672,0,IF(Fixture!F672&lt;Fixture!D672,0,1)))</f>
        <v>0</v>
      </c>
      <c r="H3667" s="18">
        <f t="shared" si="749"/>
        <v>0</v>
      </c>
      <c r="I3667" s="64">
        <f t="shared" si="750"/>
        <v>0</v>
      </c>
      <c r="J3667" s="64">
        <f t="shared" si="751"/>
        <v>0</v>
      </c>
      <c r="K3667" s="63">
        <f t="shared" si="752"/>
        <v>0</v>
      </c>
      <c r="L3667" s="63">
        <f t="shared" si="753"/>
        <v>0</v>
      </c>
      <c r="N3667" s="10" t="str">
        <f t="shared" si="755"/>
        <v>00</v>
      </c>
      <c r="O3667" s="10">
        <f t="shared" si="756"/>
        <v>0</v>
      </c>
      <c r="P3667" s="10">
        <f t="shared" si="757"/>
        <v>0</v>
      </c>
      <c r="Q3667" s="10">
        <f t="shared" si="758"/>
        <v>0</v>
      </c>
    </row>
    <row r="3668" spans="1:17">
      <c r="A3668" s="15">
        <f t="shared" si="754"/>
        <v>0</v>
      </c>
      <c r="B3668" s="15"/>
      <c r="C3668" s="17">
        <f>Fixture!E673</f>
        <v>0</v>
      </c>
      <c r="D3668" s="18">
        <f>IF(E3668=0,0,IF(Fixture!D673&lt;Fixture!F673,3,IF(Fixture!F673&lt;Fixture!D673,0,1)))</f>
        <v>0</v>
      </c>
      <c r="E3668" s="18">
        <f t="shared" si="748"/>
        <v>0</v>
      </c>
      <c r="F3668" s="18">
        <f>IF(E3668=0,0,IF(Fixture!D673&lt;Fixture!F673,1,IF(Fixture!F673&lt;Fixture!D673,0,0)))</f>
        <v>0</v>
      </c>
      <c r="G3668" s="18">
        <f>IF(E3668=0,0,IF(Fixture!D673&lt;Fixture!F673,0,IF(Fixture!F673&lt;Fixture!D673,0,1)))</f>
        <v>0</v>
      </c>
      <c r="H3668" s="18">
        <f t="shared" si="749"/>
        <v>0</v>
      </c>
      <c r="I3668" s="64">
        <f t="shared" si="750"/>
        <v>0</v>
      </c>
      <c r="J3668" s="64">
        <f t="shared" si="751"/>
        <v>0</v>
      </c>
      <c r="K3668" s="63">
        <f t="shared" si="752"/>
        <v>0</v>
      </c>
      <c r="L3668" s="63">
        <f t="shared" si="753"/>
        <v>0</v>
      </c>
      <c r="N3668" s="10" t="str">
        <f t="shared" si="755"/>
        <v>00</v>
      </c>
      <c r="O3668" s="10">
        <f t="shared" si="756"/>
        <v>0</v>
      </c>
      <c r="P3668" s="10">
        <f t="shared" si="757"/>
        <v>0</v>
      </c>
      <c r="Q3668" s="10">
        <f t="shared" si="758"/>
        <v>0</v>
      </c>
    </row>
    <row r="3669" spans="1:17">
      <c r="A3669" s="15">
        <f t="shared" si="754"/>
        <v>0</v>
      </c>
      <c r="B3669" s="15"/>
      <c r="C3669" s="17">
        <f>Fixture!E674</f>
        <v>0</v>
      </c>
      <c r="D3669" s="18">
        <f>IF(E3669=0,0,IF(Fixture!D674&lt;Fixture!F674,3,IF(Fixture!F674&lt;Fixture!D674,0,1)))</f>
        <v>0</v>
      </c>
      <c r="E3669" s="18">
        <f t="shared" si="748"/>
        <v>0</v>
      </c>
      <c r="F3669" s="18">
        <f>IF(E3669=0,0,IF(Fixture!D674&lt;Fixture!F674,1,IF(Fixture!F674&lt;Fixture!D674,0,0)))</f>
        <v>0</v>
      </c>
      <c r="G3669" s="18">
        <f>IF(E3669=0,0,IF(Fixture!D674&lt;Fixture!F674,0,IF(Fixture!F674&lt;Fixture!D674,0,1)))</f>
        <v>0</v>
      </c>
      <c r="H3669" s="18">
        <f t="shared" si="749"/>
        <v>0</v>
      </c>
      <c r="I3669" s="64">
        <f t="shared" si="750"/>
        <v>0</v>
      </c>
      <c r="J3669" s="64">
        <f t="shared" si="751"/>
        <v>0</v>
      </c>
      <c r="K3669" s="63">
        <f t="shared" si="752"/>
        <v>0</v>
      </c>
      <c r="L3669" s="63">
        <f t="shared" si="753"/>
        <v>0</v>
      </c>
      <c r="N3669" s="10" t="str">
        <f t="shared" si="755"/>
        <v>00</v>
      </c>
      <c r="O3669" s="10">
        <f t="shared" si="756"/>
        <v>0</v>
      </c>
      <c r="P3669" s="10">
        <f t="shared" si="757"/>
        <v>0</v>
      </c>
      <c r="Q3669" s="10">
        <f t="shared" si="758"/>
        <v>0</v>
      </c>
    </row>
    <row r="3670" spans="1:17">
      <c r="A3670" s="15">
        <f t="shared" si="754"/>
        <v>0</v>
      </c>
      <c r="B3670" s="15"/>
      <c r="C3670" s="17">
        <f>Fixture!E675</f>
        <v>0</v>
      </c>
      <c r="D3670" s="18">
        <f>IF(E3670=0,0,IF(Fixture!D675&lt;Fixture!F675,3,IF(Fixture!F675&lt;Fixture!D675,0,1)))</f>
        <v>0</v>
      </c>
      <c r="E3670" s="18">
        <f t="shared" si="748"/>
        <v>0</v>
      </c>
      <c r="F3670" s="18">
        <f>IF(E3670=0,0,IF(Fixture!D675&lt;Fixture!F675,1,IF(Fixture!F675&lt;Fixture!D675,0,0)))</f>
        <v>0</v>
      </c>
      <c r="G3670" s="18">
        <f>IF(E3670=0,0,IF(Fixture!D675&lt;Fixture!F675,0,IF(Fixture!F675&lt;Fixture!D675,0,1)))</f>
        <v>0</v>
      </c>
      <c r="H3670" s="18">
        <f t="shared" si="749"/>
        <v>0</v>
      </c>
      <c r="I3670" s="64">
        <f t="shared" si="750"/>
        <v>0</v>
      </c>
      <c r="J3670" s="64">
        <f t="shared" si="751"/>
        <v>0</v>
      </c>
      <c r="K3670" s="63">
        <f t="shared" si="752"/>
        <v>0</v>
      </c>
      <c r="L3670" s="63">
        <f t="shared" si="753"/>
        <v>0</v>
      </c>
      <c r="N3670" s="10" t="str">
        <f t="shared" si="755"/>
        <v>00</v>
      </c>
      <c r="O3670" s="10">
        <f t="shared" si="756"/>
        <v>0</v>
      </c>
      <c r="P3670" s="10">
        <f t="shared" si="757"/>
        <v>0</v>
      </c>
      <c r="Q3670" s="10">
        <f t="shared" si="758"/>
        <v>0</v>
      </c>
    </row>
    <row r="3671" spans="1:17">
      <c r="A3671" s="15">
        <f t="shared" si="754"/>
        <v>0</v>
      </c>
      <c r="B3671" s="15"/>
      <c r="C3671" s="17">
        <f>Fixture!E676</f>
        <v>0</v>
      </c>
      <c r="D3671" s="18">
        <f>IF(E3671=0,0,IF(Fixture!D676&lt;Fixture!F676,3,IF(Fixture!F676&lt;Fixture!D676,0,1)))</f>
        <v>0</v>
      </c>
      <c r="E3671" s="18">
        <f t="shared" si="748"/>
        <v>0</v>
      </c>
      <c r="F3671" s="18">
        <f>IF(E3671=0,0,IF(Fixture!D676&lt;Fixture!F676,1,IF(Fixture!F676&lt;Fixture!D676,0,0)))</f>
        <v>0</v>
      </c>
      <c r="G3671" s="18">
        <f>IF(E3671=0,0,IF(Fixture!D676&lt;Fixture!F676,0,IF(Fixture!F676&lt;Fixture!D676,0,1)))</f>
        <v>0</v>
      </c>
      <c r="H3671" s="18">
        <f t="shared" si="749"/>
        <v>0</v>
      </c>
      <c r="I3671" s="64">
        <f t="shared" si="750"/>
        <v>0</v>
      </c>
      <c r="J3671" s="64">
        <f t="shared" si="751"/>
        <v>0</v>
      </c>
      <c r="K3671" s="63">
        <f t="shared" si="752"/>
        <v>0</v>
      </c>
      <c r="L3671" s="63">
        <f t="shared" si="753"/>
        <v>0</v>
      </c>
      <c r="N3671" s="10" t="str">
        <f t="shared" si="755"/>
        <v>00</v>
      </c>
      <c r="O3671" s="10">
        <f t="shared" si="756"/>
        <v>0</v>
      </c>
      <c r="P3671" s="10">
        <f t="shared" si="757"/>
        <v>0</v>
      </c>
      <c r="Q3671" s="10">
        <f t="shared" si="758"/>
        <v>0</v>
      </c>
    </row>
    <row r="3672" spans="1:17">
      <c r="A3672" s="15">
        <f t="shared" si="754"/>
        <v>0</v>
      </c>
      <c r="B3672" s="15"/>
      <c r="C3672" s="17">
        <f>Fixture!E677</f>
        <v>0</v>
      </c>
      <c r="D3672" s="18">
        <f>IF(E3672=0,0,IF(Fixture!D677&lt;Fixture!F677,3,IF(Fixture!F677&lt;Fixture!D677,0,1)))</f>
        <v>0</v>
      </c>
      <c r="E3672" s="18">
        <f t="shared" si="748"/>
        <v>0</v>
      </c>
      <c r="F3672" s="18">
        <f>IF(E3672=0,0,IF(Fixture!D677&lt;Fixture!F677,1,IF(Fixture!F677&lt;Fixture!D677,0,0)))</f>
        <v>0</v>
      </c>
      <c r="G3672" s="18">
        <f>IF(E3672=0,0,IF(Fixture!D677&lt;Fixture!F677,0,IF(Fixture!F677&lt;Fixture!D677,0,1)))</f>
        <v>0</v>
      </c>
      <c r="H3672" s="18">
        <f t="shared" si="749"/>
        <v>0</v>
      </c>
      <c r="I3672" s="64">
        <f t="shared" si="750"/>
        <v>0</v>
      </c>
      <c r="J3672" s="64">
        <f t="shared" si="751"/>
        <v>0</v>
      </c>
      <c r="K3672" s="63">
        <f t="shared" si="752"/>
        <v>0</v>
      </c>
      <c r="L3672" s="63">
        <f t="shared" si="753"/>
        <v>0</v>
      </c>
      <c r="N3672" s="10" t="str">
        <f t="shared" si="755"/>
        <v>00</v>
      </c>
      <c r="O3672" s="10">
        <f t="shared" si="756"/>
        <v>0</v>
      </c>
      <c r="P3672" s="10">
        <f t="shared" si="757"/>
        <v>0</v>
      </c>
      <c r="Q3672" s="10">
        <f t="shared" si="758"/>
        <v>0</v>
      </c>
    </row>
    <row r="3673" spans="1:17">
      <c r="A3673" s="15">
        <f t="shared" si="754"/>
        <v>0</v>
      </c>
      <c r="B3673" s="15"/>
      <c r="C3673" s="17">
        <f>Fixture!E678</f>
        <v>0</v>
      </c>
      <c r="D3673" s="18">
        <f>IF(E3673=0,0,IF(Fixture!D678&lt;Fixture!F678,3,IF(Fixture!F678&lt;Fixture!D678,0,1)))</f>
        <v>0</v>
      </c>
      <c r="E3673" s="18">
        <f t="shared" si="748"/>
        <v>0</v>
      </c>
      <c r="F3673" s="18">
        <f>IF(E3673=0,0,IF(Fixture!D678&lt;Fixture!F678,1,IF(Fixture!F678&lt;Fixture!D678,0,0)))</f>
        <v>0</v>
      </c>
      <c r="G3673" s="18">
        <f>IF(E3673=0,0,IF(Fixture!D678&lt;Fixture!F678,0,IF(Fixture!F678&lt;Fixture!D678,0,1)))</f>
        <v>0</v>
      </c>
      <c r="H3673" s="18">
        <f t="shared" si="749"/>
        <v>0</v>
      </c>
      <c r="I3673" s="64">
        <f t="shared" si="750"/>
        <v>0</v>
      </c>
      <c r="J3673" s="64">
        <f t="shared" si="751"/>
        <v>0</v>
      </c>
      <c r="K3673" s="63">
        <f t="shared" si="752"/>
        <v>0</v>
      </c>
      <c r="L3673" s="63">
        <f t="shared" si="753"/>
        <v>0</v>
      </c>
      <c r="N3673" s="10" t="str">
        <f t="shared" si="755"/>
        <v>00</v>
      </c>
      <c r="O3673" s="10">
        <f t="shared" si="756"/>
        <v>0</v>
      </c>
      <c r="P3673" s="10">
        <f t="shared" si="757"/>
        <v>0</v>
      </c>
      <c r="Q3673" s="10">
        <f t="shared" si="758"/>
        <v>0</v>
      </c>
    </row>
    <row r="3674" spans="1:17">
      <c r="A3674" s="15">
        <f t="shared" si="754"/>
        <v>0</v>
      </c>
      <c r="B3674" s="15"/>
      <c r="C3674" s="17">
        <f>Fixture!E679</f>
        <v>0</v>
      </c>
      <c r="D3674" s="18">
        <f>IF(E3674=0,0,IF(Fixture!D679&lt;Fixture!F679,3,IF(Fixture!F679&lt;Fixture!D679,0,1)))</f>
        <v>0</v>
      </c>
      <c r="E3674" s="18">
        <f t="shared" si="748"/>
        <v>0</v>
      </c>
      <c r="F3674" s="18">
        <f>IF(E3674=0,0,IF(Fixture!D679&lt;Fixture!F679,1,IF(Fixture!F679&lt;Fixture!D679,0,0)))</f>
        <v>0</v>
      </c>
      <c r="G3674" s="18">
        <f>IF(E3674=0,0,IF(Fixture!D679&lt;Fixture!F679,0,IF(Fixture!F679&lt;Fixture!D679,0,1)))</f>
        <v>0</v>
      </c>
      <c r="H3674" s="18">
        <f t="shared" si="749"/>
        <v>0</v>
      </c>
      <c r="I3674" s="64">
        <f t="shared" si="750"/>
        <v>0</v>
      </c>
      <c r="J3674" s="64">
        <f t="shared" si="751"/>
        <v>0</v>
      </c>
      <c r="K3674" s="63">
        <f t="shared" si="752"/>
        <v>0</v>
      </c>
      <c r="L3674" s="63">
        <f t="shared" si="753"/>
        <v>0</v>
      </c>
      <c r="N3674" s="10" t="str">
        <f t="shared" si="755"/>
        <v>00</v>
      </c>
      <c r="O3674" s="10">
        <f t="shared" si="756"/>
        <v>0</v>
      </c>
      <c r="P3674" s="10">
        <f t="shared" si="757"/>
        <v>0</v>
      </c>
      <c r="Q3674" s="10">
        <f t="shared" si="758"/>
        <v>0</v>
      </c>
    </row>
    <row r="3675" spans="1:17">
      <c r="A3675" s="15">
        <f t="shared" si="754"/>
        <v>0</v>
      </c>
      <c r="B3675" s="15"/>
      <c r="C3675" s="17">
        <f>Fixture!E680</f>
        <v>0</v>
      </c>
      <c r="D3675" s="18">
        <f>IF(E3675=0,0,IF(Fixture!D680&lt;Fixture!F680,3,IF(Fixture!F680&lt;Fixture!D680,0,1)))</f>
        <v>0</v>
      </c>
      <c r="E3675" s="18">
        <f t="shared" si="748"/>
        <v>0</v>
      </c>
      <c r="F3675" s="18">
        <f>IF(E3675=0,0,IF(Fixture!D680&lt;Fixture!F680,1,IF(Fixture!F680&lt;Fixture!D680,0,0)))</f>
        <v>0</v>
      </c>
      <c r="G3675" s="18">
        <f>IF(E3675=0,0,IF(Fixture!D680&lt;Fixture!F680,0,IF(Fixture!F680&lt;Fixture!D680,0,1)))</f>
        <v>0</v>
      </c>
      <c r="H3675" s="18">
        <f t="shared" si="749"/>
        <v>0</v>
      </c>
      <c r="I3675" s="64">
        <f t="shared" si="750"/>
        <v>0</v>
      </c>
      <c r="J3675" s="64">
        <f t="shared" si="751"/>
        <v>0</v>
      </c>
      <c r="K3675" s="63">
        <f t="shared" si="752"/>
        <v>0</v>
      </c>
      <c r="L3675" s="63">
        <f t="shared" si="753"/>
        <v>0</v>
      </c>
      <c r="N3675" s="10" t="str">
        <f t="shared" si="755"/>
        <v>00</v>
      </c>
      <c r="O3675" s="10">
        <f t="shared" si="756"/>
        <v>0</v>
      </c>
      <c r="P3675" s="10">
        <f t="shared" si="757"/>
        <v>0</v>
      </c>
      <c r="Q3675" s="10">
        <f t="shared" si="758"/>
        <v>0</v>
      </c>
    </row>
    <row r="3676" spans="1:17">
      <c r="A3676" s="15">
        <f t="shared" si="754"/>
        <v>0</v>
      </c>
      <c r="B3676" s="15"/>
      <c r="C3676" s="17">
        <f>Fixture!E681</f>
        <v>0</v>
      </c>
      <c r="D3676" s="18">
        <f>IF(E3676=0,0,IF(Fixture!D681&lt;Fixture!F681,3,IF(Fixture!F681&lt;Fixture!D681,0,1)))</f>
        <v>0</v>
      </c>
      <c r="E3676" s="18">
        <f t="shared" si="748"/>
        <v>0</v>
      </c>
      <c r="F3676" s="18">
        <f>IF(E3676=0,0,IF(Fixture!D681&lt;Fixture!F681,1,IF(Fixture!F681&lt;Fixture!D681,0,0)))</f>
        <v>0</v>
      </c>
      <c r="G3676" s="18">
        <f>IF(E3676=0,0,IF(Fixture!D681&lt;Fixture!F681,0,IF(Fixture!F681&lt;Fixture!D681,0,1)))</f>
        <v>0</v>
      </c>
      <c r="H3676" s="18">
        <f t="shared" si="749"/>
        <v>0</v>
      </c>
      <c r="I3676" s="64">
        <f t="shared" si="750"/>
        <v>0</v>
      </c>
      <c r="J3676" s="64">
        <f t="shared" si="751"/>
        <v>0</v>
      </c>
      <c r="K3676" s="63">
        <f t="shared" si="752"/>
        <v>0</v>
      </c>
      <c r="L3676" s="63">
        <f t="shared" si="753"/>
        <v>0</v>
      </c>
      <c r="N3676" s="10" t="str">
        <f t="shared" si="755"/>
        <v>00</v>
      </c>
      <c r="O3676" s="10">
        <f t="shared" si="756"/>
        <v>0</v>
      </c>
      <c r="P3676" s="10">
        <f t="shared" si="757"/>
        <v>0</v>
      </c>
      <c r="Q3676" s="10">
        <f t="shared" si="758"/>
        <v>0</v>
      </c>
    </row>
    <row r="3677" spans="1:17">
      <c r="A3677" s="15">
        <f t="shared" si="754"/>
        <v>0</v>
      </c>
      <c r="B3677" s="15"/>
      <c r="C3677" s="17">
        <f>Fixture!E682</f>
        <v>0</v>
      </c>
      <c r="D3677" s="18">
        <f>IF(E3677=0,0,IF(Fixture!D682&lt;Fixture!F682,3,IF(Fixture!F682&lt;Fixture!D682,0,1)))</f>
        <v>0</v>
      </c>
      <c r="E3677" s="18">
        <f t="shared" si="748"/>
        <v>0</v>
      </c>
      <c r="F3677" s="18">
        <f>IF(E3677=0,0,IF(Fixture!D682&lt;Fixture!F682,1,IF(Fixture!F682&lt;Fixture!D682,0,0)))</f>
        <v>0</v>
      </c>
      <c r="G3677" s="18">
        <f>IF(E3677=0,0,IF(Fixture!D682&lt;Fixture!F682,0,IF(Fixture!F682&lt;Fixture!D682,0,1)))</f>
        <v>0</v>
      </c>
      <c r="H3677" s="18">
        <f t="shared" si="749"/>
        <v>0</v>
      </c>
      <c r="I3677" s="64">
        <f t="shared" si="750"/>
        <v>0</v>
      </c>
      <c r="J3677" s="64">
        <f t="shared" si="751"/>
        <v>0</v>
      </c>
      <c r="K3677" s="63">
        <f t="shared" si="752"/>
        <v>0</v>
      </c>
      <c r="L3677" s="63">
        <f t="shared" si="753"/>
        <v>0</v>
      </c>
      <c r="N3677" s="10" t="str">
        <f t="shared" si="755"/>
        <v>00</v>
      </c>
      <c r="O3677" s="10">
        <f t="shared" si="756"/>
        <v>0</v>
      </c>
      <c r="P3677" s="10">
        <f t="shared" si="757"/>
        <v>0</v>
      </c>
      <c r="Q3677" s="10">
        <f t="shared" si="758"/>
        <v>0</v>
      </c>
    </row>
    <row r="3678" spans="1:17">
      <c r="A3678" s="15">
        <f t="shared" si="754"/>
        <v>0</v>
      </c>
      <c r="B3678" s="15"/>
      <c r="C3678" s="17">
        <f>Fixture!E683</f>
        <v>0</v>
      </c>
      <c r="D3678" s="18">
        <f>IF(E3678=0,0,IF(Fixture!D683&lt;Fixture!F683,3,IF(Fixture!F683&lt;Fixture!D683,0,1)))</f>
        <v>0</v>
      </c>
      <c r="E3678" s="18">
        <f t="shared" si="748"/>
        <v>0</v>
      </c>
      <c r="F3678" s="18">
        <f>IF(E3678=0,0,IF(Fixture!D683&lt;Fixture!F683,1,IF(Fixture!F683&lt;Fixture!D683,0,0)))</f>
        <v>0</v>
      </c>
      <c r="G3678" s="18">
        <f>IF(E3678=0,0,IF(Fixture!D683&lt;Fixture!F683,0,IF(Fixture!F683&lt;Fixture!D683,0,1)))</f>
        <v>0</v>
      </c>
      <c r="H3678" s="18">
        <f t="shared" si="749"/>
        <v>0</v>
      </c>
      <c r="I3678" s="64">
        <f t="shared" si="750"/>
        <v>0</v>
      </c>
      <c r="J3678" s="64">
        <f t="shared" si="751"/>
        <v>0</v>
      </c>
      <c r="K3678" s="63">
        <f t="shared" si="752"/>
        <v>0</v>
      </c>
      <c r="L3678" s="63">
        <f t="shared" si="753"/>
        <v>0</v>
      </c>
      <c r="N3678" s="10" t="str">
        <f t="shared" si="755"/>
        <v>00</v>
      </c>
      <c r="O3678" s="10">
        <f t="shared" si="756"/>
        <v>0</v>
      </c>
      <c r="P3678" s="10">
        <f t="shared" si="757"/>
        <v>0</v>
      </c>
      <c r="Q3678" s="10">
        <f t="shared" si="758"/>
        <v>0</v>
      </c>
    </row>
    <row r="3679" spans="1:17">
      <c r="A3679" s="15">
        <f t="shared" si="754"/>
        <v>0</v>
      </c>
      <c r="B3679" s="15"/>
      <c r="C3679" s="17">
        <f>Fixture!E684</f>
        <v>0</v>
      </c>
      <c r="D3679" s="18">
        <f>IF(E3679=0,0,IF(Fixture!D684&lt;Fixture!F684,3,IF(Fixture!F684&lt;Fixture!D684,0,1)))</f>
        <v>0</v>
      </c>
      <c r="E3679" s="18">
        <f t="shared" si="748"/>
        <v>0</v>
      </c>
      <c r="F3679" s="18">
        <f>IF(E3679=0,0,IF(Fixture!D684&lt;Fixture!F684,1,IF(Fixture!F684&lt;Fixture!D684,0,0)))</f>
        <v>0</v>
      </c>
      <c r="G3679" s="18">
        <f>IF(E3679=0,0,IF(Fixture!D684&lt;Fixture!F684,0,IF(Fixture!F684&lt;Fixture!D684,0,1)))</f>
        <v>0</v>
      </c>
      <c r="H3679" s="18">
        <f t="shared" si="749"/>
        <v>0</v>
      </c>
      <c r="I3679" s="64">
        <f t="shared" si="750"/>
        <v>0</v>
      </c>
      <c r="J3679" s="64">
        <f t="shared" si="751"/>
        <v>0</v>
      </c>
      <c r="K3679" s="63">
        <f t="shared" si="752"/>
        <v>0</v>
      </c>
      <c r="L3679" s="63">
        <f t="shared" si="753"/>
        <v>0</v>
      </c>
      <c r="N3679" s="10" t="str">
        <f t="shared" si="755"/>
        <v>00</v>
      </c>
      <c r="O3679" s="10">
        <f t="shared" si="756"/>
        <v>0</v>
      </c>
      <c r="P3679" s="10">
        <f t="shared" si="757"/>
        <v>0</v>
      </c>
      <c r="Q3679" s="10">
        <f t="shared" si="758"/>
        <v>0</v>
      </c>
    </row>
    <row r="3680" spans="1:17">
      <c r="A3680" s="15">
        <f t="shared" si="754"/>
        <v>0</v>
      </c>
      <c r="B3680" s="15"/>
      <c r="C3680" s="17">
        <f>Fixture!E685</f>
        <v>0</v>
      </c>
      <c r="D3680" s="18">
        <f>IF(E3680=0,0,IF(Fixture!D685&lt;Fixture!F685,3,IF(Fixture!F685&lt;Fixture!D685,0,1)))</f>
        <v>0</v>
      </c>
      <c r="E3680" s="18">
        <f t="shared" si="748"/>
        <v>0</v>
      </c>
      <c r="F3680" s="18">
        <f>IF(E3680=0,0,IF(Fixture!D685&lt;Fixture!F685,1,IF(Fixture!F685&lt;Fixture!D685,0,0)))</f>
        <v>0</v>
      </c>
      <c r="G3680" s="18">
        <f>IF(E3680=0,0,IF(Fixture!D685&lt;Fixture!F685,0,IF(Fixture!F685&lt;Fixture!D685,0,1)))</f>
        <v>0</v>
      </c>
      <c r="H3680" s="18">
        <f t="shared" si="749"/>
        <v>0</v>
      </c>
      <c r="I3680" s="64">
        <f t="shared" si="750"/>
        <v>0</v>
      </c>
      <c r="J3680" s="64">
        <f t="shared" si="751"/>
        <v>0</v>
      </c>
      <c r="K3680" s="63">
        <f t="shared" si="752"/>
        <v>0</v>
      </c>
      <c r="L3680" s="63">
        <f t="shared" si="753"/>
        <v>0</v>
      </c>
      <c r="N3680" s="10" t="str">
        <f t="shared" si="755"/>
        <v>00</v>
      </c>
      <c r="O3680" s="10">
        <f t="shared" si="756"/>
        <v>0</v>
      </c>
      <c r="P3680" s="10">
        <f t="shared" si="757"/>
        <v>0</v>
      </c>
      <c r="Q3680" s="10">
        <f t="shared" si="758"/>
        <v>0</v>
      </c>
    </row>
    <row r="3681" spans="1:17">
      <c r="A3681" s="15">
        <f t="shared" si="754"/>
        <v>0</v>
      </c>
      <c r="B3681" s="15"/>
      <c r="C3681" s="17">
        <f>Fixture!E686</f>
        <v>0</v>
      </c>
      <c r="D3681" s="18">
        <f>IF(E3681=0,0,IF(Fixture!D686&lt;Fixture!F686,3,IF(Fixture!F686&lt;Fixture!D686,0,1)))</f>
        <v>0</v>
      </c>
      <c r="E3681" s="18">
        <f t="shared" si="748"/>
        <v>0</v>
      </c>
      <c r="F3681" s="18">
        <f>IF(E3681=0,0,IF(Fixture!D686&lt;Fixture!F686,1,IF(Fixture!F686&lt;Fixture!D686,0,0)))</f>
        <v>0</v>
      </c>
      <c r="G3681" s="18">
        <f>IF(E3681=0,0,IF(Fixture!D686&lt;Fixture!F686,0,IF(Fixture!F686&lt;Fixture!D686,0,1)))</f>
        <v>0</v>
      </c>
      <c r="H3681" s="18">
        <f t="shared" si="749"/>
        <v>0</v>
      </c>
      <c r="I3681" s="64">
        <f t="shared" si="750"/>
        <v>0</v>
      </c>
      <c r="J3681" s="64">
        <f t="shared" si="751"/>
        <v>0</v>
      </c>
      <c r="K3681" s="63">
        <f t="shared" si="752"/>
        <v>0</v>
      </c>
      <c r="L3681" s="63">
        <f t="shared" si="753"/>
        <v>0</v>
      </c>
      <c r="N3681" s="10" t="str">
        <f t="shared" si="755"/>
        <v>00</v>
      </c>
      <c r="O3681" s="10">
        <f t="shared" si="756"/>
        <v>0</v>
      </c>
      <c r="P3681" s="10">
        <f t="shared" si="757"/>
        <v>0</v>
      </c>
      <c r="Q3681" s="10">
        <f t="shared" si="758"/>
        <v>0</v>
      </c>
    </row>
    <row r="3682" spans="1:17">
      <c r="A3682" s="15">
        <f t="shared" si="754"/>
        <v>0</v>
      </c>
      <c r="B3682" s="15"/>
      <c r="C3682" s="17">
        <f>Fixture!E687</f>
        <v>0</v>
      </c>
      <c r="D3682" s="18">
        <f>IF(E3682=0,0,IF(Fixture!D687&lt;Fixture!F687,3,IF(Fixture!F687&lt;Fixture!D687,0,1)))</f>
        <v>0</v>
      </c>
      <c r="E3682" s="18">
        <f t="shared" si="748"/>
        <v>0</v>
      </c>
      <c r="F3682" s="18">
        <f>IF(E3682=0,0,IF(Fixture!D687&lt;Fixture!F687,1,IF(Fixture!F687&lt;Fixture!D687,0,0)))</f>
        <v>0</v>
      </c>
      <c r="G3682" s="18">
        <f>IF(E3682=0,0,IF(Fixture!D687&lt;Fixture!F687,0,IF(Fixture!F687&lt;Fixture!D687,0,1)))</f>
        <v>0</v>
      </c>
      <c r="H3682" s="18">
        <f t="shared" si="749"/>
        <v>0</v>
      </c>
      <c r="I3682" s="64">
        <f t="shared" si="750"/>
        <v>0</v>
      </c>
      <c r="J3682" s="64">
        <f t="shared" si="751"/>
        <v>0</v>
      </c>
      <c r="K3682" s="63">
        <f t="shared" si="752"/>
        <v>0</v>
      </c>
      <c r="L3682" s="63">
        <f t="shared" si="753"/>
        <v>0</v>
      </c>
      <c r="N3682" s="10" t="str">
        <f t="shared" si="755"/>
        <v>00</v>
      </c>
      <c r="O3682" s="10">
        <f t="shared" si="756"/>
        <v>0</v>
      </c>
      <c r="P3682" s="10">
        <f t="shared" si="757"/>
        <v>0</v>
      </c>
      <c r="Q3682" s="10">
        <f t="shared" si="758"/>
        <v>0</v>
      </c>
    </row>
    <row r="3683" spans="1:17">
      <c r="A3683" s="15">
        <f t="shared" si="754"/>
        <v>0</v>
      </c>
      <c r="B3683" s="15"/>
      <c r="C3683" s="17">
        <f>Fixture!E688</f>
        <v>0</v>
      </c>
      <c r="D3683" s="18">
        <f>IF(E3683=0,0,IF(Fixture!D688&lt;Fixture!F688,3,IF(Fixture!F688&lt;Fixture!D688,0,1)))</f>
        <v>0</v>
      </c>
      <c r="E3683" s="18">
        <f t="shared" si="748"/>
        <v>0</v>
      </c>
      <c r="F3683" s="18">
        <f>IF(E3683=0,0,IF(Fixture!D688&lt;Fixture!F688,1,IF(Fixture!F688&lt;Fixture!D688,0,0)))</f>
        <v>0</v>
      </c>
      <c r="G3683" s="18">
        <f>IF(E3683=0,0,IF(Fixture!D688&lt;Fixture!F688,0,IF(Fixture!F688&lt;Fixture!D688,0,1)))</f>
        <v>0</v>
      </c>
      <c r="H3683" s="18">
        <f t="shared" si="749"/>
        <v>0</v>
      </c>
      <c r="I3683" s="64">
        <f t="shared" si="750"/>
        <v>0</v>
      </c>
      <c r="J3683" s="64">
        <f t="shared" si="751"/>
        <v>0</v>
      </c>
      <c r="K3683" s="63">
        <f t="shared" si="752"/>
        <v>0</v>
      </c>
      <c r="L3683" s="63">
        <f t="shared" si="753"/>
        <v>0</v>
      </c>
      <c r="N3683" s="10" t="str">
        <f t="shared" si="755"/>
        <v>00</v>
      </c>
      <c r="O3683" s="10">
        <f t="shared" si="756"/>
        <v>0</v>
      </c>
      <c r="P3683" s="10">
        <f t="shared" si="757"/>
        <v>0</v>
      </c>
      <c r="Q3683" s="10">
        <f t="shared" si="758"/>
        <v>0</v>
      </c>
    </row>
    <row r="3684" spans="1:17">
      <c r="A3684" s="15">
        <f t="shared" si="754"/>
        <v>0</v>
      </c>
      <c r="B3684" s="15"/>
      <c r="C3684" s="17">
        <f>Fixture!E689</f>
        <v>0</v>
      </c>
      <c r="D3684" s="18">
        <f>IF(E3684=0,0,IF(Fixture!D689&lt;Fixture!F689,3,IF(Fixture!F689&lt;Fixture!D689,0,1)))</f>
        <v>0</v>
      </c>
      <c r="E3684" s="18">
        <f t="shared" si="748"/>
        <v>0</v>
      </c>
      <c r="F3684" s="18">
        <f>IF(E3684=0,0,IF(Fixture!D689&lt;Fixture!F689,1,IF(Fixture!F689&lt;Fixture!D689,0,0)))</f>
        <v>0</v>
      </c>
      <c r="G3684" s="18">
        <f>IF(E3684=0,0,IF(Fixture!D689&lt;Fixture!F689,0,IF(Fixture!F689&lt;Fixture!D689,0,1)))</f>
        <v>0</v>
      </c>
      <c r="H3684" s="18">
        <f t="shared" si="749"/>
        <v>0</v>
      </c>
      <c r="I3684" s="64">
        <f t="shared" si="750"/>
        <v>0</v>
      </c>
      <c r="J3684" s="64">
        <f t="shared" si="751"/>
        <v>0</v>
      </c>
      <c r="K3684" s="63">
        <f t="shared" si="752"/>
        <v>0</v>
      </c>
      <c r="L3684" s="63">
        <f t="shared" si="753"/>
        <v>0</v>
      </c>
      <c r="N3684" s="10" t="str">
        <f t="shared" si="755"/>
        <v>00</v>
      </c>
      <c r="O3684" s="10">
        <f t="shared" si="756"/>
        <v>0</v>
      </c>
      <c r="P3684" s="10">
        <f t="shared" si="757"/>
        <v>0</v>
      </c>
      <c r="Q3684" s="10">
        <f t="shared" si="758"/>
        <v>0</v>
      </c>
    </row>
    <row r="3685" spans="1:17">
      <c r="A3685" s="15">
        <f t="shared" si="754"/>
        <v>0</v>
      </c>
      <c r="B3685" s="15"/>
      <c r="C3685" s="17">
        <f>Fixture!E690</f>
        <v>0</v>
      </c>
      <c r="D3685" s="18">
        <f>IF(E3685=0,0,IF(Fixture!D690&lt;Fixture!F690,3,IF(Fixture!F690&lt;Fixture!D690,0,1)))</f>
        <v>0</v>
      </c>
      <c r="E3685" s="18">
        <f t="shared" si="748"/>
        <v>0</v>
      </c>
      <c r="F3685" s="18">
        <f>IF(E3685=0,0,IF(Fixture!D690&lt;Fixture!F690,1,IF(Fixture!F690&lt;Fixture!D690,0,0)))</f>
        <v>0</v>
      </c>
      <c r="G3685" s="18">
        <f>IF(E3685=0,0,IF(Fixture!D690&lt;Fixture!F690,0,IF(Fixture!F690&lt;Fixture!D690,0,1)))</f>
        <v>0</v>
      </c>
      <c r="H3685" s="18">
        <f t="shared" si="749"/>
        <v>0</v>
      </c>
      <c r="I3685" s="64">
        <f t="shared" si="750"/>
        <v>0</v>
      </c>
      <c r="J3685" s="64">
        <f t="shared" si="751"/>
        <v>0</v>
      </c>
      <c r="K3685" s="63">
        <f t="shared" si="752"/>
        <v>0</v>
      </c>
      <c r="L3685" s="63">
        <f t="shared" si="753"/>
        <v>0</v>
      </c>
      <c r="N3685" s="10" t="str">
        <f t="shared" si="755"/>
        <v>00</v>
      </c>
      <c r="O3685" s="10">
        <f t="shared" si="756"/>
        <v>0</v>
      </c>
      <c r="P3685" s="10">
        <f t="shared" si="757"/>
        <v>0</v>
      </c>
      <c r="Q3685" s="10">
        <f t="shared" si="758"/>
        <v>0</v>
      </c>
    </row>
    <row r="3686" spans="1:17">
      <c r="A3686" s="15">
        <f t="shared" si="754"/>
        <v>0</v>
      </c>
      <c r="B3686" s="15"/>
      <c r="C3686" s="17">
        <f>Fixture!E691</f>
        <v>0</v>
      </c>
      <c r="D3686" s="18">
        <f>IF(E3686=0,0,IF(Fixture!D691&lt;Fixture!F691,3,IF(Fixture!F691&lt;Fixture!D691,0,1)))</f>
        <v>0</v>
      </c>
      <c r="E3686" s="18">
        <f t="shared" si="748"/>
        <v>0</v>
      </c>
      <c r="F3686" s="18">
        <f>IF(E3686=0,0,IF(Fixture!D691&lt;Fixture!F691,1,IF(Fixture!F691&lt;Fixture!D691,0,0)))</f>
        <v>0</v>
      </c>
      <c r="G3686" s="18">
        <f>IF(E3686=0,0,IF(Fixture!D691&lt;Fixture!F691,0,IF(Fixture!F691&lt;Fixture!D691,0,1)))</f>
        <v>0</v>
      </c>
      <c r="H3686" s="18">
        <f t="shared" si="749"/>
        <v>0</v>
      </c>
      <c r="I3686" s="64">
        <f t="shared" si="750"/>
        <v>0</v>
      </c>
      <c r="J3686" s="64">
        <f t="shared" si="751"/>
        <v>0</v>
      </c>
      <c r="K3686" s="63">
        <f t="shared" si="752"/>
        <v>0</v>
      </c>
      <c r="L3686" s="63">
        <f t="shared" si="753"/>
        <v>0</v>
      </c>
      <c r="N3686" s="10" t="str">
        <f t="shared" si="755"/>
        <v>00</v>
      </c>
      <c r="O3686" s="10">
        <f t="shared" si="756"/>
        <v>0</v>
      </c>
      <c r="P3686" s="10">
        <f t="shared" si="757"/>
        <v>0</v>
      </c>
      <c r="Q3686" s="10">
        <f t="shared" si="758"/>
        <v>0</v>
      </c>
    </row>
    <row r="3687" spans="1:17">
      <c r="A3687" s="15">
        <f t="shared" si="754"/>
        <v>0</v>
      </c>
      <c r="B3687" s="15"/>
      <c r="C3687" s="17">
        <f>Fixture!E692</f>
        <v>0</v>
      </c>
      <c r="D3687" s="18">
        <f>IF(E3687=0,0,IF(Fixture!D692&lt;Fixture!F692,3,IF(Fixture!F692&lt;Fixture!D692,0,1)))</f>
        <v>0</v>
      </c>
      <c r="E3687" s="18">
        <f t="shared" si="748"/>
        <v>0</v>
      </c>
      <c r="F3687" s="18">
        <f>IF(E3687=0,0,IF(Fixture!D692&lt;Fixture!F692,1,IF(Fixture!F692&lt;Fixture!D692,0,0)))</f>
        <v>0</v>
      </c>
      <c r="G3687" s="18">
        <f>IF(E3687=0,0,IF(Fixture!D692&lt;Fixture!F692,0,IF(Fixture!F692&lt;Fixture!D692,0,1)))</f>
        <v>0</v>
      </c>
      <c r="H3687" s="18">
        <f t="shared" si="749"/>
        <v>0</v>
      </c>
      <c r="I3687" s="64">
        <f t="shared" si="750"/>
        <v>0</v>
      </c>
      <c r="J3687" s="64">
        <f t="shared" si="751"/>
        <v>0</v>
      </c>
      <c r="K3687" s="63">
        <f t="shared" si="752"/>
        <v>0</v>
      </c>
      <c r="L3687" s="63">
        <f t="shared" si="753"/>
        <v>0</v>
      </c>
      <c r="N3687" s="10" t="str">
        <f t="shared" si="755"/>
        <v>00</v>
      </c>
      <c r="O3687" s="10">
        <f t="shared" si="756"/>
        <v>0</v>
      </c>
      <c r="P3687" s="10">
        <f t="shared" si="757"/>
        <v>0</v>
      </c>
      <c r="Q3687" s="10">
        <f t="shared" si="758"/>
        <v>0</v>
      </c>
    </row>
    <row r="3688" spans="1:17">
      <c r="A3688" s="15">
        <f t="shared" si="754"/>
        <v>0</v>
      </c>
      <c r="B3688" s="15"/>
      <c r="C3688" s="17">
        <f>Fixture!E693</f>
        <v>0</v>
      </c>
      <c r="D3688" s="18">
        <f>IF(E3688=0,0,IF(Fixture!D693&lt;Fixture!F693,3,IF(Fixture!F693&lt;Fixture!D693,0,1)))</f>
        <v>0</v>
      </c>
      <c r="E3688" s="18">
        <f t="shared" si="748"/>
        <v>0</v>
      </c>
      <c r="F3688" s="18">
        <f>IF(E3688=0,0,IF(Fixture!D693&lt;Fixture!F693,1,IF(Fixture!F693&lt;Fixture!D693,0,0)))</f>
        <v>0</v>
      </c>
      <c r="G3688" s="18">
        <f>IF(E3688=0,0,IF(Fixture!D693&lt;Fixture!F693,0,IF(Fixture!F693&lt;Fixture!D693,0,1)))</f>
        <v>0</v>
      </c>
      <c r="H3688" s="18">
        <f t="shared" si="749"/>
        <v>0</v>
      </c>
      <c r="I3688" s="64">
        <f t="shared" si="750"/>
        <v>0</v>
      </c>
      <c r="J3688" s="64">
        <f t="shared" si="751"/>
        <v>0</v>
      </c>
      <c r="K3688" s="63">
        <f t="shared" si="752"/>
        <v>0</v>
      </c>
      <c r="L3688" s="63">
        <f t="shared" si="753"/>
        <v>0</v>
      </c>
      <c r="N3688" s="10" t="str">
        <f t="shared" si="755"/>
        <v>00</v>
      </c>
      <c r="O3688" s="10">
        <f t="shared" si="756"/>
        <v>0</v>
      </c>
      <c r="P3688" s="10">
        <f t="shared" si="757"/>
        <v>0</v>
      </c>
      <c r="Q3688" s="10">
        <f t="shared" si="758"/>
        <v>0</v>
      </c>
    </row>
    <row r="3689" spans="1:17">
      <c r="A3689" s="15">
        <f t="shared" si="754"/>
        <v>0</v>
      </c>
      <c r="B3689" s="15"/>
      <c r="C3689" s="17">
        <f>Fixture!E694</f>
        <v>0</v>
      </c>
      <c r="D3689" s="18">
        <f>IF(E3689=0,0,IF(Fixture!D694&lt;Fixture!F694,3,IF(Fixture!F694&lt;Fixture!D694,0,1)))</f>
        <v>0</v>
      </c>
      <c r="E3689" s="18">
        <f t="shared" si="748"/>
        <v>0</v>
      </c>
      <c r="F3689" s="18">
        <f>IF(E3689=0,0,IF(Fixture!D694&lt;Fixture!F694,1,IF(Fixture!F694&lt;Fixture!D694,0,0)))</f>
        <v>0</v>
      </c>
      <c r="G3689" s="18">
        <f>IF(E3689=0,0,IF(Fixture!D694&lt;Fixture!F694,0,IF(Fixture!F694&lt;Fixture!D694,0,1)))</f>
        <v>0</v>
      </c>
      <c r="H3689" s="18">
        <f t="shared" si="749"/>
        <v>0</v>
      </c>
      <c r="I3689" s="64">
        <f t="shared" si="750"/>
        <v>0</v>
      </c>
      <c r="J3689" s="64">
        <f t="shared" si="751"/>
        <v>0</v>
      </c>
      <c r="K3689" s="63">
        <f t="shared" si="752"/>
        <v>0</v>
      </c>
      <c r="L3689" s="63">
        <f t="shared" si="753"/>
        <v>0</v>
      </c>
      <c r="N3689" s="10" t="str">
        <f t="shared" si="755"/>
        <v>00</v>
      </c>
      <c r="O3689" s="10">
        <f t="shared" si="756"/>
        <v>0</v>
      </c>
      <c r="P3689" s="10">
        <f t="shared" si="757"/>
        <v>0</v>
      </c>
      <c r="Q3689" s="10">
        <f t="shared" si="758"/>
        <v>0</v>
      </c>
    </row>
    <row r="3690" spans="1:17">
      <c r="A3690" s="15">
        <f t="shared" si="754"/>
        <v>0</v>
      </c>
      <c r="B3690" s="15"/>
      <c r="C3690" s="17">
        <f>Fixture!E695</f>
        <v>0</v>
      </c>
      <c r="D3690" s="18">
        <f>IF(E3690=0,0,IF(Fixture!D695&lt;Fixture!F695,3,IF(Fixture!F695&lt;Fixture!D695,0,1)))</f>
        <v>0</v>
      </c>
      <c r="E3690" s="18">
        <f t="shared" si="748"/>
        <v>0</v>
      </c>
      <c r="F3690" s="18">
        <f>IF(E3690=0,0,IF(Fixture!D695&lt;Fixture!F695,1,IF(Fixture!F695&lt;Fixture!D695,0,0)))</f>
        <v>0</v>
      </c>
      <c r="G3690" s="18">
        <f>IF(E3690=0,0,IF(Fixture!D695&lt;Fixture!F695,0,IF(Fixture!F695&lt;Fixture!D695,0,1)))</f>
        <v>0</v>
      </c>
      <c r="H3690" s="18">
        <f t="shared" si="749"/>
        <v>0</v>
      </c>
      <c r="I3690" s="64">
        <f t="shared" si="750"/>
        <v>0</v>
      </c>
      <c r="J3690" s="64">
        <f t="shared" si="751"/>
        <v>0</v>
      </c>
      <c r="K3690" s="63">
        <f t="shared" si="752"/>
        <v>0</v>
      </c>
      <c r="L3690" s="63">
        <f t="shared" si="753"/>
        <v>0</v>
      </c>
      <c r="N3690" s="10" t="str">
        <f t="shared" si="755"/>
        <v>00</v>
      </c>
      <c r="O3690" s="10">
        <f t="shared" si="756"/>
        <v>0</v>
      </c>
      <c r="P3690" s="10">
        <f t="shared" si="757"/>
        <v>0</v>
      </c>
      <c r="Q3690" s="10">
        <f t="shared" si="758"/>
        <v>0</v>
      </c>
    </row>
    <row r="3691" spans="1:17">
      <c r="A3691" s="15">
        <f t="shared" si="754"/>
        <v>0</v>
      </c>
      <c r="B3691" s="15"/>
      <c r="C3691" s="17">
        <f>Fixture!E696</f>
        <v>0</v>
      </c>
      <c r="D3691" s="18">
        <f>IF(E3691=0,0,IF(Fixture!D696&lt;Fixture!F696,3,IF(Fixture!F696&lt;Fixture!D696,0,1)))</f>
        <v>0</v>
      </c>
      <c r="E3691" s="18">
        <f t="shared" si="748"/>
        <v>0</v>
      </c>
      <c r="F3691" s="18">
        <f>IF(E3691=0,0,IF(Fixture!D696&lt;Fixture!F696,1,IF(Fixture!F696&lt;Fixture!D696,0,0)))</f>
        <v>0</v>
      </c>
      <c r="G3691" s="18">
        <f>IF(E3691=0,0,IF(Fixture!D696&lt;Fixture!F696,0,IF(Fixture!F696&lt;Fixture!D696,0,1)))</f>
        <v>0</v>
      </c>
      <c r="H3691" s="18">
        <f t="shared" si="749"/>
        <v>0</v>
      </c>
      <c r="I3691" s="64">
        <f t="shared" si="750"/>
        <v>0</v>
      </c>
      <c r="J3691" s="64">
        <f t="shared" si="751"/>
        <v>0</v>
      </c>
      <c r="K3691" s="63">
        <f t="shared" si="752"/>
        <v>0</v>
      </c>
      <c r="L3691" s="63">
        <f t="shared" si="753"/>
        <v>0</v>
      </c>
      <c r="N3691" s="10" t="str">
        <f t="shared" si="755"/>
        <v>00</v>
      </c>
      <c r="O3691" s="10">
        <f t="shared" si="756"/>
        <v>0</v>
      </c>
      <c r="P3691" s="10">
        <f t="shared" si="757"/>
        <v>0</v>
      </c>
      <c r="Q3691" s="10">
        <f t="shared" si="758"/>
        <v>0</v>
      </c>
    </row>
    <row r="3692" spans="1:17">
      <c r="A3692" s="15">
        <f t="shared" si="754"/>
        <v>0</v>
      </c>
      <c r="B3692" s="15"/>
      <c r="C3692" s="17">
        <f>Fixture!E697</f>
        <v>0</v>
      </c>
      <c r="D3692" s="18">
        <f>IF(E3692=0,0,IF(Fixture!D697&lt;Fixture!F697,3,IF(Fixture!F697&lt;Fixture!D697,0,1)))</f>
        <v>0</v>
      </c>
      <c r="E3692" s="18">
        <f t="shared" si="748"/>
        <v>0</v>
      </c>
      <c r="F3692" s="18">
        <f>IF(E3692=0,0,IF(Fixture!D697&lt;Fixture!F697,1,IF(Fixture!F697&lt;Fixture!D697,0,0)))</f>
        <v>0</v>
      </c>
      <c r="G3692" s="18">
        <f>IF(E3692=0,0,IF(Fixture!D697&lt;Fixture!F697,0,IF(Fixture!F697&lt;Fixture!D697,0,1)))</f>
        <v>0</v>
      </c>
      <c r="H3692" s="18">
        <f t="shared" si="749"/>
        <v>0</v>
      </c>
      <c r="I3692" s="64">
        <f t="shared" si="750"/>
        <v>0</v>
      </c>
      <c r="J3692" s="64">
        <f t="shared" si="751"/>
        <v>0</v>
      </c>
      <c r="K3692" s="63">
        <f t="shared" si="752"/>
        <v>0</v>
      </c>
      <c r="L3692" s="63">
        <f t="shared" si="753"/>
        <v>0</v>
      </c>
      <c r="N3692" s="10" t="str">
        <f t="shared" si="755"/>
        <v>00</v>
      </c>
      <c r="O3692" s="10">
        <f t="shared" si="756"/>
        <v>0</v>
      </c>
      <c r="P3692" s="10">
        <f t="shared" si="757"/>
        <v>0</v>
      </c>
      <c r="Q3692" s="10">
        <f t="shared" si="758"/>
        <v>0</v>
      </c>
    </row>
    <row r="3693" spans="1:17">
      <c r="A3693" s="15">
        <f t="shared" si="754"/>
        <v>0</v>
      </c>
      <c r="B3693" s="15"/>
      <c r="C3693" s="17">
        <f>Fixture!E698</f>
        <v>0</v>
      </c>
      <c r="D3693" s="18">
        <f>IF(E3693=0,0,IF(Fixture!D698&lt;Fixture!F698,3,IF(Fixture!F698&lt;Fixture!D698,0,1)))</f>
        <v>0</v>
      </c>
      <c r="E3693" s="18">
        <f t="shared" si="748"/>
        <v>0</v>
      </c>
      <c r="F3693" s="18">
        <f>IF(E3693=0,0,IF(Fixture!D698&lt;Fixture!F698,1,IF(Fixture!F698&lt;Fixture!D698,0,0)))</f>
        <v>0</v>
      </c>
      <c r="G3693" s="18">
        <f>IF(E3693=0,0,IF(Fixture!D698&lt;Fixture!F698,0,IF(Fixture!F698&lt;Fixture!D698,0,1)))</f>
        <v>0</v>
      </c>
      <c r="H3693" s="18">
        <f t="shared" si="749"/>
        <v>0</v>
      </c>
      <c r="I3693" s="64">
        <f t="shared" si="750"/>
        <v>0</v>
      </c>
      <c r="J3693" s="64">
        <f t="shared" si="751"/>
        <v>0</v>
      </c>
      <c r="K3693" s="63">
        <f t="shared" si="752"/>
        <v>0</v>
      </c>
      <c r="L3693" s="63">
        <f t="shared" si="753"/>
        <v>0</v>
      </c>
      <c r="N3693" s="10" t="str">
        <f t="shared" si="755"/>
        <v>00</v>
      </c>
      <c r="O3693" s="10">
        <f t="shared" si="756"/>
        <v>0</v>
      </c>
      <c r="P3693" s="10">
        <f t="shared" si="757"/>
        <v>0</v>
      </c>
      <c r="Q3693" s="10">
        <f t="shared" si="758"/>
        <v>0</v>
      </c>
    </row>
    <row r="3694" spans="1:17">
      <c r="A3694" s="15">
        <f t="shared" si="754"/>
        <v>0</v>
      </c>
      <c r="B3694" s="15"/>
      <c r="C3694" s="17">
        <f>Fixture!E699</f>
        <v>0</v>
      </c>
      <c r="D3694" s="18">
        <f>IF(E3694=0,0,IF(Fixture!D699&lt;Fixture!F699,3,IF(Fixture!F699&lt;Fixture!D699,0,1)))</f>
        <v>0</v>
      </c>
      <c r="E3694" s="18">
        <f t="shared" si="748"/>
        <v>0</v>
      </c>
      <c r="F3694" s="18">
        <f>IF(E3694=0,0,IF(Fixture!D699&lt;Fixture!F699,1,IF(Fixture!F699&lt;Fixture!D699,0,0)))</f>
        <v>0</v>
      </c>
      <c r="G3694" s="18">
        <f>IF(E3694=0,0,IF(Fixture!D699&lt;Fixture!F699,0,IF(Fixture!F699&lt;Fixture!D699,0,1)))</f>
        <v>0</v>
      </c>
      <c r="H3694" s="18">
        <f t="shared" si="749"/>
        <v>0</v>
      </c>
      <c r="I3694" s="64">
        <f t="shared" si="750"/>
        <v>0</v>
      </c>
      <c r="J3694" s="64">
        <f t="shared" si="751"/>
        <v>0</v>
      </c>
      <c r="K3694" s="63">
        <f t="shared" si="752"/>
        <v>0</v>
      </c>
      <c r="L3694" s="63">
        <f t="shared" si="753"/>
        <v>0</v>
      </c>
      <c r="N3694" s="10" t="str">
        <f t="shared" si="755"/>
        <v>00</v>
      </c>
      <c r="O3694" s="10">
        <f t="shared" si="756"/>
        <v>0</v>
      </c>
      <c r="P3694" s="10">
        <f t="shared" si="757"/>
        <v>0</v>
      </c>
      <c r="Q3694" s="10">
        <f t="shared" si="758"/>
        <v>0</v>
      </c>
    </row>
    <row r="3695" spans="1:17">
      <c r="A3695" s="15">
        <f t="shared" si="754"/>
        <v>0</v>
      </c>
      <c r="B3695" s="15"/>
      <c r="C3695" s="17">
        <f>Fixture!E700</f>
        <v>0</v>
      </c>
      <c r="D3695" s="18">
        <f>IF(E3695=0,0,IF(Fixture!D700&lt;Fixture!F700,3,IF(Fixture!F700&lt;Fixture!D700,0,1)))</f>
        <v>0</v>
      </c>
      <c r="E3695" s="18">
        <f t="shared" si="748"/>
        <v>0</v>
      </c>
      <c r="F3695" s="18">
        <f>IF(E3695=0,0,IF(Fixture!D700&lt;Fixture!F700,1,IF(Fixture!F700&lt;Fixture!D700,0,0)))</f>
        <v>0</v>
      </c>
      <c r="G3695" s="18">
        <f>IF(E3695=0,0,IF(Fixture!D700&lt;Fixture!F700,0,IF(Fixture!F700&lt;Fixture!D700,0,1)))</f>
        <v>0</v>
      </c>
      <c r="H3695" s="18">
        <f t="shared" si="749"/>
        <v>0</v>
      </c>
      <c r="I3695" s="64">
        <f t="shared" si="750"/>
        <v>0</v>
      </c>
      <c r="J3695" s="64">
        <f t="shared" si="751"/>
        <v>0</v>
      </c>
      <c r="K3695" s="63">
        <f t="shared" si="752"/>
        <v>0</v>
      </c>
      <c r="L3695" s="63">
        <f t="shared" si="753"/>
        <v>0</v>
      </c>
      <c r="N3695" s="10" t="str">
        <f t="shared" si="755"/>
        <v>00</v>
      </c>
      <c r="O3695" s="10">
        <f t="shared" si="756"/>
        <v>0</v>
      </c>
      <c r="P3695" s="10">
        <f t="shared" si="757"/>
        <v>0</v>
      </c>
      <c r="Q3695" s="10">
        <f t="shared" si="758"/>
        <v>0</v>
      </c>
    </row>
    <row r="3696" spans="1:17">
      <c r="A3696" s="15">
        <f t="shared" si="754"/>
        <v>0</v>
      </c>
      <c r="B3696" s="15"/>
      <c r="C3696" s="17">
        <f>Fixture!E701</f>
        <v>0</v>
      </c>
      <c r="D3696" s="18">
        <f>IF(E3696=0,0,IF(Fixture!D701&lt;Fixture!F701,3,IF(Fixture!F701&lt;Fixture!D701,0,1)))</f>
        <v>0</v>
      </c>
      <c r="E3696" s="18">
        <f t="shared" si="748"/>
        <v>0</v>
      </c>
      <c r="F3696" s="18">
        <f>IF(E3696=0,0,IF(Fixture!D701&lt;Fixture!F701,1,IF(Fixture!F701&lt;Fixture!D701,0,0)))</f>
        <v>0</v>
      </c>
      <c r="G3696" s="18">
        <f>IF(E3696=0,0,IF(Fixture!D701&lt;Fixture!F701,0,IF(Fixture!F701&lt;Fixture!D701,0,1)))</f>
        <v>0</v>
      </c>
      <c r="H3696" s="18">
        <f t="shared" si="749"/>
        <v>0</v>
      </c>
      <c r="I3696" s="64">
        <f t="shared" si="750"/>
        <v>0</v>
      </c>
      <c r="J3696" s="64">
        <f t="shared" si="751"/>
        <v>0</v>
      </c>
      <c r="K3696" s="63">
        <f t="shared" si="752"/>
        <v>0</v>
      </c>
      <c r="L3696" s="63">
        <f t="shared" si="753"/>
        <v>0</v>
      </c>
      <c r="N3696" s="10" t="str">
        <f t="shared" si="755"/>
        <v>00</v>
      </c>
      <c r="O3696" s="10">
        <f t="shared" si="756"/>
        <v>0</v>
      </c>
      <c r="P3696" s="10">
        <f t="shared" si="757"/>
        <v>0</v>
      </c>
      <c r="Q3696" s="10">
        <f t="shared" si="758"/>
        <v>0</v>
      </c>
    </row>
    <row r="3697" spans="1:17">
      <c r="A3697" s="15">
        <f t="shared" si="754"/>
        <v>0</v>
      </c>
      <c r="B3697" s="15"/>
      <c r="C3697" s="17">
        <f>Fixture!E702</f>
        <v>0</v>
      </c>
      <c r="D3697" s="18">
        <f>IF(E3697=0,0,IF(Fixture!D702&lt;Fixture!F702,3,IF(Fixture!F702&lt;Fixture!D702,0,1)))</f>
        <v>0</v>
      </c>
      <c r="E3697" s="18">
        <f t="shared" si="748"/>
        <v>0</v>
      </c>
      <c r="F3697" s="18">
        <f>IF(E3697=0,0,IF(Fixture!D702&lt;Fixture!F702,1,IF(Fixture!F702&lt;Fixture!D702,0,0)))</f>
        <v>0</v>
      </c>
      <c r="G3697" s="18">
        <f>IF(E3697=0,0,IF(Fixture!D702&lt;Fixture!F702,0,IF(Fixture!F702&lt;Fixture!D702,0,1)))</f>
        <v>0</v>
      </c>
      <c r="H3697" s="18">
        <f t="shared" si="749"/>
        <v>0</v>
      </c>
      <c r="I3697" s="64">
        <f t="shared" si="750"/>
        <v>0</v>
      </c>
      <c r="J3697" s="64">
        <f t="shared" si="751"/>
        <v>0</v>
      </c>
      <c r="K3697" s="63">
        <f t="shared" si="752"/>
        <v>0</v>
      </c>
      <c r="L3697" s="63">
        <f t="shared" si="753"/>
        <v>0</v>
      </c>
      <c r="N3697" s="10" t="str">
        <f t="shared" si="755"/>
        <v>00</v>
      </c>
      <c r="O3697" s="10">
        <f t="shared" si="756"/>
        <v>0</v>
      </c>
      <c r="P3697" s="10">
        <f t="shared" si="757"/>
        <v>0</v>
      </c>
      <c r="Q3697" s="10">
        <f t="shared" si="758"/>
        <v>0</v>
      </c>
    </row>
    <row r="3698" spans="1:17">
      <c r="A3698" s="15">
        <f t="shared" si="754"/>
        <v>0</v>
      </c>
      <c r="B3698" s="15"/>
      <c r="C3698" s="17">
        <f>Fixture!E703</f>
        <v>0</v>
      </c>
      <c r="D3698" s="18">
        <f>IF(E3698=0,0,IF(Fixture!D703&lt;Fixture!F703,3,IF(Fixture!F703&lt;Fixture!D703,0,1)))</f>
        <v>0</v>
      </c>
      <c r="E3698" s="18">
        <f t="shared" si="748"/>
        <v>0</v>
      </c>
      <c r="F3698" s="18">
        <f>IF(E3698=0,0,IF(Fixture!D703&lt;Fixture!F703,1,IF(Fixture!F703&lt;Fixture!D703,0,0)))</f>
        <v>0</v>
      </c>
      <c r="G3698" s="18">
        <f>IF(E3698=0,0,IF(Fixture!D703&lt;Fixture!F703,0,IF(Fixture!F703&lt;Fixture!D703,0,1)))</f>
        <v>0</v>
      </c>
      <c r="H3698" s="18">
        <f t="shared" si="749"/>
        <v>0</v>
      </c>
      <c r="I3698" s="64">
        <f t="shared" si="750"/>
        <v>0</v>
      </c>
      <c r="J3698" s="64">
        <f t="shared" si="751"/>
        <v>0</v>
      </c>
      <c r="K3698" s="63">
        <f t="shared" si="752"/>
        <v>0</v>
      </c>
      <c r="L3698" s="63">
        <f t="shared" si="753"/>
        <v>0</v>
      </c>
      <c r="N3698" s="10" t="str">
        <f t="shared" si="755"/>
        <v>00</v>
      </c>
      <c r="O3698" s="10">
        <f t="shared" si="756"/>
        <v>0</v>
      </c>
      <c r="P3698" s="10">
        <f t="shared" si="757"/>
        <v>0</v>
      </c>
      <c r="Q3698" s="10">
        <f t="shared" si="758"/>
        <v>0</v>
      </c>
    </row>
    <row r="3699" spans="1:17">
      <c r="A3699" s="15">
        <f t="shared" si="754"/>
        <v>0</v>
      </c>
      <c r="B3699" s="15"/>
      <c r="C3699" s="17">
        <f>Fixture!E704</f>
        <v>0</v>
      </c>
      <c r="D3699" s="18">
        <f>IF(E3699=0,0,IF(Fixture!D704&lt;Fixture!F704,3,IF(Fixture!F704&lt;Fixture!D704,0,1)))</f>
        <v>0</v>
      </c>
      <c r="E3699" s="18">
        <f t="shared" si="748"/>
        <v>0</v>
      </c>
      <c r="F3699" s="18">
        <f>IF(E3699=0,0,IF(Fixture!D704&lt;Fixture!F704,1,IF(Fixture!F704&lt;Fixture!D704,0,0)))</f>
        <v>0</v>
      </c>
      <c r="G3699" s="18">
        <f>IF(E3699=0,0,IF(Fixture!D704&lt;Fixture!F704,0,IF(Fixture!F704&lt;Fixture!D704,0,1)))</f>
        <v>0</v>
      </c>
      <c r="H3699" s="18">
        <f t="shared" si="749"/>
        <v>0</v>
      </c>
      <c r="I3699" s="64">
        <f t="shared" si="750"/>
        <v>0</v>
      </c>
      <c r="J3699" s="64">
        <f t="shared" si="751"/>
        <v>0</v>
      </c>
      <c r="K3699" s="63">
        <f t="shared" si="752"/>
        <v>0</v>
      </c>
      <c r="L3699" s="63">
        <f t="shared" si="753"/>
        <v>0</v>
      </c>
      <c r="N3699" s="10" t="str">
        <f t="shared" si="755"/>
        <v>00</v>
      </c>
      <c r="O3699" s="10">
        <f t="shared" si="756"/>
        <v>0</v>
      </c>
      <c r="P3699" s="10">
        <f t="shared" si="757"/>
        <v>0</v>
      </c>
      <c r="Q3699" s="10">
        <f t="shared" si="758"/>
        <v>0</v>
      </c>
    </row>
    <row r="3700" spans="1:17">
      <c r="A3700" s="15">
        <f t="shared" si="754"/>
        <v>0</v>
      </c>
      <c r="B3700" s="15"/>
      <c r="C3700" s="17">
        <f>Fixture!E705</f>
        <v>0</v>
      </c>
      <c r="D3700" s="18">
        <f>IF(E3700=0,0,IF(Fixture!D705&lt;Fixture!F705,3,IF(Fixture!F705&lt;Fixture!D705,0,1)))</f>
        <v>0</v>
      </c>
      <c r="E3700" s="18">
        <f t="shared" si="748"/>
        <v>0</v>
      </c>
      <c r="F3700" s="18">
        <f>IF(E3700=0,0,IF(Fixture!D705&lt;Fixture!F705,1,IF(Fixture!F705&lt;Fixture!D705,0,0)))</f>
        <v>0</v>
      </c>
      <c r="G3700" s="18">
        <f>IF(E3700=0,0,IF(Fixture!D705&lt;Fixture!F705,0,IF(Fixture!F705&lt;Fixture!D705,0,1)))</f>
        <v>0</v>
      </c>
      <c r="H3700" s="18">
        <f t="shared" si="749"/>
        <v>0</v>
      </c>
      <c r="I3700" s="64">
        <f t="shared" si="750"/>
        <v>0</v>
      </c>
      <c r="J3700" s="64">
        <f t="shared" si="751"/>
        <v>0</v>
      </c>
      <c r="K3700" s="63">
        <f t="shared" si="752"/>
        <v>0</v>
      </c>
      <c r="L3700" s="63">
        <f t="shared" si="753"/>
        <v>0</v>
      </c>
      <c r="N3700" s="10" t="str">
        <f t="shared" si="755"/>
        <v>00</v>
      </c>
      <c r="O3700" s="10">
        <f t="shared" si="756"/>
        <v>0</v>
      </c>
      <c r="P3700" s="10">
        <f t="shared" si="757"/>
        <v>0</v>
      </c>
      <c r="Q3700" s="10">
        <f t="shared" si="758"/>
        <v>0</v>
      </c>
    </row>
    <row r="3701" spans="1:17">
      <c r="A3701" s="15">
        <f t="shared" si="754"/>
        <v>0</v>
      </c>
      <c r="B3701" s="15"/>
      <c r="C3701" s="17">
        <f>Fixture!E706</f>
        <v>0</v>
      </c>
      <c r="D3701" s="18">
        <f>IF(E3701=0,0,IF(Fixture!D706&lt;Fixture!F706,3,IF(Fixture!F706&lt;Fixture!D706,0,1)))</f>
        <v>0</v>
      </c>
      <c r="E3701" s="18">
        <f t="shared" si="748"/>
        <v>0</v>
      </c>
      <c r="F3701" s="18">
        <f>IF(E3701=0,0,IF(Fixture!D706&lt;Fixture!F706,1,IF(Fixture!F706&lt;Fixture!D706,0,0)))</f>
        <v>0</v>
      </c>
      <c r="G3701" s="18">
        <f>IF(E3701=0,0,IF(Fixture!D706&lt;Fixture!F706,0,IF(Fixture!F706&lt;Fixture!D706,0,1)))</f>
        <v>0</v>
      </c>
      <c r="H3701" s="18">
        <f t="shared" si="749"/>
        <v>0</v>
      </c>
      <c r="I3701" s="64">
        <f t="shared" si="750"/>
        <v>0</v>
      </c>
      <c r="J3701" s="64">
        <f t="shared" si="751"/>
        <v>0</v>
      </c>
      <c r="K3701" s="63">
        <f t="shared" si="752"/>
        <v>0</v>
      </c>
      <c r="L3701" s="63">
        <f t="shared" si="753"/>
        <v>0</v>
      </c>
      <c r="N3701" s="10" t="str">
        <f t="shared" si="755"/>
        <v>00</v>
      </c>
      <c r="O3701" s="10">
        <f t="shared" si="756"/>
        <v>0</v>
      </c>
      <c r="P3701" s="10">
        <f t="shared" si="757"/>
        <v>0</v>
      </c>
      <c r="Q3701" s="10">
        <f t="shared" si="758"/>
        <v>0</v>
      </c>
    </row>
    <row r="3702" spans="1:17">
      <c r="A3702" s="15">
        <f t="shared" si="754"/>
        <v>0</v>
      </c>
      <c r="B3702" s="15"/>
      <c r="C3702" s="17">
        <f>Fixture!E707</f>
        <v>0</v>
      </c>
      <c r="D3702" s="18">
        <f>IF(E3702=0,0,IF(Fixture!D707&lt;Fixture!F707,3,IF(Fixture!F707&lt;Fixture!D707,0,1)))</f>
        <v>0</v>
      </c>
      <c r="E3702" s="18">
        <f t="shared" si="748"/>
        <v>0</v>
      </c>
      <c r="F3702" s="18">
        <f>IF(E3702=0,0,IF(Fixture!D707&lt;Fixture!F707,1,IF(Fixture!F707&lt;Fixture!D707,0,0)))</f>
        <v>0</v>
      </c>
      <c r="G3702" s="18">
        <f>IF(E3702=0,0,IF(Fixture!D707&lt;Fixture!F707,0,IF(Fixture!F707&lt;Fixture!D707,0,1)))</f>
        <v>0</v>
      </c>
      <c r="H3702" s="18">
        <f t="shared" si="749"/>
        <v>0</v>
      </c>
      <c r="I3702" s="64">
        <f t="shared" si="750"/>
        <v>0</v>
      </c>
      <c r="J3702" s="64">
        <f t="shared" si="751"/>
        <v>0</v>
      </c>
      <c r="K3702" s="63">
        <f t="shared" si="752"/>
        <v>0</v>
      </c>
      <c r="L3702" s="63">
        <f t="shared" si="753"/>
        <v>0</v>
      </c>
      <c r="N3702" s="10" t="str">
        <f t="shared" si="755"/>
        <v>00</v>
      </c>
      <c r="O3702" s="10">
        <f t="shared" si="756"/>
        <v>0</v>
      </c>
      <c r="P3702" s="10">
        <f t="shared" si="757"/>
        <v>0</v>
      </c>
      <c r="Q3702" s="10">
        <f t="shared" si="758"/>
        <v>0</v>
      </c>
    </row>
    <row r="3703" spans="1:17">
      <c r="A3703" s="15">
        <f t="shared" si="754"/>
        <v>0</v>
      </c>
      <c r="B3703" s="15"/>
      <c r="C3703" s="17">
        <f>Fixture!E708</f>
        <v>0</v>
      </c>
      <c r="D3703" s="18">
        <f>IF(E3703=0,0,IF(Fixture!D708&lt;Fixture!F708,3,IF(Fixture!F708&lt;Fixture!D708,0,1)))</f>
        <v>0</v>
      </c>
      <c r="E3703" s="18">
        <f t="shared" si="748"/>
        <v>0</v>
      </c>
      <c r="F3703" s="18">
        <f>IF(E3703=0,0,IF(Fixture!D708&lt;Fixture!F708,1,IF(Fixture!F708&lt;Fixture!D708,0,0)))</f>
        <v>0</v>
      </c>
      <c r="G3703" s="18">
        <f>IF(E3703=0,0,IF(Fixture!D708&lt;Fixture!F708,0,IF(Fixture!F708&lt;Fixture!D708,0,1)))</f>
        <v>0</v>
      </c>
      <c r="H3703" s="18">
        <f t="shared" si="749"/>
        <v>0</v>
      </c>
      <c r="I3703" s="64">
        <f t="shared" si="750"/>
        <v>0</v>
      </c>
      <c r="J3703" s="64">
        <f t="shared" si="751"/>
        <v>0</v>
      </c>
      <c r="K3703" s="63">
        <f t="shared" si="752"/>
        <v>0</v>
      </c>
      <c r="L3703" s="63">
        <f t="shared" si="753"/>
        <v>0</v>
      </c>
      <c r="N3703" s="10" t="str">
        <f t="shared" si="755"/>
        <v>00</v>
      </c>
      <c r="O3703" s="10">
        <f t="shared" si="756"/>
        <v>0</v>
      </c>
      <c r="P3703" s="10">
        <f t="shared" si="757"/>
        <v>0</v>
      </c>
      <c r="Q3703" s="10">
        <f t="shared" si="758"/>
        <v>0</v>
      </c>
    </row>
    <row r="3704" spans="1:17">
      <c r="A3704" s="15">
        <f t="shared" si="754"/>
        <v>0</v>
      </c>
      <c r="B3704" s="15"/>
      <c r="C3704" s="17">
        <f>Fixture!E709</f>
        <v>0</v>
      </c>
      <c r="D3704" s="18">
        <f>IF(E3704=0,0,IF(Fixture!D709&lt;Fixture!F709,3,IF(Fixture!F709&lt;Fixture!D709,0,1)))</f>
        <v>0</v>
      </c>
      <c r="E3704" s="18">
        <f t="shared" ref="E3704:E3767" si="759">E2705</f>
        <v>0</v>
      </c>
      <c r="F3704" s="18">
        <f>IF(E3704=0,0,IF(Fixture!D709&lt;Fixture!F709,1,IF(Fixture!F709&lt;Fixture!D709,0,0)))</f>
        <v>0</v>
      </c>
      <c r="G3704" s="18">
        <f>IF(E3704=0,0,IF(Fixture!D709&lt;Fixture!F709,0,IF(Fixture!F709&lt;Fixture!D709,0,1)))</f>
        <v>0</v>
      </c>
      <c r="H3704" s="18">
        <f t="shared" ref="H3704:H3767" si="760">IF(E3704=0,0,IF(D3704&lt;&gt;0,0,1))</f>
        <v>0</v>
      </c>
      <c r="I3704" s="64">
        <f t="shared" ref="I3704:I3767" si="761">J2705</f>
        <v>0</v>
      </c>
      <c r="J3704" s="64">
        <f t="shared" ref="J3704:J3767" si="762">I2705</f>
        <v>0</v>
      </c>
      <c r="K3704" s="63">
        <f t="shared" ref="K3704:K3767" si="763">IF(E3704=0,0,IF(I3704&gt;0,0,1))</f>
        <v>0</v>
      </c>
      <c r="L3704" s="63">
        <f t="shared" ref="L3704:L3767" si="764">IF(E3704=0,0,IF(J3704&gt;0,0,1))</f>
        <v>0</v>
      </c>
      <c r="N3704" s="10" t="str">
        <f t="shared" si="755"/>
        <v>00</v>
      </c>
      <c r="O3704" s="10">
        <f t="shared" si="756"/>
        <v>0</v>
      </c>
      <c r="P3704" s="10">
        <f t="shared" si="757"/>
        <v>0</v>
      </c>
      <c r="Q3704" s="10">
        <f t="shared" si="758"/>
        <v>0</v>
      </c>
    </row>
    <row r="3705" spans="1:17">
      <c r="A3705" s="15">
        <f t="shared" ref="A3705:A3768" si="765">B749</f>
        <v>0</v>
      </c>
      <c r="B3705" s="15"/>
      <c r="C3705" s="17">
        <f>Fixture!E710</f>
        <v>0</v>
      </c>
      <c r="D3705" s="18">
        <f>IF(E3705=0,0,IF(Fixture!D710&lt;Fixture!F710,3,IF(Fixture!F710&lt;Fixture!D710,0,1)))</f>
        <v>0</v>
      </c>
      <c r="E3705" s="18">
        <f t="shared" si="759"/>
        <v>0</v>
      </c>
      <c r="F3705" s="18">
        <f>IF(E3705=0,0,IF(Fixture!D710&lt;Fixture!F710,1,IF(Fixture!F710&lt;Fixture!D710,0,0)))</f>
        <v>0</v>
      </c>
      <c r="G3705" s="18">
        <f>IF(E3705=0,0,IF(Fixture!D710&lt;Fixture!F710,0,IF(Fixture!F710&lt;Fixture!D710,0,1)))</f>
        <v>0</v>
      </c>
      <c r="H3705" s="18">
        <f t="shared" si="760"/>
        <v>0</v>
      </c>
      <c r="I3705" s="64">
        <f t="shared" si="761"/>
        <v>0</v>
      </c>
      <c r="J3705" s="64">
        <f t="shared" si="762"/>
        <v>0</v>
      </c>
      <c r="K3705" s="63">
        <f t="shared" si="763"/>
        <v>0</v>
      </c>
      <c r="L3705" s="63">
        <f t="shared" si="764"/>
        <v>0</v>
      </c>
      <c r="N3705" s="10" t="str">
        <f t="shared" si="755"/>
        <v>00</v>
      </c>
      <c r="O3705" s="10">
        <f t="shared" si="756"/>
        <v>0</v>
      </c>
      <c r="P3705" s="10">
        <f t="shared" si="757"/>
        <v>0</v>
      </c>
      <c r="Q3705" s="10">
        <f t="shared" si="758"/>
        <v>0</v>
      </c>
    </row>
    <row r="3706" spans="1:17">
      <c r="A3706" s="15">
        <f t="shared" si="765"/>
        <v>0</v>
      </c>
      <c r="B3706" s="15"/>
      <c r="C3706" s="17">
        <f>Fixture!E711</f>
        <v>0</v>
      </c>
      <c r="D3706" s="18">
        <f>IF(E3706=0,0,IF(Fixture!D711&lt;Fixture!F711,3,IF(Fixture!F711&lt;Fixture!D711,0,1)))</f>
        <v>0</v>
      </c>
      <c r="E3706" s="18">
        <f t="shared" si="759"/>
        <v>0</v>
      </c>
      <c r="F3706" s="18">
        <f>IF(E3706=0,0,IF(Fixture!D711&lt;Fixture!F711,1,IF(Fixture!F711&lt;Fixture!D711,0,0)))</f>
        <v>0</v>
      </c>
      <c r="G3706" s="18">
        <f>IF(E3706=0,0,IF(Fixture!D711&lt;Fixture!F711,0,IF(Fixture!F711&lt;Fixture!D711,0,1)))</f>
        <v>0</v>
      </c>
      <c r="H3706" s="18">
        <f t="shared" si="760"/>
        <v>0</v>
      </c>
      <c r="I3706" s="64">
        <f t="shared" si="761"/>
        <v>0</v>
      </c>
      <c r="J3706" s="64">
        <f t="shared" si="762"/>
        <v>0</v>
      </c>
      <c r="K3706" s="63">
        <f t="shared" si="763"/>
        <v>0</v>
      </c>
      <c r="L3706" s="63">
        <f t="shared" si="764"/>
        <v>0</v>
      </c>
      <c r="N3706" s="10" t="str">
        <f t="shared" si="755"/>
        <v>00</v>
      </c>
      <c r="O3706" s="10">
        <f t="shared" si="756"/>
        <v>0</v>
      </c>
      <c r="P3706" s="10">
        <f t="shared" si="757"/>
        <v>0</v>
      </c>
      <c r="Q3706" s="10">
        <f t="shared" si="758"/>
        <v>0</v>
      </c>
    </row>
    <row r="3707" spans="1:17">
      <c r="A3707" s="15">
        <f t="shared" si="765"/>
        <v>0</v>
      </c>
      <c r="B3707" s="15"/>
      <c r="C3707" s="17">
        <f>Fixture!E712</f>
        <v>0</v>
      </c>
      <c r="D3707" s="18">
        <f>IF(E3707=0,0,IF(Fixture!D712&lt;Fixture!F712,3,IF(Fixture!F712&lt;Fixture!D712,0,1)))</f>
        <v>0</v>
      </c>
      <c r="E3707" s="18">
        <f t="shared" si="759"/>
        <v>0</v>
      </c>
      <c r="F3707" s="18">
        <f>IF(E3707=0,0,IF(Fixture!D712&lt;Fixture!F712,1,IF(Fixture!F712&lt;Fixture!D712,0,0)))</f>
        <v>0</v>
      </c>
      <c r="G3707" s="18">
        <f>IF(E3707=0,0,IF(Fixture!D712&lt;Fixture!F712,0,IF(Fixture!F712&lt;Fixture!D712,0,1)))</f>
        <v>0</v>
      </c>
      <c r="H3707" s="18">
        <f t="shared" si="760"/>
        <v>0</v>
      </c>
      <c r="I3707" s="64">
        <f t="shared" si="761"/>
        <v>0</v>
      </c>
      <c r="J3707" s="64">
        <f t="shared" si="762"/>
        <v>0</v>
      </c>
      <c r="K3707" s="63">
        <f t="shared" si="763"/>
        <v>0</v>
      </c>
      <c r="L3707" s="63">
        <f t="shared" si="764"/>
        <v>0</v>
      </c>
      <c r="N3707" s="10" t="str">
        <f t="shared" si="755"/>
        <v>00</v>
      </c>
      <c r="O3707" s="10">
        <f t="shared" si="756"/>
        <v>0</v>
      </c>
      <c r="P3707" s="10">
        <f t="shared" si="757"/>
        <v>0</v>
      </c>
      <c r="Q3707" s="10">
        <f t="shared" si="758"/>
        <v>0</v>
      </c>
    </row>
    <row r="3708" spans="1:17">
      <c r="A3708" s="15">
        <f t="shared" si="765"/>
        <v>0</v>
      </c>
      <c r="B3708" s="15"/>
      <c r="C3708" s="17">
        <f>Fixture!E713</f>
        <v>0</v>
      </c>
      <c r="D3708" s="18">
        <f>IF(E3708=0,0,IF(Fixture!D713&lt;Fixture!F713,3,IF(Fixture!F713&lt;Fixture!D713,0,1)))</f>
        <v>0</v>
      </c>
      <c r="E3708" s="18">
        <f t="shared" si="759"/>
        <v>0</v>
      </c>
      <c r="F3708" s="18">
        <f>IF(E3708=0,0,IF(Fixture!D713&lt;Fixture!F713,1,IF(Fixture!F713&lt;Fixture!D713,0,0)))</f>
        <v>0</v>
      </c>
      <c r="G3708" s="18">
        <f>IF(E3708=0,0,IF(Fixture!D713&lt;Fixture!F713,0,IF(Fixture!F713&lt;Fixture!D713,0,1)))</f>
        <v>0</v>
      </c>
      <c r="H3708" s="18">
        <f t="shared" si="760"/>
        <v>0</v>
      </c>
      <c r="I3708" s="64">
        <f t="shared" si="761"/>
        <v>0</v>
      </c>
      <c r="J3708" s="64">
        <f t="shared" si="762"/>
        <v>0</v>
      </c>
      <c r="K3708" s="63">
        <f t="shared" si="763"/>
        <v>0</v>
      </c>
      <c r="L3708" s="63">
        <f t="shared" si="764"/>
        <v>0</v>
      </c>
      <c r="N3708" s="10" t="str">
        <f t="shared" si="755"/>
        <v>00</v>
      </c>
      <c r="O3708" s="10">
        <f t="shared" si="756"/>
        <v>0</v>
      </c>
      <c r="P3708" s="10">
        <f t="shared" si="757"/>
        <v>0</v>
      </c>
      <c r="Q3708" s="10">
        <f t="shared" si="758"/>
        <v>0</v>
      </c>
    </row>
    <row r="3709" spans="1:17">
      <c r="A3709" s="15">
        <f t="shared" si="765"/>
        <v>0</v>
      </c>
      <c r="B3709" s="15"/>
      <c r="C3709" s="17">
        <f>Fixture!E714</f>
        <v>0</v>
      </c>
      <c r="D3709" s="18">
        <f>IF(E3709=0,0,IF(Fixture!D714&lt;Fixture!F714,3,IF(Fixture!F714&lt;Fixture!D714,0,1)))</f>
        <v>0</v>
      </c>
      <c r="E3709" s="18">
        <f t="shared" si="759"/>
        <v>0</v>
      </c>
      <c r="F3709" s="18">
        <f>IF(E3709=0,0,IF(Fixture!D714&lt;Fixture!F714,1,IF(Fixture!F714&lt;Fixture!D714,0,0)))</f>
        <v>0</v>
      </c>
      <c r="G3709" s="18">
        <f>IF(E3709=0,0,IF(Fixture!D714&lt;Fixture!F714,0,IF(Fixture!F714&lt;Fixture!D714,0,1)))</f>
        <v>0</v>
      </c>
      <c r="H3709" s="18">
        <f t="shared" si="760"/>
        <v>0</v>
      </c>
      <c r="I3709" s="64">
        <f t="shared" si="761"/>
        <v>0</v>
      </c>
      <c r="J3709" s="64">
        <f t="shared" si="762"/>
        <v>0</v>
      </c>
      <c r="K3709" s="63">
        <f t="shared" si="763"/>
        <v>0</v>
      </c>
      <c r="L3709" s="63">
        <f t="shared" si="764"/>
        <v>0</v>
      </c>
      <c r="N3709" s="10" t="str">
        <f t="shared" si="755"/>
        <v>00</v>
      </c>
      <c r="O3709" s="10">
        <f t="shared" si="756"/>
        <v>0</v>
      </c>
      <c r="P3709" s="10">
        <f t="shared" si="757"/>
        <v>0</v>
      </c>
      <c r="Q3709" s="10">
        <f t="shared" si="758"/>
        <v>0</v>
      </c>
    </row>
    <row r="3710" spans="1:17">
      <c r="A3710" s="15">
        <f t="shared" si="765"/>
        <v>0</v>
      </c>
      <c r="B3710" s="15"/>
      <c r="C3710" s="17">
        <f>Fixture!E715</f>
        <v>0</v>
      </c>
      <c r="D3710" s="18">
        <f>IF(E3710=0,0,IF(Fixture!D715&lt;Fixture!F715,3,IF(Fixture!F715&lt;Fixture!D715,0,1)))</f>
        <v>0</v>
      </c>
      <c r="E3710" s="18">
        <f t="shared" si="759"/>
        <v>0</v>
      </c>
      <c r="F3710" s="18">
        <f>IF(E3710=0,0,IF(Fixture!D715&lt;Fixture!F715,1,IF(Fixture!F715&lt;Fixture!D715,0,0)))</f>
        <v>0</v>
      </c>
      <c r="G3710" s="18">
        <f>IF(E3710=0,0,IF(Fixture!D715&lt;Fixture!F715,0,IF(Fixture!F715&lt;Fixture!D715,0,1)))</f>
        <v>0</v>
      </c>
      <c r="H3710" s="18">
        <f t="shared" si="760"/>
        <v>0</v>
      </c>
      <c r="I3710" s="64">
        <f t="shared" si="761"/>
        <v>0</v>
      </c>
      <c r="J3710" s="64">
        <f t="shared" si="762"/>
        <v>0</v>
      </c>
      <c r="K3710" s="63">
        <f t="shared" si="763"/>
        <v>0</v>
      </c>
      <c r="L3710" s="63">
        <f t="shared" si="764"/>
        <v>0</v>
      </c>
      <c r="N3710" s="10" t="str">
        <f t="shared" si="755"/>
        <v>00</v>
      </c>
      <c r="O3710" s="10">
        <f t="shared" si="756"/>
        <v>0</v>
      </c>
      <c r="P3710" s="10">
        <f t="shared" si="757"/>
        <v>0</v>
      </c>
      <c r="Q3710" s="10">
        <f t="shared" si="758"/>
        <v>0</v>
      </c>
    </row>
    <row r="3711" spans="1:17">
      <c r="A3711" s="15">
        <f t="shared" si="765"/>
        <v>0</v>
      </c>
      <c r="B3711" s="15"/>
      <c r="C3711" s="17">
        <f>Fixture!E716</f>
        <v>0</v>
      </c>
      <c r="D3711" s="18">
        <f>IF(E3711=0,0,IF(Fixture!D716&lt;Fixture!F716,3,IF(Fixture!F716&lt;Fixture!D716,0,1)))</f>
        <v>0</v>
      </c>
      <c r="E3711" s="18">
        <f t="shared" si="759"/>
        <v>0</v>
      </c>
      <c r="F3711" s="18">
        <f>IF(E3711=0,0,IF(Fixture!D716&lt;Fixture!F716,1,IF(Fixture!F716&lt;Fixture!D716,0,0)))</f>
        <v>0</v>
      </c>
      <c r="G3711" s="18">
        <f>IF(E3711=0,0,IF(Fixture!D716&lt;Fixture!F716,0,IF(Fixture!F716&lt;Fixture!D716,0,1)))</f>
        <v>0</v>
      </c>
      <c r="H3711" s="18">
        <f t="shared" si="760"/>
        <v>0</v>
      </c>
      <c r="I3711" s="64">
        <f t="shared" si="761"/>
        <v>0</v>
      </c>
      <c r="J3711" s="64">
        <f t="shared" si="762"/>
        <v>0</v>
      </c>
      <c r="K3711" s="63">
        <f t="shared" si="763"/>
        <v>0</v>
      </c>
      <c r="L3711" s="63">
        <f t="shared" si="764"/>
        <v>0</v>
      </c>
      <c r="N3711" s="10" t="str">
        <f t="shared" si="755"/>
        <v>00</v>
      </c>
      <c r="O3711" s="10">
        <f t="shared" si="756"/>
        <v>0</v>
      </c>
      <c r="P3711" s="10">
        <f t="shared" si="757"/>
        <v>0</v>
      </c>
      <c r="Q3711" s="10">
        <f t="shared" si="758"/>
        <v>0</v>
      </c>
    </row>
    <row r="3712" spans="1:17">
      <c r="A3712" s="15">
        <f t="shared" si="765"/>
        <v>0</v>
      </c>
      <c r="B3712" s="15"/>
      <c r="C3712" s="17">
        <f>Fixture!E717</f>
        <v>0</v>
      </c>
      <c r="D3712" s="18">
        <f>IF(E3712=0,0,IF(Fixture!D717&lt;Fixture!F717,3,IF(Fixture!F717&lt;Fixture!D717,0,1)))</f>
        <v>0</v>
      </c>
      <c r="E3712" s="18">
        <f t="shared" si="759"/>
        <v>0</v>
      </c>
      <c r="F3712" s="18">
        <f>IF(E3712=0,0,IF(Fixture!D717&lt;Fixture!F717,1,IF(Fixture!F717&lt;Fixture!D717,0,0)))</f>
        <v>0</v>
      </c>
      <c r="G3712" s="18">
        <f>IF(E3712=0,0,IF(Fixture!D717&lt;Fixture!F717,0,IF(Fixture!F717&lt;Fixture!D717,0,1)))</f>
        <v>0</v>
      </c>
      <c r="H3712" s="18">
        <f t="shared" si="760"/>
        <v>0</v>
      </c>
      <c r="I3712" s="64">
        <f t="shared" si="761"/>
        <v>0</v>
      </c>
      <c r="J3712" s="64">
        <f t="shared" si="762"/>
        <v>0</v>
      </c>
      <c r="K3712" s="63">
        <f t="shared" si="763"/>
        <v>0</v>
      </c>
      <c r="L3712" s="63">
        <f t="shared" si="764"/>
        <v>0</v>
      </c>
      <c r="N3712" s="10" t="str">
        <f t="shared" si="755"/>
        <v>00</v>
      </c>
      <c r="O3712" s="10">
        <f t="shared" si="756"/>
        <v>0</v>
      </c>
      <c r="P3712" s="10">
        <f t="shared" si="757"/>
        <v>0</v>
      </c>
      <c r="Q3712" s="10">
        <f t="shared" si="758"/>
        <v>0</v>
      </c>
    </row>
    <row r="3713" spans="1:17">
      <c r="A3713" s="15">
        <f t="shared" si="765"/>
        <v>0</v>
      </c>
      <c r="B3713" s="15"/>
      <c r="C3713" s="17">
        <f>Fixture!E718</f>
        <v>0</v>
      </c>
      <c r="D3713" s="18">
        <f>IF(E3713=0,0,IF(Fixture!D718&lt;Fixture!F718,3,IF(Fixture!F718&lt;Fixture!D718,0,1)))</f>
        <v>0</v>
      </c>
      <c r="E3713" s="18">
        <f t="shared" si="759"/>
        <v>0</v>
      </c>
      <c r="F3713" s="18">
        <f>IF(E3713=0,0,IF(Fixture!D718&lt;Fixture!F718,1,IF(Fixture!F718&lt;Fixture!D718,0,0)))</f>
        <v>0</v>
      </c>
      <c r="G3713" s="18">
        <f>IF(E3713=0,0,IF(Fixture!D718&lt;Fixture!F718,0,IF(Fixture!F718&lt;Fixture!D718,0,1)))</f>
        <v>0</v>
      </c>
      <c r="H3713" s="18">
        <f t="shared" si="760"/>
        <v>0</v>
      </c>
      <c r="I3713" s="64">
        <f t="shared" si="761"/>
        <v>0</v>
      </c>
      <c r="J3713" s="64">
        <f t="shared" si="762"/>
        <v>0</v>
      </c>
      <c r="K3713" s="63">
        <f t="shared" si="763"/>
        <v>0</v>
      </c>
      <c r="L3713" s="63">
        <f t="shared" si="764"/>
        <v>0</v>
      </c>
      <c r="N3713" s="10" t="str">
        <f t="shared" si="755"/>
        <v>00</v>
      </c>
      <c r="O3713" s="10">
        <f t="shared" si="756"/>
        <v>0</v>
      </c>
      <c r="P3713" s="10">
        <f t="shared" si="757"/>
        <v>0</v>
      </c>
      <c r="Q3713" s="10">
        <f t="shared" si="758"/>
        <v>0</v>
      </c>
    </row>
    <row r="3714" spans="1:17">
      <c r="A3714" s="15">
        <f t="shared" si="765"/>
        <v>0</v>
      </c>
      <c r="B3714" s="15"/>
      <c r="C3714" s="17">
        <f>Fixture!E719</f>
        <v>0</v>
      </c>
      <c r="D3714" s="18">
        <f>IF(E3714=0,0,IF(Fixture!D719&lt;Fixture!F719,3,IF(Fixture!F719&lt;Fixture!D719,0,1)))</f>
        <v>0</v>
      </c>
      <c r="E3714" s="18">
        <f t="shared" si="759"/>
        <v>0</v>
      </c>
      <c r="F3714" s="18">
        <f>IF(E3714=0,0,IF(Fixture!D719&lt;Fixture!F719,1,IF(Fixture!F719&lt;Fixture!D719,0,0)))</f>
        <v>0</v>
      </c>
      <c r="G3714" s="18">
        <f>IF(E3714=0,0,IF(Fixture!D719&lt;Fixture!F719,0,IF(Fixture!F719&lt;Fixture!D719,0,1)))</f>
        <v>0</v>
      </c>
      <c r="H3714" s="18">
        <f t="shared" si="760"/>
        <v>0</v>
      </c>
      <c r="I3714" s="64">
        <f t="shared" si="761"/>
        <v>0</v>
      </c>
      <c r="J3714" s="64">
        <f t="shared" si="762"/>
        <v>0</v>
      </c>
      <c r="K3714" s="63">
        <f t="shared" si="763"/>
        <v>0</v>
      </c>
      <c r="L3714" s="63">
        <f t="shared" si="764"/>
        <v>0</v>
      </c>
      <c r="N3714" s="10" t="str">
        <f t="shared" si="755"/>
        <v>00</v>
      </c>
      <c r="O3714" s="10">
        <f t="shared" si="756"/>
        <v>0</v>
      </c>
      <c r="P3714" s="10">
        <f t="shared" si="757"/>
        <v>0</v>
      </c>
      <c r="Q3714" s="10">
        <f t="shared" si="758"/>
        <v>0</v>
      </c>
    </row>
    <row r="3715" spans="1:17">
      <c r="A3715" s="15">
        <f t="shared" si="765"/>
        <v>0</v>
      </c>
      <c r="B3715" s="15"/>
      <c r="C3715" s="17">
        <f>Fixture!E720</f>
        <v>0</v>
      </c>
      <c r="D3715" s="18">
        <f>IF(E3715=0,0,IF(Fixture!D720&lt;Fixture!F720,3,IF(Fixture!F720&lt;Fixture!D720,0,1)))</f>
        <v>0</v>
      </c>
      <c r="E3715" s="18">
        <f t="shared" si="759"/>
        <v>0</v>
      </c>
      <c r="F3715" s="18">
        <f>IF(E3715=0,0,IF(Fixture!D720&lt;Fixture!F720,1,IF(Fixture!F720&lt;Fixture!D720,0,0)))</f>
        <v>0</v>
      </c>
      <c r="G3715" s="18">
        <f>IF(E3715=0,0,IF(Fixture!D720&lt;Fixture!F720,0,IF(Fixture!F720&lt;Fixture!D720,0,1)))</f>
        <v>0</v>
      </c>
      <c r="H3715" s="18">
        <f t="shared" si="760"/>
        <v>0</v>
      </c>
      <c r="I3715" s="64">
        <f t="shared" si="761"/>
        <v>0</v>
      </c>
      <c r="J3715" s="64">
        <f t="shared" si="762"/>
        <v>0</v>
      </c>
      <c r="K3715" s="63">
        <f t="shared" si="763"/>
        <v>0</v>
      </c>
      <c r="L3715" s="63">
        <f t="shared" si="764"/>
        <v>0</v>
      </c>
      <c r="N3715" s="10" t="str">
        <f t="shared" si="755"/>
        <v>00</v>
      </c>
      <c r="O3715" s="10">
        <f t="shared" si="756"/>
        <v>0</v>
      </c>
      <c r="P3715" s="10">
        <f t="shared" si="757"/>
        <v>0</v>
      </c>
      <c r="Q3715" s="10">
        <f t="shared" si="758"/>
        <v>0</v>
      </c>
    </row>
    <row r="3716" spans="1:17">
      <c r="A3716" s="15">
        <f t="shared" si="765"/>
        <v>0</v>
      </c>
      <c r="B3716" s="15"/>
      <c r="C3716" s="17">
        <f>Fixture!E721</f>
        <v>0</v>
      </c>
      <c r="D3716" s="18">
        <f>IF(E3716=0,0,IF(Fixture!D721&lt;Fixture!F721,3,IF(Fixture!F721&lt;Fixture!D721,0,1)))</f>
        <v>0</v>
      </c>
      <c r="E3716" s="18">
        <f t="shared" si="759"/>
        <v>0</v>
      </c>
      <c r="F3716" s="18">
        <f>IF(E3716=0,0,IF(Fixture!D721&lt;Fixture!F721,1,IF(Fixture!F721&lt;Fixture!D721,0,0)))</f>
        <v>0</v>
      </c>
      <c r="G3716" s="18">
        <f>IF(E3716=0,0,IF(Fixture!D721&lt;Fixture!F721,0,IF(Fixture!F721&lt;Fixture!D721,0,1)))</f>
        <v>0</v>
      </c>
      <c r="H3716" s="18">
        <f t="shared" si="760"/>
        <v>0</v>
      </c>
      <c r="I3716" s="64">
        <f t="shared" si="761"/>
        <v>0</v>
      </c>
      <c r="J3716" s="64">
        <f t="shared" si="762"/>
        <v>0</v>
      </c>
      <c r="K3716" s="63">
        <f t="shared" si="763"/>
        <v>0</v>
      </c>
      <c r="L3716" s="63">
        <f t="shared" si="764"/>
        <v>0</v>
      </c>
      <c r="N3716" s="10" t="str">
        <f t="shared" si="755"/>
        <v>00</v>
      </c>
      <c r="O3716" s="10">
        <f t="shared" si="756"/>
        <v>0</v>
      </c>
      <c r="P3716" s="10">
        <f t="shared" si="757"/>
        <v>0</v>
      </c>
      <c r="Q3716" s="10">
        <f t="shared" si="758"/>
        <v>0</v>
      </c>
    </row>
    <row r="3717" spans="1:17">
      <c r="A3717" s="15">
        <f t="shared" si="765"/>
        <v>0</v>
      </c>
      <c r="B3717" s="15"/>
      <c r="C3717" s="17">
        <f>Fixture!E722</f>
        <v>0</v>
      </c>
      <c r="D3717" s="18">
        <f>IF(E3717=0,0,IF(Fixture!D722&lt;Fixture!F722,3,IF(Fixture!F722&lt;Fixture!D722,0,1)))</f>
        <v>0</v>
      </c>
      <c r="E3717" s="18">
        <f t="shared" si="759"/>
        <v>0</v>
      </c>
      <c r="F3717" s="18">
        <f>IF(E3717=0,0,IF(Fixture!D722&lt;Fixture!F722,1,IF(Fixture!F722&lt;Fixture!D722,0,0)))</f>
        <v>0</v>
      </c>
      <c r="G3717" s="18">
        <f>IF(E3717=0,0,IF(Fixture!D722&lt;Fixture!F722,0,IF(Fixture!F722&lt;Fixture!D722,0,1)))</f>
        <v>0</v>
      </c>
      <c r="H3717" s="18">
        <f t="shared" si="760"/>
        <v>0</v>
      </c>
      <c r="I3717" s="64">
        <f t="shared" si="761"/>
        <v>0</v>
      </c>
      <c r="J3717" s="64">
        <f t="shared" si="762"/>
        <v>0</v>
      </c>
      <c r="K3717" s="63">
        <f t="shared" si="763"/>
        <v>0</v>
      </c>
      <c r="L3717" s="63">
        <f t="shared" si="764"/>
        <v>0</v>
      </c>
      <c r="N3717" s="10" t="str">
        <f t="shared" si="755"/>
        <v>00</v>
      </c>
      <c r="O3717" s="10">
        <f t="shared" si="756"/>
        <v>0</v>
      </c>
      <c r="P3717" s="10">
        <f t="shared" si="757"/>
        <v>0</v>
      </c>
      <c r="Q3717" s="10">
        <f t="shared" si="758"/>
        <v>0</v>
      </c>
    </row>
    <row r="3718" spans="1:17">
      <c r="A3718" s="15">
        <f t="shared" si="765"/>
        <v>0</v>
      </c>
      <c r="B3718" s="15"/>
      <c r="C3718" s="17">
        <f>Fixture!E723</f>
        <v>0</v>
      </c>
      <c r="D3718" s="18">
        <f>IF(E3718=0,0,IF(Fixture!D723&lt;Fixture!F723,3,IF(Fixture!F723&lt;Fixture!D723,0,1)))</f>
        <v>0</v>
      </c>
      <c r="E3718" s="18">
        <f t="shared" si="759"/>
        <v>0</v>
      </c>
      <c r="F3718" s="18">
        <f>IF(E3718=0,0,IF(Fixture!D723&lt;Fixture!F723,1,IF(Fixture!F723&lt;Fixture!D723,0,0)))</f>
        <v>0</v>
      </c>
      <c r="G3718" s="18">
        <f>IF(E3718=0,0,IF(Fixture!D723&lt;Fixture!F723,0,IF(Fixture!F723&lt;Fixture!D723,0,1)))</f>
        <v>0</v>
      </c>
      <c r="H3718" s="18">
        <f t="shared" si="760"/>
        <v>0</v>
      </c>
      <c r="I3718" s="64">
        <f t="shared" si="761"/>
        <v>0</v>
      </c>
      <c r="J3718" s="64">
        <f t="shared" si="762"/>
        <v>0</v>
      </c>
      <c r="K3718" s="63">
        <f t="shared" si="763"/>
        <v>0</v>
      </c>
      <c r="L3718" s="63">
        <f t="shared" si="764"/>
        <v>0</v>
      </c>
      <c r="N3718" s="10" t="str">
        <f t="shared" si="755"/>
        <v>00</v>
      </c>
      <c r="O3718" s="10">
        <f t="shared" si="756"/>
        <v>0</v>
      </c>
      <c r="P3718" s="10">
        <f t="shared" si="757"/>
        <v>0</v>
      </c>
      <c r="Q3718" s="10">
        <f t="shared" si="758"/>
        <v>0</v>
      </c>
    </row>
    <row r="3719" spans="1:17">
      <c r="A3719" s="15">
        <f t="shared" si="765"/>
        <v>0</v>
      </c>
      <c r="B3719" s="15"/>
      <c r="C3719" s="17">
        <f>Fixture!E724</f>
        <v>0</v>
      </c>
      <c r="D3719" s="18">
        <f>IF(E3719=0,0,IF(Fixture!D724&lt;Fixture!F724,3,IF(Fixture!F724&lt;Fixture!D724,0,1)))</f>
        <v>0</v>
      </c>
      <c r="E3719" s="18">
        <f t="shared" si="759"/>
        <v>0</v>
      </c>
      <c r="F3719" s="18">
        <f>IF(E3719=0,0,IF(Fixture!D724&lt;Fixture!F724,1,IF(Fixture!F724&lt;Fixture!D724,0,0)))</f>
        <v>0</v>
      </c>
      <c r="G3719" s="18">
        <f>IF(E3719=0,0,IF(Fixture!D724&lt;Fixture!F724,0,IF(Fixture!F724&lt;Fixture!D724,0,1)))</f>
        <v>0</v>
      </c>
      <c r="H3719" s="18">
        <f t="shared" si="760"/>
        <v>0</v>
      </c>
      <c r="I3719" s="64">
        <f t="shared" si="761"/>
        <v>0</v>
      </c>
      <c r="J3719" s="64">
        <f t="shared" si="762"/>
        <v>0</v>
      </c>
      <c r="K3719" s="63">
        <f t="shared" si="763"/>
        <v>0</v>
      </c>
      <c r="L3719" s="63">
        <f t="shared" si="764"/>
        <v>0</v>
      </c>
      <c r="N3719" s="10" t="str">
        <f t="shared" si="755"/>
        <v>00</v>
      </c>
      <c r="O3719" s="10">
        <f t="shared" si="756"/>
        <v>0</v>
      </c>
      <c r="P3719" s="10">
        <f t="shared" si="757"/>
        <v>0</v>
      </c>
      <c r="Q3719" s="10">
        <f t="shared" si="758"/>
        <v>0</v>
      </c>
    </row>
    <row r="3720" spans="1:17">
      <c r="A3720" s="15">
        <f t="shared" si="765"/>
        <v>0</v>
      </c>
      <c r="B3720" s="15"/>
      <c r="C3720" s="17">
        <f>Fixture!E725</f>
        <v>0</v>
      </c>
      <c r="D3720" s="18">
        <f>IF(E3720=0,0,IF(Fixture!D725&lt;Fixture!F725,3,IF(Fixture!F725&lt;Fixture!D725,0,1)))</f>
        <v>0</v>
      </c>
      <c r="E3720" s="18">
        <f t="shared" si="759"/>
        <v>0</v>
      </c>
      <c r="F3720" s="18">
        <f>IF(E3720=0,0,IF(Fixture!D725&lt;Fixture!F725,1,IF(Fixture!F725&lt;Fixture!D725,0,0)))</f>
        <v>0</v>
      </c>
      <c r="G3720" s="18">
        <f>IF(E3720=0,0,IF(Fixture!D725&lt;Fixture!F725,0,IF(Fixture!F725&lt;Fixture!D725,0,1)))</f>
        <v>0</v>
      </c>
      <c r="H3720" s="18">
        <f t="shared" si="760"/>
        <v>0</v>
      </c>
      <c r="I3720" s="64">
        <f t="shared" si="761"/>
        <v>0</v>
      </c>
      <c r="J3720" s="64">
        <f t="shared" si="762"/>
        <v>0</v>
      </c>
      <c r="K3720" s="63">
        <f t="shared" si="763"/>
        <v>0</v>
      </c>
      <c r="L3720" s="63">
        <f t="shared" si="764"/>
        <v>0</v>
      </c>
      <c r="N3720" s="10" t="str">
        <f t="shared" si="755"/>
        <v>00</v>
      </c>
      <c r="O3720" s="10">
        <f t="shared" si="756"/>
        <v>0</v>
      </c>
      <c r="P3720" s="10">
        <f t="shared" si="757"/>
        <v>0</v>
      </c>
      <c r="Q3720" s="10">
        <f t="shared" si="758"/>
        <v>0</v>
      </c>
    </row>
    <row r="3721" spans="1:17">
      <c r="A3721" s="15">
        <f t="shared" si="765"/>
        <v>0</v>
      </c>
      <c r="B3721" s="15"/>
      <c r="C3721" s="17">
        <f>Fixture!E726</f>
        <v>0</v>
      </c>
      <c r="D3721" s="18">
        <f>IF(E3721=0,0,IF(Fixture!D726&lt;Fixture!F726,3,IF(Fixture!F726&lt;Fixture!D726,0,1)))</f>
        <v>0</v>
      </c>
      <c r="E3721" s="18">
        <f t="shared" si="759"/>
        <v>0</v>
      </c>
      <c r="F3721" s="18">
        <f>IF(E3721=0,0,IF(Fixture!D726&lt;Fixture!F726,1,IF(Fixture!F726&lt;Fixture!D726,0,0)))</f>
        <v>0</v>
      </c>
      <c r="G3721" s="18">
        <f>IF(E3721=0,0,IF(Fixture!D726&lt;Fixture!F726,0,IF(Fixture!F726&lt;Fixture!D726,0,1)))</f>
        <v>0</v>
      </c>
      <c r="H3721" s="18">
        <f t="shared" si="760"/>
        <v>0</v>
      </c>
      <c r="I3721" s="64">
        <f t="shared" si="761"/>
        <v>0</v>
      </c>
      <c r="J3721" s="64">
        <f t="shared" si="762"/>
        <v>0</v>
      </c>
      <c r="K3721" s="63">
        <f t="shared" si="763"/>
        <v>0</v>
      </c>
      <c r="L3721" s="63">
        <f t="shared" si="764"/>
        <v>0</v>
      </c>
      <c r="N3721" s="10" t="str">
        <f t="shared" si="755"/>
        <v>00</v>
      </c>
      <c r="O3721" s="10">
        <f t="shared" si="756"/>
        <v>0</v>
      </c>
      <c r="P3721" s="10">
        <f t="shared" si="757"/>
        <v>0</v>
      </c>
      <c r="Q3721" s="10">
        <f t="shared" si="758"/>
        <v>0</v>
      </c>
    </row>
    <row r="3722" spans="1:17">
      <c r="A3722" s="15">
        <f t="shared" si="765"/>
        <v>0</v>
      </c>
      <c r="B3722" s="15"/>
      <c r="C3722" s="17">
        <f>Fixture!E727</f>
        <v>0</v>
      </c>
      <c r="D3722" s="18">
        <f>IF(E3722=0,0,IF(Fixture!D727&lt;Fixture!F727,3,IF(Fixture!F727&lt;Fixture!D727,0,1)))</f>
        <v>0</v>
      </c>
      <c r="E3722" s="18">
        <f t="shared" si="759"/>
        <v>0</v>
      </c>
      <c r="F3722" s="18">
        <f>IF(E3722=0,0,IF(Fixture!D727&lt;Fixture!F727,1,IF(Fixture!F727&lt;Fixture!D727,0,0)))</f>
        <v>0</v>
      </c>
      <c r="G3722" s="18">
        <f>IF(E3722=0,0,IF(Fixture!D727&lt;Fixture!F727,0,IF(Fixture!F727&lt;Fixture!D727,0,1)))</f>
        <v>0</v>
      </c>
      <c r="H3722" s="18">
        <f t="shared" si="760"/>
        <v>0</v>
      </c>
      <c r="I3722" s="64">
        <f t="shared" si="761"/>
        <v>0</v>
      </c>
      <c r="J3722" s="64">
        <f t="shared" si="762"/>
        <v>0</v>
      </c>
      <c r="K3722" s="63">
        <f t="shared" si="763"/>
        <v>0</v>
      </c>
      <c r="L3722" s="63">
        <f t="shared" si="764"/>
        <v>0</v>
      </c>
      <c r="N3722" s="10" t="str">
        <f t="shared" si="755"/>
        <v>00</v>
      </c>
      <c r="O3722" s="10">
        <f t="shared" si="756"/>
        <v>0</v>
      </c>
      <c r="P3722" s="10">
        <f t="shared" si="757"/>
        <v>0</v>
      </c>
      <c r="Q3722" s="10">
        <f t="shared" si="758"/>
        <v>0</v>
      </c>
    </row>
    <row r="3723" spans="1:17">
      <c r="A3723" s="15">
        <f t="shared" si="765"/>
        <v>0</v>
      </c>
      <c r="B3723" s="15"/>
      <c r="C3723" s="17">
        <f>Fixture!E728</f>
        <v>0</v>
      </c>
      <c r="D3723" s="18">
        <f>IF(E3723=0,0,IF(Fixture!D728&lt;Fixture!F728,3,IF(Fixture!F728&lt;Fixture!D728,0,1)))</f>
        <v>0</v>
      </c>
      <c r="E3723" s="18">
        <f t="shared" si="759"/>
        <v>0</v>
      </c>
      <c r="F3723" s="18">
        <f>IF(E3723=0,0,IF(Fixture!D728&lt;Fixture!F728,1,IF(Fixture!F728&lt;Fixture!D728,0,0)))</f>
        <v>0</v>
      </c>
      <c r="G3723" s="18">
        <f>IF(E3723=0,0,IF(Fixture!D728&lt;Fixture!F728,0,IF(Fixture!F728&lt;Fixture!D728,0,1)))</f>
        <v>0</v>
      </c>
      <c r="H3723" s="18">
        <f t="shared" si="760"/>
        <v>0</v>
      </c>
      <c r="I3723" s="64">
        <f t="shared" si="761"/>
        <v>0</v>
      </c>
      <c r="J3723" s="64">
        <f t="shared" si="762"/>
        <v>0</v>
      </c>
      <c r="K3723" s="63">
        <f t="shared" si="763"/>
        <v>0</v>
      </c>
      <c r="L3723" s="63">
        <f t="shared" si="764"/>
        <v>0</v>
      </c>
      <c r="N3723" s="10" t="str">
        <f t="shared" si="755"/>
        <v>00</v>
      </c>
      <c r="O3723" s="10">
        <f t="shared" si="756"/>
        <v>0</v>
      </c>
      <c r="P3723" s="10">
        <f t="shared" si="757"/>
        <v>0</v>
      </c>
      <c r="Q3723" s="10">
        <f t="shared" si="758"/>
        <v>0</v>
      </c>
    </row>
    <row r="3724" spans="1:17">
      <c r="A3724" s="15">
        <f t="shared" si="765"/>
        <v>0</v>
      </c>
      <c r="B3724" s="15"/>
      <c r="C3724" s="17">
        <f>Fixture!E729</f>
        <v>0</v>
      </c>
      <c r="D3724" s="18">
        <f>IF(E3724=0,0,IF(Fixture!D729&lt;Fixture!F729,3,IF(Fixture!F729&lt;Fixture!D729,0,1)))</f>
        <v>0</v>
      </c>
      <c r="E3724" s="18">
        <f t="shared" si="759"/>
        <v>0</v>
      </c>
      <c r="F3724" s="18">
        <f>IF(E3724=0,0,IF(Fixture!D729&lt;Fixture!F729,1,IF(Fixture!F729&lt;Fixture!D729,0,0)))</f>
        <v>0</v>
      </c>
      <c r="G3724" s="18">
        <f>IF(E3724=0,0,IF(Fixture!D729&lt;Fixture!F729,0,IF(Fixture!F729&lt;Fixture!D729,0,1)))</f>
        <v>0</v>
      </c>
      <c r="H3724" s="18">
        <f t="shared" si="760"/>
        <v>0</v>
      </c>
      <c r="I3724" s="64">
        <f t="shared" si="761"/>
        <v>0</v>
      </c>
      <c r="J3724" s="64">
        <f t="shared" si="762"/>
        <v>0</v>
      </c>
      <c r="K3724" s="63">
        <f t="shared" si="763"/>
        <v>0</v>
      </c>
      <c r="L3724" s="63">
        <f t="shared" si="764"/>
        <v>0</v>
      </c>
      <c r="N3724" s="10" t="str">
        <f t="shared" si="755"/>
        <v>00</v>
      </c>
      <c r="O3724" s="10">
        <f t="shared" si="756"/>
        <v>0</v>
      </c>
      <c r="P3724" s="10">
        <f t="shared" si="757"/>
        <v>0</v>
      </c>
      <c r="Q3724" s="10">
        <f t="shared" si="758"/>
        <v>0</v>
      </c>
    </row>
    <row r="3725" spans="1:17">
      <c r="A3725" s="15">
        <f t="shared" si="765"/>
        <v>0</v>
      </c>
      <c r="B3725" s="15"/>
      <c r="C3725" s="17">
        <f>Fixture!E730</f>
        <v>0</v>
      </c>
      <c r="D3725" s="18">
        <f>IF(E3725=0,0,IF(Fixture!D730&lt;Fixture!F730,3,IF(Fixture!F730&lt;Fixture!D730,0,1)))</f>
        <v>0</v>
      </c>
      <c r="E3725" s="18">
        <f t="shared" si="759"/>
        <v>0</v>
      </c>
      <c r="F3725" s="18">
        <f>IF(E3725=0,0,IF(Fixture!D730&lt;Fixture!F730,1,IF(Fixture!F730&lt;Fixture!D730,0,0)))</f>
        <v>0</v>
      </c>
      <c r="G3725" s="18">
        <f>IF(E3725=0,0,IF(Fixture!D730&lt;Fixture!F730,0,IF(Fixture!F730&lt;Fixture!D730,0,1)))</f>
        <v>0</v>
      </c>
      <c r="H3725" s="18">
        <f t="shared" si="760"/>
        <v>0</v>
      </c>
      <c r="I3725" s="64">
        <f t="shared" si="761"/>
        <v>0</v>
      </c>
      <c r="J3725" s="64">
        <f t="shared" si="762"/>
        <v>0</v>
      </c>
      <c r="K3725" s="63">
        <f t="shared" si="763"/>
        <v>0</v>
      </c>
      <c r="L3725" s="63">
        <f t="shared" si="764"/>
        <v>0</v>
      </c>
      <c r="N3725" s="10" t="str">
        <f t="shared" si="755"/>
        <v>00</v>
      </c>
      <c r="O3725" s="10">
        <f t="shared" si="756"/>
        <v>0</v>
      </c>
      <c r="P3725" s="10">
        <f t="shared" si="757"/>
        <v>0</v>
      </c>
      <c r="Q3725" s="10">
        <f t="shared" si="758"/>
        <v>0</v>
      </c>
    </row>
    <row r="3726" spans="1:17">
      <c r="A3726" s="15">
        <f t="shared" si="765"/>
        <v>0</v>
      </c>
      <c r="B3726" s="15"/>
      <c r="C3726" s="17">
        <f>Fixture!E731</f>
        <v>0</v>
      </c>
      <c r="D3726" s="18">
        <f>IF(E3726=0,0,IF(Fixture!D731&lt;Fixture!F731,3,IF(Fixture!F731&lt;Fixture!D731,0,1)))</f>
        <v>0</v>
      </c>
      <c r="E3726" s="18">
        <f t="shared" si="759"/>
        <v>0</v>
      </c>
      <c r="F3726" s="18">
        <f>IF(E3726=0,0,IF(Fixture!D731&lt;Fixture!F731,1,IF(Fixture!F731&lt;Fixture!D731,0,0)))</f>
        <v>0</v>
      </c>
      <c r="G3726" s="18">
        <f>IF(E3726=0,0,IF(Fixture!D731&lt;Fixture!F731,0,IF(Fixture!F731&lt;Fixture!D731,0,1)))</f>
        <v>0</v>
      </c>
      <c r="H3726" s="18">
        <f t="shared" si="760"/>
        <v>0</v>
      </c>
      <c r="I3726" s="64">
        <f t="shared" si="761"/>
        <v>0</v>
      </c>
      <c r="J3726" s="64">
        <f t="shared" si="762"/>
        <v>0</v>
      </c>
      <c r="K3726" s="63">
        <f t="shared" si="763"/>
        <v>0</v>
      </c>
      <c r="L3726" s="63">
        <f t="shared" si="764"/>
        <v>0</v>
      </c>
      <c r="N3726" s="10" t="str">
        <f t="shared" si="755"/>
        <v>00</v>
      </c>
      <c r="O3726" s="10">
        <f t="shared" si="756"/>
        <v>0</v>
      </c>
      <c r="P3726" s="10">
        <f t="shared" si="757"/>
        <v>0</v>
      </c>
      <c r="Q3726" s="10">
        <f t="shared" si="758"/>
        <v>0</v>
      </c>
    </row>
    <row r="3727" spans="1:17">
      <c r="A3727" s="15">
        <f t="shared" si="765"/>
        <v>0</v>
      </c>
      <c r="B3727" s="15"/>
      <c r="C3727" s="17">
        <f>Fixture!E732</f>
        <v>0</v>
      </c>
      <c r="D3727" s="18">
        <f>IF(E3727=0,0,IF(Fixture!D732&lt;Fixture!F732,3,IF(Fixture!F732&lt;Fixture!D732,0,1)))</f>
        <v>0</v>
      </c>
      <c r="E3727" s="18">
        <f t="shared" si="759"/>
        <v>0</v>
      </c>
      <c r="F3727" s="18">
        <f>IF(E3727=0,0,IF(Fixture!D732&lt;Fixture!F732,1,IF(Fixture!F732&lt;Fixture!D732,0,0)))</f>
        <v>0</v>
      </c>
      <c r="G3727" s="18">
        <f>IF(E3727=0,0,IF(Fixture!D732&lt;Fixture!F732,0,IF(Fixture!F732&lt;Fixture!D732,0,1)))</f>
        <v>0</v>
      </c>
      <c r="H3727" s="18">
        <f t="shared" si="760"/>
        <v>0</v>
      </c>
      <c r="I3727" s="64">
        <f t="shared" si="761"/>
        <v>0</v>
      </c>
      <c r="J3727" s="64">
        <f t="shared" si="762"/>
        <v>0</v>
      </c>
      <c r="K3727" s="63">
        <f t="shared" si="763"/>
        <v>0</v>
      </c>
      <c r="L3727" s="63">
        <f t="shared" si="764"/>
        <v>0</v>
      </c>
      <c r="N3727" s="10" t="str">
        <f t="shared" si="755"/>
        <v>00</v>
      </c>
      <c r="O3727" s="10">
        <f t="shared" si="756"/>
        <v>0</v>
      </c>
      <c r="P3727" s="10">
        <f t="shared" si="757"/>
        <v>0</v>
      </c>
      <c r="Q3727" s="10">
        <f t="shared" si="758"/>
        <v>0</v>
      </c>
    </row>
    <row r="3728" spans="1:17">
      <c r="A3728" s="15">
        <f t="shared" si="765"/>
        <v>0</v>
      </c>
      <c r="B3728" s="15"/>
      <c r="C3728" s="17">
        <f>Fixture!E733</f>
        <v>0</v>
      </c>
      <c r="D3728" s="18">
        <f>IF(E3728=0,0,IF(Fixture!D733&lt;Fixture!F733,3,IF(Fixture!F733&lt;Fixture!D733,0,1)))</f>
        <v>0</v>
      </c>
      <c r="E3728" s="18">
        <f t="shared" si="759"/>
        <v>0</v>
      </c>
      <c r="F3728" s="18">
        <f>IF(E3728=0,0,IF(Fixture!D733&lt;Fixture!F733,1,IF(Fixture!F733&lt;Fixture!D733,0,0)))</f>
        <v>0</v>
      </c>
      <c r="G3728" s="18">
        <f>IF(E3728=0,0,IF(Fixture!D733&lt;Fixture!F733,0,IF(Fixture!F733&lt;Fixture!D733,0,1)))</f>
        <v>0</v>
      </c>
      <c r="H3728" s="18">
        <f t="shared" si="760"/>
        <v>0</v>
      </c>
      <c r="I3728" s="64">
        <f t="shared" si="761"/>
        <v>0</v>
      </c>
      <c r="J3728" s="64">
        <f t="shared" si="762"/>
        <v>0</v>
      </c>
      <c r="K3728" s="63">
        <f t="shared" si="763"/>
        <v>0</v>
      </c>
      <c r="L3728" s="63">
        <f t="shared" si="764"/>
        <v>0</v>
      </c>
      <c r="N3728" s="10" t="str">
        <f t="shared" si="755"/>
        <v>00</v>
      </c>
      <c r="O3728" s="10">
        <f t="shared" si="756"/>
        <v>0</v>
      </c>
      <c r="P3728" s="10">
        <f t="shared" si="757"/>
        <v>0</v>
      </c>
      <c r="Q3728" s="10">
        <f t="shared" si="758"/>
        <v>0</v>
      </c>
    </row>
    <row r="3729" spans="1:17">
      <c r="A3729" s="15">
        <f t="shared" si="765"/>
        <v>0</v>
      </c>
      <c r="B3729" s="15"/>
      <c r="C3729" s="17">
        <f>Fixture!E734</f>
        <v>0</v>
      </c>
      <c r="D3729" s="18">
        <f>IF(E3729=0,0,IF(Fixture!D734&lt;Fixture!F734,3,IF(Fixture!F734&lt;Fixture!D734,0,1)))</f>
        <v>0</v>
      </c>
      <c r="E3729" s="18">
        <f t="shared" si="759"/>
        <v>0</v>
      </c>
      <c r="F3729" s="18">
        <f>IF(E3729=0,0,IF(Fixture!D734&lt;Fixture!F734,1,IF(Fixture!F734&lt;Fixture!D734,0,0)))</f>
        <v>0</v>
      </c>
      <c r="G3729" s="18">
        <f>IF(E3729=0,0,IF(Fixture!D734&lt;Fixture!F734,0,IF(Fixture!F734&lt;Fixture!D734,0,1)))</f>
        <v>0</v>
      </c>
      <c r="H3729" s="18">
        <f t="shared" si="760"/>
        <v>0</v>
      </c>
      <c r="I3729" s="64">
        <f t="shared" si="761"/>
        <v>0</v>
      </c>
      <c r="J3729" s="64">
        <f t="shared" si="762"/>
        <v>0</v>
      </c>
      <c r="K3729" s="63">
        <f t="shared" si="763"/>
        <v>0</v>
      </c>
      <c r="L3729" s="63">
        <f t="shared" si="764"/>
        <v>0</v>
      </c>
      <c r="N3729" s="10" t="str">
        <f t="shared" si="755"/>
        <v>00</v>
      </c>
      <c r="O3729" s="10">
        <f t="shared" si="756"/>
        <v>0</v>
      </c>
      <c r="P3729" s="10">
        <f t="shared" si="757"/>
        <v>0</v>
      </c>
      <c r="Q3729" s="10">
        <f t="shared" si="758"/>
        <v>0</v>
      </c>
    </row>
    <row r="3730" spans="1:17">
      <c r="A3730" s="15">
        <f t="shared" si="765"/>
        <v>0</v>
      </c>
      <c r="B3730" s="15"/>
      <c r="C3730" s="17">
        <f>Fixture!E735</f>
        <v>0</v>
      </c>
      <c r="D3730" s="18">
        <f>IF(E3730=0,0,IF(Fixture!D735&lt;Fixture!F735,3,IF(Fixture!F735&lt;Fixture!D735,0,1)))</f>
        <v>0</v>
      </c>
      <c r="E3730" s="18">
        <f t="shared" si="759"/>
        <v>0</v>
      </c>
      <c r="F3730" s="18">
        <f>IF(E3730=0,0,IF(Fixture!D735&lt;Fixture!F735,1,IF(Fixture!F735&lt;Fixture!D735,0,0)))</f>
        <v>0</v>
      </c>
      <c r="G3730" s="18">
        <f>IF(E3730=0,0,IF(Fixture!D735&lt;Fixture!F735,0,IF(Fixture!F735&lt;Fixture!D735,0,1)))</f>
        <v>0</v>
      </c>
      <c r="H3730" s="18">
        <f t="shared" si="760"/>
        <v>0</v>
      </c>
      <c r="I3730" s="64">
        <f t="shared" si="761"/>
        <v>0</v>
      </c>
      <c r="J3730" s="64">
        <f t="shared" si="762"/>
        <v>0</v>
      </c>
      <c r="K3730" s="63">
        <f t="shared" si="763"/>
        <v>0</v>
      </c>
      <c r="L3730" s="63">
        <f t="shared" si="764"/>
        <v>0</v>
      </c>
      <c r="N3730" s="10" t="str">
        <f t="shared" ref="N3730:N3793" si="766">CONCATENATE(C3730,A3730)</f>
        <v>00</v>
      </c>
      <c r="O3730" s="10">
        <f t="shared" ref="O3730:O3793" si="767">D3730</f>
        <v>0</v>
      </c>
      <c r="P3730" s="10">
        <f t="shared" ref="P3730:P3793" si="768">I3730</f>
        <v>0</v>
      </c>
      <c r="Q3730" s="10">
        <f t="shared" ref="Q3730:Q3793" si="769">J3730</f>
        <v>0</v>
      </c>
    </row>
    <row r="3731" spans="1:17">
      <c r="A3731" s="15">
        <f t="shared" si="765"/>
        <v>0</v>
      </c>
      <c r="B3731" s="15"/>
      <c r="C3731" s="17">
        <f>Fixture!E736</f>
        <v>0</v>
      </c>
      <c r="D3731" s="18">
        <f>IF(E3731=0,0,IF(Fixture!D736&lt;Fixture!F736,3,IF(Fixture!F736&lt;Fixture!D736,0,1)))</f>
        <v>0</v>
      </c>
      <c r="E3731" s="18">
        <f t="shared" si="759"/>
        <v>0</v>
      </c>
      <c r="F3731" s="18">
        <f>IF(E3731=0,0,IF(Fixture!D736&lt;Fixture!F736,1,IF(Fixture!F736&lt;Fixture!D736,0,0)))</f>
        <v>0</v>
      </c>
      <c r="G3731" s="18">
        <f>IF(E3731=0,0,IF(Fixture!D736&lt;Fixture!F736,0,IF(Fixture!F736&lt;Fixture!D736,0,1)))</f>
        <v>0</v>
      </c>
      <c r="H3731" s="18">
        <f t="shared" si="760"/>
        <v>0</v>
      </c>
      <c r="I3731" s="64">
        <f t="shared" si="761"/>
        <v>0</v>
      </c>
      <c r="J3731" s="64">
        <f t="shared" si="762"/>
        <v>0</v>
      </c>
      <c r="K3731" s="63">
        <f t="shared" si="763"/>
        <v>0</v>
      </c>
      <c r="L3731" s="63">
        <f t="shared" si="764"/>
        <v>0</v>
      </c>
      <c r="N3731" s="10" t="str">
        <f t="shared" si="766"/>
        <v>00</v>
      </c>
      <c r="O3731" s="10">
        <f t="shared" si="767"/>
        <v>0</v>
      </c>
      <c r="P3731" s="10">
        <f t="shared" si="768"/>
        <v>0</v>
      </c>
      <c r="Q3731" s="10">
        <f t="shared" si="769"/>
        <v>0</v>
      </c>
    </row>
    <row r="3732" spans="1:17">
      <c r="A3732" s="15">
        <f t="shared" si="765"/>
        <v>0</v>
      </c>
      <c r="B3732" s="15"/>
      <c r="C3732" s="17">
        <f>Fixture!E737</f>
        <v>0</v>
      </c>
      <c r="D3732" s="18">
        <f>IF(E3732=0,0,IF(Fixture!D737&lt;Fixture!F737,3,IF(Fixture!F737&lt;Fixture!D737,0,1)))</f>
        <v>0</v>
      </c>
      <c r="E3732" s="18">
        <f t="shared" si="759"/>
        <v>0</v>
      </c>
      <c r="F3732" s="18">
        <f>IF(E3732=0,0,IF(Fixture!D737&lt;Fixture!F737,1,IF(Fixture!F737&lt;Fixture!D737,0,0)))</f>
        <v>0</v>
      </c>
      <c r="G3732" s="18">
        <f>IF(E3732=0,0,IF(Fixture!D737&lt;Fixture!F737,0,IF(Fixture!F737&lt;Fixture!D737,0,1)))</f>
        <v>0</v>
      </c>
      <c r="H3732" s="18">
        <f t="shared" si="760"/>
        <v>0</v>
      </c>
      <c r="I3732" s="64">
        <f t="shared" si="761"/>
        <v>0</v>
      </c>
      <c r="J3732" s="64">
        <f t="shared" si="762"/>
        <v>0</v>
      </c>
      <c r="K3732" s="63">
        <f t="shared" si="763"/>
        <v>0</v>
      </c>
      <c r="L3732" s="63">
        <f t="shared" si="764"/>
        <v>0</v>
      </c>
      <c r="N3732" s="10" t="str">
        <f t="shared" si="766"/>
        <v>00</v>
      </c>
      <c r="O3732" s="10">
        <f t="shared" si="767"/>
        <v>0</v>
      </c>
      <c r="P3732" s="10">
        <f t="shared" si="768"/>
        <v>0</v>
      </c>
      <c r="Q3732" s="10">
        <f t="shared" si="769"/>
        <v>0</v>
      </c>
    </row>
    <row r="3733" spans="1:17">
      <c r="A3733" s="15">
        <f t="shared" si="765"/>
        <v>0</v>
      </c>
      <c r="B3733" s="15"/>
      <c r="C3733" s="17">
        <f>Fixture!E738</f>
        <v>0</v>
      </c>
      <c r="D3733" s="18">
        <f>IF(E3733=0,0,IF(Fixture!D738&lt;Fixture!F738,3,IF(Fixture!F738&lt;Fixture!D738,0,1)))</f>
        <v>0</v>
      </c>
      <c r="E3733" s="18">
        <f t="shared" si="759"/>
        <v>0</v>
      </c>
      <c r="F3733" s="18">
        <f>IF(E3733=0,0,IF(Fixture!D738&lt;Fixture!F738,1,IF(Fixture!F738&lt;Fixture!D738,0,0)))</f>
        <v>0</v>
      </c>
      <c r="G3733" s="18">
        <f>IF(E3733=0,0,IF(Fixture!D738&lt;Fixture!F738,0,IF(Fixture!F738&lt;Fixture!D738,0,1)))</f>
        <v>0</v>
      </c>
      <c r="H3733" s="18">
        <f t="shared" si="760"/>
        <v>0</v>
      </c>
      <c r="I3733" s="64">
        <f t="shared" si="761"/>
        <v>0</v>
      </c>
      <c r="J3733" s="64">
        <f t="shared" si="762"/>
        <v>0</v>
      </c>
      <c r="K3733" s="63">
        <f t="shared" si="763"/>
        <v>0</v>
      </c>
      <c r="L3733" s="63">
        <f t="shared" si="764"/>
        <v>0</v>
      </c>
      <c r="N3733" s="10" t="str">
        <f t="shared" si="766"/>
        <v>00</v>
      </c>
      <c r="O3733" s="10">
        <f t="shared" si="767"/>
        <v>0</v>
      </c>
      <c r="P3733" s="10">
        <f t="shared" si="768"/>
        <v>0</v>
      </c>
      <c r="Q3733" s="10">
        <f t="shared" si="769"/>
        <v>0</v>
      </c>
    </row>
    <row r="3734" spans="1:17">
      <c r="A3734" s="15">
        <f t="shared" si="765"/>
        <v>0</v>
      </c>
      <c r="B3734" s="15"/>
      <c r="C3734" s="17">
        <f>Fixture!E739</f>
        <v>0</v>
      </c>
      <c r="D3734" s="18">
        <f>IF(E3734=0,0,IF(Fixture!D739&lt;Fixture!F739,3,IF(Fixture!F739&lt;Fixture!D739,0,1)))</f>
        <v>0</v>
      </c>
      <c r="E3734" s="18">
        <f t="shared" si="759"/>
        <v>0</v>
      </c>
      <c r="F3734" s="18">
        <f>IF(E3734=0,0,IF(Fixture!D739&lt;Fixture!F739,1,IF(Fixture!F739&lt;Fixture!D739,0,0)))</f>
        <v>0</v>
      </c>
      <c r="G3734" s="18">
        <f>IF(E3734=0,0,IF(Fixture!D739&lt;Fixture!F739,0,IF(Fixture!F739&lt;Fixture!D739,0,1)))</f>
        <v>0</v>
      </c>
      <c r="H3734" s="18">
        <f t="shared" si="760"/>
        <v>0</v>
      </c>
      <c r="I3734" s="64">
        <f t="shared" si="761"/>
        <v>0</v>
      </c>
      <c r="J3734" s="64">
        <f t="shared" si="762"/>
        <v>0</v>
      </c>
      <c r="K3734" s="63">
        <f t="shared" si="763"/>
        <v>0</v>
      </c>
      <c r="L3734" s="63">
        <f t="shared" si="764"/>
        <v>0</v>
      </c>
      <c r="N3734" s="10" t="str">
        <f t="shared" si="766"/>
        <v>00</v>
      </c>
      <c r="O3734" s="10">
        <f t="shared" si="767"/>
        <v>0</v>
      </c>
      <c r="P3734" s="10">
        <f t="shared" si="768"/>
        <v>0</v>
      </c>
      <c r="Q3734" s="10">
        <f t="shared" si="769"/>
        <v>0</v>
      </c>
    </row>
    <row r="3735" spans="1:17">
      <c r="A3735" s="15">
        <f t="shared" si="765"/>
        <v>0</v>
      </c>
      <c r="B3735" s="15"/>
      <c r="C3735" s="17">
        <f>Fixture!E740</f>
        <v>0</v>
      </c>
      <c r="D3735" s="18">
        <f>IF(E3735=0,0,IF(Fixture!D740&lt;Fixture!F740,3,IF(Fixture!F740&lt;Fixture!D740,0,1)))</f>
        <v>0</v>
      </c>
      <c r="E3735" s="18">
        <f t="shared" si="759"/>
        <v>0</v>
      </c>
      <c r="F3735" s="18">
        <f>IF(E3735=0,0,IF(Fixture!D740&lt;Fixture!F740,1,IF(Fixture!F740&lt;Fixture!D740,0,0)))</f>
        <v>0</v>
      </c>
      <c r="G3735" s="18">
        <f>IF(E3735=0,0,IF(Fixture!D740&lt;Fixture!F740,0,IF(Fixture!F740&lt;Fixture!D740,0,1)))</f>
        <v>0</v>
      </c>
      <c r="H3735" s="18">
        <f t="shared" si="760"/>
        <v>0</v>
      </c>
      <c r="I3735" s="64">
        <f t="shared" si="761"/>
        <v>0</v>
      </c>
      <c r="J3735" s="64">
        <f t="shared" si="762"/>
        <v>0</v>
      </c>
      <c r="K3735" s="63">
        <f t="shared" si="763"/>
        <v>0</v>
      </c>
      <c r="L3735" s="63">
        <f t="shared" si="764"/>
        <v>0</v>
      </c>
      <c r="N3735" s="10" t="str">
        <f t="shared" si="766"/>
        <v>00</v>
      </c>
      <c r="O3735" s="10">
        <f t="shared" si="767"/>
        <v>0</v>
      </c>
      <c r="P3735" s="10">
        <f t="shared" si="768"/>
        <v>0</v>
      </c>
      <c r="Q3735" s="10">
        <f t="shared" si="769"/>
        <v>0</v>
      </c>
    </row>
    <row r="3736" spans="1:17">
      <c r="A3736" s="15">
        <f t="shared" si="765"/>
        <v>0</v>
      </c>
      <c r="B3736" s="15"/>
      <c r="C3736" s="17">
        <f>Fixture!E741</f>
        <v>0</v>
      </c>
      <c r="D3736" s="18">
        <f>IF(E3736=0,0,IF(Fixture!D741&lt;Fixture!F741,3,IF(Fixture!F741&lt;Fixture!D741,0,1)))</f>
        <v>0</v>
      </c>
      <c r="E3736" s="18">
        <f t="shared" si="759"/>
        <v>0</v>
      </c>
      <c r="F3736" s="18">
        <f>IF(E3736=0,0,IF(Fixture!D741&lt;Fixture!F741,1,IF(Fixture!F741&lt;Fixture!D741,0,0)))</f>
        <v>0</v>
      </c>
      <c r="G3736" s="18">
        <f>IF(E3736=0,0,IF(Fixture!D741&lt;Fixture!F741,0,IF(Fixture!F741&lt;Fixture!D741,0,1)))</f>
        <v>0</v>
      </c>
      <c r="H3736" s="18">
        <f t="shared" si="760"/>
        <v>0</v>
      </c>
      <c r="I3736" s="64">
        <f t="shared" si="761"/>
        <v>0</v>
      </c>
      <c r="J3736" s="64">
        <f t="shared" si="762"/>
        <v>0</v>
      </c>
      <c r="K3736" s="63">
        <f t="shared" si="763"/>
        <v>0</v>
      </c>
      <c r="L3736" s="63">
        <f t="shared" si="764"/>
        <v>0</v>
      </c>
      <c r="N3736" s="10" t="str">
        <f t="shared" si="766"/>
        <v>00</v>
      </c>
      <c r="O3736" s="10">
        <f t="shared" si="767"/>
        <v>0</v>
      </c>
      <c r="P3736" s="10">
        <f t="shared" si="768"/>
        <v>0</v>
      </c>
      <c r="Q3736" s="10">
        <f t="shared" si="769"/>
        <v>0</v>
      </c>
    </row>
    <row r="3737" spans="1:17">
      <c r="A3737" s="15">
        <f t="shared" si="765"/>
        <v>0</v>
      </c>
      <c r="B3737" s="15"/>
      <c r="C3737" s="17">
        <f>Fixture!E742</f>
        <v>0</v>
      </c>
      <c r="D3737" s="18">
        <f>IF(E3737=0,0,IF(Fixture!D742&lt;Fixture!F742,3,IF(Fixture!F742&lt;Fixture!D742,0,1)))</f>
        <v>0</v>
      </c>
      <c r="E3737" s="18">
        <f t="shared" si="759"/>
        <v>0</v>
      </c>
      <c r="F3737" s="18">
        <f>IF(E3737=0,0,IF(Fixture!D742&lt;Fixture!F742,1,IF(Fixture!F742&lt;Fixture!D742,0,0)))</f>
        <v>0</v>
      </c>
      <c r="G3737" s="18">
        <f>IF(E3737=0,0,IF(Fixture!D742&lt;Fixture!F742,0,IF(Fixture!F742&lt;Fixture!D742,0,1)))</f>
        <v>0</v>
      </c>
      <c r="H3737" s="18">
        <f t="shared" si="760"/>
        <v>0</v>
      </c>
      <c r="I3737" s="64">
        <f t="shared" si="761"/>
        <v>0</v>
      </c>
      <c r="J3737" s="64">
        <f t="shared" si="762"/>
        <v>0</v>
      </c>
      <c r="K3737" s="63">
        <f t="shared" si="763"/>
        <v>0</v>
      </c>
      <c r="L3737" s="63">
        <f t="shared" si="764"/>
        <v>0</v>
      </c>
      <c r="N3737" s="10" t="str">
        <f t="shared" si="766"/>
        <v>00</v>
      </c>
      <c r="O3737" s="10">
        <f t="shared" si="767"/>
        <v>0</v>
      </c>
      <c r="P3737" s="10">
        <f t="shared" si="768"/>
        <v>0</v>
      </c>
      <c r="Q3737" s="10">
        <f t="shared" si="769"/>
        <v>0</v>
      </c>
    </row>
    <row r="3738" spans="1:17">
      <c r="A3738" s="15">
        <f t="shared" si="765"/>
        <v>0</v>
      </c>
      <c r="B3738" s="15"/>
      <c r="C3738" s="17">
        <f>Fixture!E743</f>
        <v>0</v>
      </c>
      <c r="D3738" s="18">
        <f>IF(E3738=0,0,IF(Fixture!D743&lt;Fixture!F743,3,IF(Fixture!F743&lt;Fixture!D743,0,1)))</f>
        <v>0</v>
      </c>
      <c r="E3738" s="18">
        <f t="shared" si="759"/>
        <v>0</v>
      </c>
      <c r="F3738" s="18">
        <f>IF(E3738=0,0,IF(Fixture!D743&lt;Fixture!F743,1,IF(Fixture!F743&lt;Fixture!D743,0,0)))</f>
        <v>0</v>
      </c>
      <c r="G3738" s="18">
        <f>IF(E3738=0,0,IF(Fixture!D743&lt;Fixture!F743,0,IF(Fixture!F743&lt;Fixture!D743,0,1)))</f>
        <v>0</v>
      </c>
      <c r="H3738" s="18">
        <f t="shared" si="760"/>
        <v>0</v>
      </c>
      <c r="I3738" s="64">
        <f t="shared" si="761"/>
        <v>0</v>
      </c>
      <c r="J3738" s="64">
        <f t="shared" si="762"/>
        <v>0</v>
      </c>
      <c r="K3738" s="63">
        <f t="shared" si="763"/>
        <v>0</v>
      </c>
      <c r="L3738" s="63">
        <f t="shared" si="764"/>
        <v>0</v>
      </c>
      <c r="N3738" s="10" t="str">
        <f t="shared" si="766"/>
        <v>00</v>
      </c>
      <c r="O3738" s="10">
        <f t="shared" si="767"/>
        <v>0</v>
      </c>
      <c r="P3738" s="10">
        <f t="shared" si="768"/>
        <v>0</v>
      </c>
      <c r="Q3738" s="10">
        <f t="shared" si="769"/>
        <v>0</v>
      </c>
    </row>
    <row r="3739" spans="1:17">
      <c r="A3739" s="15">
        <f t="shared" si="765"/>
        <v>0</v>
      </c>
      <c r="B3739" s="15"/>
      <c r="C3739" s="17">
        <f>Fixture!E744</f>
        <v>0</v>
      </c>
      <c r="D3739" s="18">
        <f>IF(E3739=0,0,IF(Fixture!D744&lt;Fixture!F744,3,IF(Fixture!F744&lt;Fixture!D744,0,1)))</f>
        <v>0</v>
      </c>
      <c r="E3739" s="18">
        <f t="shared" si="759"/>
        <v>0</v>
      </c>
      <c r="F3739" s="18">
        <f>IF(E3739=0,0,IF(Fixture!D744&lt;Fixture!F744,1,IF(Fixture!F744&lt;Fixture!D744,0,0)))</f>
        <v>0</v>
      </c>
      <c r="G3739" s="18">
        <f>IF(E3739=0,0,IF(Fixture!D744&lt;Fixture!F744,0,IF(Fixture!F744&lt;Fixture!D744,0,1)))</f>
        <v>0</v>
      </c>
      <c r="H3739" s="18">
        <f t="shared" si="760"/>
        <v>0</v>
      </c>
      <c r="I3739" s="64">
        <f t="shared" si="761"/>
        <v>0</v>
      </c>
      <c r="J3739" s="64">
        <f t="shared" si="762"/>
        <v>0</v>
      </c>
      <c r="K3739" s="63">
        <f t="shared" si="763"/>
        <v>0</v>
      </c>
      <c r="L3739" s="63">
        <f t="shared" si="764"/>
        <v>0</v>
      </c>
      <c r="N3739" s="10" t="str">
        <f t="shared" si="766"/>
        <v>00</v>
      </c>
      <c r="O3739" s="10">
        <f t="shared" si="767"/>
        <v>0</v>
      </c>
      <c r="P3739" s="10">
        <f t="shared" si="768"/>
        <v>0</v>
      </c>
      <c r="Q3739" s="10">
        <f t="shared" si="769"/>
        <v>0</v>
      </c>
    </row>
    <row r="3740" spans="1:17">
      <c r="A3740" s="15">
        <f t="shared" si="765"/>
        <v>0</v>
      </c>
      <c r="B3740" s="15"/>
      <c r="C3740" s="17">
        <f>Fixture!E745</f>
        <v>0</v>
      </c>
      <c r="D3740" s="18">
        <f>IF(E3740=0,0,IF(Fixture!D745&lt;Fixture!F745,3,IF(Fixture!F745&lt;Fixture!D745,0,1)))</f>
        <v>0</v>
      </c>
      <c r="E3740" s="18">
        <f t="shared" si="759"/>
        <v>0</v>
      </c>
      <c r="F3740" s="18">
        <f>IF(E3740=0,0,IF(Fixture!D745&lt;Fixture!F745,1,IF(Fixture!F745&lt;Fixture!D745,0,0)))</f>
        <v>0</v>
      </c>
      <c r="G3740" s="18">
        <f>IF(E3740=0,0,IF(Fixture!D745&lt;Fixture!F745,0,IF(Fixture!F745&lt;Fixture!D745,0,1)))</f>
        <v>0</v>
      </c>
      <c r="H3740" s="18">
        <f t="shared" si="760"/>
        <v>0</v>
      </c>
      <c r="I3740" s="64">
        <f t="shared" si="761"/>
        <v>0</v>
      </c>
      <c r="J3740" s="64">
        <f t="shared" si="762"/>
        <v>0</v>
      </c>
      <c r="K3740" s="63">
        <f t="shared" si="763"/>
        <v>0</v>
      </c>
      <c r="L3740" s="63">
        <f t="shared" si="764"/>
        <v>0</v>
      </c>
      <c r="N3740" s="10" t="str">
        <f t="shared" si="766"/>
        <v>00</v>
      </c>
      <c r="O3740" s="10">
        <f t="shared" si="767"/>
        <v>0</v>
      </c>
      <c r="P3740" s="10">
        <f t="shared" si="768"/>
        <v>0</v>
      </c>
      <c r="Q3740" s="10">
        <f t="shared" si="769"/>
        <v>0</v>
      </c>
    </row>
    <row r="3741" spans="1:17">
      <c r="A3741" s="15">
        <f t="shared" si="765"/>
        <v>0</v>
      </c>
      <c r="B3741" s="15"/>
      <c r="C3741" s="17">
        <f>Fixture!E746</f>
        <v>0</v>
      </c>
      <c r="D3741" s="18">
        <f>IF(E3741=0,0,IF(Fixture!D746&lt;Fixture!F746,3,IF(Fixture!F746&lt;Fixture!D746,0,1)))</f>
        <v>0</v>
      </c>
      <c r="E3741" s="18">
        <f t="shared" si="759"/>
        <v>0</v>
      </c>
      <c r="F3741" s="18">
        <f>IF(E3741=0,0,IF(Fixture!D746&lt;Fixture!F746,1,IF(Fixture!F746&lt;Fixture!D746,0,0)))</f>
        <v>0</v>
      </c>
      <c r="G3741" s="18">
        <f>IF(E3741=0,0,IF(Fixture!D746&lt;Fixture!F746,0,IF(Fixture!F746&lt;Fixture!D746,0,1)))</f>
        <v>0</v>
      </c>
      <c r="H3741" s="18">
        <f t="shared" si="760"/>
        <v>0</v>
      </c>
      <c r="I3741" s="64">
        <f t="shared" si="761"/>
        <v>0</v>
      </c>
      <c r="J3741" s="64">
        <f t="shared" si="762"/>
        <v>0</v>
      </c>
      <c r="K3741" s="63">
        <f t="shared" si="763"/>
        <v>0</v>
      </c>
      <c r="L3741" s="63">
        <f t="shared" si="764"/>
        <v>0</v>
      </c>
      <c r="N3741" s="10" t="str">
        <f t="shared" si="766"/>
        <v>00</v>
      </c>
      <c r="O3741" s="10">
        <f t="shared" si="767"/>
        <v>0</v>
      </c>
      <c r="P3741" s="10">
        <f t="shared" si="768"/>
        <v>0</v>
      </c>
      <c r="Q3741" s="10">
        <f t="shared" si="769"/>
        <v>0</v>
      </c>
    </row>
    <row r="3742" spans="1:17">
      <c r="A3742" s="15">
        <f t="shared" si="765"/>
        <v>0</v>
      </c>
      <c r="B3742" s="15"/>
      <c r="C3742" s="17">
        <f>Fixture!E747</f>
        <v>0</v>
      </c>
      <c r="D3742" s="18">
        <f>IF(E3742=0,0,IF(Fixture!D747&lt;Fixture!F747,3,IF(Fixture!F747&lt;Fixture!D747,0,1)))</f>
        <v>0</v>
      </c>
      <c r="E3742" s="18">
        <f t="shared" si="759"/>
        <v>0</v>
      </c>
      <c r="F3742" s="18">
        <f>IF(E3742=0,0,IF(Fixture!D747&lt;Fixture!F747,1,IF(Fixture!F747&lt;Fixture!D747,0,0)))</f>
        <v>0</v>
      </c>
      <c r="G3742" s="18">
        <f>IF(E3742=0,0,IF(Fixture!D747&lt;Fixture!F747,0,IF(Fixture!F747&lt;Fixture!D747,0,1)))</f>
        <v>0</v>
      </c>
      <c r="H3742" s="18">
        <f t="shared" si="760"/>
        <v>0</v>
      </c>
      <c r="I3742" s="64">
        <f t="shared" si="761"/>
        <v>0</v>
      </c>
      <c r="J3742" s="64">
        <f t="shared" si="762"/>
        <v>0</v>
      </c>
      <c r="K3742" s="63">
        <f t="shared" si="763"/>
        <v>0</v>
      </c>
      <c r="L3742" s="63">
        <f t="shared" si="764"/>
        <v>0</v>
      </c>
      <c r="N3742" s="10" t="str">
        <f t="shared" si="766"/>
        <v>00</v>
      </c>
      <c r="O3742" s="10">
        <f t="shared" si="767"/>
        <v>0</v>
      </c>
      <c r="P3742" s="10">
        <f t="shared" si="768"/>
        <v>0</v>
      </c>
      <c r="Q3742" s="10">
        <f t="shared" si="769"/>
        <v>0</v>
      </c>
    </row>
    <row r="3743" spans="1:17">
      <c r="A3743" s="15">
        <f t="shared" si="765"/>
        <v>0</v>
      </c>
      <c r="B3743" s="15"/>
      <c r="C3743" s="17">
        <f>Fixture!E748</f>
        <v>0</v>
      </c>
      <c r="D3743" s="18">
        <f>IF(E3743=0,0,IF(Fixture!D748&lt;Fixture!F748,3,IF(Fixture!F748&lt;Fixture!D748,0,1)))</f>
        <v>0</v>
      </c>
      <c r="E3743" s="18">
        <f t="shared" si="759"/>
        <v>0</v>
      </c>
      <c r="F3743" s="18">
        <f>IF(E3743=0,0,IF(Fixture!D748&lt;Fixture!F748,1,IF(Fixture!F748&lt;Fixture!D748,0,0)))</f>
        <v>0</v>
      </c>
      <c r="G3743" s="18">
        <f>IF(E3743=0,0,IF(Fixture!D748&lt;Fixture!F748,0,IF(Fixture!F748&lt;Fixture!D748,0,1)))</f>
        <v>0</v>
      </c>
      <c r="H3743" s="18">
        <f t="shared" si="760"/>
        <v>0</v>
      </c>
      <c r="I3743" s="64">
        <f t="shared" si="761"/>
        <v>0</v>
      </c>
      <c r="J3743" s="64">
        <f t="shared" si="762"/>
        <v>0</v>
      </c>
      <c r="K3743" s="63">
        <f t="shared" si="763"/>
        <v>0</v>
      </c>
      <c r="L3743" s="63">
        <f t="shared" si="764"/>
        <v>0</v>
      </c>
      <c r="N3743" s="10" t="str">
        <f t="shared" si="766"/>
        <v>00</v>
      </c>
      <c r="O3743" s="10">
        <f t="shared" si="767"/>
        <v>0</v>
      </c>
      <c r="P3743" s="10">
        <f t="shared" si="768"/>
        <v>0</v>
      </c>
      <c r="Q3743" s="10">
        <f t="shared" si="769"/>
        <v>0</v>
      </c>
    </row>
    <row r="3744" spans="1:17">
      <c r="A3744" s="15">
        <f t="shared" si="765"/>
        <v>0</v>
      </c>
      <c r="B3744" s="15"/>
      <c r="C3744" s="17">
        <f>Fixture!E749</f>
        <v>0</v>
      </c>
      <c r="D3744" s="18">
        <f>IF(E3744=0,0,IF(Fixture!D749&lt;Fixture!F749,3,IF(Fixture!F749&lt;Fixture!D749,0,1)))</f>
        <v>0</v>
      </c>
      <c r="E3744" s="18">
        <f t="shared" si="759"/>
        <v>0</v>
      </c>
      <c r="F3744" s="18">
        <f>IF(E3744=0,0,IF(Fixture!D749&lt;Fixture!F749,1,IF(Fixture!F749&lt;Fixture!D749,0,0)))</f>
        <v>0</v>
      </c>
      <c r="G3744" s="18">
        <f>IF(E3744=0,0,IF(Fixture!D749&lt;Fixture!F749,0,IF(Fixture!F749&lt;Fixture!D749,0,1)))</f>
        <v>0</v>
      </c>
      <c r="H3744" s="18">
        <f t="shared" si="760"/>
        <v>0</v>
      </c>
      <c r="I3744" s="64">
        <f t="shared" si="761"/>
        <v>0</v>
      </c>
      <c r="J3744" s="64">
        <f t="shared" si="762"/>
        <v>0</v>
      </c>
      <c r="K3744" s="63">
        <f t="shared" si="763"/>
        <v>0</v>
      </c>
      <c r="L3744" s="63">
        <f t="shared" si="764"/>
        <v>0</v>
      </c>
      <c r="N3744" s="10" t="str">
        <f t="shared" si="766"/>
        <v>00</v>
      </c>
      <c r="O3744" s="10">
        <f t="shared" si="767"/>
        <v>0</v>
      </c>
      <c r="P3744" s="10">
        <f t="shared" si="768"/>
        <v>0</v>
      </c>
      <c r="Q3744" s="10">
        <f t="shared" si="769"/>
        <v>0</v>
      </c>
    </row>
    <row r="3745" spans="1:17">
      <c r="A3745" s="15">
        <f t="shared" si="765"/>
        <v>0</v>
      </c>
      <c r="B3745" s="15"/>
      <c r="C3745" s="17">
        <f>Fixture!E750</f>
        <v>0</v>
      </c>
      <c r="D3745" s="18">
        <f>IF(E3745=0,0,IF(Fixture!D750&lt;Fixture!F750,3,IF(Fixture!F750&lt;Fixture!D750,0,1)))</f>
        <v>0</v>
      </c>
      <c r="E3745" s="18">
        <f t="shared" si="759"/>
        <v>0</v>
      </c>
      <c r="F3745" s="18">
        <f>IF(E3745=0,0,IF(Fixture!D750&lt;Fixture!F750,1,IF(Fixture!F750&lt;Fixture!D750,0,0)))</f>
        <v>0</v>
      </c>
      <c r="G3745" s="18">
        <f>IF(E3745=0,0,IF(Fixture!D750&lt;Fixture!F750,0,IF(Fixture!F750&lt;Fixture!D750,0,1)))</f>
        <v>0</v>
      </c>
      <c r="H3745" s="18">
        <f t="shared" si="760"/>
        <v>0</v>
      </c>
      <c r="I3745" s="64">
        <f t="shared" si="761"/>
        <v>0</v>
      </c>
      <c r="J3745" s="64">
        <f t="shared" si="762"/>
        <v>0</v>
      </c>
      <c r="K3745" s="63">
        <f t="shared" si="763"/>
        <v>0</v>
      </c>
      <c r="L3745" s="63">
        <f t="shared" si="764"/>
        <v>0</v>
      </c>
      <c r="N3745" s="10" t="str">
        <f t="shared" si="766"/>
        <v>00</v>
      </c>
      <c r="O3745" s="10">
        <f t="shared" si="767"/>
        <v>0</v>
      </c>
      <c r="P3745" s="10">
        <f t="shared" si="768"/>
        <v>0</v>
      </c>
      <c r="Q3745" s="10">
        <f t="shared" si="769"/>
        <v>0</v>
      </c>
    </row>
    <row r="3746" spans="1:17">
      <c r="A3746" s="15">
        <f t="shared" si="765"/>
        <v>0</v>
      </c>
      <c r="B3746" s="15"/>
      <c r="C3746" s="17">
        <f>Fixture!E751</f>
        <v>0</v>
      </c>
      <c r="D3746" s="18">
        <f>IF(E3746=0,0,IF(Fixture!D751&lt;Fixture!F751,3,IF(Fixture!F751&lt;Fixture!D751,0,1)))</f>
        <v>0</v>
      </c>
      <c r="E3746" s="18">
        <f t="shared" si="759"/>
        <v>0</v>
      </c>
      <c r="F3746" s="18">
        <f>IF(E3746=0,0,IF(Fixture!D751&lt;Fixture!F751,1,IF(Fixture!F751&lt;Fixture!D751,0,0)))</f>
        <v>0</v>
      </c>
      <c r="G3746" s="18">
        <f>IF(E3746=0,0,IF(Fixture!D751&lt;Fixture!F751,0,IF(Fixture!F751&lt;Fixture!D751,0,1)))</f>
        <v>0</v>
      </c>
      <c r="H3746" s="18">
        <f t="shared" si="760"/>
        <v>0</v>
      </c>
      <c r="I3746" s="64">
        <f t="shared" si="761"/>
        <v>0</v>
      </c>
      <c r="J3746" s="64">
        <f t="shared" si="762"/>
        <v>0</v>
      </c>
      <c r="K3746" s="63">
        <f t="shared" si="763"/>
        <v>0</v>
      </c>
      <c r="L3746" s="63">
        <f t="shared" si="764"/>
        <v>0</v>
      </c>
      <c r="N3746" s="10" t="str">
        <f t="shared" si="766"/>
        <v>00</v>
      </c>
      <c r="O3746" s="10">
        <f t="shared" si="767"/>
        <v>0</v>
      </c>
      <c r="P3746" s="10">
        <f t="shared" si="768"/>
        <v>0</v>
      </c>
      <c r="Q3746" s="10">
        <f t="shared" si="769"/>
        <v>0</v>
      </c>
    </row>
    <row r="3747" spans="1:17">
      <c r="A3747" s="15">
        <f t="shared" si="765"/>
        <v>0</v>
      </c>
      <c r="B3747" s="15"/>
      <c r="C3747" s="17">
        <f>Fixture!E752</f>
        <v>0</v>
      </c>
      <c r="D3747" s="18">
        <f>IF(E3747=0,0,IF(Fixture!D752&lt;Fixture!F752,3,IF(Fixture!F752&lt;Fixture!D752,0,1)))</f>
        <v>0</v>
      </c>
      <c r="E3747" s="18">
        <f t="shared" si="759"/>
        <v>0</v>
      </c>
      <c r="F3747" s="18">
        <f>IF(E3747=0,0,IF(Fixture!D752&lt;Fixture!F752,1,IF(Fixture!F752&lt;Fixture!D752,0,0)))</f>
        <v>0</v>
      </c>
      <c r="G3747" s="18">
        <f>IF(E3747=0,0,IF(Fixture!D752&lt;Fixture!F752,0,IF(Fixture!F752&lt;Fixture!D752,0,1)))</f>
        <v>0</v>
      </c>
      <c r="H3747" s="18">
        <f t="shared" si="760"/>
        <v>0</v>
      </c>
      <c r="I3747" s="64">
        <f t="shared" si="761"/>
        <v>0</v>
      </c>
      <c r="J3747" s="64">
        <f t="shared" si="762"/>
        <v>0</v>
      </c>
      <c r="K3747" s="63">
        <f t="shared" si="763"/>
        <v>0</v>
      </c>
      <c r="L3747" s="63">
        <f t="shared" si="764"/>
        <v>0</v>
      </c>
      <c r="N3747" s="10" t="str">
        <f t="shared" si="766"/>
        <v>00</v>
      </c>
      <c r="O3747" s="10">
        <f t="shared" si="767"/>
        <v>0</v>
      </c>
      <c r="P3747" s="10">
        <f t="shared" si="768"/>
        <v>0</v>
      </c>
      <c r="Q3747" s="10">
        <f t="shared" si="769"/>
        <v>0</v>
      </c>
    </row>
    <row r="3748" spans="1:17">
      <c r="A3748" s="15">
        <f t="shared" si="765"/>
        <v>0</v>
      </c>
      <c r="B3748" s="15"/>
      <c r="C3748" s="17">
        <f>Fixture!E753</f>
        <v>0</v>
      </c>
      <c r="D3748" s="18">
        <f>IF(E3748=0,0,IF(Fixture!D753&lt;Fixture!F753,3,IF(Fixture!F753&lt;Fixture!D753,0,1)))</f>
        <v>0</v>
      </c>
      <c r="E3748" s="18">
        <f t="shared" si="759"/>
        <v>0</v>
      </c>
      <c r="F3748" s="18">
        <f>IF(E3748=0,0,IF(Fixture!D753&lt;Fixture!F753,1,IF(Fixture!F753&lt;Fixture!D753,0,0)))</f>
        <v>0</v>
      </c>
      <c r="G3748" s="18">
        <f>IF(E3748=0,0,IF(Fixture!D753&lt;Fixture!F753,0,IF(Fixture!F753&lt;Fixture!D753,0,1)))</f>
        <v>0</v>
      </c>
      <c r="H3748" s="18">
        <f t="shared" si="760"/>
        <v>0</v>
      </c>
      <c r="I3748" s="64">
        <f t="shared" si="761"/>
        <v>0</v>
      </c>
      <c r="J3748" s="64">
        <f t="shared" si="762"/>
        <v>0</v>
      </c>
      <c r="K3748" s="63">
        <f t="shared" si="763"/>
        <v>0</v>
      </c>
      <c r="L3748" s="63">
        <f t="shared" si="764"/>
        <v>0</v>
      </c>
      <c r="N3748" s="10" t="str">
        <f t="shared" si="766"/>
        <v>00</v>
      </c>
      <c r="O3748" s="10">
        <f t="shared" si="767"/>
        <v>0</v>
      </c>
      <c r="P3748" s="10">
        <f t="shared" si="768"/>
        <v>0</v>
      </c>
      <c r="Q3748" s="10">
        <f t="shared" si="769"/>
        <v>0</v>
      </c>
    </row>
    <row r="3749" spans="1:17">
      <c r="A3749" s="15">
        <f t="shared" si="765"/>
        <v>0</v>
      </c>
      <c r="B3749" s="15"/>
      <c r="C3749" s="17">
        <f>Fixture!E754</f>
        <v>0</v>
      </c>
      <c r="D3749" s="18">
        <f>IF(E3749=0,0,IF(Fixture!D754&lt;Fixture!F754,3,IF(Fixture!F754&lt;Fixture!D754,0,1)))</f>
        <v>0</v>
      </c>
      <c r="E3749" s="18">
        <f t="shared" si="759"/>
        <v>0</v>
      </c>
      <c r="F3749" s="18">
        <f>IF(E3749=0,0,IF(Fixture!D754&lt;Fixture!F754,1,IF(Fixture!F754&lt;Fixture!D754,0,0)))</f>
        <v>0</v>
      </c>
      <c r="G3749" s="18">
        <f>IF(E3749=0,0,IF(Fixture!D754&lt;Fixture!F754,0,IF(Fixture!F754&lt;Fixture!D754,0,1)))</f>
        <v>0</v>
      </c>
      <c r="H3749" s="18">
        <f t="shared" si="760"/>
        <v>0</v>
      </c>
      <c r="I3749" s="64">
        <f t="shared" si="761"/>
        <v>0</v>
      </c>
      <c r="J3749" s="64">
        <f t="shared" si="762"/>
        <v>0</v>
      </c>
      <c r="K3749" s="63">
        <f t="shared" si="763"/>
        <v>0</v>
      </c>
      <c r="L3749" s="63">
        <f t="shared" si="764"/>
        <v>0</v>
      </c>
      <c r="N3749" s="10" t="str">
        <f t="shared" si="766"/>
        <v>00</v>
      </c>
      <c r="O3749" s="10">
        <f t="shared" si="767"/>
        <v>0</v>
      </c>
      <c r="P3749" s="10">
        <f t="shared" si="768"/>
        <v>0</v>
      </c>
      <c r="Q3749" s="10">
        <f t="shared" si="769"/>
        <v>0</v>
      </c>
    </row>
    <row r="3750" spans="1:17">
      <c r="A3750" s="15">
        <f t="shared" si="765"/>
        <v>0</v>
      </c>
      <c r="B3750" s="15"/>
      <c r="C3750" s="17">
        <f>Fixture!E755</f>
        <v>0</v>
      </c>
      <c r="D3750" s="18">
        <f>IF(E3750=0,0,IF(Fixture!D755&lt;Fixture!F755,3,IF(Fixture!F755&lt;Fixture!D755,0,1)))</f>
        <v>0</v>
      </c>
      <c r="E3750" s="18">
        <f t="shared" si="759"/>
        <v>0</v>
      </c>
      <c r="F3750" s="18">
        <f>IF(E3750=0,0,IF(Fixture!D755&lt;Fixture!F755,1,IF(Fixture!F755&lt;Fixture!D755,0,0)))</f>
        <v>0</v>
      </c>
      <c r="G3750" s="18">
        <f>IF(E3750=0,0,IF(Fixture!D755&lt;Fixture!F755,0,IF(Fixture!F755&lt;Fixture!D755,0,1)))</f>
        <v>0</v>
      </c>
      <c r="H3750" s="18">
        <f t="shared" si="760"/>
        <v>0</v>
      </c>
      <c r="I3750" s="64">
        <f t="shared" si="761"/>
        <v>0</v>
      </c>
      <c r="J3750" s="64">
        <f t="shared" si="762"/>
        <v>0</v>
      </c>
      <c r="K3750" s="63">
        <f t="shared" si="763"/>
        <v>0</v>
      </c>
      <c r="L3750" s="63">
        <f t="shared" si="764"/>
        <v>0</v>
      </c>
      <c r="N3750" s="10" t="str">
        <f t="shared" si="766"/>
        <v>00</v>
      </c>
      <c r="O3750" s="10">
        <f t="shared" si="767"/>
        <v>0</v>
      </c>
      <c r="P3750" s="10">
        <f t="shared" si="768"/>
        <v>0</v>
      </c>
      <c r="Q3750" s="10">
        <f t="shared" si="769"/>
        <v>0</v>
      </c>
    </row>
    <row r="3751" spans="1:17">
      <c r="A3751" s="15">
        <f t="shared" si="765"/>
        <v>0</v>
      </c>
      <c r="B3751" s="15"/>
      <c r="C3751" s="17">
        <f>Fixture!E756</f>
        <v>0</v>
      </c>
      <c r="D3751" s="18">
        <f>IF(E3751=0,0,IF(Fixture!D756&lt;Fixture!F756,3,IF(Fixture!F756&lt;Fixture!D756,0,1)))</f>
        <v>0</v>
      </c>
      <c r="E3751" s="18">
        <f t="shared" si="759"/>
        <v>0</v>
      </c>
      <c r="F3751" s="18">
        <f>IF(E3751=0,0,IF(Fixture!D756&lt;Fixture!F756,1,IF(Fixture!F756&lt;Fixture!D756,0,0)))</f>
        <v>0</v>
      </c>
      <c r="G3751" s="18">
        <f>IF(E3751=0,0,IF(Fixture!D756&lt;Fixture!F756,0,IF(Fixture!F756&lt;Fixture!D756,0,1)))</f>
        <v>0</v>
      </c>
      <c r="H3751" s="18">
        <f t="shared" si="760"/>
        <v>0</v>
      </c>
      <c r="I3751" s="64">
        <f t="shared" si="761"/>
        <v>0</v>
      </c>
      <c r="J3751" s="64">
        <f t="shared" si="762"/>
        <v>0</v>
      </c>
      <c r="K3751" s="63">
        <f t="shared" si="763"/>
        <v>0</v>
      </c>
      <c r="L3751" s="63">
        <f t="shared" si="764"/>
        <v>0</v>
      </c>
      <c r="N3751" s="10" t="str">
        <f t="shared" si="766"/>
        <v>00</v>
      </c>
      <c r="O3751" s="10">
        <f t="shared" si="767"/>
        <v>0</v>
      </c>
      <c r="P3751" s="10">
        <f t="shared" si="768"/>
        <v>0</v>
      </c>
      <c r="Q3751" s="10">
        <f t="shared" si="769"/>
        <v>0</v>
      </c>
    </row>
    <row r="3752" spans="1:17">
      <c r="A3752" s="15">
        <f t="shared" si="765"/>
        <v>0</v>
      </c>
      <c r="B3752" s="15"/>
      <c r="C3752" s="17">
        <f>Fixture!E757</f>
        <v>0</v>
      </c>
      <c r="D3752" s="18">
        <f>IF(E3752=0,0,IF(Fixture!D757&lt;Fixture!F757,3,IF(Fixture!F757&lt;Fixture!D757,0,1)))</f>
        <v>0</v>
      </c>
      <c r="E3752" s="18">
        <f t="shared" si="759"/>
        <v>0</v>
      </c>
      <c r="F3752" s="18">
        <f>IF(E3752=0,0,IF(Fixture!D757&lt;Fixture!F757,1,IF(Fixture!F757&lt;Fixture!D757,0,0)))</f>
        <v>0</v>
      </c>
      <c r="G3752" s="18">
        <f>IF(E3752=0,0,IF(Fixture!D757&lt;Fixture!F757,0,IF(Fixture!F757&lt;Fixture!D757,0,1)))</f>
        <v>0</v>
      </c>
      <c r="H3752" s="18">
        <f t="shared" si="760"/>
        <v>0</v>
      </c>
      <c r="I3752" s="64">
        <f t="shared" si="761"/>
        <v>0</v>
      </c>
      <c r="J3752" s="64">
        <f t="shared" si="762"/>
        <v>0</v>
      </c>
      <c r="K3752" s="63">
        <f t="shared" si="763"/>
        <v>0</v>
      </c>
      <c r="L3752" s="63">
        <f t="shared" si="764"/>
        <v>0</v>
      </c>
      <c r="N3752" s="10" t="str">
        <f t="shared" si="766"/>
        <v>00</v>
      </c>
      <c r="O3752" s="10">
        <f t="shared" si="767"/>
        <v>0</v>
      </c>
      <c r="P3752" s="10">
        <f t="shared" si="768"/>
        <v>0</v>
      </c>
      <c r="Q3752" s="10">
        <f t="shared" si="769"/>
        <v>0</v>
      </c>
    </row>
    <row r="3753" spans="1:17">
      <c r="A3753" s="15">
        <f t="shared" si="765"/>
        <v>0</v>
      </c>
      <c r="B3753" s="15"/>
      <c r="C3753" s="17">
        <f>Fixture!E758</f>
        <v>0</v>
      </c>
      <c r="D3753" s="18">
        <f>IF(E3753=0,0,IF(Fixture!D758&lt;Fixture!F758,3,IF(Fixture!F758&lt;Fixture!D758,0,1)))</f>
        <v>0</v>
      </c>
      <c r="E3753" s="18">
        <f t="shared" si="759"/>
        <v>0</v>
      </c>
      <c r="F3753" s="18">
        <f>IF(E3753=0,0,IF(Fixture!D758&lt;Fixture!F758,1,IF(Fixture!F758&lt;Fixture!D758,0,0)))</f>
        <v>0</v>
      </c>
      <c r="G3753" s="18">
        <f>IF(E3753=0,0,IF(Fixture!D758&lt;Fixture!F758,0,IF(Fixture!F758&lt;Fixture!D758,0,1)))</f>
        <v>0</v>
      </c>
      <c r="H3753" s="18">
        <f t="shared" si="760"/>
        <v>0</v>
      </c>
      <c r="I3753" s="64">
        <f t="shared" si="761"/>
        <v>0</v>
      </c>
      <c r="J3753" s="64">
        <f t="shared" si="762"/>
        <v>0</v>
      </c>
      <c r="K3753" s="63">
        <f t="shared" si="763"/>
        <v>0</v>
      </c>
      <c r="L3753" s="63">
        <f t="shared" si="764"/>
        <v>0</v>
      </c>
      <c r="N3753" s="10" t="str">
        <f t="shared" si="766"/>
        <v>00</v>
      </c>
      <c r="O3753" s="10">
        <f t="shared" si="767"/>
        <v>0</v>
      </c>
      <c r="P3753" s="10">
        <f t="shared" si="768"/>
        <v>0</v>
      </c>
      <c r="Q3753" s="10">
        <f t="shared" si="769"/>
        <v>0</v>
      </c>
    </row>
    <row r="3754" spans="1:17">
      <c r="A3754" s="15">
        <f t="shared" si="765"/>
        <v>0</v>
      </c>
      <c r="B3754" s="15"/>
      <c r="C3754" s="17">
        <f>Fixture!E759</f>
        <v>0</v>
      </c>
      <c r="D3754" s="18">
        <f>IF(E3754=0,0,IF(Fixture!D759&lt;Fixture!F759,3,IF(Fixture!F759&lt;Fixture!D759,0,1)))</f>
        <v>0</v>
      </c>
      <c r="E3754" s="18">
        <f t="shared" si="759"/>
        <v>0</v>
      </c>
      <c r="F3754" s="18">
        <f>IF(E3754=0,0,IF(Fixture!D759&lt;Fixture!F759,1,IF(Fixture!F759&lt;Fixture!D759,0,0)))</f>
        <v>0</v>
      </c>
      <c r="G3754" s="18">
        <f>IF(E3754=0,0,IF(Fixture!D759&lt;Fixture!F759,0,IF(Fixture!F759&lt;Fixture!D759,0,1)))</f>
        <v>0</v>
      </c>
      <c r="H3754" s="18">
        <f t="shared" si="760"/>
        <v>0</v>
      </c>
      <c r="I3754" s="64">
        <f t="shared" si="761"/>
        <v>0</v>
      </c>
      <c r="J3754" s="64">
        <f t="shared" si="762"/>
        <v>0</v>
      </c>
      <c r="K3754" s="63">
        <f t="shared" si="763"/>
        <v>0</v>
      </c>
      <c r="L3754" s="63">
        <f t="shared" si="764"/>
        <v>0</v>
      </c>
      <c r="N3754" s="10" t="str">
        <f t="shared" si="766"/>
        <v>00</v>
      </c>
      <c r="O3754" s="10">
        <f t="shared" si="767"/>
        <v>0</v>
      </c>
      <c r="P3754" s="10">
        <f t="shared" si="768"/>
        <v>0</v>
      </c>
      <c r="Q3754" s="10">
        <f t="shared" si="769"/>
        <v>0</v>
      </c>
    </row>
    <row r="3755" spans="1:17">
      <c r="A3755" s="15">
        <f t="shared" si="765"/>
        <v>0</v>
      </c>
      <c r="B3755" s="15"/>
      <c r="C3755" s="17">
        <f>Fixture!E760</f>
        <v>0</v>
      </c>
      <c r="D3755" s="18">
        <f>IF(E3755=0,0,IF(Fixture!D760&lt;Fixture!F760,3,IF(Fixture!F760&lt;Fixture!D760,0,1)))</f>
        <v>0</v>
      </c>
      <c r="E3755" s="18">
        <f t="shared" si="759"/>
        <v>0</v>
      </c>
      <c r="F3755" s="18">
        <f>IF(E3755=0,0,IF(Fixture!D760&lt;Fixture!F760,1,IF(Fixture!F760&lt;Fixture!D760,0,0)))</f>
        <v>0</v>
      </c>
      <c r="G3755" s="18">
        <f>IF(E3755=0,0,IF(Fixture!D760&lt;Fixture!F760,0,IF(Fixture!F760&lt;Fixture!D760,0,1)))</f>
        <v>0</v>
      </c>
      <c r="H3755" s="18">
        <f t="shared" si="760"/>
        <v>0</v>
      </c>
      <c r="I3755" s="64">
        <f t="shared" si="761"/>
        <v>0</v>
      </c>
      <c r="J3755" s="64">
        <f t="shared" si="762"/>
        <v>0</v>
      </c>
      <c r="K3755" s="63">
        <f t="shared" si="763"/>
        <v>0</v>
      </c>
      <c r="L3755" s="63">
        <f t="shared" si="764"/>
        <v>0</v>
      </c>
      <c r="N3755" s="10" t="str">
        <f t="shared" si="766"/>
        <v>00</v>
      </c>
      <c r="O3755" s="10">
        <f t="shared" si="767"/>
        <v>0</v>
      </c>
      <c r="P3755" s="10">
        <f t="shared" si="768"/>
        <v>0</v>
      </c>
      <c r="Q3755" s="10">
        <f t="shared" si="769"/>
        <v>0</v>
      </c>
    </row>
    <row r="3756" spans="1:17">
      <c r="A3756" s="15">
        <f t="shared" si="765"/>
        <v>0</v>
      </c>
      <c r="B3756" s="15"/>
      <c r="C3756" s="17">
        <f>Fixture!E761</f>
        <v>0</v>
      </c>
      <c r="D3756" s="18">
        <f>IF(E3756=0,0,IF(Fixture!D761&lt;Fixture!F761,3,IF(Fixture!F761&lt;Fixture!D761,0,1)))</f>
        <v>0</v>
      </c>
      <c r="E3756" s="18">
        <f t="shared" si="759"/>
        <v>0</v>
      </c>
      <c r="F3756" s="18">
        <f>IF(E3756=0,0,IF(Fixture!D761&lt;Fixture!F761,1,IF(Fixture!F761&lt;Fixture!D761,0,0)))</f>
        <v>0</v>
      </c>
      <c r="G3756" s="18">
        <f>IF(E3756=0,0,IF(Fixture!D761&lt;Fixture!F761,0,IF(Fixture!F761&lt;Fixture!D761,0,1)))</f>
        <v>0</v>
      </c>
      <c r="H3756" s="18">
        <f t="shared" si="760"/>
        <v>0</v>
      </c>
      <c r="I3756" s="64">
        <f t="shared" si="761"/>
        <v>0</v>
      </c>
      <c r="J3756" s="64">
        <f t="shared" si="762"/>
        <v>0</v>
      </c>
      <c r="K3756" s="63">
        <f t="shared" si="763"/>
        <v>0</v>
      </c>
      <c r="L3756" s="63">
        <f t="shared" si="764"/>
        <v>0</v>
      </c>
      <c r="N3756" s="10" t="str">
        <f t="shared" si="766"/>
        <v>00</v>
      </c>
      <c r="O3756" s="10">
        <f t="shared" si="767"/>
        <v>0</v>
      </c>
      <c r="P3756" s="10">
        <f t="shared" si="768"/>
        <v>0</v>
      </c>
      <c r="Q3756" s="10">
        <f t="shared" si="769"/>
        <v>0</v>
      </c>
    </row>
    <row r="3757" spans="1:17">
      <c r="A3757" s="15">
        <f t="shared" si="765"/>
        <v>0</v>
      </c>
      <c r="B3757" s="15"/>
      <c r="C3757" s="17">
        <f>Fixture!E762</f>
        <v>0</v>
      </c>
      <c r="D3757" s="18">
        <f>IF(E3757=0,0,IF(Fixture!D762&lt;Fixture!F762,3,IF(Fixture!F762&lt;Fixture!D762,0,1)))</f>
        <v>0</v>
      </c>
      <c r="E3757" s="18">
        <f t="shared" si="759"/>
        <v>0</v>
      </c>
      <c r="F3757" s="18">
        <f>IF(E3757=0,0,IF(Fixture!D762&lt;Fixture!F762,1,IF(Fixture!F762&lt;Fixture!D762,0,0)))</f>
        <v>0</v>
      </c>
      <c r="G3757" s="18">
        <f>IF(E3757=0,0,IF(Fixture!D762&lt;Fixture!F762,0,IF(Fixture!F762&lt;Fixture!D762,0,1)))</f>
        <v>0</v>
      </c>
      <c r="H3757" s="18">
        <f t="shared" si="760"/>
        <v>0</v>
      </c>
      <c r="I3757" s="64">
        <f t="shared" si="761"/>
        <v>0</v>
      </c>
      <c r="J3757" s="64">
        <f t="shared" si="762"/>
        <v>0</v>
      </c>
      <c r="K3757" s="63">
        <f t="shared" si="763"/>
        <v>0</v>
      </c>
      <c r="L3757" s="63">
        <f t="shared" si="764"/>
        <v>0</v>
      </c>
      <c r="N3757" s="10" t="str">
        <f t="shared" si="766"/>
        <v>00</v>
      </c>
      <c r="O3757" s="10">
        <f t="shared" si="767"/>
        <v>0</v>
      </c>
      <c r="P3757" s="10">
        <f t="shared" si="768"/>
        <v>0</v>
      </c>
      <c r="Q3757" s="10">
        <f t="shared" si="769"/>
        <v>0</v>
      </c>
    </row>
    <row r="3758" spans="1:17">
      <c r="A3758" s="15">
        <f t="shared" si="765"/>
        <v>0</v>
      </c>
      <c r="B3758" s="15"/>
      <c r="C3758" s="17">
        <f>Fixture!E763</f>
        <v>0</v>
      </c>
      <c r="D3758" s="18">
        <f>IF(E3758=0,0,IF(Fixture!D763&lt;Fixture!F763,3,IF(Fixture!F763&lt;Fixture!D763,0,1)))</f>
        <v>0</v>
      </c>
      <c r="E3758" s="18">
        <f t="shared" si="759"/>
        <v>0</v>
      </c>
      <c r="F3758" s="18">
        <f>IF(E3758=0,0,IF(Fixture!D763&lt;Fixture!F763,1,IF(Fixture!F763&lt;Fixture!D763,0,0)))</f>
        <v>0</v>
      </c>
      <c r="G3758" s="18">
        <f>IF(E3758=0,0,IF(Fixture!D763&lt;Fixture!F763,0,IF(Fixture!F763&lt;Fixture!D763,0,1)))</f>
        <v>0</v>
      </c>
      <c r="H3758" s="18">
        <f t="shared" si="760"/>
        <v>0</v>
      </c>
      <c r="I3758" s="64">
        <f t="shared" si="761"/>
        <v>0</v>
      </c>
      <c r="J3758" s="64">
        <f t="shared" si="762"/>
        <v>0</v>
      </c>
      <c r="K3758" s="63">
        <f t="shared" si="763"/>
        <v>0</v>
      </c>
      <c r="L3758" s="63">
        <f t="shared" si="764"/>
        <v>0</v>
      </c>
      <c r="N3758" s="10" t="str">
        <f t="shared" si="766"/>
        <v>00</v>
      </c>
      <c r="O3758" s="10">
        <f t="shared" si="767"/>
        <v>0</v>
      </c>
      <c r="P3758" s="10">
        <f t="shared" si="768"/>
        <v>0</v>
      </c>
      <c r="Q3758" s="10">
        <f t="shared" si="769"/>
        <v>0</v>
      </c>
    </row>
    <row r="3759" spans="1:17">
      <c r="A3759" s="15">
        <f t="shared" si="765"/>
        <v>0</v>
      </c>
      <c r="B3759" s="15"/>
      <c r="C3759" s="17">
        <f>Fixture!E764</f>
        <v>0</v>
      </c>
      <c r="D3759" s="18">
        <f>IF(E3759=0,0,IF(Fixture!D764&lt;Fixture!F764,3,IF(Fixture!F764&lt;Fixture!D764,0,1)))</f>
        <v>0</v>
      </c>
      <c r="E3759" s="18">
        <f t="shared" si="759"/>
        <v>0</v>
      </c>
      <c r="F3759" s="18">
        <f>IF(E3759=0,0,IF(Fixture!D764&lt;Fixture!F764,1,IF(Fixture!F764&lt;Fixture!D764,0,0)))</f>
        <v>0</v>
      </c>
      <c r="G3759" s="18">
        <f>IF(E3759=0,0,IF(Fixture!D764&lt;Fixture!F764,0,IF(Fixture!F764&lt;Fixture!D764,0,1)))</f>
        <v>0</v>
      </c>
      <c r="H3759" s="18">
        <f t="shared" si="760"/>
        <v>0</v>
      </c>
      <c r="I3759" s="64">
        <f t="shared" si="761"/>
        <v>0</v>
      </c>
      <c r="J3759" s="64">
        <f t="shared" si="762"/>
        <v>0</v>
      </c>
      <c r="K3759" s="63">
        <f t="shared" si="763"/>
        <v>0</v>
      </c>
      <c r="L3759" s="63">
        <f t="shared" si="764"/>
        <v>0</v>
      </c>
      <c r="N3759" s="10" t="str">
        <f t="shared" si="766"/>
        <v>00</v>
      </c>
      <c r="O3759" s="10">
        <f t="shared" si="767"/>
        <v>0</v>
      </c>
      <c r="P3759" s="10">
        <f t="shared" si="768"/>
        <v>0</v>
      </c>
      <c r="Q3759" s="10">
        <f t="shared" si="769"/>
        <v>0</v>
      </c>
    </row>
    <row r="3760" spans="1:17">
      <c r="A3760" s="15">
        <f t="shared" si="765"/>
        <v>0</v>
      </c>
      <c r="B3760" s="15"/>
      <c r="C3760" s="17">
        <f>Fixture!E765</f>
        <v>0</v>
      </c>
      <c r="D3760" s="18">
        <f>IF(E3760=0,0,IF(Fixture!D765&lt;Fixture!F765,3,IF(Fixture!F765&lt;Fixture!D765,0,1)))</f>
        <v>0</v>
      </c>
      <c r="E3760" s="18">
        <f t="shared" si="759"/>
        <v>0</v>
      </c>
      <c r="F3760" s="18">
        <f>IF(E3760=0,0,IF(Fixture!D765&lt;Fixture!F765,1,IF(Fixture!F765&lt;Fixture!D765,0,0)))</f>
        <v>0</v>
      </c>
      <c r="G3760" s="18">
        <f>IF(E3760=0,0,IF(Fixture!D765&lt;Fixture!F765,0,IF(Fixture!F765&lt;Fixture!D765,0,1)))</f>
        <v>0</v>
      </c>
      <c r="H3760" s="18">
        <f t="shared" si="760"/>
        <v>0</v>
      </c>
      <c r="I3760" s="64">
        <f t="shared" si="761"/>
        <v>0</v>
      </c>
      <c r="J3760" s="64">
        <f t="shared" si="762"/>
        <v>0</v>
      </c>
      <c r="K3760" s="63">
        <f t="shared" si="763"/>
        <v>0</v>
      </c>
      <c r="L3760" s="63">
        <f t="shared" si="764"/>
        <v>0</v>
      </c>
      <c r="N3760" s="10" t="str">
        <f t="shared" si="766"/>
        <v>00</v>
      </c>
      <c r="O3760" s="10">
        <f t="shared" si="767"/>
        <v>0</v>
      </c>
      <c r="P3760" s="10">
        <f t="shared" si="768"/>
        <v>0</v>
      </c>
      <c r="Q3760" s="10">
        <f t="shared" si="769"/>
        <v>0</v>
      </c>
    </row>
    <row r="3761" spans="1:17">
      <c r="A3761" s="15">
        <f t="shared" si="765"/>
        <v>0</v>
      </c>
      <c r="B3761" s="15"/>
      <c r="C3761" s="17">
        <f>Fixture!E766</f>
        <v>0</v>
      </c>
      <c r="D3761" s="18">
        <f>IF(E3761=0,0,IF(Fixture!D766&lt;Fixture!F766,3,IF(Fixture!F766&lt;Fixture!D766,0,1)))</f>
        <v>0</v>
      </c>
      <c r="E3761" s="18">
        <f t="shared" si="759"/>
        <v>0</v>
      </c>
      <c r="F3761" s="18">
        <f>IF(E3761=0,0,IF(Fixture!D766&lt;Fixture!F766,1,IF(Fixture!F766&lt;Fixture!D766,0,0)))</f>
        <v>0</v>
      </c>
      <c r="G3761" s="18">
        <f>IF(E3761=0,0,IF(Fixture!D766&lt;Fixture!F766,0,IF(Fixture!F766&lt;Fixture!D766,0,1)))</f>
        <v>0</v>
      </c>
      <c r="H3761" s="18">
        <f t="shared" si="760"/>
        <v>0</v>
      </c>
      <c r="I3761" s="64">
        <f t="shared" si="761"/>
        <v>0</v>
      </c>
      <c r="J3761" s="64">
        <f t="shared" si="762"/>
        <v>0</v>
      </c>
      <c r="K3761" s="63">
        <f t="shared" si="763"/>
        <v>0</v>
      </c>
      <c r="L3761" s="63">
        <f t="shared" si="764"/>
        <v>0</v>
      </c>
      <c r="N3761" s="10" t="str">
        <f t="shared" si="766"/>
        <v>00</v>
      </c>
      <c r="O3761" s="10">
        <f t="shared" si="767"/>
        <v>0</v>
      </c>
      <c r="P3761" s="10">
        <f t="shared" si="768"/>
        <v>0</v>
      </c>
      <c r="Q3761" s="10">
        <f t="shared" si="769"/>
        <v>0</v>
      </c>
    </row>
    <row r="3762" spans="1:17">
      <c r="A3762" s="15">
        <f t="shared" si="765"/>
        <v>0</v>
      </c>
      <c r="B3762" s="15"/>
      <c r="C3762" s="17">
        <f>Fixture!E767</f>
        <v>0</v>
      </c>
      <c r="D3762" s="18">
        <f>IF(E3762=0,0,IF(Fixture!D767&lt;Fixture!F767,3,IF(Fixture!F767&lt;Fixture!D767,0,1)))</f>
        <v>0</v>
      </c>
      <c r="E3762" s="18">
        <f t="shared" si="759"/>
        <v>0</v>
      </c>
      <c r="F3762" s="18">
        <f>IF(E3762=0,0,IF(Fixture!D767&lt;Fixture!F767,1,IF(Fixture!F767&lt;Fixture!D767,0,0)))</f>
        <v>0</v>
      </c>
      <c r="G3762" s="18">
        <f>IF(E3762=0,0,IF(Fixture!D767&lt;Fixture!F767,0,IF(Fixture!F767&lt;Fixture!D767,0,1)))</f>
        <v>0</v>
      </c>
      <c r="H3762" s="18">
        <f t="shared" si="760"/>
        <v>0</v>
      </c>
      <c r="I3762" s="64">
        <f t="shared" si="761"/>
        <v>0</v>
      </c>
      <c r="J3762" s="64">
        <f t="shared" si="762"/>
        <v>0</v>
      </c>
      <c r="K3762" s="63">
        <f t="shared" si="763"/>
        <v>0</v>
      </c>
      <c r="L3762" s="63">
        <f t="shared" si="764"/>
        <v>0</v>
      </c>
      <c r="N3762" s="10" t="str">
        <f t="shared" si="766"/>
        <v>00</v>
      </c>
      <c r="O3762" s="10">
        <f t="shared" si="767"/>
        <v>0</v>
      </c>
      <c r="P3762" s="10">
        <f t="shared" si="768"/>
        <v>0</v>
      </c>
      <c r="Q3762" s="10">
        <f t="shared" si="769"/>
        <v>0</v>
      </c>
    </row>
    <row r="3763" spans="1:17">
      <c r="A3763" s="15">
        <f t="shared" si="765"/>
        <v>0</v>
      </c>
      <c r="B3763" s="15"/>
      <c r="C3763" s="17">
        <f>Fixture!E768</f>
        <v>0</v>
      </c>
      <c r="D3763" s="18">
        <f>IF(E3763=0,0,IF(Fixture!D768&lt;Fixture!F768,3,IF(Fixture!F768&lt;Fixture!D768,0,1)))</f>
        <v>0</v>
      </c>
      <c r="E3763" s="18">
        <f t="shared" si="759"/>
        <v>0</v>
      </c>
      <c r="F3763" s="18">
        <f>IF(E3763=0,0,IF(Fixture!D768&lt;Fixture!F768,1,IF(Fixture!F768&lt;Fixture!D768,0,0)))</f>
        <v>0</v>
      </c>
      <c r="G3763" s="18">
        <f>IF(E3763=0,0,IF(Fixture!D768&lt;Fixture!F768,0,IF(Fixture!F768&lt;Fixture!D768,0,1)))</f>
        <v>0</v>
      </c>
      <c r="H3763" s="18">
        <f t="shared" si="760"/>
        <v>0</v>
      </c>
      <c r="I3763" s="64">
        <f t="shared" si="761"/>
        <v>0</v>
      </c>
      <c r="J3763" s="64">
        <f t="shared" si="762"/>
        <v>0</v>
      </c>
      <c r="K3763" s="63">
        <f t="shared" si="763"/>
        <v>0</v>
      </c>
      <c r="L3763" s="63">
        <f t="shared" si="764"/>
        <v>0</v>
      </c>
      <c r="N3763" s="10" t="str">
        <f t="shared" si="766"/>
        <v>00</v>
      </c>
      <c r="O3763" s="10">
        <f t="shared" si="767"/>
        <v>0</v>
      </c>
      <c r="P3763" s="10">
        <f t="shared" si="768"/>
        <v>0</v>
      </c>
      <c r="Q3763" s="10">
        <f t="shared" si="769"/>
        <v>0</v>
      </c>
    </row>
    <row r="3764" spans="1:17">
      <c r="A3764" s="15">
        <f t="shared" si="765"/>
        <v>0</v>
      </c>
      <c r="B3764" s="15"/>
      <c r="C3764" s="17">
        <f>Fixture!E769</f>
        <v>0</v>
      </c>
      <c r="D3764" s="18">
        <f>IF(E3764=0,0,IF(Fixture!D769&lt;Fixture!F769,3,IF(Fixture!F769&lt;Fixture!D769,0,1)))</f>
        <v>0</v>
      </c>
      <c r="E3764" s="18">
        <f t="shared" si="759"/>
        <v>0</v>
      </c>
      <c r="F3764" s="18">
        <f>IF(E3764=0,0,IF(Fixture!D769&lt;Fixture!F769,1,IF(Fixture!F769&lt;Fixture!D769,0,0)))</f>
        <v>0</v>
      </c>
      <c r="G3764" s="18">
        <f>IF(E3764=0,0,IF(Fixture!D769&lt;Fixture!F769,0,IF(Fixture!F769&lt;Fixture!D769,0,1)))</f>
        <v>0</v>
      </c>
      <c r="H3764" s="18">
        <f t="shared" si="760"/>
        <v>0</v>
      </c>
      <c r="I3764" s="64">
        <f t="shared" si="761"/>
        <v>0</v>
      </c>
      <c r="J3764" s="64">
        <f t="shared" si="762"/>
        <v>0</v>
      </c>
      <c r="K3764" s="63">
        <f t="shared" si="763"/>
        <v>0</v>
      </c>
      <c r="L3764" s="63">
        <f t="shared" si="764"/>
        <v>0</v>
      </c>
      <c r="N3764" s="10" t="str">
        <f t="shared" si="766"/>
        <v>00</v>
      </c>
      <c r="O3764" s="10">
        <f t="shared" si="767"/>
        <v>0</v>
      </c>
      <c r="P3764" s="10">
        <f t="shared" si="768"/>
        <v>0</v>
      </c>
      <c r="Q3764" s="10">
        <f t="shared" si="769"/>
        <v>0</v>
      </c>
    </row>
    <row r="3765" spans="1:17">
      <c r="A3765" s="15">
        <f t="shared" si="765"/>
        <v>0</v>
      </c>
      <c r="B3765" s="15"/>
      <c r="C3765" s="17">
        <f>Fixture!E770</f>
        <v>0</v>
      </c>
      <c r="D3765" s="18">
        <f>IF(E3765=0,0,IF(Fixture!D770&lt;Fixture!F770,3,IF(Fixture!F770&lt;Fixture!D770,0,1)))</f>
        <v>0</v>
      </c>
      <c r="E3765" s="18">
        <f t="shared" si="759"/>
        <v>0</v>
      </c>
      <c r="F3765" s="18">
        <f>IF(E3765=0,0,IF(Fixture!D770&lt;Fixture!F770,1,IF(Fixture!F770&lt;Fixture!D770,0,0)))</f>
        <v>0</v>
      </c>
      <c r="G3765" s="18">
        <f>IF(E3765=0,0,IF(Fixture!D770&lt;Fixture!F770,0,IF(Fixture!F770&lt;Fixture!D770,0,1)))</f>
        <v>0</v>
      </c>
      <c r="H3765" s="18">
        <f t="shared" si="760"/>
        <v>0</v>
      </c>
      <c r="I3765" s="64">
        <f t="shared" si="761"/>
        <v>0</v>
      </c>
      <c r="J3765" s="64">
        <f t="shared" si="762"/>
        <v>0</v>
      </c>
      <c r="K3765" s="63">
        <f t="shared" si="763"/>
        <v>0</v>
      </c>
      <c r="L3765" s="63">
        <f t="shared" si="764"/>
        <v>0</v>
      </c>
      <c r="N3765" s="10" t="str">
        <f t="shared" si="766"/>
        <v>00</v>
      </c>
      <c r="O3765" s="10">
        <f t="shared" si="767"/>
        <v>0</v>
      </c>
      <c r="P3765" s="10">
        <f t="shared" si="768"/>
        <v>0</v>
      </c>
      <c r="Q3765" s="10">
        <f t="shared" si="769"/>
        <v>0</v>
      </c>
    </row>
    <row r="3766" spans="1:17">
      <c r="A3766" s="15">
        <f t="shared" si="765"/>
        <v>0</v>
      </c>
      <c r="B3766" s="15"/>
      <c r="C3766" s="17">
        <f>Fixture!E771</f>
        <v>0</v>
      </c>
      <c r="D3766" s="18">
        <f>IF(E3766=0,0,IF(Fixture!D771&lt;Fixture!F771,3,IF(Fixture!F771&lt;Fixture!D771,0,1)))</f>
        <v>0</v>
      </c>
      <c r="E3766" s="18">
        <f t="shared" si="759"/>
        <v>0</v>
      </c>
      <c r="F3766" s="18">
        <f>IF(E3766=0,0,IF(Fixture!D771&lt;Fixture!F771,1,IF(Fixture!F771&lt;Fixture!D771,0,0)))</f>
        <v>0</v>
      </c>
      <c r="G3766" s="18">
        <f>IF(E3766=0,0,IF(Fixture!D771&lt;Fixture!F771,0,IF(Fixture!F771&lt;Fixture!D771,0,1)))</f>
        <v>0</v>
      </c>
      <c r="H3766" s="18">
        <f t="shared" si="760"/>
        <v>0</v>
      </c>
      <c r="I3766" s="64">
        <f t="shared" si="761"/>
        <v>0</v>
      </c>
      <c r="J3766" s="64">
        <f t="shared" si="762"/>
        <v>0</v>
      </c>
      <c r="K3766" s="63">
        <f t="shared" si="763"/>
        <v>0</v>
      </c>
      <c r="L3766" s="63">
        <f t="shared" si="764"/>
        <v>0</v>
      </c>
      <c r="N3766" s="10" t="str">
        <f t="shared" si="766"/>
        <v>00</v>
      </c>
      <c r="O3766" s="10">
        <f t="shared" si="767"/>
        <v>0</v>
      </c>
      <c r="P3766" s="10">
        <f t="shared" si="768"/>
        <v>0</v>
      </c>
      <c r="Q3766" s="10">
        <f t="shared" si="769"/>
        <v>0</v>
      </c>
    </row>
    <row r="3767" spans="1:17">
      <c r="A3767" s="15">
        <f t="shared" si="765"/>
        <v>0</v>
      </c>
      <c r="B3767" s="15"/>
      <c r="C3767" s="17">
        <f>Fixture!E772</f>
        <v>0</v>
      </c>
      <c r="D3767" s="18">
        <f>IF(E3767=0,0,IF(Fixture!D772&lt;Fixture!F772,3,IF(Fixture!F772&lt;Fixture!D772,0,1)))</f>
        <v>0</v>
      </c>
      <c r="E3767" s="18">
        <f t="shared" si="759"/>
        <v>0</v>
      </c>
      <c r="F3767" s="18">
        <f>IF(E3767=0,0,IF(Fixture!D772&lt;Fixture!F772,1,IF(Fixture!F772&lt;Fixture!D772,0,0)))</f>
        <v>0</v>
      </c>
      <c r="G3767" s="18">
        <f>IF(E3767=0,0,IF(Fixture!D772&lt;Fixture!F772,0,IF(Fixture!F772&lt;Fixture!D772,0,1)))</f>
        <v>0</v>
      </c>
      <c r="H3767" s="18">
        <f t="shared" si="760"/>
        <v>0</v>
      </c>
      <c r="I3767" s="64">
        <f t="shared" si="761"/>
        <v>0</v>
      </c>
      <c r="J3767" s="64">
        <f t="shared" si="762"/>
        <v>0</v>
      </c>
      <c r="K3767" s="63">
        <f t="shared" si="763"/>
        <v>0</v>
      </c>
      <c r="L3767" s="63">
        <f t="shared" si="764"/>
        <v>0</v>
      </c>
      <c r="N3767" s="10" t="str">
        <f t="shared" si="766"/>
        <v>00</v>
      </c>
      <c r="O3767" s="10">
        <f t="shared" si="767"/>
        <v>0</v>
      </c>
      <c r="P3767" s="10">
        <f t="shared" si="768"/>
        <v>0</v>
      </c>
      <c r="Q3767" s="10">
        <f t="shared" si="769"/>
        <v>0</v>
      </c>
    </row>
    <row r="3768" spans="1:17">
      <c r="A3768" s="15">
        <f t="shared" si="765"/>
        <v>0</v>
      </c>
      <c r="B3768" s="15"/>
      <c r="C3768" s="17">
        <f>Fixture!E773</f>
        <v>0</v>
      </c>
      <c r="D3768" s="18">
        <f>IF(E3768=0,0,IF(Fixture!D773&lt;Fixture!F773,3,IF(Fixture!F773&lt;Fixture!D773,0,1)))</f>
        <v>0</v>
      </c>
      <c r="E3768" s="18">
        <f t="shared" ref="E3768:E3800" si="770">E2769</f>
        <v>0</v>
      </c>
      <c r="F3768" s="18">
        <f>IF(E3768=0,0,IF(Fixture!D773&lt;Fixture!F773,1,IF(Fixture!F773&lt;Fixture!D773,0,0)))</f>
        <v>0</v>
      </c>
      <c r="G3768" s="18">
        <f>IF(E3768=0,0,IF(Fixture!D773&lt;Fixture!F773,0,IF(Fixture!F773&lt;Fixture!D773,0,1)))</f>
        <v>0</v>
      </c>
      <c r="H3768" s="18">
        <f t="shared" ref="H3768:H3800" si="771">IF(E3768=0,0,IF(D3768&lt;&gt;0,0,1))</f>
        <v>0</v>
      </c>
      <c r="I3768" s="64">
        <f t="shared" ref="I3768:I3800" si="772">J2769</f>
        <v>0</v>
      </c>
      <c r="J3768" s="64">
        <f t="shared" ref="J3768:J3800" si="773">I2769</f>
        <v>0</v>
      </c>
      <c r="K3768" s="63">
        <f t="shared" ref="K3768:K3800" si="774">IF(E3768=0,0,IF(I3768&gt;0,0,1))</f>
        <v>0</v>
      </c>
      <c r="L3768" s="63">
        <f t="shared" ref="L3768:L3800" si="775">IF(E3768=0,0,IF(J3768&gt;0,0,1))</f>
        <v>0</v>
      </c>
      <c r="N3768" s="10" t="str">
        <f t="shared" si="766"/>
        <v>00</v>
      </c>
      <c r="O3768" s="10">
        <f t="shared" si="767"/>
        <v>0</v>
      </c>
      <c r="P3768" s="10">
        <f t="shared" si="768"/>
        <v>0</v>
      </c>
      <c r="Q3768" s="10">
        <f t="shared" si="769"/>
        <v>0</v>
      </c>
    </row>
    <row r="3769" spans="1:17">
      <c r="A3769" s="15">
        <f t="shared" ref="A3769:A3800" si="776">B813</f>
        <v>0</v>
      </c>
      <c r="B3769" s="15"/>
      <c r="C3769" s="17">
        <f>Fixture!E774</f>
        <v>0</v>
      </c>
      <c r="D3769" s="18">
        <f>IF(E3769=0,0,IF(Fixture!D774&lt;Fixture!F774,3,IF(Fixture!F774&lt;Fixture!D774,0,1)))</f>
        <v>0</v>
      </c>
      <c r="E3769" s="18">
        <f t="shared" si="770"/>
        <v>0</v>
      </c>
      <c r="F3769" s="18">
        <f>IF(E3769=0,0,IF(Fixture!D774&lt;Fixture!F774,1,IF(Fixture!F774&lt;Fixture!D774,0,0)))</f>
        <v>0</v>
      </c>
      <c r="G3769" s="18">
        <f>IF(E3769=0,0,IF(Fixture!D774&lt;Fixture!F774,0,IF(Fixture!F774&lt;Fixture!D774,0,1)))</f>
        <v>0</v>
      </c>
      <c r="H3769" s="18">
        <f t="shared" si="771"/>
        <v>0</v>
      </c>
      <c r="I3769" s="64">
        <f t="shared" si="772"/>
        <v>0</v>
      </c>
      <c r="J3769" s="64">
        <f t="shared" si="773"/>
        <v>0</v>
      </c>
      <c r="K3769" s="63">
        <f t="shared" si="774"/>
        <v>0</v>
      </c>
      <c r="L3769" s="63">
        <f t="shared" si="775"/>
        <v>0</v>
      </c>
      <c r="N3769" s="10" t="str">
        <f t="shared" si="766"/>
        <v>00</v>
      </c>
      <c r="O3769" s="10">
        <f t="shared" si="767"/>
        <v>0</v>
      </c>
      <c r="P3769" s="10">
        <f t="shared" si="768"/>
        <v>0</v>
      </c>
      <c r="Q3769" s="10">
        <f t="shared" si="769"/>
        <v>0</v>
      </c>
    </row>
    <row r="3770" spans="1:17">
      <c r="A3770" s="15">
        <f t="shared" si="776"/>
        <v>0</v>
      </c>
      <c r="B3770" s="15"/>
      <c r="C3770" s="17">
        <f>Fixture!E775</f>
        <v>0</v>
      </c>
      <c r="D3770" s="18">
        <f>IF(E3770=0,0,IF(Fixture!D775&lt;Fixture!F775,3,IF(Fixture!F775&lt;Fixture!D775,0,1)))</f>
        <v>0</v>
      </c>
      <c r="E3770" s="18">
        <f t="shared" si="770"/>
        <v>0</v>
      </c>
      <c r="F3770" s="18">
        <f>IF(E3770=0,0,IF(Fixture!D775&lt;Fixture!F775,1,IF(Fixture!F775&lt;Fixture!D775,0,0)))</f>
        <v>0</v>
      </c>
      <c r="G3770" s="18">
        <f>IF(E3770=0,0,IF(Fixture!D775&lt;Fixture!F775,0,IF(Fixture!F775&lt;Fixture!D775,0,1)))</f>
        <v>0</v>
      </c>
      <c r="H3770" s="18">
        <f t="shared" si="771"/>
        <v>0</v>
      </c>
      <c r="I3770" s="64">
        <f t="shared" si="772"/>
        <v>0</v>
      </c>
      <c r="J3770" s="64">
        <f t="shared" si="773"/>
        <v>0</v>
      </c>
      <c r="K3770" s="63">
        <f t="shared" si="774"/>
        <v>0</v>
      </c>
      <c r="L3770" s="63">
        <f t="shared" si="775"/>
        <v>0</v>
      </c>
      <c r="N3770" s="10" t="str">
        <f t="shared" si="766"/>
        <v>00</v>
      </c>
      <c r="O3770" s="10">
        <f t="shared" si="767"/>
        <v>0</v>
      </c>
      <c r="P3770" s="10">
        <f t="shared" si="768"/>
        <v>0</v>
      </c>
      <c r="Q3770" s="10">
        <f t="shared" si="769"/>
        <v>0</v>
      </c>
    </row>
    <row r="3771" spans="1:17">
      <c r="A3771" s="15">
        <f t="shared" si="776"/>
        <v>0</v>
      </c>
      <c r="B3771" s="15"/>
      <c r="C3771" s="17">
        <f>Fixture!E776</f>
        <v>0</v>
      </c>
      <c r="D3771" s="18">
        <f>IF(E3771=0,0,IF(Fixture!D776&lt;Fixture!F776,3,IF(Fixture!F776&lt;Fixture!D776,0,1)))</f>
        <v>0</v>
      </c>
      <c r="E3771" s="18">
        <f t="shared" si="770"/>
        <v>0</v>
      </c>
      <c r="F3771" s="18">
        <f>IF(E3771=0,0,IF(Fixture!D776&lt;Fixture!F776,1,IF(Fixture!F776&lt;Fixture!D776,0,0)))</f>
        <v>0</v>
      </c>
      <c r="G3771" s="18">
        <f>IF(E3771=0,0,IF(Fixture!D776&lt;Fixture!F776,0,IF(Fixture!F776&lt;Fixture!D776,0,1)))</f>
        <v>0</v>
      </c>
      <c r="H3771" s="18">
        <f t="shared" si="771"/>
        <v>0</v>
      </c>
      <c r="I3771" s="64">
        <f t="shared" si="772"/>
        <v>0</v>
      </c>
      <c r="J3771" s="64">
        <f t="shared" si="773"/>
        <v>0</v>
      </c>
      <c r="K3771" s="63">
        <f t="shared" si="774"/>
        <v>0</v>
      </c>
      <c r="L3771" s="63">
        <f t="shared" si="775"/>
        <v>0</v>
      </c>
      <c r="N3771" s="10" t="str">
        <f t="shared" si="766"/>
        <v>00</v>
      </c>
      <c r="O3771" s="10">
        <f t="shared" si="767"/>
        <v>0</v>
      </c>
      <c r="P3771" s="10">
        <f t="shared" si="768"/>
        <v>0</v>
      </c>
      <c r="Q3771" s="10">
        <f t="shared" si="769"/>
        <v>0</v>
      </c>
    </row>
    <row r="3772" spans="1:17">
      <c r="A3772" s="15">
        <f t="shared" si="776"/>
        <v>0</v>
      </c>
      <c r="B3772" s="15"/>
      <c r="C3772" s="17">
        <f>Fixture!E777</f>
        <v>0</v>
      </c>
      <c r="D3772" s="18">
        <f>IF(E3772=0,0,IF(Fixture!D777&lt;Fixture!F777,3,IF(Fixture!F777&lt;Fixture!D777,0,1)))</f>
        <v>0</v>
      </c>
      <c r="E3772" s="18">
        <f t="shared" si="770"/>
        <v>0</v>
      </c>
      <c r="F3772" s="18">
        <f>IF(E3772=0,0,IF(Fixture!D777&lt;Fixture!F777,1,IF(Fixture!F777&lt;Fixture!D777,0,0)))</f>
        <v>0</v>
      </c>
      <c r="G3772" s="18">
        <f>IF(E3772=0,0,IF(Fixture!D777&lt;Fixture!F777,0,IF(Fixture!F777&lt;Fixture!D777,0,1)))</f>
        <v>0</v>
      </c>
      <c r="H3772" s="18">
        <f t="shared" si="771"/>
        <v>0</v>
      </c>
      <c r="I3772" s="64">
        <f t="shared" si="772"/>
        <v>0</v>
      </c>
      <c r="J3772" s="64">
        <f t="shared" si="773"/>
        <v>0</v>
      </c>
      <c r="K3772" s="63">
        <f t="shared" si="774"/>
        <v>0</v>
      </c>
      <c r="L3772" s="63">
        <f t="shared" si="775"/>
        <v>0</v>
      </c>
      <c r="N3772" s="10" t="str">
        <f t="shared" si="766"/>
        <v>00</v>
      </c>
      <c r="O3772" s="10">
        <f t="shared" si="767"/>
        <v>0</v>
      </c>
      <c r="P3772" s="10">
        <f t="shared" si="768"/>
        <v>0</v>
      </c>
      <c r="Q3772" s="10">
        <f t="shared" si="769"/>
        <v>0</v>
      </c>
    </row>
    <row r="3773" spans="1:17">
      <c r="A3773" s="15">
        <f t="shared" si="776"/>
        <v>0</v>
      </c>
      <c r="B3773" s="15"/>
      <c r="C3773" s="17">
        <f>Fixture!E778</f>
        <v>0</v>
      </c>
      <c r="D3773" s="18">
        <f>IF(E3773=0,0,IF(Fixture!D778&lt;Fixture!F778,3,IF(Fixture!F778&lt;Fixture!D778,0,1)))</f>
        <v>0</v>
      </c>
      <c r="E3773" s="18">
        <f t="shared" si="770"/>
        <v>0</v>
      </c>
      <c r="F3773" s="18">
        <f>IF(E3773=0,0,IF(Fixture!D778&lt;Fixture!F778,1,IF(Fixture!F778&lt;Fixture!D778,0,0)))</f>
        <v>0</v>
      </c>
      <c r="G3773" s="18">
        <f>IF(E3773=0,0,IF(Fixture!D778&lt;Fixture!F778,0,IF(Fixture!F778&lt;Fixture!D778,0,1)))</f>
        <v>0</v>
      </c>
      <c r="H3773" s="18">
        <f t="shared" si="771"/>
        <v>0</v>
      </c>
      <c r="I3773" s="64">
        <f t="shared" si="772"/>
        <v>0</v>
      </c>
      <c r="J3773" s="64">
        <f t="shared" si="773"/>
        <v>0</v>
      </c>
      <c r="K3773" s="63">
        <f t="shared" si="774"/>
        <v>0</v>
      </c>
      <c r="L3773" s="63">
        <f t="shared" si="775"/>
        <v>0</v>
      </c>
      <c r="N3773" s="10" t="str">
        <f t="shared" si="766"/>
        <v>00</v>
      </c>
      <c r="O3773" s="10">
        <f t="shared" si="767"/>
        <v>0</v>
      </c>
      <c r="P3773" s="10">
        <f t="shared" si="768"/>
        <v>0</v>
      </c>
      <c r="Q3773" s="10">
        <f t="shared" si="769"/>
        <v>0</v>
      </c>
    </row>
    <row r="3774" spans="1:17">
      <c r="A3774" s="15">
        <f t="shared" si="776"/>
        <v>0</v>
      </c>
      <c r="B3774" s="15"/>
      <c r="C3774" s="17">
        <f>Fixture!E779</f>
        <v>0</v>
      </c>
      <c r="D3774" s="18">
        <f>IF(E3774=0,0,IF(Fixture!D779&lt;Fixture!F779,3,IF(Fixture!F779&lt;Fixture!D779,0,1)))</f>
        <v>0</v>
      </c>
      <c r="E3774" s="18">
        <f t="shared" si="770"/>
        <v>0</v>
      </c>
      <c r="F3774" s="18">
        <f>IF(E3774=0,0,IF(Fixture!D779&lt;Fixture!F779,1,IF(Fixture!F779&lt;Fixture!D779,0,0)))</f>
        <v>0</v>
      </c>
      <c r="G3774" s="18">
        <f>IF(E3774=0,0,IF(Fixture!D779&lt;Fixture!F779,0,IF(Fixture!F779&lt;Fixture!D779,0,1)))</f>
        <v>0</v>
      </c>
      <c r="H3774" s="18">
        <f t="shared" si="771"/>
        <v>0</v>
      </c>
      <c r="I3774" s="64">
        <f t="shared" si="772"/>
        <v>0</v>
      </c>
      <c r="J3774" s="64">
        <f t="shared" si="773"/>
        <v>0</v>
      </c>
      <c r="K3774" s="63">
        <f t="shared" si="774"/>
        <v>0</v>
      </c>
      <c r="L3774" s="63">
        <f t="shared" si="775"/>
        <v>0</v>
      </c>
      <c r="N3774" s="10" t="str">
        <f t="shared" si="766"/>
        <v>00</v>
      </c>
      <c r="O3774" s="10">
        <f t="shared" si="767"/>
        <v>0</v>
      </c>
      <c r="P3774" s="10">
        <f t="shared" si="768"/>
        <v>0</v>
      </c>
      <c r="Q3774" s="10">
        <f t="shared" si="769"/>
        <v>0</v>
      </c>
    </row>
    <row r="3775" spans="1:17">
      <c r="A3775" s="15">
        <f t="shared" si="776"/>
        <v>0</v>
      </c>
      <c r="B3775" s="15"/>
      <c r="C3775" s="17">
        <f>Fixture!E780</f>
        <v>0</v>
      </c>
      <c r="D3775" s="18">
        <f>IF(E3775=0,0,IF(Fixture!D780&lt;Fixture!F780,3,IF(Fixture!F780&lt;Fixture!D780,0,1)))</f>
        <v>0</v>
      </c>
      <c r="E3775" s="18">
        <f t="shared" si="770"/>
        <v>0</v>
      </c>
      <c r="F3775" s="18">
        <f>IF(E3775=0,0,IF(Fixture!D780&lt;Fixture!F780,1,IF(Fixture!F780&lt;Fixture!D780,0,0)))</f>
        <v>0</v>
      </c>
      <c r="G3775" s="18">
        <f>IF(E3775=0,0,IF(Fixture!D780&lt;Fixture!F780,0,IF(Fixture!F780&lt;Fixture!D780,0,1)))</f>
        <v>0</v>
      </c>
      <c r="H3775" s="18">
        <f t="shared" si="771"/>
        <v>0</v>
      </c>
      <c r="I3775" s="64">
        <f t="shared" si="772"/>
        <v>0</v>
      </c>
      <c r="J3775" s="64">
        <f t="shared" si="773"/>
        <v>0</v>
      </c>
      <c r="K3775" s="63">
        <f t="shared" si="774"/>
        <v>0</v>
      </c>
      <c r="L3775" s="63">
        <f t="shared" si="775"/>
        <v>0</v>
      </c>
      <c r="N3775" s="10" t="str">
        <f t="shared" si="766"/>
        <v>00</v>
      </c>
      <c r="O3775" s="10">
        <f t="shared" si="767"/>
        <v>0</v>
      </c>
      <c r="P3775" s="10">
        <f t="shared" si="768"/>
        <v>0</v>
      </c>
      <c r="Q3775" s="10">
        <f t="shared" si="769"/>
        <v>0</v>
      </c>
    </row>
    <row r="3776" spans="1:17">
      <c r="A3776" s="15">
        <f t="shared" si="776"/>
        <v>0</v>
      </c>
      <c r="B3776" s="15"/>
      <c r="C3776" s="17">
        <f>Fixture!E781</f>
        <v>0</v>
      </c>
      <c r="D3776" s="18">
        <f>IF(E3776=0,0,IF(Fixture!D781&lt;Fixture!F781,3,IF(Fixture!F781&lt;Fixture!D781,0,1)))</f>
        <v>0</v>
      </c>
      <c r="E3776" s="18">
        <f t="shared" si="770"/>
        <v>0</v>
      </c>
      <c r="F3776" s="18">
        <f>IF(E3776=0,0,IF(Fixture!D781&lt;Fixture!F781,1,IF(Fixture!F781&lt;Fixture!D781,0,0)))</f>
        <v>0</v>
      </c>
      <c r="G3776" s="18">
        <f>IF(E3776=0,0,IF(Fixture!D781&lt;Fixture!F781,0,IF(Fixture!F781&lt;Fixture!D781,0,1)))</f>
        <v>0</v>
      </c>
      <c r="H3776" s="18">
        <f t="shared" si="771"/>
        <v>0</v>
      </c>
      <c r="I3776" s="64">
        <f t="shared" si="772"/>
        <v>0</v>
      </c>
      <c r="J3776" s="64">
        <f t="shared" si="773"/>
        <v>0</v>
      </c>
      <c r="K3776" s="63">
        <f t="shared" si="774"/>
        <v>0</v>
      </c>
      <c r="L3776" s="63">
        <f t="shared" si="775"/>
        <v>0</v>
      </c>
      <c r="N3776" s="10" t="str">
        <f t="shared" si="766"/>
        <v>00</v>
      </c>
      <c r="O3776" s="10">
        <f t="shared" si="767"/>
        <v>0</v>
      </c>
      <c r="P3776" s="10">
        <f t="shared" si="768"/>
        <v>0</v>
      </c>
      <c r="Q3776" s="10">
        <f t="shared" si="769"/>
        <v>0</v>
      </c>
    </row>
    <row r="3777" spans="1:17">
      <c r="A3777" s="15">
        <f t="shared" si="776"/>
        <v>0</v>
      </c>
      <c r="B3777" s="15"/>
      <c r="C3777" s="17">
        <f>Fixture!E782</f>
        <v>0</v>
      </c>
      <c r="D3777" s="18">
        <f>IF(E3777=0,0,IF(Fixture!D782&lt;Fixture!F782,3,IF(Fixture!F782&lt;Fixture!D782,0,1)))</f>
        <v>0</v>
      </c>
      <c r="E3777" s="18">
        <f t="shared" si="770"/>
        <v>0</v>
      </c>
      <c r="F3777" s="18">
        <f>IF(E3777=0,0,IF(Fixture!D782&lt;Fixture!F782,1,IF(Fixture!F782&lt;Fixture!D782,0,0)))</f>
        <v>0</v>
      </c>
      <c r="G3777" s="18">
        <f>IF(E3777=0,0,IF(Fixture!D782&lt;Fixture!F782,0,IF(Fixture!F782&lt;Fixture!D782,0,1)))</f>
        <v>0</v>
      </c>
      <c r="H3777" s="18">
        <f t="shared" si="771"/>
        <v>0</v>
      </c>
      <c r="I3777" s="64">
        <f t="shared" si="772"/>
        <v>0</v>
      </c>
      <c r="J3777" s="64">
        <f t="shared" si="773"/>
        <v>0</v>
      </c>
      <c r="K3777" s="63">
        <f t="shared" si="774"/>
        <v>0</v>
      </c>
      <c r="L3777" s="63">
        <f t="shared" si="775"/>
        <v>0</v>
      </c>
      <c r="N3777" s="10" t="str">
        <f t="shared" si="766"/>
        <v>00</v>
      </c>
      <c r="O3777" s="10">
        <f t="shared" si="767"/>
        <v>0</v>
      </c>
      <c r="P3777" s="10">
        <f t="shared" si="768"/>
        <v>0</v>
      </c>
      <c r="Q3777" s="10">
        <f t="shared" si="769"/>
        <v>0</v>
      </c>
    </row>
    <row r="3778" spans="1:17">
      <c r="A3778" s="15">
        <f t="shared" si="776"/>
        <v>0</v>
      </c>
      <c r="B3778" s="15"/>
      <c r="C3778" s="17">
        <f>Fixture!E783</f>
        <v>0</v>
      </c>
      <c r="D3778" s="18">
        <f>IF(E3778=0,0,IF(Fixture!D783&lt;Fixture!F783,3,IF(Fixture!F783&lt;Fixture!D783,0,1)))</f>
        <v>0</v>
      </c>
      <c r="E3778" s="18">
        <f t="shared" si="770"/>
        <v>0</v>
      </c>
      <c r="F3778" s="18">
        <f>IF(E3778=0,0,IF(Fixture!D783&lt;Fixture!F783,1,IF(Fixture!F783&lt;Fixture!D783,0,0)))</f>
        <v>0</v>
      </c>
      <c r="G3778" s="18">
        <f>IF(E3778=0,0,IF(Fixture!D783&lt;Fixture!F783,0,IF(Fixture!F783&lt;Fixture!D783,0,1)))</f>
        <v>0</v>
      </c>
      <c r="H3778" s="18">
        <f t="shared" si="771"/>
        <v>0</v>
      </c>
      <c r="I3778" s="64">
        <f t="shared" si="772"/>
        <v>0</v>
      </c>
      <c r="J3778" s="64">
        <f t="shared" si="773"/>
        <v>0</v>
      </c>
      <c r="K3778" s="63">
        <f t="shared" si="774"/>
        <v>0</v>
      </c>
      <c r="L3778" s="63">
        <f t="shared" si="775"/>
        <v>0</v>
      </c>
      <c r="N3778" s="10" t="str">
        <f t="shared" si="766"/>
        <v>00</v>
      </c>
      <c r="O3778" s="10">
        <f t="shared" si="767"/>
        <v>0</v>
      </c>
      <c r="P3778" s="10">
        <f t="shared" si="768"/>
        <v>0</v>
      </c>
      <c r="Q3778" s="10">
        <f t="shared" si="769"/>
        <v>0</v>
      </c>
    </row>
    <row r="3779" spans="1:17">
      <c r="A3779" s="15">
        <f t="shared" si="776"/>
        <v>0</v>
      </c>
      <c r="B3779" s="15"/>
      <c r="C3779" s="17">
        <f>Fixture!E784</f>
        <v>0</v>
      </c>
      <c r="D3779" s="18">
        <f>IF(E3779=0,0,IF(Fixture!D784&lt;Fixture!F784,3,IF(Fixture!F784&lt;Fixture!D784,0,1)))</f>
        <v>0</v>
      </c>
      <c r="E3779" s="18">
        <f t="shared" si="770"/>
        <v>0</v>
      </c>
      <c r="F3779" s="18">
        <f>IF(E3779=0,0,IF(Fixture!D784&lt;Fixture!F784,1,IF(Fixture!F784&lt;Fixture!D784,0,0)))</f>
        <v>0</v>
      </c>
      <c r="G3779" s="18">
        <f>IF(E3779=0,0,IF(Fixture!D784&lt;Fixture!F784,0,IF(Fixture!F784&lt;Fixture!D784,0,1)))</f>
        <v>0</v>
      </c>
      <c r="H3779" s="18">
        <f t="shared" si="771"/>
        <v>0</v>
      </c>
      <c r="I3779" s="64">
        <f t="shared" si="772"/>
        <v>0</v>
      </c>
      <c r="J3779" s="64">
        <f t="shared" si="773"/>
        <v>0</v>
      </c>
      <c r="K3779" s="63">
        <f t="shared" si="774"/>
        <v>0</v>
      </c>
      <c r="L3779" s="63">
        <f t="shared" si="775"/>
        <v>0</v>
      </c>
      <c r="N3779" s="10" t="str">
        <f t="shared" si="766"/>
        <v>00</v>
      </c>
      <c r="O3779" s="10">
        <f t="shared" si="767"/>
        <v>0</v>
      </c>
      <c r="P3779" s="10">
        <f t="shared" si="768"/>
        <v>0</v>
      </c>
      <c r="Q3779" s="10">
        <f t="shared" si="769"/>
        <v>0</v>
      </c>
    </row>
    <row r="3780" spans="1:17">
      <c r="A3780" s="15">
        <f t="shared" si="776"/>
        <v>0</v>
      </c>
      <c r="B3780" s="15"/>
      <c r="C3780" s="17">
        <f>Fixture!E785</f>
        <v>0</v>
      </c>
      <c r="D3780" s="18">
        <f>IF(E3780=0,0,IF(Fixture!D785&lt;Fixture!F785,3,IF(Fixture!F785&lt;Fixture!D785,0,1)))</f>
        <v>0</v>
      </c>
      <c r="E3780" s="18">
        <f t="shared" si="770"/>
        <v>0</v>
      </c>
      <c r="F3780" s="18">
        <f>IF(E3780=0,0,IF(Fixture!D785&lt;Fixture!F785,1,IF(Fixture!F785&lt;Fixture!D785,0,0)))</f>
        <v>0</v>
      </c>
      <c r="G3780" s="18">
        <f>IF(E3780=0,0,IF(Fixture!D785&lt;Fixture!F785,0,IF(Fixture!F785&lt;Fixture!D785,0,1)))</f>
        <v>0</v>
      </c>
      <c r="H3780" s="18">
        <f t="shared" si="771"/>
        <v>0</v>
      </c>
      <c r="I3780" s="64">
        <f t="shared" si="772"/>
        <v>0</v>
      </c>
      <c r="J3780" s="64">
        <f t="shared" si="773"/>
        <v>0</v>
      </c>
      <c r="K3780" s="63">
        <f t="shared" si="774"/>
        <v>0</v>
      </c>
      <c r="L3780" s="63">
        <f t="shared" si="775"/>
        <v>0</v>
      </c>
      <c r="N3780" s="10" t="str">
        <f t="shared" si="766"/>
        <v>00</v>
      </c>
      <c r="O3780" s="10">
        <f t="shared" si="767"/>
        <v>0</v>
      </c>
      <c r="P3780" s="10">
        <f t="shared" si="768"/>
        <v>0</v>
      </c>
      <c r="Q3780" s="10">
        <f t="shared" si="769"/>
        <v>0</v>
      </c>
    </row>
    <row r="3781" spans="1:17">
      <c r="A3781" s="15">
        <f t="shared" si="776"/>
        <v>0</v>
      </c>
      <c r="B3781" s="15"/>
      <c r="C3781" s="17">
        <f>Fixture!E786</f>
        <v>0</v>
      </c>
      <c r="D3781" s="18">
        <f>IF(E3781=0,0,IF(Fixture!D786&lt;Fixture!F786,3,IF(Fixture!F786&lt;Fixture!D786,0,1)))</f>
        <v>0</v>
      </c>
      <c r="E3781" s="18">
        <f t="shared" si="770"/>
        <v>0</v>
      </c>
      <c r="F3781" s="18">
        <f>IF(E3781=0,0,IF(Fixture!D786&lt;Fixture!F786,1,IF(Fixture!F786&lt;Fixture!D786,0,0)))</f>
        <v>0</v>
      </c>
      <c r="G3781" s="18">
        <f>IF(E3781=0,0,IF(Fixture!D786&lt;Fixture!F786,0,IF(Fixture!F786&lt;Fixture!D786,0,1)))</f>
        <v>0</v>
      </c>
      <c r="H3781" s="18">
        <f t="shared" si="771"/>
        <v>0</v>
      </c>
      <c r="I3781" s="64">
        <f t="shared" si="772"/>
        <v>0</v>
      </c>
      <c r="J3781" s="64">
        <f t="shared" si="773"/>
        <v>0</v>
      </c>
      <c r="K3781" s="63">
        <f t="shared" si="774"/>
        <v>0</v>
      </c>
      <c r="L3781" s="63">
        <f t="shared" si="775"/>
        <v>0</v>
      </c>
      <c r="N3781" s="10" t="str">
        <f t="shared" si="766"/>
        <v>00</v>
      </c>
      <c r="O3781" s="10">
        <f t="shared" si="767"/>
        <v>0</v>
      </c>
      <c r="P3781" s="10">
        <f t="shared" si="768"/>
        <v>0</v>
      </c>
      <c r="Q3781" s="10">
        <f t="shared" si="769"/>
        <v>0</v>
      </c>
    </row>
    <row r="3782" spans="1:17">
      <c r="A3782" s="15">
        <f t="shared" si="776"/>
        <v>0</v>
      </c>
      <c r="B3782" s="15"/>
      <c r="C3782" s="17">
        <f>Fixture!E787</f>
        <v>0</v>
      </c>
      <c r="D3782" s="18">
        <f>IF(E3782=0,0,IF(Fixture!D787&lt;Fixture!F787,3,IF(Fixture!F787&lt;Fixture!D787,0,1)))</f>
        <v>0</v>
      </c>
      <c r="E3782" s="18">
        <f t="shared" si="770"/>
        <v>0</v>
      </c>
      <c r="F3782" s="18">
        <f>IF(E3782=0,0,IF(Fixture!D787&lt;Fixture!F787,1,IF(Fixture!F787&lt;Fixture!D787,0,0)))</f>
        <v>0</v>
      </c>
      <c r="G3782" s="18">
        <f>IF(E3782=0,0,IF(Fixture!D787&lt;Fixture!F787,0,IF(Fixture!F787&lt;Fixture!D787,0,1)))</f>
        <v>0</v>
      </c>
      <c r="H3782" s="18">
        <f t="shared" si="771"/>
        <v>0</v>
      </c>
      <c r="I3782" s="64">
        <f t="shared" si="772"/>
        <v>0</v>
      </c>
      <c r="J3782" s="64">
        <f t="shared" si="773"/>
        <v>0</v>
      </c>
      <c r="K3782" s="63">
        <f t="shared" si="774"/>
        <v>0</v>
      </c>
      <c r="L3782" s="63">
        <f t="shared" si="775"/>
        <v>0</v>
      </c>
      <c r="N3782" s="10" t="str">
        <f t="shared" si="766"/>
        <v>00</v>
      </c>
      <c r="O3782" s="10">
        <f t="shared" si="767"/>
        <v>0</v>
      </c>
      <c r="P3782" s="10">
        <f t="shared" si="768"/>
        <v>0</v>
      </c>
      <c r="Q3782" s="10">
        <f t="shared" si="769"/>
        <v>0</v>
      </c>
    </row>
    <row r="3783" spans="1:17">
      <c r="A3783" s="15">
        <f t="shared" si="776"/>
        <v>0</v>
      </c>
      <c r="B3783" s="15"/>
      <c r="C3783" s="17">
        <f>Fixture!E788</f>
        <v>0</v>
      </c>
      <c r="D3783" s="18">
        <f>IF(E3783=0,0,IF(Fixture!D788&lt;Fixture!F788,3,IF(Fixture!F788&lt;Fixture!D788,0,1)))</f>
        <v>0</v>
      </c>
      <c r="E3783" s="18">
        <f t="shared" si="770"/>
        <v>0</v>
      </c>
      <c r="F3783" s="18">
        <f>IF(E3783=0,0,IF(Fixture!D788&lt;Fixture!F788,1,IF(Fixture!F788&lt;Fixture!D788,0,0)))</f>
        <v>0</v>
      </c>
      <c r="G3783" s="18">
        <f>IF(E3783=0,0,IF(Fixture!D788&lt;Fixture!F788,0,IF(Fixture!F788&lt;Fixture!D788,0,1)))</f>
        <v>0</v>
      </c>
      <c r="H3783" s="18">
        <f t="shared" si="771"/>
        <v>0</v>
      </c>
      <c r="I3783" s="64">
        <f t="shared" si="772"/>
        <v>0</v>
      </c>
      <c r="J3783" s="64">
        <f t="shared" si="773"/>
        <v>0</v>
      </c>
      <c r="K3783" s="63">
        <f t="shared" si="774"/>
        <v>0</v>
      </c>
      <c r="L3783" s="63">
        <f t="shared" si="775"/>
        <v>0</v>
      </c>
      <c r="N3783" s="10" t="str">
        <f t="shared" si="766"/>
        <v>00</v>
      </c>
      <c r="O3783" s="10">
        <f t="shared" si="767"/>
        <v>0</v>
      </c>
      <c r="P3783" s="10">
        <f t="shared" si="768"/>
        <v>0</v>
      </c>
      <c r="Q3783" s="10">
        <f t="shared" si="769"/>
        <v>0</v>
      </c>
    </row>
    <row r="3784" spans="1:17">
      <c r="A3784" s="15">
        <f t="shared" si="776"/>
        <v>0</v>
      </c>
      <c r="B3784" s="15"/>
      <c r="C3784" s="17">
        <f>Fixture!E789</f>
        <v>0</v>
      </c>
      <c r="D3784" s="18">
        <f>IF(E3784=0,0,IF(Fixture!D789&lt;Fixture!F789,3,IF(Fixture!F789&lt;Fixture!D789,0,1)))</f>
        <v>0</v>
      </c>
      <c r="E3784" s="18">
        <f t="shared" si="770"/>
        <v>0</v>
      </c>
      <c r="F3784" s="18">
        <f>IF(E3784=0,0,IF(Fixture!D789&lt;Fixture!F789,1,IF(Fixture!F789&lt;Fixture!D789,0,0)))</f>
        <v>0</v>
      </c>
      <c r="G3784" s="18">
        <f>IF(E3784=0,0,IF(Fixture!D789&lt;Fixture!F789,0,IF(Fixture!F789&lt;Fixture!D789,0,1)))</f>
        <v>0</v>
      </c>
      <c r="H3784" s="18">
        <f t="shared" si="771"/>
        <v>0</v>
      </c>
      <c r="I3784" s="64">
        <f t="shared" si="772"/>
        <v>0</v>
      </c>
      <c r="J3784" s="64">
        <f t="shared" si="773"/>
        <v>0</v>
      </c>
      <c r="K3784" s="63">
        <f t="shared" si="774"/>
        <v>0</v>
      </c>
      <c r="L3784" s="63">
        <f t="shared" si="775"/>
        <v>0</v>
      </c>
      <c r="N3784" s="10" t="str">
        <f t="shared" si="766"/>
        <v>00</v>
      </c>
      <c r="O3784" s="10">
        <f t="shared" si="767"/>
        <v>0</v>
      </c>
      <c r="P3784" s="10">
        <f t="shared" si="768"/>
        <v>0</v>
      </c>
      <c r="Q3784" s="10">
        <f t="shared" si="769"/>
        <v>0</v>
      </c>
    </row>
    <row r="3785" spans="1:17">
      <c r="A3785" s="15">
        <f t="shared" si="776"/>
        <v>0</v>
      </c>
      <c r="B3785" s="15"/>
      <c r="C3785" s="17">
        <f>Fixture!E790</f>
        <v>0</v>
      </c>
      <c r="D3785" s="18">
        <f>IF(E3785=0,0,IF(Fixture!D790&lt;Fixture!F790,3,IF(Fixture!F790&lt;Fixture!D790,0,1)))</f>
        <v>0</v>
      </c>
      <c r="E3785" s="18">
        <f t="shared" si="770"/>
        <v>0</v>
      </c>
      <c r="F3785" s="18">
        <f>IF(E3785=0,0,IF(Fixture!D790&lt;Fixture!F790,1,IF(Fixture!F790&lt;Fixture!D790,0,0)))</f>
        <v>0</v>
      </c>
      <c r="G3785" s="18">
        <f>IF(E3785=0,0,IF(Fixture!D790&lt;Fixture!F790,0,IF(Fixture!F790&lt;Fixture!D790,0,1)))</f>
        <v>0</v>
      </c>
      <c r="H3785" s="18">
        <f t="shared" si="771"/>
        <v>0</v>
      </c>
      <c r="I3785" s="64">
        <f t="shared" si="772"/>
        <v>0</v>
      </c>
      <c r="J3785" s="64">
        <f t="shared" si="773"/>
        <v>0</v>
      </c>
      <c r="K3785" s="63">
        <f t="shared" si="774"/>
        <v>0</v>
      </c>
      <c r="L3785" s="63">
        <f t="shared" si="775"/>
        <v>0</v>
      </c>
      <c r="N3785" s="10" t="str">
        <f t="shared" si="766"/>
        <v>00</v>
      </c>
      <c r="O3785" s="10">
        <f t="shared" si="767"/>
        <v>0</v>
      </c>
      <c r="P3785" s="10">
        <f t="shared" si="768"/>
        <v>0</v>
      </c>
      <c r="Q3785" s="10">
        <f t="shared" si="769"/>
        <v>0</v>
      </c>
    </row>
    <row r="3786" spans="1:17">
      <c r="A3786" s="15">
        <f t="shared" si="776"/>
        <v>0</v>
      </c>
      <c r="B3786" s="15"/>
      <c r="C3786" s="17">
        <f>Fixture!E791</f>
        <v>0</v>
      </c>
      <c r="D3786" s="18">
        <f>IF(E3786=0,0,IF(Fixture!D791&lt;Fixture!F791,3,IF(Fixture!F791&lt;Fixture!D791,0,1)))</f>
        <v>0</v>
      </c>
      <c r="E3786" s="18">
        <f t="shared" si="770"/>
        <v>0</v>
      </c>
      <c r="F3786" s="18">
        <f>IF(E3786=0,0,IF(Fixture!D791&lt;Fixture!F791,1,IF(Fixture!F791&lt;Fixture!D791,0,0)))</f>
        <v>0</v>
      </c>
      <c r="G3786" s="18">
        <f>IF(E3786=0,0,IF(Fixture!D791&lt;Fixture!F791,0,IF(Fixture!F791&lt;Fixture!D791,0,1)))</f>
        <v>0</v>
      </c>
      <c r="H3786" s="18">
        <f t="shared" si="771"/>
        <v>0</v>
      </c>
      <c r="I3786" s="64">
        <f t="shared" si="772"/>
        <v>0</v>
      </c>
      <c r="J3786" s="64">
        <f t="shared" si="773"/>
        <v>0</v>
      </c>
      <c r="K3786" s="63">
        <f t="shared" si="774"/>
        <v>0</v>
      </c>
      <c r="L3786" s="63">
        <f t="shared" si="775"/>
        <v>0</v>
      </c>
      <c r="N3786" s="10" t="str">
        <f t="shared" si="766"/>
        <v>00</v>
      </c>
      <c r="O3786" s="10">
        <f t="shared" si="767"/>
        <v>0</v>
      </c>
      <c r="P3786" s="10">
        <f t="shared" si="768"/>
        <v>0</v>
      </c>
      <c r="Q3786" s="10">
        <f t="shared" si="769"/>
        <v>0</v>
      </c>
    </row>
    <row r="3787" spans="1:17">
      <c r="A3787" s="15">
        <f t="shared" si="776"/>
        <v>0</v>
      </c>
      <c r="B3787" s="15"/>
      <c r="C3787" s="17">
        <f>Fixture!E792</f>
        <v>0</v>
      </c>
      <c r="D3787" s="18">
        <f>IF(E3787=0,0,IF(Fixture!D792&lt;Fixture!F792,3,IF(Fixture!F792&lt;Fixture!D792,0,1)))</f>
        <v>0</v>
      </c>
      <c r="E3787" s="18">
        <f t="shared" si="770"/>
        <v>0</v>
      </c>
      <c r="F3787" s="18">
        <f>IF(E3787=0,0,IF(Fixture!D792&lt;Fixture!F792,1,IF(Fixture!F792&lt;Fixture!D792,0,0)))</f>
        <v>0</v>
      </c>
      <c r="G3787" s="18">
        <f>IF(E3787=0,0,IF(Fixture!D792&lt;Fixture!F792,0,IF(Fixture!F792&lt;Fixture!D792,0,1)))</f>
        <v>0</v>
      </c>
      <c r="H3787" s="18">
        <f t="shared" si="771"/>
        <v>0</v>
      </c>
      <c r="I3787" s="64">
        <f t="shared" si="772"/>
        <v>0</v>
      </c>
      <c r="J3787" s="64">
        <f t="shared" si="773"/>
        <v>0</v>
      </c>
      <c r="K3787" s="63">
        <f t="shared" si="774"/>
        <v>0</v>
      </c>
      <c r="L3787" s="63">
        <f t="shared" si="775"/>
        <v>0</v>
      </c>
      <c r="N3787" s="10" t="str">
        <f t="shared" si="766"/>
        <v>00</v>
      </c>
      <c r="O3787" s="10">
        <f t="shared" si="767"/>
        <v>0</v>
      </c>
      <c r="P3787" s="10">
        <f t="shared" si="768"/>
        <v>0</v>
      </c>
      <c r="Q3787" s="10">
        <f t="shared" si="769"/>
        <v>0</v>
      </c>
    </row>
    <row r="3788" spans="1:17">
      <c r="A3788" s="15">
        <f t="shared" si="776"/>
        <v>0</v>
      </c>
      <c r="B3788" s="15"/>
      <c r="C3788" s="17">
        <f>Fixture!E793</f>
        <v>0</v>
      </c>
      <c r="D3788" s="18">
        <f>IF(E3788=0,0,IF(Fixture!D793&lt;Fixture!F793,3,IF(Fixture!F793&lt;Fixture!D793,0,1)))</f>
        <v>0</v>
      </c>
      <c r="E3788" s="18">
        <f t="shared" si="770"/>
        <v>0</v>
      </c>
      <c r="F3788" s="18">
        <f>IF(E3788=0,0,IF(Fixture!D793&lt;Fixture!F793,1,IF(Fixture!F793&lt;Fixture!D793,0,0)))</f>
        <v>0</v>
      </c>
      <c r="G3788" s="18">
        <f>IF(E3788=0,0,IF(Fixture!D793&lt;Fixture!F793,0,IF(Fixture!F793&lt;Fixture!D793,0,1)))</f>
        <v>0</v>
      </c>
      <c r="H3788" s="18">
        <f t="shared" si="771"/>
        <v>0</v>
      </c>
      <c r="I3788" s="64">
        <f t="shared" si="772"/>
        <v>0</v>
      </c>
      <c r="J3788" s="64">
        <f t="shared" si="773"/>
        <v>0</v>
      </c>
      <c r="K3788" s="63">
        <f t="shared" si="774"/>
        <v>0</v>
      </c>
      <c r="L3788" s="63">
        <f t="shared" si="775"/>
        <v>0</v>
      </c>
      <c r="N3788" s="10" t="str">
        <f t="shared" si="766"/>
        <v>00</v>
      </c>
      <c r="O3788" s="10">
        <f t="shared" si="767"/>
        <v>0</v>
      </c>
      <c r="P3788" s="10">
        <f t="shared" si="768"/>
        <v>0</v>
      </c>
      <c r="Q3788" s="10">
        <f t="shared" si="769"/>
        <v>0</v>
      </c>
    </row>
    <row r="3789" spans="1:17">
      <c r="A3789" s="15">
        <f t="shared" si="776"/>
        <v>0</v>
      </c>
      <c r="B3789" s="15"/>
      <c r="C3789" s="17">
        <f>Fixture!E794</f>
        <v>0</v>
      </c>
      <c r="D3789" s="18">
        <f>IF(E3789=0,0,IF(Fixture!D794&lt;Fixture!F794,3,IF(Fixture!F794&lt;Fixture!D794,0,1)))</f>
        <v>0</v>
      </c>
      <c r="E3789" s="18">
        <f t="shared" si="770"/>
        <v>0</v>
      </c>
      <c r="F3789" s="18">
        <f>IF(E3789=0,0,IF(Fixture!D794&lt;Fixture!F794,1,IF(Fixture!F794&lt;Fixture!D794,0,0)))</f>
        <v>0</v>
      </c>
      <c r="G3789" s="18">
        <f>IF(E3789=0,0,IF(Fixture!D794&lt;Fixture!F794,0,IF(Fixture!F794&lt;Fixture!D794,0,1)))</f>
        <v>0</v>
      </c>
      <c r="H3789" s="18">
        <f t="shared" si="771"/>
        <v>0</v>
      </c>
      <c r="I3789" s="64">
        <f t="shared" si="772"/>
        <v>0</v>
      </c>
      <c r="J3789" s="64">
        <f t="shared" si="773"/>
        <v>0</v>
      </c>
      <c r="K3789" s="63">
        <f t="shared" si="774"/>
        <v>0</v>
      </c>
      <c r="L3789" s="63">
        <f t="shared" si="775"/>
        <v>0</v>
      </c>
      <c r="N3789" s="10" t="str">
        <f t="shared" si="766"/>
        <v>00</v>
      </c>
      <c r="O3789" s="10">
        <f t="shared" si="767"/>
        <v>0</v>
      </c>
      <c r="P3789" s="10">
        <f t="shared" si="768"/>
        <v>0</v>
      </c>
      <c r="Q3789" s="10">
        <f t="shared" si="769"/>
        <v>0</v>
      </c>
    </row>
    <row r="3790" spans="1:17">
      <c r="A3790" s="15">
        <f t="shared" si="776"/>
        <v>0</v>
      </c>
      <c r="B3790" s="15"/>
      <c r="C3790" s="17">
        <f>Fixture!E795</f>
        <v>0</v>
      </c>
      <c r="D3790" s="18">
        <f>IF(E3790=0,0,IF(Fixture!D795&lt;Fixture!F795,3,IF(Fixture!F795&lt;Fixture!D795,0,1)))</f>
        <v>0</v>
      </c>
      <c r="E3790" s="18">
        <f t="shared" si="770"/>
        <v>0</v>
      </c>
      <c r="F3790" s="18">
        <f>IF(E3790=0,0,IF(Fixture!D795&lt;Fixture!F795,1,IF(Fixture!F795&lt;Fixture!D795,0,0)))</f>
        <v>0</v>
      </c>
      <c r="G3790" s="18">
        <f>IF(E3790=0,0,IF(Fixture!D795&lt;Fixture!F795,0,IF(Fixture!F795&lt;Fixture!D795,0,1)))</f>
        <v>0</v>
      </c>
      <c r="H3790" s="18">
        <f t="shared" si="771"/>
        <v>0</v>
      </c>
      <c r="I3790" s="64">
        <f t="shared" si="772"/>
        <v>0</v>
      </c>
      <c r="J3790" s="64">
        <f t="shared" si="773"/>
        <v>0</v>
      </c>
      <c r="K3790" s="63">
        <f t="shared" si="774"/>
        <v>0</v>
      </c>
      <c r="L3790" s="63">
        <f t="shared" si="775"/>
        <v>0</v>
      </c>
      <c r="N3790" s="10" t="str">
        <f t="shared" si="766"/>
        <v>00</v>
      </c>
      <c r="O3790" s="10">
        <f t="shared" si="767"/>
        <v>0</v>
      </c>
      <c r="P3790" s="10">
        <f t="shared" si="768"/>
        <v>0</v>
      </c>
      <c r="Q3790" s="10">
        <f t="shared" si="769"/>
        <v>0</v>
      </c>
    </row>
    <row r="3791" spans="1:17">
      <c r="A3791" s="15">
        <f t="shared" si="776"/>
        <v>0</v>
      </c>
      <c r="B3791" s="15"/>
      <c r="C3791" s="17">
        <f>Fixture!E796</f>
        <v>0</v>
      </c>
      <c r="D3791" s="18">
        <f>IF(E3791=0,0,IF(Fixture!D796&lt;Fixture!F796,3,IF(Fixture!F796&lt;Fixture!D796,0,1)))</f>
        <v>0</v>
      </c>
      <c r="E3791" s="18">
        <f t="shared" si="770"/>
        <v>0</v>
      </c>
      <c r="F3791" s="18">
        <f>IF(E3791=0,0,IF(Fixture!D796&lt;Fixture!F796,1,IF(Fixture!F796&lt;Fixture!D796,0,0)))</f>
        <v>0</v>
      </c>
      <c r="G3791" s="18">
        <f>IF(E3791=0,0,IF(Fixture!D796&lt;Fixture!F796,0,IF(Fixture!F796&lt;Fixture!D796,0,1)))</f>
        <v>0</v>
      </c>
      <c r="H3791" s="18">
        <f t="shared" si="771"/>
        <v>0</v>
      </c>
      <c r="I3791" s="64">
        <f t="shared" si="772"/>
        <v>0</v>
      </c>
      <c r="J3791" s="64">
        <f t="shared" si="773"/>
        <v>0</v>
      </c>
      <c r="K3791" s="63">
        <f t="shared" si="774"/>
        <v>0</v>
      </c>
      <c r="L3791" s="63">
        <f t="shared" si="775"/>
        <v>0</v>
      </c>
      <c r="N3791" s="10" t="str">
        <f t="shared" si="766"/>
        <v>00</v>
      </c>
      <c r="O3791" s="10">
        <f t="shared" si="767"/>
        <v>0</v>
      </c>
      <c r="P3791" s="10">
        <f t="shared" si="768"/>
        <v>0</v>
      </c>
      <c r="Q3791" s="10">
        <f t="shared" si="769"/>
        <v>0</v>
      </c>
    </row>
    <row r="3792" spans="1:17">
      <c r="A3792" s="15">
        <f t="shared" si="776"/>
        <v>0</v>
      </c>
      <c r="B3792" s="15"/>
      <c r="C3792" s="17">
        <f>Fixture!E797</f>
        <v>0</v>
      </c>
      <c r="D3792" s="18">
        <f>IF(E3792=0,0,IF(Fixture!D797&lt;Fixture!F797,3,IF(Fixture!F797&lt;Fixture!D797,0,1)))</f>
        <v>0</v>
      </c>
      <c r="E3792" s="18">
        <f t="shared" si="770"/>
        <v>0</v>
      </c>
      <c r="F3792" s="18">
        <f>IF(E3792=0,0,IF(Fixture!D797&lt;Fixture!F797,1,IF(Fixture!F797&lt;Fixture!D797,0,0)))</f>
        <v>0</v>
      </c>
      <c r="G3792" s="18">
        <f>IF(E3792=0,0,IF(Fixture!D797&lt;Fixture!F797,0,IF(Fixture!F797&lt;Fixture!D797,0,1)))</f>
        <v>0</v>
      </c>
      <c r="H3792" s="18">
        <f t="shared" si="771"/>
        <v>0</v>
      </c>
      <c r="I3792" s="64">
        <f t="shared" si="772"/>
        <v>0</v>
      </c>
      <c r="J3792" s="64">
        <f t="shared" si="773"/>
        <v>0</v>
      </c>
      <c r="K3792" s="63">
        <f t="shared" si="774"/>
        <v>0</v>
      </c>
      <c r="L3792" s="63">
        <f t="shared" si="775"/>
        <v>0</v>
      </c>
      <c r="N3792" s="10" t="str">
        <f t="shared" si="766"/>
        <v>00</v>
      </c>
      <c r="O3792" s="10">
        <f t="shared" si="767"/>
        <v>0</v>
      </c>
      <c r="P3792" s="10">
        <f t="shared" si="768"/>
        <v>0</v>
      </c>
      <c r="Q3792" s="10">
        <f t="shared" si="769"/>
        <v>0</v>
      </c>
    </row>
    <row r="3793" spans="1:17">
      <c r="A3793" s="15">
        <f t="shared" si="776"/>
        <v>0</v>
      </c>
      <c r="B3793" s="15"/>
      <c r="C3793" s="17">
        <f>Fixture!E798</f>
        <v>0</v>
      </c>
      <c r="D3793" s="18">
        <f>IF(E3793=0,0,IF(Fixture!D798&lt;Fixture!F798,3,IF(Fixture!F798&lt;Fixture!D798,0,1)))</f>
        <v>0</v>
      </c>
      <c r="E3793" s="18">
        <f t="shared" si="770"/>
        <v>0</v>
      </c>
      <c r="F3793" s="18">
        <f>IF(E3793=0,0,IF(Fixture!D798&lt;Fixture!F798,1,IF(Fixture!F798&lt;Fixture!D798,0,0)))</f>
        <v>0</v>
      </c>
      <c r="G3793" s="18">
        <f>IF(E3793=0,0,IF(Fixture!D798&lt;Fixture!F798,0,IF(Fixture!F798&lt;Fixture!D798,0,1)))</f>
        <v>0</v>
      </c>
      <c r="H3793" s="18">
        <f t="shared" si="771"/>
        <v>0</v>
      </c>
      <c r="I3793" s="64">
        <f t="shared" si="772"/>
        <v>0</v>
      </c>
      <c r="J3793" s="64">
        <f t="shared" si="773"/>
        <v>0</v>
      </c>
      <c r="K3793" s="63">
        <f t="shared" si="774"/>
        <v>0</v>
      </c>
      <c r="L3793" s="63">
        <f t="shared" si="775"/>
        <v>0</v>
      </c>
      <c r="N3793" s="10" t="str">
        <f t="shared" si="766"/>
        <v>00</v>
      </c>
      <c r="O3793" s="10">
        <f t="shared" si="767"/>
        <v>0</v>
      </c>
      <c r="P3793" s="10">
        <f t="shared" si="768"/>
        <v>0</v>
      </c>
      <c r="Q3793" s="10">
        <f t="shared" si="769"/>
        <v>0</v>
      </c>
    </row>
    <row r="3794" spans="1:17">
      <c r="A3794" s="15">
        <f t="shared" si="776"/>
        <v>0</v>
      </c>
      <c r="B3794" s="15"/>
      <c r="C3794" s="17">
        <f>Fixture!E799</f>
        <v>0</v>
      </c>
      <c r="D3794" s="18">
        <f>IF(E3794=0,0,IF(Fixture!D799&lt;Fixture!F799,3,IF(Fixture!F799&lt;Fixture!D799,0,1)))</f>
        <v>0</v>
      </c>
      <c r="E3794" s="18">
        <f t="shared" si="770"/>
        <v>0</v>
      </c>
      <c r="F3794" s="18">
        <f>IF(E3794=0,0,IF(Fixture!D799&lt;Fixture!F799,1,IF(Fixture!F799&lt;Fixture!D799,0,0)))</f>
        <v>0</v>
      </c>
      <c r="G3794" s="18">
        <f>IF(E3794=0,0,IF(Fixture!D799&lt;Fixture!F799,0,IF(Fixture!F799&lt;Fixture!D799,0,1)))</f>
        <v>0</v>
      </c>
      <c r="H3794" s="18">
        <f t="shared" si="771"/>
        <v>0</v>
      </c>
      <c r="I3794" s="64">
        <f t="shared" si="772"/>
        <v>0</v>
      </c>
      <c r="J3794" s="64">
        <f t="shared" si="773"/>
        <v>0</v>
      </c>
      <c r="K3794" s="63">
        <f t="shared" si="774"/>
        <v>0</v>
      </c>
      <c r="L3794" s="63">
        <f t="shared" si="775"/>
        <v>0</v>
      </c>
      <c r="N3794" s="10" t="str">
        <f t="shared" ref="N3794:N3800" si="777">CONCATENATE(C3794,A3794)</f>
        <v>00</v>
      </c>
      <c r="O3794" s="10">
        <f t="shared" ref="O3794:O3800" si="778">D3794</f>
        <v>0</v>
      </c>
      <c r="P3794" s="10">
        <f t="shared" ref="P3794:P3800" si="779">I3794</f>
        <v>0</v>
      </c>
      <c r="Q3794" s="10">
        <f t="shared" ref="Q3794:Q3800" si="780">J3794</f>
        <v>0</v>
      </c>
    </row>
    <row r="3795" spans="1:17">
      <c r="A3795" s="15">
        <f t="shared" si="776"/>
        <v>0</v>
      </c>
      <c r="B3795" s="15"/>
      <c r="C3795" s="17">
        <f>Fixture!E800</f>
        <v>0</v>
      </c>
      <c r="D3795" s="18">
        <f>IF(E3795=0,0,IF(Fixture!D800&lt;Fixture!F800,3,IF(Fixture!F800&lt;Fixture!D800,0,1)))</f>
        <v>0</v>
      </c>
      <c r="E3795" s="18">
        <f t="shared" si="770"/>
        <v>0</v>
      </c>
      <c r="F3795" s="18">
        <f>IF(E3795=0,0,IF(Fixture!D800&lt;Fixture!F800,1,IF(Fixture!F800&lt;Fixture!D800,0,0)))</f>
        <v>0</v>
      </c>
      <c r="G3795" s="18">
        <f>IF(E3795=0,0,IF(Fixture!D800&lt;Fixture!F800,0,IF(Fixture!F800&lt;Fixture!D800,0,1)))</f>
        <v>0</v>
      </c>
      <c r="H3795" s="18">
        <f t="shared" si="771"/>
        <v>0</v>
      </c>
      <c r="I3795" s="64">
        <f t="shared" si="772"/>
        <v>0</v>
      </c>
      <c r="J3795" s="64">
        <f t="shared" si="773"/>
        <v>0</v>
      </c>
      <c r="K3795" s="63">
        <f t="shared" si="774"/>
        <v>0</v>
      </c>
      <c r="L3795" s="63">
        <f t="shared" si="775"/>
        <v>0</v>
      </c>
      <c r="N3795" s="10" t="str">
        <f t="shared" si="777"/>
        <v>00</v>
      </c>
      <c r="O3795" s="10">
        <f t="shared" si="778"/>
        <v>0</v>
      </c>
      <c r="P3795" s="10">
        <f t="shared" si="779"/>
        <v>0</v>
      </c>
      <c r="Q3795" s="10">
        <f t="shared" si="780"/>
        <v>0</v>
      </c>
    </row>
    <row r="3796" spans="1:17">
      <c r="A3796" s="15">
        <f t="shared" si="776"/>
        <v>0</v>
      </c>
      <c r="B3796" s="15"/>
      <c r="C3796" s="17">
        <f>Fixture!E801</f>
        <v>0</v>
      </c>
      <c r="D3796" s="18">
        <f>IF(E3796=0,0,IF(Fixture!D801&lt;Fixture!F801,3,IF(Fixture!F801&lt;Fixture!D801,0,1)))</f>
        <v>0</v>
      </c>
      <c r="E3796" s="18">
        <f t="shared" si="770"/>
        <v>0</v>
      </c>
      <c r="F3796" s="18">
        <f>IF(E3796=0,0,IF(Fixture!D801&lt;Fixture!F801,1,IF(Fixture!F801&lt;Fixture!D801,0,0)))</f>
        <v>0</v>
      </c>
      <c r="G3796" s="18">
        <f>IF(E3796=0,0,IF(Fixture!D801&lt;Fixture!F801,0,IF(Fixture!F801&lt;Fixture!D801,0,1)))</f>
        <v>0</v>
      </c>
      <c r="H3796" s="18">
        <f t="shared" si="771"/>
        <v>0</v>
      </c>
      <c r="I3796" s="64">
        <f t="shared" si="772"/>
        <v>0</v>
      </c>
      <c r="J3796" s="64">
        <f t="shared" si="773"/>
        <v>0</v>
      </c>
      <c r="K3796" s="63">
        <f t="shared" si="774"/>
        <v>0</v>
      </c>
      <c r="L3796" s="63">
        <f t="shared" si="775"/>
        <v>0</v>
      </c>
      <c r="N3796" s="10" t="str">
        <f t="shared" si="777"/>
        <v>00</v>
      </c>
      <c r="O3796" s="10">
        <f t="shared" si="778"/>
        <v>0</v>
      </c>
      <c r="P3796" s="10">
        <f t="shared" si="779"/>
        <v>0</v>
      </c>
      <c r="Q3796" s="10">
        <f t="shared" si="780"/>
        <v>0</v>
      </c>
    </row>
    <row r="3797" spans="1:17">
      <c r="A3797" s="15">
        <f t="shared" si="776"/>
        <v>0</v>
      </c>
      <c r="B3797" s="15"/>
      <c r="C3797" s="17">
        <f>Fixture!E802</f>
        <v>0</v>
      </c>
      <c r="D3797" s="18">
        <f>IF(E3797=0,0,IF(Fixture!D802&lt;Fixture!F802,3,IF(Fixture!F802&lt;Fixture!D802,0,1)))</f>
        <v>0</v>
      </c>
      <c r="E3797" s="18">
        <f t="shared" si="770"/>
        <v>0</v>
      </c>
      <c r="F3797" s="18">
        <f>IF(E3797=0,0,IF(Fixture!D802&lt;Fixture!F802,1,IF(Fixture!F802&lt;Fixture!D802,0,0)))</f>
        <v>0</v>
      </c>
      <c r="G3797" s="18">
        <f>IF(E3797=0,0,IF(Fixture!D802&lt;Fixture!F802,0,IF(Fixture!F802&lt;Fixture!D802,0,1)))</f>
        <v>0</v>
      </c>
      <c r="H3797" s="18">
        <f t="shared" si="771"/>
        <v>0</v>
      </c>
      <c r="I3797" s="64">
        <f t="shared" si="772"/>
        <v>0</v>
      </c>
      <c r="J3797" s="64">
        <f t="shared" si="773"/>
        <v>0</v>
      </c>
      <c r="K3797" s="63">
        <f t="shared" si="774"/>
        <v>0</v>
      </c>
      <c r="L3797" s="63">
        <f t="shared" si="775"/>
        <v>0</v>
      </c>
      <c r="N3797" s="10" t="str">
        <f t="shared" si="777"/>
        <v>00</v>
      </c>
      <c r="O3797" s="10">
        <f t="shared" si="778"/>
        <v>0</v>
      </c>
      <c r="P3797" s="10">
        <f t="shared" si="779"/>
        <v>0</v>
      </c>
      <c r="Q3797" s="10">
        <f t="shared" si="780"/>
        <v>0</v>
      </c>
    </row>
    <row r="3798" spans="1:17">
      <c r="A3798" s="15">
        <f t="shared" si="776"/>
        <v>0</v>
      </c>
      <c r="B3798" s="15"/>
      <c r="C3798" s="17">
        <f>Fixture!E803</f>
        <v>0</v>
      </c>
      <c r="D3798" s="18">
        <f>IF(E3798=0,0,IF(Fixture!D803&lt;Fixture!F803,3,IF(Fixture!F803&lt;Fixture!D803,0,1)))</f>
        <v>0</v>
      </c>
      <c r="E3798" s="18">
        <f t="shared" si="770"/>
        <v>0</v>
      </c>
      <c r="F3798" s="18">
        <f>IF(E3798=0,0,IF(Fixture!D803&lt;Fixture!F803,1,IF(Fixture!F803&lt;Fixture!D803,0,0)))</f>
        <v>0</v>
      </c>
      <c r="G3798" s="18">
        <f>IF(E3798=0,0,IF(Fixture!D803&lt;Fixture!F803,0,IF(Fixture!F803&lt;Fixture!D803,0,1)))</f>
        <v>0</v>
      </c>
      <c r="H3798" s="18">
        <f t="shared" si="771"/>
        <v>0</v>
      </c>
      <c r="I3798" s="64">
        <f t="shared" si="772"/>
        <v>0</v>
      </c>
      <c r="J3798" s="64">
        <f t="shared" si="773"/>
        <v>0</v>
      </c>
      <c r="K3798" s="63">
        <f t="shared" si="774"/>
        <v>0</v>
      </c>
      <c r="L3798" s="63">
        <f t="shared" si="775"/>
        <v>0</v>
      </c>
      <c r="N3798" s="10" t="str">
        <f t="shared" si="777"/>
        <v>00</v>
      </c>
      <c r="O3798" s="10">
        <f t="shared" si="778"/>
        <v>0</v>
      </c>
      <c r="P3798" s="10">
        <f t="shared" si="779"/>
        <v>0</v>
      </c>
      <c r="Q3798" s="10">
        <f t="shared" si="780"/>
        <v>0</v>
      </c>
    </row>
    <row r="3799" spans="1:17">
      <c r="A3799" s="15">
        <f t="shared" si="776"/>
        <v>0</v>
      </c>
      <c r="B3799" s="15"/>
      <c r="C3799" s="17">
        <f>Fixture!E804</f>
        <v>0</v>
      </c>
      <c r="D3799" s="18">
        <f>IF(E3799=0,0,IF(Fixture!D804&lt;Fixture!F804,3,IF(Fixture!F804&lt;Fixture!D804,0,1)))</f>
        <v>0</v>
      </c>
      <c r="E3799" s="18">
        <f t="shared" si="770"/>
        <v>0</v>
      </c>
      <c r="F3799" s="18">
        <f>IF(E3799=0,0,IF(Fixture!D804&lt;Fixture!F804,1,IF(Fixture!F804&lt;Fixture!D804,0,0)))</f>
        <v>0</v>
      </c>
      <c r="G3799" s="18">
        <f>IF(E3799=0,0,IF(Fixture!D804&lt;Fixture!F804,0,IF(Fixture!F804&lt;Fixture!D804,0,1)))</f>
        <v>0</v>
      </c>
      <c r="H3799" s="18">
        <f t="shared" si="771"/>
        <v>0</v>
      </c>
      <c r="I3799" s="64">
        <f t="shared" si="772"/>
        <v>0</v>
      </c>
      <c r="J3799" s="64">
        <f t="shared" si="773"/>
        <v>0</v>
      </c>
      <c r="K3799" s="63">
        <f t="shared" si="774"/>
        <v>0</v>
      </c>
      <c r="L3799" s="63">
        <f t="shared" si="775"/>
        <v>0</v>
      </c>
      <c r="N3799" s="10" t="str">
        <f t="shared" si="777"/>
        <v>00</v>
      </c>
      <c r="O3799" s="10">
        <f t="shared" si="778"/>
        <v>0</v>
      </c>
      <c r="P3799" s="10">
        <f t="shared" si="779"/>
        <v>0</v>
      </c>
      <c r="Q3799" s="10">
        <f t="shared" si="780"/>
        <v>0</v>
      </c>
    </row>
    <row r="3800" spans="1:17">
      <c r="A3800" s="15">
        <f t="shared" si="776"/>
        <v>0</v>
      </c>
      <c r="B3800" s="15"/>
      <c r="C3800" s="17">
        <f>Fixture!E805</f>
        <v>0</v>
      </c>
      <c r="D3800" s="18">
        <f>IF(E3800=0,0,IF(Fixture!D805&lt;Fixture!F805,3,IF(Fixture!F805&lt;Fixture!D805,0,1)))</f>
        <v>0</v>
      </c>
      <c r="E3800" s="18">
        <f t="shared" si="770"/>
        <v>0</v>
      </c>
      <c r="F3800" s="18">
        <f>IF(E3800=0,0,IF(Fixture!D805&lt;Fixture!F805,1,IF(Fixture!F805&lt;Fixture!D805,0,0)))</f>
        <v>0</v>
      </c>
      <c r="G3800" s="18">
        <f>IF(E3800=0,0,IF(Fixture!D805&lt;Fixture!F805,0,IF(Fixture!F805&lt;Fixture!D805,0,1)))</f>
        <v>0</v>
      </c>
      <c r="H3800" s="18">
        <f t="shared" si="771"/>
        <v>0</v>
      </c>
      <c r="I3800" s="64">
        <f t="shared" si="772"/>
        <v>0</v>
      </c>
      <c r="J3800" s="64">
        <f t="shared" si="773"/>
        <v>0</v>
      </c>
      <c r="K3800" s="63">
        <f t="shared" si="774"/>
        <v>0</v>
      </c>
      <c r="L3800" s="63">
        <f t="shared" si="775"/>
        <v>0</v>
      </c>
      <c r="N3800" s="10" t="str">
        <f t="shared" si="777"/>
        <v>00</v>
      </c>
      <c r="O3800" s="10">
        <f t="shared" si="778"/>
        <v>0</v>
      </c>
      <c r="P3800" s="10">
        <f t="shared" si="779"/>
        <v>0</v>
      </c>
      <c r="Q3800" s="10">
        <f t="shared" si="780"/>
        <v>0</v>
      </c>
    </row>
  </sheetData>
  <sheetProtection password="EA2C" sheet="1" objects="1" scenarios="1" selectLockedCells="1" selectUnlockedCells="1"/>
  <autoFilter ref="A43:H460">
    <filterColumn colId="1"/>
    <sortState ref="A43:H459">
      <sortCondition ref="A43:A459"/>
      <sortCondition ref="C43:C459"/>
      <sortCondition ref="D43:D459"/>
    </sortState>
  </autoFilter>
  <sortState ref="E4:E19">
    <sortCondition ref="E4"/>
  </sortState>
  <mergeCells count="15">
    <mergeCell ref="JB2:JQ2"/>
    <mergeCell ref="JS2:KH2"/>
    <mergeCell ref="A41:H41"/>
    <mergeCell ref="F2:O2"/>
    <mergeCell ref="R2:AB2"/>
    <mergeCell ref="AD2:AN2"/>
    <mergeCell ref="FJ2:FY2"/>
    <mergeCell ref="GA2:GP2"/>
    <mergeCell ref="GR2:HG2"/>
    <mergeCell ref="HV2:IK2"/>
    <mergeCell ref="CA2:CO2"/>
    <mergeCell ref="CR2:DF2"/>
    <mergeCell ref="DI2:DW2"/>
    <mergeCell ref="EB2:EQ2"/>
    <mergeCell ref="ES2:FH2"/>
  </mergeCells>
  <conditionalFormatting sqref="KN4:KN33 E20:E23">
    <cfRule type="cellIs" dxfId="14" priority="27" stopIfTrue="1" operator="equal">
      <formula>#REF!</formula>
    </cfRule>
    <cfRule type="cellIs" dxfId="13" priority="28" stopIfTrue="1" operator="equal">
      <formula>#REF!</formula>
    </cfRule>
  </conditionalFormatting>
  <conditionalFormatting sqref="E4:E20">
    <cfRule type="cellIs" dxfId="12" priority="3" stopIfTrue="1" operator="equal">
      <formula>#REF!</formula>
    </cfRule>
    <cfRule type="cellIs" dxfId="11" priority="4" stopIfTrue="1" operator="equal">
      <formula>#REF!</formula>
    </cfRule>
  </conditionalFormatting>
  <conditionalFormatting sqref="E19">
    <cfRule type="cellIs" dxfId="10" priority="1" stopIfTrue="1" operator="equal">
      <formula>#REF!</formula>
    </cfRule>
    <cfRule type="cellIs" dxfId="9" priority="2" stopIfTrue="1" operator="equal">
      <formula>#REF!</formula>
    </cfRule>
  </conditionalFormatting>
  <dataValidations count="2">
    <dataValidation type="whole" operator="greaterThan" allowBlank="1" showInputMessage="1" showErrorMessage="1" sqref="F44:F460 H44:H460">
      <formula1>-1</formula1>
    </dataValidation>
    <dataValidation type="list" allowBlank="1" showInputMessage="1" showErrorMessage="1" sqref="IQ3:IR3 IW3:IX3">
      <formula1>Teams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8"/>
  <sheetViews>
    <sheetView workbookViewId="0">
      <pane xSplit="1" topLeftCell="AB1" activePane="topRight" state="frozen"/>
      <selection activeCell="AL6" sqref="AL6"/>
      <selection pane="topRight" activeCell="AL6" sqref="AL6"/>
    </sheetView>
  </sheetViews>
  <sheetFormatPr defaultRowHeight="15"/>
  <cols>
    <col min="1" max="19" width="14.42578125" style="10" hidden="1" customWidth="1"/>
    <col min="20" max="20" width="9.140625" style="10" hidden="1" customWidth="1"/>
    <col min="21" max="21" width="5.42578125" style="10" hidden="1" customWidth="1"/>
    <col min="22" max="22" width="20.85546875" style="10" hidden="1" customWidth="1"/>
    <col min="23" max="23" width="23.42578125" style="10" hidden="1" customWidth="1"/>
    <col min="24" max="24" width="21.42578125" style="10" hidden="1" customWidth="1"/>
    <col min="25" max="25" width="28.140625" style="10" hidden="1" customWidth="1"/>
    <col min="26" max="26" width="22.28515625" style="10" hidden="1" customWidth="1"/>
    <col min="27" max="27" width="30.85546875" style="10" hidden="1" customWidth="1"/>
    <col min="28" max="28" width="34.42578125" style="10" hidden="1" customWidth="1"/>
    <col min="29" max="29" width="30.140625" style="10" hidden="1" customWidth="1"/>
    <col min="30" max="30" width="18.42578125" style="10" hidden="1" customWidth="1"/>
    <col min="31" max="31" width="20.42578125" style="10" hidden="1" customWidth="1"/>
    <col min="32" max="32" width="9.140625" style="10" hidden="1" customWidth="1"/>
    <col min="33" max="33" width="18.42578125" style="10" hidden="1" customWidth="1"/>
    <col min="34" max="34" width="9.140625" style="10" hidden="1" customWidth="1"/>
    <col min="35" max="35" width="20.42578125" style="10" hidden="1" customWidth="1"/>
    <col min="36" max="16384" width="9.140625" style="10"/>
  </cols>
  <sheetData>
    <row r="1" spans="1:39">
      <c r="B1" s="92" t="s">
        <v>0</v>
      </c>
      <c r="C1" s="192" t="str">
        <f>Fixture!B1</f>
        <v>English</v>
      </c>
      <c r="D1" s="192"/>
      <c r="E1" s="2"/>
      <c r="F1" s="2"/>
      <c r="G1" s="2"/>
    </row>
    <row r="2" spans="1:39">
      <c r="B2" s="3"/>
      <c r="C2" s="4"/>
      <c r="D2" s="4"/>
      <c r="E2" s="2"/>
      <c r="F2" s="2"/>
      <c r="G2" s="2"/>
    </row>
    <row r="3" spans="1:39">
      <c r="B3" s="5">
        <v>2</v>
      </c>
      <c r="C3" s="71">
        <v>3</v>
      </c>
      <c r="D3" s="71">
        <v>4</v>
      </c>
      <c r="E3" s="2">
        <v>5</v>
      </c>
      <c r="F3" s="2">
        <v>6</v>
      </c>
      <c r="G3" s="2">
        <v>7</v>
      </c>
      <c r="H3" s="2">
        <v>8</v>
      </c>
      <c r="K3" s="10">
        <v>11</v>
      </c>
      <c r="L3" s="10">
        <v>12</v>
      </c>
      <c r="M3" s="10">
        <v>13</v>
      </c>
      <c r="N3" s="10">
        <v>14</v>
      </c>
      <c r="O3" s="10">
        <v>15</v>
      </c>
      <c r="P3" s="10">
        <v>16</v>
      </c>
      <c r="Q3" s="10">
        <v>17</v>
      </c>
      <c r="R3" s="10">
        <v>18</v>
      </c>
      <c r="S3" s="10">
        <v>19</v>
      </c>
      <c r="U3" s="10">
        <v>21</v>
      </c>
      <c r="V3" s="10">
        <v>22</v>
      </c>
      <c r="W3" s="10">
        <v>23</v>
      </c>
      <c r="X3" s="10">
        <v>24</v>
      </c>
      <c r="Y3" s="10">
        <v>25</v>
      </c>
      <c r="Z3" s="10">
        <v>26</v>
      </c>
      <c r="AA3" s="10">
        <v>27</v>
      </c>
      <c r="AB3" s="10">
        <v>28</v>
      </c>
      <c r="AC3" s="10">
        <v>29</v>
      </c>
      <c r="AD3" s="10">
        <v>30</v>
      </c>
    </row>
    <row r="4" spans="1:39">
      <c r="B4" s="92" t="str">
        <f t="shared" ref="B4:H4" si="0">VLOOKUP($C$1,$A$6:$S$9,B3,0)</f>
        <v>Date</v>
      </c>
      <c r="C4" s="92" t="str">
        <f t="shared" si="0"/>
        <v>Time</v>
      </c>
      <c r="D4" s="92" t="str">
        <f t="shared" si="0"/>
        <v>Home</v>
      </c>
      <c r="E4" s="92" t="str">
        <f t="shared" si="0"/>
        <v>R</v>
      </c>
      <c r="F4" s="92" t="str">
        <f t="shared" si="0"/>
        <v>Away</v>
      </c>
      <c r="G4" s="92" t="str">
        <f t="shared" si="0"/>
        <v>R</v>
      </c>
      <c r="H4" s="92" t="str">
        <f t="shared" si="0"/>
        <v>Follow</v>
      </c>
      <c r="K4" s="92" t="str">
        <f t="shared" ref="K4:R4" si="1">VLOOKUP($C$1,$A$6:$S$9,K3,0)</f>
        <v>#</v>
      </c>
      <c r="L4" s="92" t="str">
        <f t="shared" si="1"/>
        <v>Team</v>
      </c>
      <c r="M4" s="92" t="str">
        <f t="shared" si="1"/>
        <v>P</v>
      </c>
      <c r="N4" s="92" t="str">
        <f t="shared" si="1"/>
        <v>W</v>
      </c>
      <c r="O4" s="92" t="str">
        <f t="shared" si="1"/>
        <v>D</v>
      </c>
      <c r="P4" s="92" t="str">
        <f t="shared" si="1"/>
        <v>L</v>
      </c>
      <c r="Q4" s="92" t="str">
        <f t="shared" si="1"/>
        <v>Pts</v>
      </c>
      <c r="R4" s="92" t="str">
        <f t="shared" si="1"/>
        <v>GF - GC</v>
      </c>
      <c r="S4" s="92" t="str">
        <f>VLOOKUP($C$1,$A$6:S$9,S3,0)</f>
        <v>GD</v>
      </c>
      <c r="U4" s="92" t="str">
        <f>VLOOKUP($C$1,$A$6:U$9,U3,0)</f>
        <v>type</v>
      </c>
      <c r="V4" s="92" t="str">
        <f>VLOOKUP($C$1,$A$6:V$9,V3,0)</f>
        <v>Most Points</v>
      </c>
      <c r="W4" s="92" t="str">
        <f>VLOOKUP($C$1,$A$6:W$9,W3,0)</f>
        <v>Most Wins</v>
      </c>
      <c r="X4" s="92" t="str">
        <f>VLOOKUP($C$1,$A$6:X$9,X3,0)</f>
        <v>Fewest Losses</v>
      </c>
      <c r="Y4" s="92" t="str">
        <f>VLOOKUP($C$1,$A$6:Y$9,Y3,0)</f>
        <v>Most Goal Scored</v>
      </c>
      <c r="Z4" s="92" t="str">
        <f>VLOOKUP($C$1,$A$6:Z$9,Z3,0)</f>
        <v>Fewest Goals Conceded</v>
      </c>
      <c r="AA4" s="92" t="str">
        <f>VLOOKUP($C$1,$A$6:AA$9,AA3,0)</f>
        <v>Highest Goal Difference</v>
      </c>
      <c r="AB4" s="92" t="str">
        <f>VLOOKUP($C$1,$A$6:AB$9,AB3,0)</f>
        <v>Fewest Games Failed to Score</v>
      </c>
      <c r="AC4" s="92" t="str">
        <f>VLOOKUP($C$1,$A$6:AC$9,AC3,0)</f>
        <v>Most Clean Sheets</v>
      </c>
      <c r="AD4" s="151" t="str">
        <f>VLOOKUP($C$1,$A$6:AD$9,AD3,0)</f>
        <v>Ave.</v>
      </c>
      <c r="AE4" s="92"/>
      <c r="AF4" s="99"/>
      <c r="AG4" s="112"/>
      <c r="AH4" s="99"/>
      <c r="AI4" s="112"/>
      <c r="AJ4" s="99"/>
      <c r="AK4" s="112"/>
      <c r="AL4" s="112"/>
      <c r="AM4" s="112"/>
    </row>
    <row r="6" spans="1:39">
      <c r="A6" s="10" t="s">
        <v>1</v>
      </c>
      <c r="B6" s="92" t="s">
        <v>6</v>
      </c>
      <c r="C6" s="92" t="s">
        <v>7</v>
      </c>
      <c r="D6" s="92" t="s">
        <v>8</v>
      </c>
      <c r="E6" s="92" t="s">
        <v>9</v>
      </c>
      <c r="F6" s="92" t="s">
        <v>10</v>
      </c>
      <c r="G6" s="92" t="s">
        <v>9</v>
      </c>
      <c r="H6" s="72" t="s">
        <v>3</v>
      </c>
      <c r="K6" s="92" t="s">
        <v>67</v>
      </c>
      <c r="L6" s="92" t="s">
        <v>95</v>
      </c>
      <c r="M6" s="92" t="s">
        <v>14</v>
      </c>
      <c r="N6" s="92" t="s">
        <v>96</v>
      </c>
      <c r="O6" s="92" t="s">
        <v>97</v>
      </c>
      <c r="P6" s="92" t="s">
        <v>98</v>
      </c>
      <c r="Q6" s="92" t="s">
        <v>99</v>
      </c>
      <c r="R6" s="92" t="s">
        <v>19</v>
      </c>
      <c r="S6" s="92" t="s">
        <v>20</v>
      </c>
      <c r="U6" s="92" t="s">
        <v>142</v>
      </c>
      <c r="V6" s="92" t="s">
        <v>81</v>
      </c>
      <c r="W6" s="92" t="s">
        <v>69</v>
      </c>
      <c r="X6" s="151" t="s">
        <v>72</v>
      </c>
      <c r="Y6" s="92" t="s">
        <v>73</v>
      </c>
      <c r="Z6" s="151" t="s">
        <v>74</v>
      </c>
      <c r="AA6" s="92" t="s">
        <v>75</v>
      </c>
      <c r="AB6" s="151" t="s">
        <v>78</v>
      </c>
      <c r="AC6" s="92" t="s">
        <v>77</v>
      </c>
      <c r="AD6" s="151" t="s">
        <v>173</v>
      </c>
      <c r="AE6" s="92"/>
    </row>
    <row r="7" spans="1:39">
      <c r="A7" s="10" t="s">
        <v>100</v>
      </c>
      <c r="B7" s="92" t="s">
        <v>6</v>
      </c>
      <c r="C7" s="92" t="s">
        <v>101</v>
      </c>
      <c r="D7" s="92" t="s">
        <v>164</v>
      </c>
      <c r="E7" s="92" t="s">
        <v>9</v>
      </c>
      <c r="F7" s="92" t="s">
        <v>164</v>
      </c>
      <c r="G7" s="92" t="s">
        <v>9</v>
      </c>
      <c r="H7" s="72" t="s">
        <v>102</v>
      </c>
      <c r="K7" s="92" t="s">
        <v>67</v>
      </c>
      <c r="L7" s="92" t="s">
        <v>164</v>
      </c>
      <c r="M7" s="92" t="s">
        <v>103</v>
      </c>
      <c r="N7" s="92" t="s">
        <v>12</v>
      </c>
      <c r="O7" s="92" t="s">
        <v>104</v>
      </c>
      <c r="P7" s="92" t="s">
        <v>14</v>
      </c>
      <c r="Q7" s="92" t="s">
        <v>99</v>
      </c>
      <c r="R7" s="92" t="s">
        <v>105</v>
      </c>
      <c r="S7" s="92" t="s">
        <v>106</v>
      </c>
      <c r="U7" s="92" t="s">
        <v>91</v>
      </c>
      <c r="V7" s="92" t="s">
        <v>151</v>
      </c>
      <c r="W7" s="92" t="s">
        <v>152</v>
      </c>
      <c r="X7" s="151" t="s">
        <v>171</v>
      </c>
      <c r="Y7" s="92" t="s">
        <v>153</v>
      </c>
      <c r="Z7" s="151" t="s">
        <v>169</v>
      </c>
      <c r="AA7" s="92" t="s">
        <v>154</v>
      </c>
      <c r="AB7" s="151" t="s">
        <v>170</v>
      </c>
      <c r="AC7" s="92" t="s">
        <v>155</v>
      </c>
      <c r="AD7" s="151" t="s">
        <v>176</v>
      </c>
      <c r="AE7" s="92"/>
    </row>
    <row r="8" spans="1:39">
      <c r="A8" s="10" t="s">
        <v>107</v>
      </c>
      <c r="B8" s="92" t="s">
        <v>108</v>
      </c>
      <c r="C8" s="92" t="s">
        <v>109</v>
      </c>
      <c r="D8" s="92" t="s">
        <v>110</v>
      </c>
      <c r="E8" s="92" t="s">
        <v>9</v>
      </c>
      <c r="F8" s="92" t="s">
        <v>111</v>
      </c>
      <c r="G8" s="92" t="s">
        <v>9</v>
      </c>
      <c r="H8" s="72" t="s">
        <v>112</v>
      </c>
      <c r="K8" s="92" t="s">
        <v>67</v>
      </c>
      <c r="L8" s="92" t="s">
        <v>95</v>
      </c>
      <c r="M8" s="92" t="s">
        <v>113</v>
      </c>
      <c r="N8" s="92" t="s">
        <v>114</v>
      </c>
      <c r="O8" s="92" t="s">
        <v>115</v>
      </c>
      <c r="P8" s="92" t="s">
        <v>104</v>
      </c>
      <c r="Q8" s="92" t="s">
        <v>116</v>
      </c>
      <c r="R8" s="92" t="s">
        <v>117</v>
      </c>
      <c r="S8" s="92" t="s">
        <v>106</v>
      </c>
      <c r="U8" s="92" t="s">
        <v>144</v>
      </c>
      <c r="V8" s="92" t="s">
        <v>160</v>
      </c>
      <c r="W8" s="92" t="s">
        <v>159</v>
      </c>
      <c r="X8" s="151" t="s">
        <v>172</v>
      </c>
      <c r="Y8" s="92" t="s">
        <v>161</v>
      </c>
      <c r="Z8" s="151" t="s">
        <v>168</v>
      </c>
      <c r="AA8" s="92" t="s">
        <v>150</v>
      </c>
      <c r="AB8" s="151" t="s">
        <v>162</v>
      </c>
      <c r="AC8" s="92" t="s">
        <v>163</v>
      </c>
      <c r="AD8" s="151" t="s">
        <v>175</v>
      </c>
      <c r="AE8" s="92"/>
    </row>
    <row r="9" spans="1:39">
      <c r="A9" s="10" t="s">
        <v>118</v>
      </c>
      <c r="B9" s="92" t="s">
        <v>119</v>
      </c>
      <c r="C9" s="92" t="s">
        <v>120</v>
      </c>
      <c r="D9" s="92" t="s">
        <v>121</v>
      </c>
      <c r="E9" s="92" t="s">
        <v>9</v>
      </c>
      <c r="F9" s="92" t="s">
        <v>122</v>
      </c>
      <c r="G9" s="92" t="s">
        <v>9</v>
      </c>
      <c r="H9" s="72" t="s">
        <v>123</v>
      </c>
      <c r="K9" s="92" t="s">
        <v>67</v>
      </c>
      <c r="L9" s="92" t="s">
        <v>124</v>
      </c>
      <c r="M9" s="92" t="s">
        <v>113</v>
      </c>
      <c r="N9" s="92" t="s">
        <v>114</v>
      </c>
      <c r="O9" s="92" t="s">
        <v>115</v>
      </c>
      <c r="P9" s="92" t="s">
        <v>104</v>
      </c>
      <c r="Q9" s="92" t="s">
        <v>14</v>
      </c>
      <c r="R9" s="92" t="s">
        <v>125</v>
      </c>
      <c r="S9" s="92" t="s">
        <v>20</v>
      </c>
      <c r="U9" s="92" t="s">
        <v>143</v>
      </c>
      <c r="V9" s="92" t="s">
        <v>145</v>
      </c>
      <c r="W9" s="92" t="s">
        <v>146</v>
      </c>
      <c r="X9" s="151" t="s">
        <v>165</v>
      </c>
      <c r="Y9" s="92" t="s">
        <v>147</v>
      </c>
      <c r="Z9" s="151" t="s">
        <v>166</v>
      </c>
      <c r="AA9" s="92" t="s">
        <v>148</v>
      </c>
      <c r="AB9" s="151" t="s">
        <v>167</v>
      </c>
      <c r="AC9" s="92" t="s">
        <v>149</v>
      </c>
      <c r="AD9" s="151" t="s">
        <v>174</v>
      </c>
      <c r="AE9" s="92"/>
    </row>
    <row r="13" spans="1:39">
      <c r="B13" s="91" t="s">
        <v>91</v>
      </c>
      <c r="E13" s="91" t="s">
        <v>91</v>
      </c>
    </row>
    <row r="14" spans="1:39">
      <c r="B14" s="10" t="s">
        <v>126</v>
      </c>
      <c r="C14" s="10">
        <v>1</v>
      </c>
      <c r="E14" s="10" t="s">
        <v>126</v>
      </c>
      <c r="F14" s="10">
        <v>1</v>
      </c>
    </row>
    <row r="15" spans="1:39">
      <c r="B15" s="10" t="s">
        <v>8</v>
      </c>
      <c r="C15" s="10">
        <v>2</v>
      </c>
      <c r="E15" s="10" t="s">
        <v>8</v>
      </c>
      <c r="F15" s="10">
        <v>2</v>
      </c>
    </row>
    <row r="16" spans="1:39">
      <c r="B16" s="10" t="s">
        <v>10</v>
      </c>
      <c r="C16" s="10">
        <v>3</v>
      </c>
      <c r="E16" s="10" t="s">
        <v>10</v>
      </c>
      <c r="F16" s="10">
        <v>3</v>
      </c>
    </row>
    <row r="18" spans="3:6">
      <c r="C18" s="10">
        <f>IF(ISERROR(VLOOKUP('ef-LeagueStats'!D1,lg!B14:C16,2,0)),1,(VLOOKUP('ef-LeagueStats'!D1,lg!B14:C16,2,0)))</f>
        <v>1</v>
      </c>
      <c r="F18" s="10">
        <f>IF(ISERROR(VLOOKUP('ef-TeamStats'!B1,lg!E14:F16,2,0)),1,(VLOOKUP('ef-TeamStats'!B1,lg!E14:F16,2,0)))</f>
        <v>1</v>
      </c>
    </row>
  </sheetData>
  <sheetProtection password="EAC0" sheet="1" objects="1" scenarios="1" selectLockedCells="1" selectUnlockedCells="1"/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Fixture</vt:lpstr>
      <vt:lpstr>Table</vt:lpstr>
      <vt:lpstr>ef-LeagueStats</vt:lpstr>
      <vt:lpstr>ef-TeamStats</vt:lpstr>
      <vt:lpstr>HistoriChart</vt:lpstr>
      <vt:lpstr>ef-FT</vt:lpstr>
      <vt:lpstr>lg</vt:lpstr>
      <vt:lpstr>lg</vt:lpstr>
      <vt:lpstr>Teams</vt:lpstr>
      <vt:lpstr>TiZo</vt:lpstr>
      <vt:lpstr>type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</dc:creator>
  <cp:lastModifiedBy>Harry</cp:lastModifiedBy>
  <dcterms:created xsi:type="dcterms:W3CDTF">2010-08-07T20:47:50Z</dcterms:created>
  <dcterms:modified xsi:type="dcterms:W3CDTF">2010-08-18T02:49:57Z</dcterms:modified>
</cp:coreProperties>
</file>